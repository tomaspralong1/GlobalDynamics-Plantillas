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9040" windowHeight="15840"/>
  </bookViews>
  <sheets>
    <sheet name="Comprobantes de Clientes GB." sheetId="1" r:id="rId1"/>
    <sheet name="Pegar ML" sheetId="2" r:id="rId2"/>
    <sheet name="AjusteFecha" sheetId="3" r:id="rId3"/>
  </sheets>
  <definedNames>
    <definedName name="_xlnm._FilterDatabase" localSheetId="0" hidden="1">'Comprobantes de Clientes GB.'!$A$10:$AS$1007</definedName>
    <definedName name="_xlnm._FilterDatabase" localSheetId="1" hidden="1">'Pegar ML'!$A$6:$BI$6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3" i="1" l="1"/>
  <c r="V13" i="1"/>
  <c r="W13" i="1"/>
  <c r="X13" i="1"/>
  <c r="U14" i="1"/>
  <c r="V14" i="1"/>
  <c r="W14" i="1"/>
  <c r="X14" i="1"/>
  <c r="U15" i="1"/>
  <c r="V15" i="1"/>
  <c r="W15" i="1"/>
  <c r="X15" i="1"/>
  <c r="U16" i="1"/>
  <c r="V16" i="1"/>
  <c r="W16" i="1"/>
  <c r="X16" i="1"/>
  <c r="U17" i="1"/>
  <c r="V17" i="1"/>
  <c r="W17" i="1"/>
  <c r="X17" i="1"/>
  <c r="U18" i="1"/>
  <c r="V18" i="1"/>
  <c r="W18" i="1"/>
  <c r="X18" i="1"/>
  <c r="U19" i="1"/>
  <c r="V19" i="1"/>
  <c r="W19" i="1"/>
  <c r="X19" i="1"/>
  <c r="U20" i="1"/>
  <c r="V20" i="1"/>
  <c r="W20" i="1"/>
  <c r="X20" i="1"/>
  <c r="U21" i="1"/>
  <c r="V21" i="1"/>
  <c r="W21" i="1"/>
  <c r="X21" i="1"/>
  <c r="U22" i="1"/>
  <c r="V22" i="1"/>
  <c r="W22" i="1"/>
  <c r="X22" i="1"/>
  <c r="U23" i="1"/>
  <c r="V23" i="1"/>
  <c r="W23" i="1"/>
  <c r="X23" i="1"/>
  <c r="U24" i="1"/>
  <c r="V24" i="1"/>
  <c r="W24" i="1"/>
  <c r="X24" i="1"/>
  <c r="U25" i="1"/>
  <c r="V25" i="1"/>
  <c r="W25" i="1"/>
  <c r="X25" i="1"/>
  <c r="U26" i="1"/>
  <c r="V26" i="1"/>
  <c r="W26" i="1"/>
  <c r="X26" i="1"/>
  <c r="U27" i="1"/>
  <c r="V27" i="1"/>
  <c r="W27" i="1"/>
  <c r="X27" i="1"/>
  <c r="U28" i="1"/>
  <c r="V28" i="1"/>
  <c r="W28" i="1"/>
  <c r="X28" i="1"/>
  <c r="U29" i="1"/>
  <c r="V29" i="1"/>
  <c r="W29" i="1"/>
  <c r="X29" i="1"/>
  <c r="U30" i="1"/>
  <c r="V30" i="1"/>
  <c r="W30" i="1"/>
  <c r="X30" i="1"/>
  <c r="U31" i="1"/>
  <c r="V31" i="1"/>
  <c r="W31" i="1"/>
  <c r="X31" i="1"/>
  <c r="U32" i="1"/>
  <c r="V32" i="1"/>
  <c r="W32" i="1"/>
  <c r="X32" i="1"/>
  <c r="U33" i="1"/>
  <c r="V33" i="1"/>
  <c r="W33" i="1"/>
  <c r="X33" i="1"/>
  <c r="U34" i="1"/>
  <c r="V34" i="1"/>
  <c r="W34" i="1"/>
  <c r="X34" i="1"/>
  <c r="U35" i="1"/>
  <c r="V35" i="1"/>
  <c r="W35" i="1"/>
  <c r="X35" i="1"/>
  <c r="U36" i="1"/>
  <c r="V36" i="1"/>
  <c r="W36" i="1"/>
  <c r="X36" i="1"/>
  <c r="U37" i="1"/>
  <c r="V37" i="1"/>
  <c r="W37" i="1"/>
  <c r="X37" i="1"/>
  <c r="U38" i="1"/>
  <c r="V38" i="1"/>
  <c r="W38" i="1"/>
  <c r="X38" i="1"/>
  <c r="U39" i="1"/>
  <c r="V39" i="1"/>
  <c r="W39" i="1"/>
  <c r="X39" i="1"/>
  <c r="U40" i="1"/>
  <c r="V40" i="1"/>
  <c r="W40" i="1"/>
  <c r="X40" i="1"/>
  <c r="U41" i="1"/>
  <c r="V41" i="1"/>
  <c r="W41" i="1"/>
  <c r="X41" i="1"/>
  <c r="U42" i="1"/>
  <c r="V42" i="1"/>
  <c r="W42" i="1"/>
  <c r="X42" i="1"/>
  <c r="U43" i="1"/>
  <c r="V43" i="1"/>
  <c r="W43" i="1"/>
  <c r="X43" i="1"/>
  <c r="U44" i="1"/>
  <c r="V44" i="1"/>
  <c r="W44" i="1"/>
  <c r="X44" i="1"/>
  <c r="U45" i="1"/>
  <c r="V45" i="1"/>
  <c r="W45" i="1"/>
  <c r="X45" i="1"/>
  <c r="U46" i="1"/>
  <c r="V46" i="1"/>
  <c r="W46" i="1"/>
  <c r="X46" i="1"/>
  <c r="U47" i="1"/>
  <c r="V47" i="1"/>
  <c r="W47" i="1"/>
  <c r="X47" i="1"/>
  <c r="U48" i="1"/>
  <c r="V48" i="1"/>
  <c r="W48" i="1"/>
  <c r="X48" i="1"/>
  <c r="U49" i="1"/>
  <c r="V49" i="1"/>
  <c r="W49" i="1"/>
  <c r="X49" i="1"/>
  <c r="U50" i="1"/>
  <c r="V50" i="1"/>
  <c r="W50" i="1"/>
  <c r="X50" i="1"/>
  <c r="U51" i="1"/>
  <c r="V51" i="1"/>
  <c r="W51" i="1"/>
  <c r="X51" i="1"/>
  <c r="U52" i="1"/>
  <c r="V52" i="1"/>
  <c r="W52" i="1"/>
  <c r="X52" i="1"/>
  <c r="U53" i="1"/>
  <c r="V53" i="1"/>
  <c r="W53" i="1"/>
  <c r="X53" i="1"/>
  <c r="U54" i="1"/>
  <c r="V54" i="1"/>
  <c r="W54" i="1"/>
  <c r="X54" i="1"/>
  <c r="U55" i="1"/>
  <c r="V55" i="1"/>
  <c r="W55" i="1"/>
  <c r="X55" i="1"/>
  <c r="U56" i="1"/>
  <c r="V56" i="1"/>
  <c r="W56" i="1"/>
  <c r="X56" i="1"/>
  <c r="U57" i="1"/>
  <c r="V57" i="1"/>
  <c r="W57" i="1"/>
  <c r="X57" i="1"/>
  <c r="U58" i="1"/>
  <c r="V58" i="1"/>
  <c r="W58" i="1"/>
  <c r="X58" i="1"/>
  <c r="U59" i="1"/>
  <c r="V59" i="1"/>
  <c r="W59" i="1"/>
  <c r="X59" i="1"/>
  <c r="U60" i="1"/>
  <c r="V60" i="1"/>
  <c r="W60" i="1"/>
  <c r="X60" i="1"/>
  <c r="U61" i="1"/>
  <c r="V61" i="1"/>
  <c r="W61" i="1"/>
  <c r="X61" i="1"/>
  <c r="U62" i="1"/>
  <c r="V62" i="1"/>
  <c r="W62" i="1"/>
  <c r="X62" i="1"/>
  <c r="U63" i="1"/>
  <c r="V63" i="1"/>
  <c r="W63" i="1"/>
  <c r="X63" i="1"/>
  <c r="U64" i="1"/>
  <c r="V64" i="1"/>
  <c r="W64" i="1"/>
  <c r="X64" i="1"/>
  <c r="U65" i="1"/>
  <c r="V65" i="1"/>
  <c r="W65" i="1"/>
  <c r="X65" i="1"/>
  <c r="U66" i="1"/>
  <c r="V66" i="1"/>
  <c r="W66" i="1"/>
  <c r="X66" i="1"/>
  <c r="U67" i="1"/>
  <c r="V67" i="1"/>
  <c r="W67" i="1"/>
  <c r="X67" i="1"/>
  <c r="U68" i="1"/>
  <c r="V68" i="1"/>
  <c r="W68" i="1"/>
  <c r="X68" i="1"/>
  <c r="U69" i="1"/>
  <c r="V69" i="1"/>
  <c r="W69" i="1"/>
  <c r="X69" i="1"/>
  <c r="U70" i="1"/>
  <c r="V70" i="1"/>
  <c r="W70" i="1"/>
  <c r="X70" i="1"/>
  <c r="U71" i="1"/>
  <c r="V71" i="1"/>
  <c r="W71" i="1"/>
  <c r="X71" i="1"/>
  <c r="U72" i="1"/>
  <c r="V72" i="1"/>
  <c r="W72" i="1"/>
  <c r="X72" i="1"/>
  <c r="U73" i="1"/>
  <c r="V73" i="1"/>
  <c r="W73" i="1"/>
  <c r="X73" i="1"/>
  <c r="U74" i="1"/>
  <c r="V74" i="1"/>
  <c r="W74" i="1"/>
  <c r="X74" i="1"/>
  <c r="U75" i="1"/>
  <c r="V75" i="1"/>
  <c r="W75" i="1"/>
  <c r="X75" i="1"/>
  <c r="U76" i="1"/>
  <c r="V76" i="1"/>
  <c r="W76" i="1"/>
  <c r="X76" i="1"/>
  <c r="U77" i="1"/>
  <c r="V77" i="1"/>
  <c r="W77" i="1"/>
  <c r="X77" i="1"/>
  <c r="U78" i="1"/>
  <c r="V78" i="1"/>
  <c r="W78" i="1"/>
  <c r="X78" i="1"/>
  <c r="U79" i="1"/>
  <c r="V79" i="1"/>
  <c r="W79" i="1"/>
  <c r="X79" i="1"/>
  <c r="U80" i="1"/>
  <c r="V80" i="1"/>
  <c r="W80" i="1"/>
  <c r="X80" i="1"/>
  <c r="U81" i="1"/>
  <c r="V81" i="1"/>
  <c r="W81" i="1"/>
  <c r="X81" i="1"/>
  <c r="U82" i="1"/>
  <c r="V82" i="1"/>
  <c r="W82" i="1"/>
  <c r="X82" i="1"/>
  <c r="U83" i="1"/>
  <c r="V83" i="1"/>
  <c r="W83" i="1"/>
  <c r="X83" i="1"/>
  <c r="U84" i="1"/>
  <c r="V84" i="1"/>
  <c r="W84" i="1"/>
  <c r="X84" i="1"/>
  <c r="U85" i="1"/>
  <c r="V85" i="1"/>
  <c r="W85" i="1"/>
  <c r="X85" i="1"/>
  <c r="U86" i="1"/>
  <c r="V86" i="1"/>
  <c r="W86" i="1"/>
  <c r="X86" i="1"/>
  <c r="U87" i="1"/>
  <c r="V87" i="1"/>
  <c r="W87" i="1"/>
  <c r="X87" i="1"/>
  <c r="U88" i="1"/>
  <c r="V88" i="1"/>
  <c r="W88" i="1"/>
  <c r="X88" i="1"/>
  <c r="U89" i="1"/>
  <c r="V89" i="1"/>
  <c r="W89" i="1"/>
  <c r="X89" i="1"/>
  <c r="U90" i="1"/>
  <c r="V90" i="1"/>
  <c r="W90" i="1"/>
  <c r="X90" i="1"/>
  <c r="U91" i="1"/>
  <c r="V91" i="1"/>
  <c r="W91" i="1"/>
  <c r="X91" i="1"/>
  <c r="U92" i="1"/>
  <c r="V92" i="1"/>
  <c r="W92" i="1"/>
  <c r="X92" i="1"/>
  <c r="U93" i="1"/>
  <c r="V93" i="1"/>
  <c r="W93" i="1"/>
  <c r="X93" i="1"/>
  <c r="U94" i="1"/>
  <c r="V94" i="1"/>
  <c r="W94" i="1"/>
  <c r="X94" i="1"/>
  <c r="U95" i="1"/>
  <c r="V95" i="1"/>
  <c r="W95" i="1"/>
  <c r="X95" i="1"/>
  <c r="U96" i="1"/>
  <c r="V96" i="1"/>
  <c r="W96" i="1"/>
  <c r="X96" i="1"/>
  <c r="U97" i="1"/>
  <c r="V97" i="1"/>
  <c r="W97" i="1"/>
  <c r="X97" i="1"/>
  <c r="U98" i="1"/>
  <c r="V98" i="1"/>
  <c r="W98" i="1"/>
  <c r="X98" i="1"/>
  <c r="U99" i="1"/>
  <c r="V99" i="1"/>
  <c r="W99" i="1"/>
  <c r="X99" i="1"/>
  <c r="U100" i="1"/>
  <c r="V100" i="1"/>
  <c r="W100" i="1"/>
  <c r="X100" i="1"/>
  <c r="U101" i="1"/>
  <c r="V101" i="1"/>
  <c r="W101" i="1"/>
  <c r="X101" i="1"/>
  <c r="U102" i="1"/>
  <c r="V102" i="1"/>
  <c r="W102" i="1"/>
  <c r="X102" i="1"/>
  <c r="U103" i="1"/>
  <c r="V103" i="1"/>
  <c r="W103" i="1"/>
  <c r="X103" i="1"/>
  <c r="U104" i="1"/>
  <c r="V104" i="1"/>
  <c r="W104" i="1"/>
  <c r="X104" i="1"/>
  <c r="U105" i="1"/>
  <c r="V105" i="1"/>
  <c r="W105" i="1"/>
  <c r="X105" i="1"/>
  <c r="U106" i="1"/>
  <c r="V106" i="1"/>
  <c r="W106" i="1"/>
  <c r="X106" i="1"/>
  <c r="U107" i="1"/>
  <c r="V107" i="1"/>
  <c r="W107" i="1"/>
  <c r="X107" i="1"/>
  <c r="U108" i="1"/>
  <c r="V108" i="1"/>
  <c r="W108" i="1"/>
  <c r="X108" i="1"/>
  <c r="U109" i="1"/>
  <c r="V109" i="1"/>
  <c r="W109" i="1"/>
  <c r="X109" i="1"/>
  <c r="U110" i="1"/>
  <c r="V110" i="1"/>
  <c r="W110" i="1"/>
  <c r="X110" i="1"/>
  <c r="U111" i="1"/>
  <c r="V111" i="1"/>
  <c r="W111" i="1"/>
  <c r="X111" i="1"/>
  <c r="U112" i="1"/>
  <c r="V112" i="1"/>
  <c r="W112" i="1"/>
  <c r="X112" i="1"/>
  <c r="U113" i="1"/>
  <c r="V113" i="1"/>
  <c r="W113" i="1"/>
  <c r="X113" i="1"/>
  <c r="U114" i="1"/>
  <c r="V114" i="1"/>
  <c r="W114" i="1"/>
  <c r="X114" i="1"/>
  <c r="U115" i="1"/>
  <c r="V115" i="1"/>
  <c r="W115" i="1"/>
  <c r="X115" i="1"/>
  <c r="U116" i="1"/>
  <c r="V116" i="1"/>
  <c r="W116" i="1"/>
  <c r="X116" i="1"/>
  <c r="U117" i="1"/>
  <c r="V117" i="1"/>
  <c r="W117" i="1"/>
  <c r="X117" i="1"/>
  <c r="U118" i="1"/>
  <c r="V118" i="1"/>
  <c r="W118" i="1"/>
  <c r="X118" i="1"/>
  <c r="U119" i="1"/>
  <c r="V119" i="1"/>
  <c r="W119" i="1"/>
  <c r="X119" i="1"/>
  <c r="U120" i="1"/>
  <c r="V120" i="1"/>
  <c r="W120" i="1"/>
  <c r="X120" i="1"/>
  <c r="U121" i="1"/>
  <c r="V121" i="1"/>
  <c r="W121" i="1"/>
  <c r="X121" i="1"/>
  <c r="U122" i="1"/>
  <c r="V122" i="1"/>
  <c r="W122" i="1"/>
  <c r="X122" i="1"/>
  <c r="U123" i="1"/>
  <c r="V123" i="1"/>
  <c r="W123" i="1"/>
  <c r="X123" i="1"/>
  <c r="U124" i="1"/>
  <c r="V124" i="1"/>
  <c r="W124" i="1"/>
  <c r="X124" i="1"/>
  <c r="U125" i="1"/>
  <c r="V125" i="1"/>
  <c r="W125" i="1"/>
  <c r="X125" i="1"/>
  <c r="U126" i="1"/>
  <c r="V126" i="1"/>
  <c r="W126" i="1"/>
  <c r="X126" i="1"/>
  <c r="U127" i="1"/>
  <c r="V127" i="1"/>
  <c r="W127" i="1"/>
  <c r="X127" i="1"/>
  <c r="U128" i="1"/>
  <c r="V128" i="1"/>
  <c r="W128" i="1"/>
  <c r="X128" i="1"/>
  <c r="U129" i="1"/>
  <c r="V129" i="1"/>
  <c r="W129" i="1"/>
  <c r="X129" i="1"/>
  <c r="U130" i="1"/>
  <c r="V130" i="1"/>
  <c r="W130" i="1"/>
  <c r="X130" i="1"/>
  <c r="U131" i="1"/>
  <c r="V131" i="1"/>
  <c r="W131" i="1"/>
  <c r="X131" i="1"/>
  <c r="U132" i="1"/>
  <c r="V132" i="1"/>
  <c r="W132" i="1"/>
  <c r="X132" i="1"/>
  <c r="U133" i="1"/>
  <c r="V133" i="1"/>
  <c r="W133" i="1"/>
  <c r="X133" i="1"/>
  <c r="U134" i="1"/>
  <c r="V134" i="1"/>
  <c r="W134" i="1"/>
  <c r="X134" i="1"/>
  <c r="U135" i="1"/>
  <c r="V135" i="1"/>
  <c r="W135" i="1"/>
  <c r="X135" i="1"/>
  <c r="U136" i="1"/>
  <c r="V136" i="1"/>
  <c r="W136" i="1"/>
  <c r="X136" i="1"/>
  <c r="U137" i="1"/>
  <c r="V137" i="1"/>
  <c r="W137" i="1"/>
  <c r="X137" i="1"/>
  <c r="U138" i="1"/>
  <c r="V138" i="1"/>
  <c r="W138" i="1"/>
  <c r="X138" i="1"/>
  <c r="U139" i="1"/>
  <c r="V139" i="1"/>
  <c r="W139" i="1"/>
  <c r="X139" i="1"/>
  <c r="U140" i="1"/>
  <c r="V140" i="1"/>
  <c r="W140" i="1"/>
  <c r="X140" i="1"/>
  <c r="U141" i="1"/>
  <c r="V141" i="1"/>
  <c r="W141" i="1"/>
  <c r="X141" i="1"/>
  <c r="U142" i="1"/>
  <c r="V142" i="1"/>
  <c r="W142" i="1"/>
  <c r="X142" i="1"/>
  <c r="U143" i="1"/>
  <c r="V143" i="1"/>
  <c r="W143" i="1"/>
  <c r="X143" i="1"/>
  <c r="U144" i="1"/>
  <c r="V144" i="1"/>
  <c r="W144" i="1"/>
  <c r="X144" i="1"/>
  <c r="U145" i="1"/>
  <c r="V145" i="1"/>
  <c r="W145" i="1"/>
  <c r="X145" i="1"/>
  <c r="U146" i="1"/>
  <c r="V146" i="1"/>
  <c r="W146" i="1"/>
  <c r="X146" i="1"/>
  <c r="U147" i="1"/>
  <c r="V147" i="1"/>
  <c r="W147" i="1"/>
  <c r="X147" i="1"/>
  <c r="U148" i="1"/>
  <c r="V148" i="1"/>
  <c r="W148" i="1"/>
  <c r="X148" i="1"/>
  <c r="U149" i="1"/>
  <c r="V149" i="1"/>
  <c r="W149" i="1"/>
  <c r="X149" i="1"/>
  <c r="U150" i="1"/>
  <c r="V150" i="1"/>
  <c r="W150" i="1"/>
  <c r="X150" i="1"/>
  <c r="U151" i="1"/>
  <c r="V151" i="1"/>
  <c r="W151" i="1"/>
  <c r="X151" i="1"/>
  <c r="U152" i="1"/>
  <c r="V152" i="1"/>
  <c r="W152" i="1"/>
  <c r="X152" i="1"/>
  <c r="U153" i="1"/>
  <c r="V153" i="1"/>
  <c r="W153" i="1"/>
  <c r="X153" i="1"/>
  <c r="U154" i="1"/>
  <c r="V154" i="1"/>
  <c r="W154" i="1"/>
  <c r="X154" i="1"/>
  <c r="U155" i="1"/>
  <c r="V155" i="1"/>
  <c r="W155" i="1"/>
  <c r="X155" i="1"/>
  <c r="U156" i="1"/>
  <c r="V156" i="1"/>
  <c r="W156" i="1"/>
  <c r="X156" i="1"/>
  <c r="U157" i="1"/>
  <c r="V157" i="1"/>
  <c r="W157" i="1"/>
  <c r="X157" i="1"/>
  <c r="U158" i="1"/>
  <c r="V158" i="1"/>
  <c r="W158" i="1"/>
  <c r="X158" i="1"/>
  <c r="U159" i="1"/>
  <c r="V159" i="1"/>
  <c r="W159" i="1"/>
  <c r="X159" i="1"/>
  <c r="U160" i="1"/>
  <c r="V160" i="1"/>
  <c r="W160" i="1"/>
  <c r="X160" i="1"/>
  <c r="U161" i="1"/>
  <c r="V161" i="1"/>
  <c r="W161" i="1"/>
  <c r="X161" i="1"/>
  <c r="U162" i="1"/>
  <c r="V162" i="1"/>
  <c r="W162" i="1"/>
  <c r="X162" i="1"/>
  <c r="U163" i="1"/>
  <c r="V163" i="1"/>
  <c r="W163" i="1"/>
  <c r="X163" i="1"/>
  <c r="U164" i="1"/>
  <c r="V164" i="1"/>
  <c r="W164" i="1"/>
  <c r="X164" i="1"/>
  <c r="U165" i="1"/>
  <c r="V165" i="1"/>
  <c r="W165" i="1"/>
  <c r="X165" i="1"/>
  <c r="U166" i="1"/>
  <c r="V166" i="1"/>
  <c r="W166" i="1"/>
  <c r="X166" i="1"/>
  <c r="U167" i="1"/>
  <c r="V167" i="1"/>
  <c r="W167" i="1"/>
  <c r="X167" i="1"/>
  <c r="U168" i="1"/>
  <c r="V168" i="1"/>
  <c r="W168" i="1"/>
  <c r="X168" i="1"/>
  <c r="U169" i="1"/>
  <c r="V169" i="1"/>
  <c r="W169" i="1"/>
  <c r="X169" i="1"/>
  <c r="U170" i="1"/>
  <c r="V170" i="1"/>
  <c r="W170" i="1"/>
  <c r="X170" i="1"/>
  <c r="U171" i="1"/>
  <c r="V171" i="1"/>
  <c r="W171" i="1"/>
  <c r="X171" i="1"/>
  <c r="U172" i="1"/>
  <c r="V172" i="1"/>
  <c r="W172" i="1"/>
  <c r="X172" i="1"/>
  <c r="U173" i="1"/>
  <c r="V173" i="1"/>
  <c r="W173" i="1"/>
  <c r="X173" i="1"/>
  <c r="U174" i="1"/>
  <c r="V174" i="1"/>
  <c r="W174" i="1"/>
  <c r="X174" i="1"/>
  <c r="U175" i="1"/>
  <c r="V175" i="1"/>
  <c r="W175" i="1"/>
  <c r="X175" i="1"/>
  <c r="U176" i="1"/>
  <c r="V176" i="1"/>
  <c r="W176" i="1"/>
  <c r="X176" i="1"/>
  <c r="U177" i="1"/>
  <c r="V177" i="1"/>
  <c r="W177" i="1"/>
  <c r="X177" i="1"/>
  <c r="U178" i="1"/>
  <c r="V178" i="1"/>
  <c r="W178" i="1"/>
  <c r="X178" i="1"/>
  <c r="U179" i="1"/>
  <c r="V179" i="1"/>
  <c r="W179" i="1"/>
  <c r="X179" i="1"/>
  <c r="U180" i="1"/>
  <c r="V180" i="1"/>
  <c r="W180" i="1"/>
  <c r="X180" i="1"/>
  <c r="U181" i="1"/>
  <c r="V181" i="1"/>
  <c r="W181" i="1"/>
  <c r="X181" i="1"/>
  <c r="U182" i="1"/>
  <c r="V182" i="1"/>
  <c r="W182" i="1"/>
  <c r="X182" i="1"/>
  <c r="U183" i="1"/>
  <c r="V183" i="1"/>
  <c r="W183" i="1"/>
  <c r="X183" i="1"/>
  <c r="U184" i="1"/>
  <c r="V184" i="1"/>
  <c r="W184" i="1"/>
  <c r="X184" i="1"/>
  <c r="U185" i="1"/>
  <c r="V185" i="1"/>
  <c r="W185" i="1"/>
  <c r="X185" i="1"/>
  <c r="U186" i="1"/>
  <c r="V186" i="1"/>
  <c r="W186" i="1"/>
  <c r="X186" i="1"/>
  <c r="U187" i="1"/>
  <c r="V187" i="1"/>
  <c r="W187" i="1"/>
  <c r="X187" i="1"/>
  <c r="U188" i="1"/>
  <c r="V188" i="1"/>
  <c r="W188" i="1"/>
  <c r="X188" i="1"/>
  <c r="U189" i="1"/>
  <c r="V189" i="1"/>
  <c r="W189" i="1"/>
  <c r="X189" i="1"/>
  <c r="U190" i="1"/>
  <c r="V190" i="1"/>
  <c r="W190" i="1"/>
  <c r="X190" i="1"/>
  <c r="U191" i="1"/>
  <c r="V191" i="1"/>
  <c r="W191" i="1"/>
  <c r="X191" i="1"/>
  <c r="U192" i="1"/>
  <c r="V192" i="1"/>
  <c r="W192" i="1"/>
  <c r="X192" i="1"/>
  <c r="U193" i="1"/>
  <c r="V193" i="1"/>
  <c r="W193" i="1"/>
  <c r="X193" i="1"/>
  <c r="U194" i="1"/>
  <c r="V194" i="1"/>
  <c r="W194" i="1"/>
  <c r="X194" i="1"/>
  <c r="U195" i="1"/>
  <c r="V195" i="1"/>
  <c r="W195" i="1"/>
  <c r="X195" i="1"/>
  <c r="U196" i="1"/>
  <c r="V196" i="1"/>
  <c r="W196" i="1"/>
  <c r="X196" i="1"/>
  <c r="U197" i="1"/>
  <c r="V197" i="1"/>
  <c r="W197" i="1"/>
  <c r="X197" i="1"/>
  <c r="U198" i="1"/>
  <c r="V198" i="1"/>
  <c r="W198" i="1"/>
  <c r="X198" i="1"/>
  <c r="U199" i="1"/>
  <c r="V199" i="1"/>
  <c r="W199" i="1"/>
  <c r="X199" i="1"/>
  <c r="U200" i="1"/>
  <c r="V200" i="1"/>
  <c r="W200" i="1"/>
  <c r="X200" i="1"/>
  <c r="U201" i="1"/>
  <c r="V201" i="1"/>
  <c r="W201" i="1"/>
  <c r="X201" i="1"/>
  <c r="U202" i="1"/>
  <c r="V202" i="1"/>
  <c r="W202" i="1"/>
  <c r="X202" i="1"/>
  <c r="U203" i="1"/>
  <c r="V203" i="1"/>
  <c r="W203" i="1"/>
  <c r="X203" i="1"/>
  <c r="U204" i="1"/>
  <c r="V204" i="1"/>
  <c r="W204" i="1"/>
  <c r="X204" i="1"/>
  <c r="U205" i="1"/>
  <c r="V205" i="1"/>
  <c r="W205" i="1"/>
  <c r="X205" i="1"/>
  <c r="U206" i="1"/>
  <c r="V206" i="1"/>
  <c r="W206" i="1"/>
  <c r="X206" i="1"/>
  <c r="U207" i="1"/>
  <c r="V207" i="1"/>
  <c r="W207" i="1"/>
  <c r="X207" i="1"/>
  <c r="U208" i="1"/>
  <c r="V208" i="1"/>
  <c r="W208" i="1"/>
  <c r="X208" i="1"/>
  <c r="U209" i="1"/>
  <c r="V209" i="1"/>
  <c r="W209" i="1"/>
  <c r="X209" i="1"/>
  <c r="U210" i="1"/>
  <c r="V210" i="1"/>
  <c r="W210" i="1"/>
  <c r="X210" i="1"/>
  <c r="U211" i="1"/>
  <c r="V211" i="1"/>
  <c r="W211" i="1"/>
  <c r="X211" i="1"/>
  <c r="U212" i="1"/>
  <c r="V212" i="1"/>
  <c r="W212" i="1"/>
  <c r="X212" i="1"/>
  <c r="U213" i="1"/>
  <c r="V213" i="1"/>
  <c r="W213" i="1"/>
  <c r="X213" i="1"/>
  <c r="U214" i="1"/>
  <c r="V214" i="1"/>
  <c r="W214" i="1"/>
  <c r="X214" i="1"/>
  <c r="U215" i="1"/>
  <c r="V215" i="1"/>
  <c r="W215" i="1"/>
  <c r="X215" i="1"/>
  <c r="U216" i="1"/>
  <c r="V216" i="1"/>
  <c r="W216" i="1"/>
  <c r="X216" i="1"/>
  <c r="U217" i="1"/>
  <c r="V217" i="1"/>
  <c r="W217" i="1"/>
  <c r="X217" i="1"/>
  <c r="U218" i="1"/>
  <c r="V218" i="1"/>
  <c r="W218" i="1"/>
  <c r="X218" i="1"/>
  <c r="U219" i="1"/>
  <c r="V219" i="1"/>
  <c r="W219" i="1"/>
  <c r="X219" i="1"/>
  <c r="U220" i="1"/>
  <c r="V220" i="1"/>
  <c r="W220" i="1"/>
  <c r="X220" i="1"/>
  <c r="U221" i="1"/>
  <c r="V221" i="1"/>
  <c r="W221" i="1"/>
  <c r="X221" i="1"/>
  <c r="U222" i="1"/>
  <c r="V222" i="1"/>
  <c r="W222" i="1"/>
  <c r="X222" i="1"/>
  <c r="U223" i="1"/>
  <c r="V223" i="1"/>
  <c r="W223" i="1"/>
  <c r="X223" i="1"/>
  <c r="U224" i="1"/>
  <c r="V224" i="1"/>
  <c r="W224" i="1"/>
  <c r="X224" i="1"/>
  <c r="U225" i="1"/>
  <c r="V225" i="1"/>
  <c r="W225" i="1"/>
  <c r="X225" i="1"/>
  <c r="U226" i="1"/>
  <c r="V226" i="1"/>
  <c r="W226" i="1"/>
  <c r="X226" i="1"/>
  <c r="U227" i="1"/>
  <c r="V227" i="1"/>
  <c r="W227" i="1"/>
  <c r="X227" i="1"/>
  <c r="U228" i="1"/>
  <c r="V228" i="1"/>
  <c r="W228" i="1"/>
  <c r="X228" i="1"/>
  <c r="U229" i="1"/>
  <c r="V229" i="1"/>
  <c r="W229" i="1"/>
  <c r="X229" i="1"/>
  <c r="U230" i="1"/>
  <c r="V230" i="1"/>
  <c r="W230" i="1"/>
  <c r="X230" i="1"/>
  <c r="U231" i="1"/>
  <c r="V231" i="1"/>
  <c r="W231" i="1"/>
  <c r="X231" i="1"/>
  <c r="U232" i="1"/>
  <c r="V232" i="1"/>
  <c r="W232" i="1"/>
  <c r="X232" i="1"/>
  <c r="U233" i="1"/>
  <c r="V233" i="1"/>
  <c r="W233" i="1"/>
  <c r="X233" i="1"/>
  <c r="U234" i="1"/>
  <c r="V234" i="1"/>
  <c r="W234" i="1"/>
  <c r="X234" i="1"/>
  <c r="U235" i="1"/>
  <c r="V235" i="1"/>
  <c r="W235" i="1"/>
  <c r="X235" i="1"/>
  <c r="U236" i="1"/>
  <c r="V236" i="1"/>
  <c r="W236" i="1"/>
  <c r="X236" i="1"/>
  <c r="U237" i="1"/>
  <c r="V237" i="1"/>
  <c r="W237" i="1"/>
  <c r="X237" i="1"/>
  <c r="U238" i="1"/>
  <c r="V238" i="1"/>
  <c r="W238" i="1"/>
  <c r="X238" i="1"/>
  <c r="U239" i="1"/>
  <c r="V239" i="1"/>
  <c r="W239" i="1"/>
  <c r="X239" i="1"/>
  <c r="U240" i="1"/>
  <c r="V240" i="1"/>
  <c r="W240" i="1"/>
  <c r="X240" i="1"/>
  <c r="U241" i="1"/>
  <c r="V241" i="1"/>
  <c r="W241" i="1"/>
  <c r="X241" i="1"/>
  <c r="U242" i="1"/>
  <c r="V242" i="1"/>
  <c r="W242" i="1"/>
  <c r="X242" i="1"/>
  <c r="U243" i="1"/>
  <c r="V243" i="1"/>
  <c r="W243" i="1"/>
  <c r="X243" i="1"/>
  <c r="U244" i="1"/>
  <c r="V244" i="1"/>
  <c r="W244" i="1"/>
  <c r="X244" i="1"/>
  <c r="U245" i="1"/>
  <c r="V245" i="1"/>
  <c r="W245" i="1"/>
  <c r="X245" i="1"/>
  <c r="U246" i="1"/>
  <c r="V246" i="1"/>
  <c r="W246" i="1"/>
  <c r="X246" i="1"/>
  <c r="U247" i="1"/>
  <c r="V247" i="1"/>
  <c r="W247" i="1"/>
  <c r="X247" i="1"/>
  <c r="U248" i="1"/>
  <c r="V248" i="1"/>
  <c r="W248" i="1"/>
  <c r="X248" i="1"/>
  <c r="U249" i="1"/>
  <c r="V249" i="1"/>
  <c r="W249" i="1"/>
  <c r="X249" i="1"/>
  <c r="U250" i="1"/>
  <c r="V250" i="1"/>
  <c r="W250" i="1"/>
  <c r="X250" i="1"/>
  <c r="U251" i="1"/>
  <c r="V251" i="1"/>
  <c r="W251" i="1"/>
  <c r="X251" i="1"/>
  <c r="U252" i="1"/>
  <c r="V252" i="1"/>
  <c r="W252" i="1"/>
  <c r="X252" i="1"/>
  <c r="U253" i="1"/>
  <c r="V253" i="1"/>
  <c r="W253" i="1"/>
  <c r="X253" i="1"/>
  <c r="U254" i="1"/>
  <c r="V254" i="1"/>
  <c r="W254" i="1"/>
  <c r="X254" i="1"/>
  <c r="U255" i="1"/>
  <c r="V255" i="1"/>
  <c r="W255" i="1"/>
  <c r="X255" i="1"/>
  <c r="U256" i="1"/>
  <c r="V256" i="1"/>
  <c r="W256" i="1"/>
  <c r="X256" i="1"/>
  <c r="U257" i="1"/>
  <c r="V257" i="1"/>
  <c r="W257" i="1"/>
  <c r="X257" i="1"/>
  <c r="U258" i="1"/>
  <c r="V258" i="1"/>
  <c r="W258" i="1"/>
  <c r="X258" i="1"/>
  <c r="U259" i="1"/>
  <c r="V259" i="1"/>
  <c r="W259" i="1"/>
  <c r="X259" i="1"/>
  <c r="U260" i="1"/>
  <c r="V260" i="1"/>
  <c r="W260" i="1"/>
  <c r="X260" i="1"/>
  <c r="U261" i="1"/>
  <c r="V261" i="1"/>
  <c r="W261" i="1"/>
  <c r="X261" i="1"/>
  <c r="U262" i="1"/>
  <c r="V262" i="1"/>
  <c r="W262" i="1"/>
  <c r="X262" i="1"/>
  <c r="U263" i="1"/>
  <c r="V263" i="1"/>
  <c r="W263" i="1"/>
  <c r="X263" i="1"/>
  <c r="U264" i="1"/>
  <c r="V264" i="1"/>
  <c r="W264" i="1"/>
  <c r="X264" i="1"/>
  <c r="U265" i="1"/>
  <c r="V265" i="1"/>
  <c r="W265" i="1"/>
  <c r="X265" i="1"/>
  <c r="U266" i="1"/>
  <c r="V266" i="1"/>
  <c r="W266" i="1"/>
  <c r="X266" i="1"/>
  <c r="U267" i="1"/>
  <c r="V267" i="1"/>
  <c r="W267" i="1"/>
  <c r="X267" i="1"/>
  <c r="U268" i="1"/>
  <c r="V268" i="1"/>
  <c r="W268" i="1"/>
  <c r="X268" i="1"/>
  <c r="U269" i="1"/>
  <c r="V269" i="1"/>
  <c r="W269" i="1"/>
  <c r="X269" i="1"/>
  <c r="U270" i="1"/>
  <c r="V270" i="1"/>
  <c r="W270" i="1"/>
  <c r="X270" i="1"/>
  <c r="U271" i="1"/>
  <c r="V271" i="1"/>
  <c r="W271" i="1"/>
  <c r="X271" i="1"/>
  <c r="U272" i="1"/>
  <c r="V272" i="1"/>
  <c r="W272" i="1"/>
  <c r="X272" i="1"/>
  <c r="U273" i="1"/>
  <c r="V273" i="1"/>
  <c r="W273" i="1"/>
  <c r="X273" i="1"/>
  <c r="U274" i="1"/>
  <c r="V274" i="1"/>
  <c r="W274" i="1"/>
  <c r="X274" i="1"/>
  <c r="U275" i="1"/>
  <c r="V275" i="1"/>
  <c r="W275" i="1"/>
  <c r="X275" i="1"/>
  <c r="U276" i="1"/>
  <c r="V276" i="1"/>
  <c r="W276" i="1"/>
  <c r="X276" i="1"/>
  <c r="U277" i="1"/>
  <c r="V277" i="1"/>
  <c r="W277" i="1"/>
  <c r="X277" i="1"/>
  <c r="U278" i="1"/>
  <c r="V278" i="1"/>
  <c r="W278" i="1"/>
  <c r="X278" i="1"/>
  <c r="U279" i="1"/>
  <c r="V279" i="1"/>
  <c r="W279" i="1"/>
  <c r="X279" i="1"/>
  <c r="U280" i="1"/>
  <c r="V280" i="1"/>
  <c r="W280" i="1"/>
  <c r="X280" i="1"/>
  <c r="U281" i="1"/>
  <c r="V281" i="1"/>
  <c r="W281" i="1"/>
  <c r="X281" i="1"/>
  <c r="U282" i="1"/>
  <c r="V282" i="1"/>
  <c r="W282" i="1"/>
  <c r="X282" i="1"/>
  <c r="U283" i="1"/>
  <c r="V283" i="1"/>
  <c r="W283" i="1"/>
  <c r="X283" i="1"/>
  <c r="U284" i="1"/>
  <c r="V284" i="1"/>
  <c r="W284" i="1"/>
  <c r="X284" i="1"/>
  <c r="U285" i="1"/>
  <c r="V285" i="1"/>
  <c r="W285" i="1"/>
  <c r="X285" i="1"/>
  <c r="U286" i="1"/>
  <c r="V286" i="1"/>
  <c r="W286" i="1"/>
  <c r="X286" i="1"/>
  <c r="U287" i="1"/>
  <c r="V287" i="1"/>
  <c r="W287" i="1"/>
  <c r="X287" i="1"/>
  <c r="U288" i="1"/>
  <c r="V288" i="1"/>
  <c r="W288" i="1"/>
  <c r="X288" i="1"/>
  <c r="U289" i="1"/>
  <c r="V289" i="1"/>
  <c r="W289" i="1"/>
  <c r="X289" i="1"/>
  <c r="U290" i="1"/>
  <c r="V290" i="1"/>
  <c r="W290" i="1"/>
  <c r="X290" i="1"/>
  <c r="U291" i="1"/>
  <c r="V291" i="1"/>
  <c r="W291" i="1"/>
  <c r="X291" i="1"/>
  <c r="U292" i="1"/>
  <c r="V292" i="1"/>
  <c r="W292" i="1"/>
  <c r="X292" i="1"/>
  <c r="U293" i="1"/>
  <c r="V293" i="1"/>
  <c r="W293" i="1"/>
  <c r="X293" i="1"/>
  <c r="U294" i="1"/>
  <c r="V294" i="1"/>
  <c r="W294" i="1"/>
  <c r="X294" i="1"/>
  <c r="U295" i="1"/>
  <c r="V295" i="1"/>
  <c r="W295" i="1"/>
  <c r="X295" i="1"/>
  <c r="U296" i="1"/>
  <c r="V296" i="1"/>
  <c r="W296" i="1"/>
  <c r="X296" i="1"/>
  <c r="U297" i="1"/>
  <c r="V297" i="1"/>
  <c r="W297" i="1"/>
  <c r="X297" i="1"/>
  <c r="U298" i="1"/>
  <c r="V298" i="1"/>
  <c r="W298" i="1"/>
  <c r="X298" i="1"/>
  <c r="U299" i="1"/>
  <c r="V299" i="1"/>
  <c r="W299" i="1"/>
  <c r="X299" i="1"/>
  <c r="U300" i="1"/>
  <c r="V300" i="1"/>
  <c r="W300" i="1"/>
  <c r="X300" i="1"/>
  <c r="U301" i="1"/>
  <c r="V301" i="1"/>
  <c r="W301" i="1"/>
  <c r="X301" i="1"/>
  <c r="U302" i="1"/>
  <c r="V302" i="1"/>
  <c r="W302" i="1"/>
  <c r="X302" i="1"/>
  <c r="U303" i="1"/>
  <c r="V303" i="1"/>
  <c r="W303" i="1"/>
  <c r="X303" i="1"/>
  <c r="U304" i="1"/>
  <c r="V304" i="1"/>
  <c r="W304" i="1"/>
  <c r="X304" i="1"/>
  <c r="U305" i="1"/>
  <c r="V305" i="1"/>
  <c r="W305" i="1"/>
  <c r="X305" i="1"/>
  <c r="U306" i="1"/>
  <c r="V306" i="1"/>
  <c r="W306" i="1"/>
  <c r="X306" i="1"/>
  <c r="U307" i="1"/>
  <c r="V307" i="1"/>
  <c r="W307" i="1"/>
  <c r="X307" i="1"/>
  <c r="U308" i="1"/>
  <c r="V308" i="1"/>
  <c r="W308" i="1"/>
  <c r="X308" i="1"/>
  <c r="U309" i="1"/>
  <c r="V309" i="1"/>
  <c r="W309" i="1"/>
  <c r="X309" i="1"/>
  <c r="U310" i="1"/>
  <c r="V310" i="1"/>
  <c r="W310" i="1"/>
  <c r="X310" i="1"/>
  <c r="U311" i="1"/>
  <c r="V311" i="1"/>
  <c r="W311" i="1"/>
  <c r="X311" i="1"/>
  <c r="U312" i="1"/>
  <c r="V312" i="1"/>
  <c r="W312" i="1"/>
  <c r="X312" i="1"/>
  <c r="U313" i="1"/>
  <c r="V313" i="1"/>
  <c r="W313" i="1"/>
  <c r="X313" i="1"/>
  <c r="U314" i="1"/>
  <c r="V314" i="1"/>
  <c r="W314" i="1"/>
  <c r="X314" i="1"/>
  <c r="U315" i="1"/>
  <c r="V315" i="1"/>
  <c r="W315" i="1"/>
  <c r="X315" i="1"/>
  <c r="U316" i="1"/>
  <c r="V316" i="1"/>
  <c r="W316" i="1"/>
  <c r="X316" i="1"/>
  <c r="U317" i="1"/>
  <c r="V317" i="1"/>
  <c r="W317" i="1"/>
  <c r="X317" i="1"/>
  <c r="U318" i="1"/>
  <c r="V318" i="1"/>
  <c r="W318" i="1"/>
  <c r="X318" i="1"/>
  <c r="U319" i="1"/>
  <c r="V319" i="1"/>
  <c r="W319" i="1"/>
  <c r="X319" i="1"/>
  <c r="U320" i="1"/>
  <c r="V320" i="1"/>
  <c r="W320" i="1"/>
  <c r="X320" i="1"/>
  <c r="U321" i="1"/>
  <c r="V321" i="1"/>
  <c r="W321" i="1"/>
  <c r="X321" i="1"/>
  <c r="U322" i="1"/>
  <c r="V322" i="1"/>
  <c r="W322" i="1"/>
  <c r="X322" i="1"/>
  <c r="U323" i="1"/>
  <c r="V323" i="1"/>
  <c r="W323" i="1"/>
  <c r="X323" i="1"/>
  <c r="U324" i="1"/>
  <c r="V324" i="1"/>
  <c r="W324" i="1"/>
  <c r="X324" i="1"/>
  <c r="U325" i="1"/>
  <c r="V325" i="1"/>
  <c r="W325" i="1"/>
  <c r="X325" i="1"/>
  <c r="U326" i="1"/>
  <c r="V326" i="1"/>
  <c r="W326" i="1"/>
  <c r="X326" i="1"/>
  <c r="U327" i="1"/>
  <c r="V327" i="1"/>
  <c r="W327" i="1"/>
  <c r="X327" i="1"/>
  <c r="U328" i="1"/>
  <c r="V328" i="1"/>
  <c r="W328" i="1"/>
  <c r="X328" i="1"/>
  <c r="U329" i="1"/>
  <c r="V329" i="1"/>
  <c r="W329" i="1"/>
  <c r="X329" i="1"/>
  <c r="U330" i="1"/>
  <c r="V330" i="1"/>
  <c r="W330" i="1"/>
  <c r="X330" i="1"/>
  <c r="U331" i="1"/>
  <c r="V331" i="1"/>
  <c r="W331" i="1"/>
  <c r="X331" i="1"/>
  <c r="U332" i="1"/>
  <c r="V332" i="1"/>
  <c r="W332" i="1"/>
  <c r="X332" i="1"/>
  <c r="U333" i="1"/>
  <c r="V333" i="1"/>
  <c r="W333" i="1"/>
  <c r="X333" i="1"/>
  <c r="U334" i="1"/>
  <c r="V334" i="1"/>
  <c r="W334" i="1"/>
  <c r="X334" i="1"/>
  <c r="U335" i="1"/>
  <c r="V335" i="1"/>
  <c r="W335" i="1"/>
  <c r="X335" i="1"/>
  <c r="U336" i="1"/>
  <c r="V336" i="1"/>
  <c r="W336" i="1"/>
  <c r="X336" i="1"/>
  <c r="U337" i="1"/>
  <c r="V337" i="1"/>
  <c r="W337" i="1"/>
  <c r="X337" i="1"/>
  <c r="U338" i="1"/>
  <c r="V338" i="1"/>
  <c r="W338" i="1"/>
  <c r="X338" i="1"/>
  <c r="U339" i="1"/>
  <c r="V339" i="1"/>
  <c r="W339" i="1"/>
  <c r="X339" i="1"/>
  <c r="U340" i="1"/>
  <c r="V340" i="1"/>
  <c r="W340" i="1"/>
  <c r="X340" i="1"/>
  <c r="U341" i="1"/>
  <c r="V341" i="1"/>
  <c r="W341" i="1"/>
  <c r="X341" i="1"/>
  <c r="U342" i="1"/>
  <c r="V342" i="1"/>
  <c r="W342" i="1"/>
  <c r="X342" i="1"/>
  <c r="U343" i="1"/>
  <c r="V343" i="1"/>
  <c r="W343" i="1"/>
  <c r="X343" i="1"/>
  <c r="U344" i="1"/>
  <c r="V344" i="1"/>
  <c r="W344" i="1"/>
  <c r="X344" i="1"/>
  <c r="U345" i="1"/>
  <c r="V345" i="1"/>
  <c r="W345" i="1"/>
  <c r="X345" i="1"/>
  <c r="U346" i="1"/>
  <c r="V346" i="1"/>
  <c r="W346" i="1"/>
  <c r="X346" i="1"/>
  <c r="U347" i="1"/>
  <c r="V347" i="1"/>
  <c r="W347" i="1"/>
  <c r="X347" i="1"/>
  <c r="U348" i="1"/>
  <c r="V348" i="1"/>
  <c r="W348" i="1"/>
  <c r="X348" i="1"/>
  <c r="U349" i="1"/>
  <c r="V349" i="1"/>
  <c r="W349" i="1"/>
  <c r="X349" i="1"/>
  <c r="U350" i="1"/>
  <c r="V350" i="1"/>
  <c r="W350" i="1"/>
  <c r="X350" i="1"/>
  <c r="U351" i="1"/>
  <c r="V351" i="1"/>
  <c r="W351" i="1"/>
  <c r="X351" i="1"/>
  <c r="U352" i="1"/>
  <c r="V352" i="1"/>
  <c r="W352" i="1"/>
  <c r="X352" i="1"/>
  <c r="U353" i="1"/>
  <c r="V353" i="1"/>
  <c r="W353" i="1"/>
  <c r="X353" i="1"/>
  <c r="U354" i="1"/>
  <c r="V354" i="1"/>
  <c r="W354" i="1"/>
  <c r="X354" i="1"/>
  <c r="U355" i="1"/>
  <c r="V355" i="1"/>
  <c r="W355" i="1"/>
  <c r="X355" i="1"/>
  <c r="U356" i="1"/>
  <c r="V356" i="1"/>
  <c r="W356" i="1"/>
  <c r="X356" i="1"/>
  <c r="U357" i="1"/>
  <c r="V357" i="1"/>
  <c r="W357" i="1"/>
  <c r="X357" i="1"/>
  <c r="U358" i="1"/>
  <c r="V358" i="1"/>
  <c r="W358" i="1"/>
  <c r="X358" i="1"/>
  <c r="U359" i="1"/>
  <c r="V359" i="1"/>
  <c r="W359" i="1"/>
  <c r="X359" i="1"/>
  <c r="U360" i="1"/>
  <c r="V360" i="1"/>
  <c r="W360" i="1"/>
  <c r="X360" i="1"/>
  <c r="U361" i="1"/>
  <c r="V361" i="1"/>
  <c r="W361" i="1"/>
  <c r="X361" i="1"/>
  <c r="U362" i="1"/>
  <c r="V362" i="1"/>
  <c r="W362" i="1"/>
  <c r="X362" i="1"/>
  <c r="U363" i="1"/>
  <c r="V363" i="1"/>
  <c r="W363" i="1"/>
  <c r="X363" i="1"/>
  <c r="U364" i="1"/>
  <c r="V364" i="1"/>
  <c r="W364" i="1"/>
  <c r="X364" i="1"/>
  <c r="U365" i="1"/>
  <c r="V365" i="1"/>
  <c r="W365" i="1"/>
  <c r="X365" i="1"/>
  <c r="U366" i="1"/>
  <c r="V366" i="1"/>
  <c r="W366" i="1"/>
  <c r="X366" i="1"/>
  <c r="U367" i="1"/>
  <c r="V367" i="1"/>
  <c r="W367" i="1"/>
  <c r="X367" i="1"/>
  <c r="U368" i="1"/>
  <c r="V368" i="1"/>
  <c r="W368" i="1"/>
  <c r="X368" i="1"/>
  <c r="U369" i="1"/>
  <c r="V369" i="1"/>
  <c r="W369" i="1"/>
  <c r="X369" i="1"/>
  <c r="U370" i="1"/>
  <c r="V370" i="1"/>
  <c r="W370" i="1"/>
  <c r="X370" i="1"/>
  <c r="U371" i="1"/>
  <c r="V371" i="1"/>
  <c r="W371" i="1"/>
  <c r="X371" i="1"/>
  <c r="U372" i="1"/>
  <c r="V372" i="1"/>
  <c r="W372" i="1"/>
  <c r="X372" i="1"/>
  <c r="U373" i="1"/>
  <c r="V373" i="1"/>
  <c r="W373" i="1"/>
  <c r="X373" i="1"/>
  <c r="U374" i="1"/>
  <c r="V374" i="1"/>
  <c r="W374" i="1"/>
  <c r="X374" i="1"/>
  <c r="U375" i="1"/>
  <c r="V375" i="1"/>
  <c r="W375" i="1"/>
  <c r="X375" i="1"/>
  <c r="U376" i="1"/>
  <c r="V376" i="1"/>
  <c r="W376" i="1"/>
  <c r="X376" i="1"/>
  <c r="U377" i="1"/>
  <c r="V377" i="1"/>
  <c r="W377" i="1"/>
  <c r="X377" i="1"/>
  <c r="U378" i="1"/>
  <c r="V378" i="1"/>
  <c r="W378" i="1"/>
  <c r="X378" i="1"/>
  <c r="U379" i="1"/>
  <c r="V379" i="1"/>
  <c r="W379" i="1"/>
  <c r="X379" i="1"/>
  <c r="U380" i="1"/>
  <c r="V380" i="1"/>
  <c r="W380" i="1"/>
  <c r="X380" i="1"/>
  <c r="U381" i="1"/>
  <c r="V381" i="1"/>
  <c r="W381" i="1"/>
  <c r="X381" i="1"/>
  <c r="U382" i="1"/>
  <c r="V382" i="1"/>
  <c r="W382" i="1"/>
  <c r="X382" i="1"/>
  <c r="U383" i="1"/>
  <c r="V383" i="1"/>
  <c r="W383" i="1"/>
  <c r="X383" i="1"/>
  <c r="U384" i="1"/>
  <c r="V384" i="1"/>
  <c r="W384" i="1"/>
  <c r="X384" i="1"/>
  <c r="U385" i="1"/>
  <c r="V385" i="1"/>
  <c r="W385" i="1"/>
  <c r="X385" i="1"/>
  <c r="U386" i="1"/>
  <c r="V386" i="1"/>
  <c r="W386" i="1"/>
  <c r="X386" i="1"/>
  <c r="U387" i="1"/>
  <c r="V387" i="1"/>
  <c r="W387" i="1"/>
  <c r="X387" i="1"/>
  <c r="U388" i="1"/>
  <c r="V388" i="1"/>
  <c r="W388" i="1"/>
  <c r="X388" i="1"/>
  <c r="U389" i="1"/>
  <c r="V389" i="1"/>
  <c r="W389" i="1"/>
  <c r="X389" i="1"/>
  <c r="U390" i="1"/>
  <c r="V390" i="1"/>
  <c r="W390" i="1"/>
  <c r="X390" i="1"/>
  <c r="U391" i="1"/>
  <c r="V391" i="1"/>
  <c r="W391" i="1"/>
  <c r="X391" i="1"/>
  <c r="U392" i="1"/>
  <c r="V392" i="1"/>
  <c r="W392" i="1"/>
  <c r="X392" i="1"/>
  <c r="U393" i="1"/>
  <c r="V393" i="1"/>
  <c r="W393" i="1"/>
  <c r="X393" i="1"/>
  <c r="U394" i="1"/>
  <c r="V394" i="1"/>
  <c r="W394" i="1"/>
  <c r="X394" i="1"/>
  <c r="U395" i="1"/>
  <c r="V395" i="1"/>
  <c r="W395" i="1"/>
  <c r="X395" i="1"/>
  <c r="U396" i="1"/>
  <c r="V396" i="1"/>
  <c r="W396" i="1"/>
  <c r="X396" i="1"/>
  <c r="U397" i="1"/>
  <c r="V397" i="1"/>
  <c r="W397" i="1"/>
  <c r="X397" i="1"/>
  <c r="U398" i="1"/>
  <c r="V398" i="1"/>
  <c r="W398" i="1"/>
  <c r="X398" i="1"/>
  <c r="U399" i="1"/>
  <c r="V399" i="1"/>
  <c r="W399" i="1"/>
  <c r="X399" i="1"/>
  <c r="U400" i="1"/>
  <c r="V400" i="1"/>
  <c r="W400" i="1"/>
  <c r="X400" i="1"/>
  <c r="U401" i="1"/>
  <c r="V401" i="1"/>
  <c r="W401" i="1"/>
  <c r="X401" i="1"/>
  <c r="U402" i="1"/>
  <c r="V402" i="1"/>
  <c r="W402" i="1"/>
  <c r="X402" i="1"/>
  <c r="U403" i="1"/>
  <c r="V403" i="1"/>
  <c r="W403" i="1"/>
  <c r="X403" i="1"/>
  <c r="U404" i="1"/>
  <c r="V404" i="1"/>
  <c r="W404" i="1"/>
  <c r="X404" i="1"/>
  <c r="U405" i="1"/>
  <c r="V405" i="1"/>
  <c r="W405" i="1"/>
  <c r="X405" i="1"/>
  <c r="U406" i="1"/>
  <c r="V406" i="1"/>
  <c r="W406" i="1"/>
  <c r="X406" i="1"/>
  <c r="U407" i="1"/>
  <c r="V407" i="1"/>
  <c r="W407" i="1"/>
  <c r="X407" i="1"/>
  <c r="U408" i="1"/>
  <c r="V408" i="1"/>
  <c r="W408" i="1"/>
  <c r="X408" i="1"/>
  <c r="U409" i="1"/>
  <c r="V409" i="1"/>
  <c r="W409" i="1"/>
  <c r="X409" i="1"/>
  <c r="U410" i="1"/>
  <c r="V410" i="1"/>
  <c r="W410" i="1"/>
  <c r="X410" i="1"/>
  <c r="U411" i="1"/>
  <c r="V411" i="1"/>
  <c r="W411" i="1"/>
  <c r="X411" i="1"/>
  <c r="U412" i="1"/>
  <c r="V412" i="1"/>
  <c r="W412" i="1"/>
  <c r="X412" i="1"/>
  <c r="U413" i="1"/>
  <c r="V413" i="1"/>
  <c r="W413" i="1"/>
  <c r="X413" i="1"/>
  <c r="U414" i="1"/>
  <c r="V414" i="1"/>
  <c r="W414" i="1"/>
  <c r="X414" i="1"/>
  <c r="U415" i="1"/>
  <c r="V415" i="1"/>
  <c r="W415" i="1"/>
  <c r="X415" i="1"/>
  <c r="U416" i="1"/>
  <c r="V416" i="1"/>
  <c r="W416" i="1"/>
  <c r="X416" i="1"/>
  <c r="U417" i="1"/>
  <c r="V417" i="1"/>
  <c r="W417" i="1"/>
  <c r="X417" i="1"/>
  <c r="U418" i="1"/>
  <c r="V418" i="1"/>
  <c r="W418" i="1"/>
  <c r="X418" i="1"/>
  <c r="U419" i="1"/>
  <c r="V419" i="1"/>
  <c r="W419" i="1"/>
  <c r="X419" i="1"/>
  <c r="U420" i="1"/>
  <c r="V420" i="1"/>
  <c r="W420" i="1"/>
  <c r="X420" i="1"/>
  <c r="U421" i="1"/>
  <c r="V421" i="1"/>
  <c r="W421" i="1"/>
  <c r="X421" i="1"/>
  <c r="U422" i="1"/>
  <c r="V422" i="1"/>
  <c r="W422" i="1"/>
  <c r="X422" i="1"/>
  <c r="U423" i="1"/>
  <c r="V423" i="1"/>
  <c r="W423" i="1"/>
  <c r="X423" i="1"/>
  <c r="U424" i="1"/>
  <c r="V424" i="1"/>
  <c r="W424" i="1"/>
  <c r="X424" i="1"/>
  <c r="U425" i="1"/>
  <c r="V425" i="1"/>
  <c r="W425" i="1"/>
  <c r="X425" i="1"/>
  <c r="U426" i="1"/>
  <c r="V426" i="1"/>
  <c r="W426" i="1"/>
  <c r="X426" i="1"/>
  <c r="U427" i="1"/>
  <c r="V427" i="1"/>
  <c r="W427" i="1"/>
  <c r="X427" i="1"/>
  <c r="U428" i="1"/>
  <c r="V428" i="1"/>
  <c r="W428" i="1"/>
  <c r="X428" i="1"/>
  <c r="U429" i="1"/>
  <c r="V429" i="1"/>
  <c r="W429" i="1"/>
  <c r="X429" i="1"/>
  <c r="U430" i="1"/>
  <c r="V430" i="1"/>
  <c r="W430" i="1"/>
  <c r="X430" i="1"/>
  <c r="U431" i="1"/>
  <c r="V431" i="1"/>
  <c r="W431" i="1"/>
  <c r="X431" i="1"/>
  <c r="U432" i="1"/>
  <c r="V432" i="1"/>
  <c r="W432" i="1"/>
  <c r="X432" i="1"/>
  <c r="U433" i="1"/>
  <c r="V433" i="1"/>
  <c r="W433" i="1"/>
  <c r="X433" i="1"/>
  <c r="U434" i="1"/>
  <c r="V434" i="1"/>
  <c r="W434" i="1"/>
  <c r="X434" i="1"/>
  <c r="U435" i="1"/>
  <c r="V435" i="1"/>
  <c r="W435" i="1"/>
  <c r="X435" i="1"/>
  <c r="U436" i="1"/>
  <c r="V436" i="1"/>
  <c r="W436" i="1"/>
  <c r="X436" i="1"/>
  <c r="U437" i="1"/>
  <c r="V437" i="1"/>
  <c r="W437" i="1"/>
  <c r="X437" i="1"/>
  <c r="U438" i="1"/>
  <c r="V438" i="1"/>
  <c r="W438" i="1"/>
  <c r="X438" i="1"/>
  <c r="U439" i="1"/>
  <c r="V439" i="1"/>
  <c r="W439" i="1"/>
  <c r="X439" i="1"/>
  <c r="U440" i="1"/>
  <c r="V440" i="1"/>
  <c r="W440" i="1"/>
  <c r="X440" i="1"/>
  <c r="U441" i="1"/>
  <c r="V441" i="1"/>
  <c r="W441" i="1"/>
  <c r="X441" i="1"/>
  <c r="U442" i="1"/>
  <c r="V442" i="1"/>
  <c r="W442" i="1"/>
  <c r="X442" i="1"/>
  <c r="U443" i="1"/>
  <c r="V443" i="1"/>
  <c r="W443" i="1"/>
  <c r="X443" i="1"/>
  <c r="U444" i="1"/>
  <c r="V444" i="1"/>
  <c r="W444" i="1"/>
  <c r="X444" i="1"/>
  <c r="U445" i="1"/>
  <c r="V445" i="1"/>
  <c r="W445" i="1"/>
  <c r="X445" i="1"/>
  <c r="U446" i="1"/>
  <c r="V446" i="1"/>
  <c r="W446" i="1"/>
  <c r="X446" i="1"/>
  <c r="U447" i="1"/>
  <c r="V447" i="1"/>
  <c r="W447" i="1"/>
  <c r="X447" i="1"/>
  <c r="U448" i="1"/>
  <c r="V448" i="1"/>
  <c r="W448" i="1"/>
  <c r="X448" i="1"/>
  <c r="U449" i="1"/>
  <c r="V449" i="1"/>
  <c r="W449" i="1"/>
  <c r="X449" i="1"/>
  <c r="U450" i="1"/>
  <c r="V450" i="1"/>
  <c r="W450" i="1"/>
  <c r="X450" i="1"/>
  <c r="U451" i="1"/>
  <c r="V451" i="1"/>
  <c r="W451" i="1"/>
  <c r="X451" i="1"/>
  <c r="U452" i="1"/>
  <c r="V452" i="1"/>
  <c r="W452" i="1"/>
  <c r="X452" i="1"/>
  <c r="U453" i="1"/>
  <c r="V453" i="1"/>
  <c r="W453" i="1"/>
  <c r="X453" i="1"/>
  <c r="U454" i="1"/>
  <c r="V454" i="1"/>
  <c r="W454" i="1"/>
  <c r="X454" i="1"/>
  <c r="U455" i="1"/>
  <c r="V455" i="1"/>
  <c r="W455" i="1"/>
  <c r="X455" i="1"/>
  <c r="U456" i="1"/>
  <c r="V456" i="1"/>
  <c r="W456" i="1"/>
  <c r="X456" i="1"/>
  <c r="U457" i="1"/>
  <c r="V457" i="1"/>
  <c r="W457" i="1"/>
  <c r="X457" i="1"/>
  <c r="U458" i="1"/>
  <c r="V458" i="1"/>
  <c r="W458" i="1"/>
  <c r="X458" i="1"/>
  <c r="U459" i="1"/>
  <c r="V459" i="1"/>
  <c r="W459" i="1"/>
  <c r="X459" i="1"/>
  <c r="U460" i="1"/>
  <c r="V460" i="1"/>
  <c r="W460" i="1"/>
  <c r="X460" i="1"/>
  <c r="U461" i="1"/>
  <c r="V461" i="1"/>
  <c r="W461" i="1"/>
  <c r="X461" i="1"/>
  <c r="U462" i="1"/>
  <c r="V462" i="1"/>
  <c r="W462" i="1"/>
  <c r="X462" i="1"/>
  <c r="U463" i="1"/>
  <c r="V463" i="1"/>
  <c r="W463" i="1"/>
  <c r="X463" i="1"/>
  <c r="U464" i="1"/>
  <c r="V464" i="1"/>
  <c r="W464" i="1"/>
  <c r="X464" i="1"/>
  <c r="U465" i="1"/>
  <c r="V465" i="1"/>
  <c r="W465" i="1"/>
  <c r="X465" i="1"/>
  <c r="U466" i="1"/>
  <c r="V466" i="1"/>
  <c r="W466" i="1"/>
  <c r="X466" i="1"/>
  <c r="U467" i="1"/>
  <c r="V467" i="1"/>
  <c r="W467" i="1"/>
  <c r="X467" i="1"/>
  <c r="U468" i="1"/>
  <c r="V468" i="1"/>
  <c r="W468" i="1"/>
  <c r="X468" i="1"/>
  <c r="U469" i="1"/>
  <c r="V469" i="1"/>
  <c r="W469" i="1"/>
  <c r="X469" i="1"/>
  <c r="U470" i="1"/>
  <c r="V470" i="1"/>
  <c r="W470" i="1"/>
  <c r="X470" i="1"/>
  <c r="U471" i="1"/>
  <c r="V471" i="1"/>
  <c r="W471" i="1"/>
  <c r="X471" i="1"/>
  <c r="U472" i="1"/>
  <c r="V472" i="1"/>
  <c r="W472" i="1"/>
  <c r="X472" i="1"/>
  <c r="U473" i="1"/>
  <c r="V473" i="1"/>
  <c r="W473" i="1"/>
  <c r="X473" i="1"/>
  <c r="U474" i="1"/>
  <c r="V474" i="1"/>
  <c r="W474" i="1"/>
  <c r="X474" i="1"/>
  <c r="U475" i="1"/>
  <c r="V475" i="1"/>
  <c r="W475" i="1"/>
  <c r="X475" i="1"/>
  <c r="U476" i="1"/>
  <c r="V476" i="1"/>
  <c r="W476" i="1"/>
  <c r="X476" i="1"/>
  <c r="U477" i="1"/>
  <c r="V477" i="1"/>
  <c r="W477" i="1"/>
  <c r="X477" i="1"/>
  <c r="U478" i="1"/>
  <c r="V478" i="1"/>
  <c r="W478" i="1"/>
  <c r="X478" i="1"/>
  <c r="U479" i="1"/>
  <c r="V479" i="1"/>
  <c r="W479" i="1"/>
  <c r="X479" i="1"/>
  <c r="U480" i="1"/>
  <c r="V480" i="1"/>
  <c r="W480" i="1"/>
  <c r="X480" i="1"/>
  <c r="U481" i="1"/>
  <c r="V481" i="1"/>
  <c r="W481" i="1"/>
  <c r="X481" i="1"/>
  <c r="U482" i="1"/>
  <c r="V482" i="1"/>
  <c r="W482" i="1"/>
  <c r="X482" i="1"/>
  <c r="U483" i="1"/>
  <c r="V483" i="1"/>
  <c r="W483" i="1"/>
  <c r="X483" i="1"/>
  <c r="U484" i="1"/>
  <c r="V484" i="1"/>
  <c r="W484" i="1"/>
  <c r="X484" i="1"/>
  <c r="U485" i="1"/>
  <c r="V485" i="1"/>
  <c r="W485" i="1"/>
  <c r="X485" i="1"/>
  <c r="U486" i="1"/>
  <c r="V486" i="1"/>
  <c r="W486" i="1"/>
  <c r="X486" i="1"/>
  <c r="U487" i="1"/>
  <c r="V487" i="1"/>
  <c r="W487" i="1"/>
  <c r="X487" i="1"/>
  <c r="U488" i="1"/>
  <c r="V488" i="1"/>
  <c r="W488" i="1"/>
  <c r="X488" i="1"/>
  <c r="U489" i="1"/>
  <c r="V489" i="1"/>
  <c r="W489" i="1"/>
  <c r="X489" i="1"/>
  <c r="U490" i="1"/>
  <c r="V490" i="1"/>
  <c r="W490" i="1"/>
  <c r="X490" i="1"/>
  <c r="U491" i="1"/>
  <c r="V491" i="1"/>
  <c r="W491" i="1"/>
  <c r="X491" i="1"/>
  <c r="U492" i="1"/>
  <c r="V492" i="1"/>
  <c r="W492" i="1"/>
  <c r="X492" i="1"/>
  <c r="U493" i="1"/>
  <c r="V493" i="1"/>
  <c r="W493" i="1"/>
  <c r="X493" i="1"/>
  <c r="U494" i="1"/>
  <c r="V494" i="1"/>
  <c r="W494" i="1"/>
  <c r="X494" i="1"/>
  <c r="U495" i="1"/>
  <c r="V495" i="1"/>
  <c r="W495" i="1"/>
  <c r="X495" i="1"/>
  <c r="U496" i="1"/>
  <c r="V496" i="1"/>
  <c r="W496" i="1"/>
  <c r="X496" i="1"/>
  <c r="U497" i="1"/>
  <c r="V497" i="1"/>
  <c r="W497" i="1"/>
  <c r="X497" i="1"/>
  <c r="U498" i="1"/>
  <c r="V498" i="1"/>
  <c r="W498" i="1"/>
  <c r="X498" i="1"/>
  <c r="U499" i="1"/>
  <c r="V499" i="1"/>
  <c r="W499" i="1"/>
  <c r="X499" i="1"/>
  <c r="U500" i="1"/>
  <c r="V500" i="1"/>
  <c r="W500" i="1"/>
  <c r="X500" i="1"/>
  <c r="U501" i="1"/>
  <c r="V501" i="1"/>
  <c r="W501" i="1"/>
  <c r="X501" i="1"/>
  <c r="U502" i="1"/>
  <c r="V502" i="1"/>
  <c r="W502" i="1"/>
  <c r="X502" i="1"/>
  <c r="U503" i="1"/>
  <c r="V503" i="1"/>
  <c r="W503" i="1"/>
  <c r="X503" i="1"/>
  <c r="U504" i="1"/>
  <c r="V504" i="1"/>
  <c r="W504" i="1"/>
  <c r="X504" i="1"/>
  <c r="U505" i="1"/>
  <c r="V505" i="1"/>
  <c r="W505" i="1"/>
  <c r="X505" i="1"/>
  <c r="U506" i="1"/>
  <c r="V506" i="1"/>
  <c r="W506" i="1"/>
  <c r="X506" i="1"/>
  <c r="U507" i="1"/>
  <c r="V507" i="1"/>
  <c r="W507" i="1"/>
  <c r="X507" i="1"/>
  <c r="U508" i="1"/>
  <c r="V508" i="1"/>
  <c r="W508" i="1"/>
  <c r="X508" i="1"/>
  <c r="U509" i="1"/>
  <c r="V509" i="1"/>
  <c r="W509" i="1"/>
  <c r="X509" i="1"/>
  <c r="U510" i="1"/>
  <c r="V510" i="1"/>
  <c r="W510" i="1"/>
  <c r="X510" i="1"/>
  <c r="U511" i="1"/>
  <c r="V511" i="1"/>
  <c r="W511" i="1"/>
  <c r="X511" i="1"/>
  <c r="U512" i="1"/>
  <c r="V512" i="1"/>
  <c r="W512" i="1"/>
  <c r="X512" i="1"/>
  <c r="U513" i="1"/>
  <c r="V513" i="1"/>
  <c r="W513" i="1"/>
  <c r="X513" i="1"/>
  <c r="U514" i="1"/>
  <c r="V514" i="1"/>
  <c r="W514" i="1"/>
  <c r="X514" i="1"/>
  <c r="U515" i="1"/>
  <c r="V515" i="1"/>
  <c r="W515" i="1"/>
  <c r="X515" i="1"/>
  <c r="U516" i="1"/>
  <c r="V516" i="1"/>
  <c r="W516" i="1"/>
  <c r="X516" i="1"/>
  <c r="U517" i="1"/>
  <c r="V517" i="1"/>
  <c r="W517" i="1"/>
  <c r="X517" i="1"/>
  <c r="U518" i="1"/>
  <c r="V518" i="1"/>
  <c r="W518" i="1"/>
  <c r="X518" i="1"/>
  <c r="U519" i="1"/>
  <c r="V519" i="1"/>
  <c r="W519" i="1"/>
  <c r="X519" i="1"/>
  <c r="U520" i="1"/>
  <c r="V520" i="1"/>
  <c r="W520" i="1"/>
  <c r="X520" i="1"/>
  <c r="U521" i="1"/>
  <c r="V521" i="1"/>
  <c r="W521" i="1"/>
  <c r="X521" i="1"/>
  <c r="U522" i="1"/>
  <c r="V522" i="1"/>
  <c r="W522" i="1"/>
  <c r="X522" i="1"/>
  <c r="U523" i="1"/>
  <c r="V523" i="1"/>
  <c r="W523" i="1"/>
  <c r="X523" i="1"/>
  <c r="U524" i="1"/>
  <c r="V524" i="1"/>
  <c r="W524" i="1"/>
  <c r="X524" i="1"/>
  <c r="U525" i="1"/>
  <c r="V525" i="1"/>
  <c r="W525" i="1"/>
  <c r="X525" i="1"/>
  <c r="U526" i="1"/>
  <c r="V526" i="1"/>
  <c r="W526" i="1"/>
  <c r="X526" i="1"/>
  <c r="U527" i="1"/>
  <c r="V527" i="1"/>
  <c r="W527" i="1"/>
  <c r="X527" i="1"/>
  <c r="U528" i="1"/>
  <c r="V528" i="1"/>
  <c r="W528" i="1"/>
  <c r="X528" i="1"/>
  <c r="U529" i="1"/>
  <c r="V529" i="1"/>
  <c r="W529" i="1"/>
  <c r="X529" i="1"/>
  <c r="U530" i="1"/>
  <c r="V530" i="1"/>
  <c r="W530" i="1"/>
  <c r="X530" i="1"/>
  <c r="U531" i="1"/>
  <c r="V531" i="1"/>
  <c r="W531" i="1"/>
  <c r="X531" i="1"/>
  <c r="U532" i="1"/>
  <c r="V532" i="1"/>
  <c r="W532" i="1"/>
  <c r="X532" i="1"/>
  <c r="U533" i="1"/>
  <c r="V533" i="1"/>
  <c r="W533" i="1"/>
  <c r="X533" i="1"/>
  <c r="U534" i="1"/>
  <c r="V534" i="1"/>
  <c r="W534" i="1"/>
  <c r="X534" i="1"/>
  <c r="U535" i="1"/>
  <c r="V535" i="1"/>
  <c r="W535" i="1"/>
  <c r="X535" i="1"/>
  <c r="U536" i="1"/>
  <c r="V536" i="1"/>
  <c r="W536" i="1"/>
  <c r="X536" i="1"/>
  <c r="U537" i="1"/>
  <c r="V537" i="1"/>
  <c r="W537" i="1"/>
  <c r="X537" i="1"/>
  <c r="U538" i="1"/>
  <c r="V538" i="1"/>
  <c r="W538" i="1"/>
  <c r="X538" i="1"/>
  <c r="U539" i="1"/>
  <c r="V539" i="1"/>
  <c r="W539" i="1"/>
  <c r="X539" i="1"/>
  <c r="U540" i="1"/>
  <c r="V540" i="1"/>
  <c r="W540" i="1"/>
  <c r="X540" i="1"/>
  <c r="U541" i="1"/>
  <c r="V541" i="1"/>
  <c r="W541" i="1"/>
  <c r="X541" i="1"/>
  <c r="U542" i="1"/>
  <c r="V542" i="1"/>
  <c r="W542" i="1"/>
  <c r="X542" i="1"/>
  <c r="U543" i="1"/>
  <c r="V543" i="1"/>
  <c r="W543" i="1"/>
  <c r="X543" i="1"/>
  <c r="U544" i="1"/>
  <c r="V544" i="1"/>
  <c r="W544" i="1"/>
  <c r="X544" i="1"/>
  <c r="U545" i="1"/>
  <c r="V545" i="1"/>
  <c r="W545" i="1"/>
  <c r="X545" i="1"/>
  <c r="U546" i="1"/>
  <c r="V546" i="1"/>
  <c r="W546" i="1"/>
  <c r="X546" i="1"/>
  <c r="U547" i="1"/>
  <c r="V547" i="1"/>
  <c r="W547" i="1"/>
  <c r="X547" i="1"/>
  <c r="U548" i="1"/>
  <c r="V548" i="1"/>
  <c r="W548" i="1"/>
  <c r="X548" i="1"/>
  <c r="U549" i="1"/>
  <c r="V549" i="1"/>
  <c r="W549" i="1"/>
  <c r="X549" i="1"/>
  <c r="U550" i="1"/>
  <c r="V550" i="1"/>
  <c r="W550" i="1"/>
  <c r="X550" i="1"/>
  <c r="U551" i="1"/>
  <c r="V551" i="1"/>
  <c r="W551" i="1"/>
  <c r="X551" i="1"/>
  <c r="U552" i="1"/>
  <c r="V552" i="1"/>
  <c r="W552" i="1"/>
  <c r="X552" i="1"/>
  <c r="U553" i="1"/>
  <c r="V553" i="1"/>
  <c r="W553" i="1"/>
  <c r="X553" i="1"/>
  <c r="U554" i="1"/>
  <c r="V554" i="1"/>
  <c r="W554" i="1"/>
  <c r="X554" i="1"/>
  <c r="U555" i="1"/>
  <c r="V555" i="1"/>
  <c r="W555" i="1"/>
  <c r="X555" i="1"/>
  <c r="U556" i="1"/>
  <c r="V556" i="1"/>
  <c r="W556" i="1"/>
  <c r="X556" i="1"/>
  <c r="U557" i="1"/>
  <c r="V557" i="1"/>
  <c r="W557" i="1"/>
  <c r="X557" i="1"/>
  <c r="U558" i="1"/>
  <c r="V558" i="1"/>
  <c r="W558" i="1"/>
  <c r="X558" i="1"/>
  <c r="U559" i="1"/>
  <c r="V559" i="1"/>
  <c r="W559" i="1"/>
  <c r="X559" i="1"/>
  <c r="U560" i="1"/>
  <c r="V560" i="1"/>
  <c r="W560" i="1"/>
  <c r="X560" i="1"/>
  <c r="U561" i="1"/>
  <c r="V561" i="1"/>
  <c r="W561" i="1"/>
  <c r="X561" i="1"/>
  <c r="U562" i="1"/>
  <c r="V562" i="1"/>
  <c r="W562" i="1"/>
  <c r="X562" i="1"/>
  <c r="U563" i="1"/>
  <c r="V563" i="1"/>
  <c r="W563" i="1"/>
  <c r="X563" i="1"/>
  <c r="U564" i="1"/>
  <c r="V564" i="1"/>
  <c r="W564" i="1"/>
  <c r="X564" i="1"/>
  <c r="U565" i="1"/>
  <c r="V565" i="1"/>
  <c r="W565" i="1"/>
  <c r="X565" i="1"/>
  <c r="U566" i="1"/>
  <c r="V566" i="1"/>
  <c r="W566" i="1"/>
  <c r="X566" i="1"/>
  <c r="U567" i="1"/>
  <c r="V567" i="1"/>
  <c r="W567" i="1"/>
  <c r="X567" i="1"/>
  <c r="U568" i="1"/>
  <c r="V568" i="1"/>
  <c r="W568" i="1"/>
  <c r="X568" i="1"/>
  <c r="U569" i="1"/>
  <c r="V569" i="1"/>
  <c r="W569" i="1"/>
  <c r="X569" i="1"/>
  <c r="U570" i="1"/>
  <c r="V570" i="1"/>
  <c r="W570" i="1"/>
  <c r="X570" i="1"/>
  <c r="U571" i="1"/>
  <c r="V571" i="1"/>
  <c r="W571" i="1"/>
  <c r="X571" i="1"/>
  <c r="U572" i="1"/>
  <c r="V572" i="1"/>
  <c r="W572" i="1"/>
  <c r="X572" i="1"/>
  <c r="U573" i="1"/>
  <c r="V573" i="1"/>
  <c r="W573" i="1"/>
  <c r="X573" i="1"/>
  <c r="U574" i="1"/>
  <c r="V574" i="1"/>
  <c r="W574" i="1"/>
  <c r="X574" i="1"/>
  <c r="U575" i="1"/>
  <c r="V575" i="1"/>
  <c r="W575" i="1"/>
  <c r="X575" i="1"/>
  <c r="U576" i="1"/>
  <c r="V576" i="1"/>
  <c r="W576" i="1"/>
  <c r="X576" i="1"/>
  <c r="U577" i="1"/>
  <c r="V577" i="1"/>
  <c r="W577" i="1"/>
  <c r="X577" i="1"/>
  <c r="U578" i="1"/>
  <c r="V578" i="1"/>
  <c r="W578" i="1"/>
  <c r="X578" i="1"/>
  <c r="U579" i="1"/>
  <c r="V579" i="1"/>
  <c r="W579" i="1"/>
  <c r="X579" i="1"/>
  <c r="U580" i="1"/>
  <c r="V580" i="1"/>
  <c r="W580" i="1"/>
  <c r="X580" i="1"/>
  <c r="U581" i="1"/>
  <c r="V581" i="1"/>
  <c r="W581" i="1"/>
  <c r="X581" i="1"/>
  <c r="U582" i="1"/>
  <c r="V582" i="1"/>
  <c r="W582" i="1"/>
  <c r="X582" i="1"/>
  <c r="U583" i="1"/>
  <c r="V583" i="1"/>
  <c r="W583" i="1"/>
  <c r="X583" i="1"/>
  <c r="U584" i="1"/>
  <c r="V584" i="1"/>
  <c r="W584" i="1"/>
  <c r="X584" i="1"/>
  <c r="U585" i="1"/>
  <c r="V585" i="1"/>
  <c r="W585" i="1"/>
  <c r="X585" i="1"/>
  <c r="U586" i="1"/>
  <c r="V586" i="1"/>
  <c r="W586" i="1"/>
  <c r="X586" i="1"/>
  <c r="U587" i="1"/>
  <c r="V587" i="1"/>
  <c r="W587" i="1"/>
  <c r="X587" i="1"/>
  <c r="U588" i="1"/>
  <c r="V588" i="1"/>
  <c r="W588" i="1"/>
  <c r="X588" i="1"/>
  <c r="U589" i="1"/>
  <c r="V589" i="1"/>
  <c r="W589" i="1"/>
  <c r="X589" i="1"/>
  <c r="U590" i="1"/>
  <c r="V590" i="1"/>
  <c r="W590" i="1"/>
  <c r="X590" i="1"/>
  <c r="U591" i="1"/>
  <c r="V591" i="1"/>
  <c r="W591" i="1"/>
  <c r="X591" i="1"/>
  <c r="U592" i="1"/>
  <c r="V592" i="1"/>
  <c r="W592" i="1"/>
  <c r="X592" i="1"/>
  <c r="U593" i="1"/>
  <c r="V593" i="1"/>
  <c r="W593" i="1"/>
  <c r="X593" i="1"/>
  <c r="U594" i="1"/>
  <c r="V594" i="1"/>
  <c r="W594" i="1"/>
  <c r="X594" i="1"/>
  <c r="U595" i="1"/>
  <c r="V595" i="1"/>
  <c r="W595" i="1"/>
  <c r="X595" i="1"/>
  <c r="U596" i="1"/>
  <c r="V596" i="1"/>
  <c r="W596" i="1"/>
  <c r="X596" i="1"/>
  <c r="U597" i="1"/>
  <c r="V597" i="1"/>
  <c r="W597" i="1"/>
  <c r="X597" i="1"/>
  <c r="U598" i="1"/>
  <c r="V598" i="1"/>
  <c r="W598" i="1"/>
  <c r="X598" i="1"/>
  <c r="U599" i="1"/>
  <c r="V599" i="1"/>
  <c r="W599" i="1"/>
  <c r="X599" i="1"/>
  <c r="U600" i="1"/>
  <c r="V600" i="1"/>
  <c r="W600" i="1"/>
  <c r="X600" i="1"/>
  <c r="U601" i="1"/>
  <c r="V601" i="1"/>
  <c r="W601" i="1"/>
  <c r="X601" i="1"/>
  <c r="U602" i="1"/>
  <c r="V602" i="1"/>
  <c r="W602" i="1"/>
  <c r="X602" i="1"/>
  <c r="U603" i="1"/>
  <c r="V603" i="1"/>
  <c r="W603" i="1"/>
  <c r="X603" i="1"/>
  <c r="U604" i="1"/>
  <c r="V604" i="1"/>
  <c r="W604" i="1"/>
  <c r="X604" i="1"/>
  <c r="U605" i="1"/>
  <c r="V605" i="1"/>
  <c r="W605" i="1"/>
  <c r="X605" i="1"/>
  <c r="U606" i="1"/>
  <c r="V606" i="1"/>
  <c r="W606" i="1"/>
  <c r="X606" i="1"/>
  <c r="U607" i="1"/>
  <c r="V607" i="1"/>
  <c r="W607" i="1"/>
  <c r="X607" i="1"/>
  <c r="U608" i="1"/>
  <c r="V608" i="1"/>
  <c r="W608" i="1"/>
  <c r="X608" i="1"/>
  <c r="U609" i="1"/>
  <c r="V609" i="1"/>
  <c r="W609" i="1"/>
  <c r="X609" i="1"/>
  <c r="U610" i="1"/>
  <c r="V610" i="1"/>
  <c r="W610" i="1"/>
  <c r="X610" i="1"/>
  <c r="U611" i="1"/>
  <c r="V611" i="1"/>
  <c r="W611" i="1"/>
  <c r="X611" i="1"/>
  <c r="U612" i="1"/>
  <c r="V612" i="1"/>
  <c r="W612" i="1"/>
  <c r="X612" i="1"/>
  <c r="U613" i="1"/>
  <c r="V613" i="1"/>
  <c r="W613" i="1"/>
  <c r="X613" i="1"/>
  <c r="U614" i="1"/>
  <c r="V614" i="1"/>
  <c r="W614" i="1"/>
  <c r="X614" i="1"/>
  <c r="U615" i="1"/>
  <c r="V615" i="1"/>
  <c r="W615" i="1"/>
  <c r="X615" i="1"/>
  <c r="U616" i="1"/>
  <c r="V616" i="1"/>
  <c r="W616" i="1"/>
  <c r="X616" i="1"/>
  <c r="U617" i="1"/>
  <c r="V617" i="1"/>
  <c r="W617" i="1"/>
  <c r="X617" i="1"/>
  <c r="U618" i="1"/>
  <c r="V618" i="1"/>
  <c r="W618" i="1"/>
  <c r="X618" i="1"/>
  <c r="U619" i="1"/>
  <c r="V619" i="1"/>
  <c r="W619" i="1"/>
  <c r="X619" i="1"/>
  <c r="U620" i="1"/>
  <c r="V620" i="1"/>
  <c r="W620" i="1"/>
  <c r="X620" i="1"/>
  <c r="U621" i="1"/>
  <c r="V621" i="1"/>
  <c r="W621" i="1"/>
  <c r="X621" i="1"/>
  <c r="U622" i="1"/>
  <c r="V622" i="1"/>
  <c r="W622" i="1"/>
  <c r="X622" i="1"/>
  <c r="U623" i="1"/>
  <c r="V623" i="1"/>
  <c r="W623" i="1"/>
  <c r="X623" i="1"/>
  <c r="U624" i="1"/>
  <c r="V624" i="1"/>
  <c r="W624" i="1"/>
  <c r="X624" i="1"/>
  <c r="U625" i="1"/>
  <c r="V625" i="1"/>
  <c r="W625" i="1"/>
  <c r="X625" i="1"/>
  <c r="U626" i="1"/>
  <c r="V626" i="1"/>
  <c r="W626" i="1"/>
  <c r="X626" i="1"/>
  <c r="U627" i="1"/>
  <c r="V627" i="1"/>
  <c r="W627" i="1"/>
  <c r="X627" i="1"/>
  <c r="U628" i="1"/>
  <c r="V628" i="1"/>
  <c r="W628" i="1"/>
  <c r="X628" i="1"/>
  <c r="U629" i="1"/>
  <c r="V629" i="1"/>
  <c r="W629" i="1"/>
  <c r="X629" i="1"/>
  <c r="U630" i="1"/>
  <c r="V630" i="1"/>
  <c r="W630" i="1"/>
  <c r="X630" i="1"/>
  <c r="U631" i="1"/>
  <c r="V631" i="1"/>
  <c r="W631" i="1"/>
  <c r="X631" i="1"/>
  <c r="U632" i="1"/>
  <c r="V632" i="1"/>
  <c r="W632" i="1"/>
  <c r="X632" i="1"/>
  <c r="U633" i="1"/>
  <c r="V633" i="1"/>
  <c r="W633" i="1"/>
  <c r="X633" i="1"/>
  <c r="U634" i="1"/>
  <c r="V634" i="1"/>
  <c r="W634" i="1"/>
  <c r="X634" i="1"/>
  <c r="U635" i="1"/>
  <c r="V635" i="1"/>
  <c r="W635" i="1"/>
  <c r="X635" i="1"/>
  <c r="U636" i="1"/>
  <c r="V636" i="1"/>
  <c r="W636" i="1"/>
  <c r="X636" i="1"/>
  <c r="U637" i="1"/>
  <c r="V637" i="1"/>
  <c r="W637" i="1"/>
  <c r="X637" i="1"/>
  <c r="U638" i="1"/>
  <c r="V638" i="1"/>
  <c r="W638" i="1"/>
  <c r="X638" i="1"/>
  <c r="U639" i="1"/>
  <c r="V639" i="1"/>
  <c r="W639" i="1"/>
  <c r="X639" i="1"/>
  <c r="U640" i="1"/>
  <c r="V640" i="1"/>
  <c r="W640" i="1"/>
  <c r="X640" i="1"/>
  <c r="U641" i="1"/>
  <c r="V641" i="1"/>
  <c r="W641" i="1"/>
  <c r="X641" i="1"/>
  <c r="U642" i="1"/>
  <c r="V642" i="1"/>
  <c r="W642" i="1"/>
  <c r="X642" i="1"/>
  <c r="U643" i="1"/>
  <c r="V643" i="1"/>
  <c r="W643" i="1"/>
  <c r="X643" i="1"/>
  <c r="U644" i="1"/>
  <c r="V644" i="1"/>
  <c r="W644" i="1"/>
  <c r="X644" i="1"/>
  <c r="U645" i="1"/>
  <c r="V645" i="1"/>
  <c r="W645" i="1"/>
  <c r="X645" i="1"/>
  <c r="U646" i="1"/>
  <c r="V646" i="1"/>
  <c r="W646" i="1"/>
  <c r="X646" i="1"/>
  <c r="U647" i="1"/>
  <c r="V647" i="1"/>
  <c r="W647" i="1"/>
  <c r="X647" i="1"/>
  <c r="U648" i="1"/>
  <c r="V648" i="1"/>
  <c r="W648" i="1"/>
  <c r="X648" i="1"/>
  <c r="U649" i="1"/>
  <c r="V649" i="1"/>
  <c r="W649" i="1"/>
  <c r="X649" i="1"/>
  <c r="U650" i="1"/>
  <c r="V650" i="1"/>
  <c r="W650" i="1"/>
  <c r="X650" i="1"/>
  <c r="U651" i="1"/>
  <c r="V651" i="1"/>
  <c r="W651" i="1"/>
  <c r="X651" i="1"/>
  <c r="U652" i="1"/>
  <c r="V652" i="1"/>
  <c r="W652" i="1"/>
  <c r="X652" i="1"/>
  <c r="U653" i="1"/>
  <c r="V653" i="1"/>
  <c r="W653" i="1"/>
  <c r="X653" i="1"/>
  <c r="U654" i="1"/>
  <c r="V654" i="1"/>
  <c r="W654" i="1"/>
  <c r="X654" i="1"/>
  <c r="U655" i="1"/>
  <c r="V655" i="1"/>
  <c r="W655" i="1"/>
  <c r="X655" i="1"/>
  <c r="U656" i="1"/>
  <c r="V656" i="1"/>
  <c r="W656" i="1"/>
  <c r="X656" i="1"/>
  <c r="U657" i="1"/>
  <c r="V657" i="1"/>
  <c r="W657" i="1"/>
  <c r="X657" i="1"/>
  <c r="U658" i="1"/>
  <c r="V658" i="1"/>
  <c r="W658" i="1"/>
  <c r="X658" i="1"/>
  <c r="U659" i="1"/>
  <c r="V659" i="1"/>
  <c r="W659" i="1"/>
  <c r="X659" i="1"/>
  <c r="U660" i="1"/>
  <c r="V660" i="1"/>
  <c r="W660" i="1"/>
  <c r="X660" i="1"/>
  <c r="U661" i="1"/>
  <c r="V661" i="1"/>
  <c r="W661" i="1"/>
  <c r="X661" i="1"/>
  <c r="U662" i="1"/>
  <c r="V662" i="1"/>
  <c r="W662" i="1"/>
  <c r="X662" i="1"/>
  <c r="U663" i="1"/>
  <c r="V663" i="1"/>
  <c r="W663" i="1"/>
  <c r="X663" i="1"/>
  <c r="U664" i="1"/>
  <c r="V664" i="1"/>
  <c r="W664" i="1"/>
  <c r="X664" i="1"/>
  <c r="U665" i="1"/>
  <c r="V665" i="1"/>
  <c r="W665" i="1"/>
  <c r="X665" i="1"/>
  <c r="U666" i="1"/>
  <c r="V666" i="1"/>
  <c r="W666" i="1"/>
  <c r="X666" i="1"/>
  <c r="U667" i="1"/>
  <c r="V667" i="1"/>
  <c r="W667" i="1"/>
  <c r="X667" i="1"/>
  <c r="U668" i="1"/>
  <c r="V668" i="1"/>
  <c r="W668" i="1"/>
  <c r="X668" i="1"/>
  <c r="U669" i="1"/>
  <c r="V669" i="1"/>
  <c r="W669" i="1"/>
  <c r="X669" i="1"/>
  <c r="U670" i="1"/>
  <c r="V670" i="1"/>
  <c r="W670" i="1"/>
  <c r="X670" i="1"/>
  <c r="U671" i="1"/>
  <c r="V671" i="1"/>
  <c r="W671" i="1"/>
  <c r="X671" i="1"/>
  <c r="U672" i="1"/>
  <c r="V672" i="1"/>
  <c r="W672" i="1"/>
  <c r="X672" i="1"/>
  <c r="U673" i="1"/>
  <c r="V673" i="1"/>
  <c r="W673" i="1"/>
  <c r="X673" i="1"/>
  <c r="U674" i="1"/>
  <c r="V674" i="1"/>
  <c r="W674" i="1"/>
  <c r="X674" i="1"/>
  <c r="U675" i="1"/>
  <c r="V675" i="1"/>
  <c r="W675" i="1"/>
  <c r="X675" i="1"/>
  <c r="U676" i="1"/>
  <c r="V676" i="1"/>
  <c r="W676" i="1"/>
  <c r="X676" i="1"/>
  <c r="U677" i="1"/>
  <c r="V677" i="1"/>
  <c r="W677" i="1"/>
  <c r="X677" i="1"/>
  <c r="U678" i="1"/>
  <c r="V678" i="1"/>
  <c r="W678" i="1"/>
  <c r="X678" i="1"/>
  <c r="U679" i="1"/>
  <c r="V679" i="1"/>
  <c r="W679" i="1"/>
  <c r="X679" i="1"/>
  <c r="U680" i="1"/>
  <c r="V680" i="1"/>
  <c r="W680" i="1"/>
  <c r="X680" i="1"/>
  <c r="U681" i="1"/>
  <c r="V681" i="1"/>
  <c r="W681" i="1"/>
  <c r="X681" i="1"/>
  <c r="U682" i="1"/>
  <c r="V682" i="1"/>
  <c r="W682" i="1"/>
  <c r="X682" i="1"/>
  <c r="U683" i="1"/>
  <c r="V683" i="1"/>
  <c r="W683" i="1"/>
  <c r="X683" i="1"/>
  <c r="U684" i="1"/>
  <c r="V684" i="1"/>
  <c r="W684" i="1"/>
  <c r="X684" i="1"/>
  <c r="U685" i="1"/>
  <c r="V685" i="1"/>
  <c r="W685" i="1"/>
  <c r="X685" i="1"/>
  <c r="U686" i="1"/>
  <c r="V686" i="1"/>
  <c r="W686" i="1"/>
  <c r="X686" i="1"/>
  <c r="U687" i="1"/>
  <c r="V687" i="1"/>
  <c r="W687" i="1"/>
  <c r="X687" i="1"/>
  <c r="U688" i="1"/>
  <c r="V688" i="1"/>
  <c r="W688" i="1"/>
  <c r="X688" i="1"/>
  <c r="U689" i="1"/>
  <c r="V689" i="1"/>
  <c r="W689" i="1"/>
  <c r="X689" i="1"/>
  <c r="U690" i="1"/>
  <c r="V690" i="1"/>
  <c r="W690" i="1"/>
  <c r="X690" i="1"/>
  <c r="U691" i="1"/>
  <c r="V691" i="1"/>
  <c r="W691" i="1"/>
  <c r="X691" i="1"/>
  <c r="U692" i="1"/>
  <c r="V692" i="1"/>
  <c r="W692" i="1"/>
  <c r="X692" i="1"/>
  <c r="U693" i="1"/>
  <c r="V693" i="1"/>
  <c r="W693" i="1"/>
  <c r="X693" i="1"/>
  <c r="U694" i="1"/>
  <c r="V694" i="1"/>
  <c r="W694" i="1"/>
  <c r="X694" i="1"/>
  <c r="U695" i="1"/>
  <c r="V695" i="1"/>
  <c r="W695" i="1"/>
  <c r="X695" i="1"/>
  <c r="U696" i="1"/>
  <c r="V696" i="1"/>
  <c r="W696" i="1"/>
  <c r="X696" i="1"/>
  <c r="U697" i="1"/>
  <c r="V697" i="1"/>
  <c r="W697" i="1"/>
  <c r="X697" i="1"/>
  <c r="U698" i="1"/>
  <c r="V698" i="1"/>
  <c r="W698" i="1"/>
  <c r="X698" i="1"/>
  <c r="U699" i="1"/>
  <c r="V699" i="1"/>
  <c r="W699" i="1"/>
  <c r="X699" i="1"/>
  <c r="U700" i="1"/>
  <c r="V700" i="1"/>
  <c r="W700" i="1"/>
  <c r="X700" i="1"/>
  <c r="U701" i="1"/>
  <c r="V701" i="1"/>
  <c r="W701" i="1"/>
  <c r="X701" i="1"/>
  <c r="U702" i="1"/>
  <c r="V702" i="1"/>
  <c r="W702" i="1"/>
  <c r="X702" i="1"/>
  <c r="U703" i="1"/>
  <c r="V703" i="1"/>
  <c r="W703" i="1"/>
  <c r="X703" i="1"/>
  <c r="U704" i="1"/>
  <c r="V704" i="1"/>
  <c r="W704" i="1"/>
  <c r="X704" i="1"/>
  <c r="U705" i="1"/>
  <c r="V705" i="1"/>
  <c r="W705" i="1"/>
  <c r="X705" i="1"/>
  <c r="U706" i="1"/>
  <c r="V706" i="1"/>
  <c r="W706" i="1"/>
  <c r="X706" i="1"/>
  <c r="U707" i="1"/>
  <c r="V707" i="1"/>
  <c r="W707" i="1"/>
  <c r="X707" i="1"/>
  <c r="U708" i="1"/>
  <c r="V708" i="1"/>
  <c r="W708" i="1"/>
  <c r="X708" i="1"/>
  <c r="U709" i="1"/>
  <c r="V709" i="1"/>
  <c r="W709" i="1"/>
  <c r="X709" i="1"/>
  <c r="U710" i="1"/>
  <c r="V710" i="1"/>
  <c r="W710" i="1"/>
  <c r="X710" i="1"/>
  <c r="U711" i="1"/>
  <c r="V711" i="1"/>
  <c r="W711" i="1"/>
  <c r="X711" i="1"/>
  <c r="U712" i="1"/>
  <c r="V712" i="1"/>
  <c r="W712" i="1"/>
  <c r="X712" i="1"/>
  <c r="U713" i="1"/>
  <c r="V713" i="1"/>
  <c r="W713" i="1"/>
  <c r="X713" i="1"/>
  <c r="U714" i="1"/>
  <c r="V714" i="1"/>
  <c r="W714" i="1"/>
  <c r="X714" i="1"/>
  <c r="U715" i="1"/>
  <c r="V715" i="1"/>
  <c r="W715" i="1"/>
  <c r="X715" i="1"/>
  <c r="U716" i="1"/>
  <c r="V716" i="1"/>
  <c r="W716" i="1"/>
  <c r="X716" i="1"/>
  <c r="U717" i="1"/>
  <c r="V717" i="1"/>
  <c r="W717" i="1"/>
  <c r="X717" i="1"/>
  <c r="U718" i="1"/>
  <c r="V718" i="1"/>
  <c r="W718" i="1"/>
  <c r="X718" i="1"/>
  <c r="U719" i="1"/>
  <c r="V719" i="1"/>
  <c r="W719" i="1"/>
  <c r="X719" i="1"/>
  <c r="U720" i="1"/>
  <c r="V720" i="1"/>
  <c r="W720" i="1"/>
  <c r="X720" i="1"/>
  <c r="U721" i="1"/>
  <c r="V721" i="1"/>
  <c r="W721" i="1"/>
  <c r="X721" i="1"/>
  <c r="U722" i="1"/>
  <c r="V722" i="1"/>
  <c r="W722" i="1"/>
  <c r="X722" i="1"/>
  <c r="U723" i="1"/>
  <c r="V723" i="1"/>
  <c r="W723" i="1"/>
  <c r="X723" i="1"/>
  <c r="U724" i="1"/>
  <c r="V724" i="1"/>
  <c r="W724" i="1"/>
  <c r="X724" i="1"/>
  <c r="U725" i="1"/>
  <c r="V725" i="1"/>
  <c r="W725" i="1"/>
  <c r="X725" i="1"/>
  <c r="U726" i="1"/>
  <c r="V726" i="1"/>
  <c r="W726" i="1"/>
  <c r="X726" i="1"/>
  <c r="U727" i="1"/>
  <c r="V727" i="1"/>
  <c r="W727" i="1"/>
  <c r="X727" i="1"/>
  <c r="U728" i="1"/>
  <c r="V728" i="1"/>
  <c r="W728" i="1"/>
  <c r="X728" i="1"/>
  <c r="U729" i="1"/>
  <c r="V729" i="1"/>
  <c r="W729" i="1"/>
  <c r="X729" i="1"/>
  <c r="U730" i="1"/>
  <c r="V730" i="1"/>
  <c r="W730" i="1"/>
  <c r="X730" i="1"/>
  <c r="U731" i="1"/>
  <c r="V731" i="1"/>
  <c r="W731" i="1"/>
  <c r="X731" i="1"/>
  <c r="U732" i="1"/>
  <c r="V732" i="1"/>
  <c r="W732" i="1"/>
  <c r="X732" i="1"/>
  <c r="U733" i="1"/>
  <c r="V733" i="1"/>
  <c r="W733" i="1"/>
  <c r="X733" i="1"/>
  <c r="U734" i="1"/>
  <c r="V734" i="1"/>
  <c r="W734" i="1"/>
  <c r="X734" i="1"/>
  <c r="U735" i="1"/>
  <c r="V735" i="1"/>
  <c r="W735" i="1"/>
  <c r="X735" i="1"/>
  <c r="U736" i="1"/>
  <c r="V736" i="1"/>
  <c r="W736" i="1"/>
  <c r="X736" i="1"/>
  <c r="U737" i="1"/>
  <c r="V737" i="1"/>
  <c r="W737" i="1"/>
  <c r="X737" i="1"/>
  <c r="U738" i="1"/>
  <c r="V738" i="1"/>
  <c r="W738" i="1"/>
  <c r="X738" i="1"/>
  <c r="U739" i="1"/>
  <c r="V739" i="1"/>
  <c r="W739" i="1"/>
  <c r="X739" i="1"/>
  <c r="U740" i="1"/>
  <c r="V740" i="1"/>
  <c r="W740" i="1"/>
  <c r="X740" i="1"/>
  <c r="U741" i="1"/>
  <c r="V741" i="1"/>
  <c r="W741" i="1"/>
  <c r="X741" i="1"/>
  <c r="U742" i="1"/>
  <c r="V742" i="1"/>
  <c r="W742" i="1"/>
  <c r="X742" i="1"/>
  <c r="U743" i="1"/>
  <c r="V743" i="1"/>
  <c r="W743" i="1"/>
  <c r="X743" i="1"/>
  <c r="U744" i="1"/>
  <c r="V744" i="1"/>
  <c r="W744" i="1"/>
  <c r="X744" i="1"/>
  <c r="U745" i="1"/>
  <c r="V745" i="1"/>
  <c r="W745" i="1"/>
  <c r="X745" i="1"/>
  <c r="U746" i="1"/>
  <c r="V746" i="1"/>
  <c r="W746" i="1"/>
  <c r="X746" i="1"/>
  <c r="U747" i="1"/>
  <c r="V747" i="1"/>
  <c r="W747" i="1"/>
  <c r="X747" i="1"/>
  <c r="U748" i="1"/>
  <c r="V748" i="1"/>
  <c r="W748" i="1"/>
  <c r="X748" i="1"/>
  <c r="U749" i="1"/>
  <c r="V749" i="1"/>
  <c r="W749" i="1"/>
  <c r="X749" i="1"/>
  <c r="U750" i="1"/>
  <c r="V750" i="1"/>
  <c r="W750" i="1"/>
  <c r="X750" i="1"/>
  <c r="U751" i="1"/>
  <c r="V751" i="1"/>
  <c r="W751" i="1"/>
  <c r="X751" i="1"/>
  <c r="U752" i="1"/>
  <c r="V752" i="1"/>
  <c r="W752" i="1"/>
  <c r="X752" i="1"/>
  <c r="U753" i="1"/>
  <c r="V753" i="1"/>
  <c r="W753" i="1"/>
  <c r="X753" i="1"/>
  <c r="U754" i="1"/>
  <c r="V754" i="1"/>
  <c r="W754" i="1"/>
  <c r="X754" i="1"/>
  <c r="U755" i="1"/>
  <c r="V755" i="1"/>
  <c r="W755" i="1"/>
  <c r="X755" i="1"/>
  <c r="U756" i="1"/>
  <c r="V756" i="1"/>
  <c r="W756" i="1"/>
  <c r="X756" i="1"/>
  <c r="U757" i="1"/>
  <c r="V757" i="1"/>
  <c r="W757" i="1"/>
  <c r="X757" i="1"/>
  <c r="U758" i="1"/>
  <c r="V758" i="1"/>
  <c r="W758" i="1"/>
  <c r="X758" i="1"/>
  <c r="U759" i="1"/>
  <c r="V759" i="1"/>
  <c r="W759" i="1"/>
  <c r="X759" i="1"/>
  <c r="U760" i="1"/>
  <c r="V760" i="1"/>
  <c r="W760" i="1"/>
  <c r="X760" i="1"/>
  <c r="U761" i="1"/>
  <c r="V761" i="1"/>
  <c r="W761" i="1"/>
  <c r="X761" i="1"/>
  <c r="U762" i="1"/>
  <c r="V762" i="1"/>
  <c r="W762" i="1"/>
  <c r="X762" i="1"/>
  <c r="U763" i="1"/>
  <c r="V763" i="1"/>
  <c r="W763" i="1"/>
  <c r="X763" i="1"/>
  <c r="U764" i="1"/>
  <c r="V764" i="1"/>
  <c r="W764" i="1"/>
  <c r="X764" i="1"/>
  <c r="U765" i="1"/>
  <c r="V765" i="1"/>
  <c r="W765" i="1"/>
  <c r="X765" i="1"/>
  <c r="U766" i="1"/>
  <c r="V766" i="1"/>
  <c r="W766" i="1"/>
  <c r="X766" i="1"/>
  <c r="U767" i="1"/>
  <c r="V767" i="1"/>
  <c r="W767" i="1"/>
  <c r="X767" i="1"/>
  <c r="U768" i="1"/>
  <c r="V768" i="1"/>
  <c r="W768" i="1"/>
  <c r="X768" i="1"/>
  <c r="U769" i="1"/>
  <c r="V769" i="1"/>
  <c r="W769" i="1"/>
  <c r="X769" i="1"/>
  <c r="U770" i="1"/>
  <c r="V770" i="1"/>
  <c r="W770" i="1"/>
  <c r="X770" i="1"/>
  <c r="U771" i="1"/>
  <c r="V771" i="1"/>
  <c r="W771" i="1"/>
  <c r="X771" i="1"/>
  <c r="U772" i="1"/>
  <c r="V772" i="1"/>
  <c r="W772" i="1"/>
  <c r="X772" i="1"/>
  <c r="U773" i="1"/>
  <c r="V773" i="1"/>
  <c r="W773" i="1"/>
  <c r="X773" i="1"/>
  <c r="U774" i="1"/>
  <c r="V774" i="1"/>
  <c r="W774" i="1"/>
  <c r="X774" i="1"/>
  <c r="U775" i="1"/>
  <c r="V775" i="1"/>
  <c r="W775" i="1"/>
  <c r="X775" i="1"/>
  <c r="U776" i="1"/>
  <c r="V776" i="1"/>
  <c r="W776" i="1"/>
  <c r="X776" i="1"/>
  <c r="U777" i="1"/>
  <c r="V777" i="1"/>
  <c r="W777" i="1"/>
  <c r="X777" i="1"/>
  <c r="U778" i="1"/>
  <c r="V778" i="1"/>
  <c r="W778" i="1"/>
  <c r="X778" i="1"/>
  <c r="U779" i="1"/>
  <c r="V779" i="1"/>
  <c r="W779" i="1"/>
  <c r="X779" i="1"/>
  <c r="U780" i="1"/>
  <c r="V780" i="1"/>
  <c r="W780" i="1"/>
  <c r="X780" i="1"/>
  <c r="U781" i="1"/>
  <c r="V781" i="1"/>
  <c r="W781" i="1"/>
  <c r="X781" i="1"/>
  <c r="U782" i="1"/>
  <c r="V782" i="1"/>
  <c r="W782" i="1"/>
  <c r="X782" i="1"/>
  <c r="U783" i="1"/>
  <c r="V783" i="1"/>
  <c r="W783" i="1"/>
  <c r="X783" i="1"/>
  <c r="U784" i="1"/>
  <c r="V784" i="1"/>
  <c r="W784" i="1"/>
  <c r="X784" i="1"/>
  <c r="U785" i="1"/>
  <c r="V785" i="1"/>
  <c r="W785" i="1"/>
  <c r="X785" i="1"/>
  <c r="U786" i="1"/>
  <c r="V786" i="1"/>
  <c r="W786" i="1"/>
  <c r="X786" i="1"/>
  <c r="U787" i="1"/>
  <c r="V787" i="1"/>
  <c r="W787" i="1"/>
  <c r="X787" i="1"/>
  <c r="U788" i="1"/>
  <c r="V788" i="1"/>
  <c r="W788" i="1"/>
  <c r="X788" i="1"/>
  <c r="U789" i="1"/>
  <c r="V789" i="1"/>
  <c r="W789" i="1"/>
  <c r="X789" i="1"/>
  <c r="U790" i="1"/>
  <c r="V790" i="1"/>
  <c r="W790" i="1"/>
  <c r="X790" i="1"/>
  <c r="U791" i="1"/>
  <c r="V791" i="1"/>
  <c r="W791" i="1"/>
  <c r="X791" i="1"/>
  <c r="U792" i="1"/>
  <c r="V792" i="1"/>
  <c r="W792" i="1"/>
  <c r="X792" i="1"/>
  <c r="U793" i="1"/>
  <c r="V793" i="1"/>
  <c r="W793" i="1"/>
  <c r="X793" i="1"/>
  <c r="U794" i="1"/>
  <c r="V794" i="1"/>
  <c r="W794" i="1"/>
  <c r="X794" i="1"/>
  <c r="U795" i="1"/>
  <c r="V795" i="1"/>
  <c r="W795" i="1"/>
  <c r="X795" i="1"/>
  <c r="U796" i="1"/>
  <c r="V796" i="1"/>
  <c r="W796" i="1"/>
  <c r="X796" i="1"/>
  <c r="U797" i="1"/>
  <c r="V797" i="1"/>
  <c r="W797" i="1"/>
  <c r="X797" i="1"/>
  <c r="U798" i="1"/>
  <c r="V798" i="1"/>
  <c r="W798" i="1"/>
  <c r="X798" i="1"/>
  <c r="U799" i="1"/>
  <c r="V799" i="1"/>
  <c r="W799" i="1"/>
  <c r="X799" i="1"/>
  <c r="U800" i="1"/>
  <c r="V800" i="1"/>
  <c r="W800" i="1"/>
  <c r="X800" i="1"/>
  <c r="U801" i="1"/>
  <c r="V801" i="1"/>
  <c r="W801" i="1"/>
  <c r="X801" i="1"/>
  <c r="U802" i="1"/>
  <c r="V802" i="1"/>
  <c r="W802" i="1"/>
  <c r="X802" i="1"/>
  <c r="U803" i="1"/>
  <c r="V803" i="1"/>
  <c r="W803" i="1"/>
  <c r="X803" i="1"/>
  <c r="U804" i="1"/>
  <c r="V804" i="1"/>
  <c r="W804" i="1"/>
  <c r="X804" i="1"/>
  <c r="U805" i="1"/>
  <c r="V805" i="1"/>
  <c r="W805" i="1"/>
  <c r="X805" i="1"/>
  <c r="U806" i="1"/>
  <c r="V806" i="1"/>
  <c r="W806" i="1"/>
  <c r="X806" i="1"/>
  <c r="U807" i="1"/>
  <c r="V807" i="1"/>
  <c r="W807" i="1"/>
  <c r="X807" i="1"/>
  <c r="U808" i="1"/>
  <c r="V808" i="1"/>
  <c r="W808" i="1"/>
  <c r="X808" i="1"/>
  <c r="U809" i="1"/>
  <c r="V809" i="1"/>
  <c r="W809" i="1"/>
  <c r="X809" i="1"/>
  <c r="U810" i="1"/>
  <c r="V810" i="1"/>
  <c r="W810" i="1"/>
  <c r="X810" i="1"/>
  <c r="U811" i="1"/>
  <c r="V811" i="1"/>
  <c r="W811" i="1"/>
  <c r="X811" i="1"/>
  <c r="U812" i="1"/>
  <c r="V812" i="1"/>
  <c r="W812" i="1"/>
  <c r="X812" i="1"/>
  <c r="U813" i="1"/>
  <c r="V813" i="1"/>
  <c r="W813" i="1"/>
  <c r="X813" i="1"/>
  <c r="U814" i="1"/>
  <c r="V814" i="1"/>
  <c r="W814" i="1"/>
  <c r="X814" i="1"/>
  <c r="U815" i="1"/>
  <c r="V815" i="1"/>
  <c r="W815" i="1"/>
  <c r="X815" i="1"/>
  <c r="U816" i="1"/>
  <c r="V816" i="1"/>
  <c r="W816" i="1"/>
  <c r="X816" i="1"/>
  <c r="U817" i="1"/>
  <c r="V817" i="1"/>
  <c r="W817" i="1"/>
  <c r="X817" i="1"/>
  <c r="U818" i="1"/>
  <c r="V818" i="1"/>
  <c r="W818" i="1"/>
  <c r="X818" i="1"/>
  <c r="U819" i="1"/>
  <c r="V819" i="1"/>
  <c r="W819" i="1"/>
  <c r="X819" i="1"/>
  <c r="U820" i="1"/>
  <c r="V820" i="1"/>
  <c r="W820" i="1"/>
  <c r="X820" i="1"/>
  <c r="U821" i="1"/>
  <c r="V821" i="1"/>
  <c r="W821" i="1"/>
  <c r="X821" i="1"/>
  <c r="U822" i="1"/>
  <c r="V822" i="1"/>
  <c r="W822" i="1"/>
  <c r="X822" i="1"/>
  <c r="U823" i="1"/>
  <c r="V823" i="1"/>
  <c r="W823" i="1"/>
  <c r="X823" i="1"/>
  <c r="U824" i="1"/>
  <c r="V824" i="1"/>
  <c r="W824" i="1"/>
  <c r="X824" i="1"/>
  <c r="U825" i="1"/>
  <c r="V825" i="1"/>
  <c r="W825" i="1"/>
  <c r="X825" i="1"/>
  <c r="U826" i="1"/>
  <c r="V826" i="1"/>
  <c r="W826" i="1"/>
  <c r="X826" i="1"/>
  <c r="U827" i="1"/>
  <c r="V827" i="1"/>
  <c r="W827" i="1"/>
  <c r="X827" i="1"/>
  <c r="U828" i="1"/>
  <c r="V828" i="1"/>
  <c r="W828" i="1"/>
  <c r="X828" i="1"/>
  <c r="U829" i="1"/>
  <c r="V829" i="1"/>
  <c r="W829" i="1"/>
  <c r="X829" i="1"/>
  <c r="U830" i="1"/>
  <c r="V830" i="1"/>
  <c r="W830" i="1"/>
  <c r="X830" i="1"/>
  <c r="U831" i="1"/>
  <c r="V831" i="1"/>
  <c r="W831" i="1"/>
  <c r="X831" i="1"/>
  <c r="U832" i="1"/>
  <c r="V832" i="1"/>
  <c r="W832" i="1"/>
  <c r="X832" i="1"/>
  <c r="U833" i="1"/>
  <c r="V833" i="1"/>
  <c r="W833" i="1"/>
  <c r="X833" i="1"/>
  <c r="U834" i="1"/>
  <c r="V834" i="1"/>
  <c r="W834" i="1"/>
  <c r="X834" i="1"/>
  <c r="U835" i="1"/>
  <c r="V835" i="1"/>
  <c r="W835" i="1"/>
  <c r="X835" i="1"/>
  <c r="U836" i="1"/>
  <c r="V836" i="1"/>
  <c r="W836" i="1"/>
  <c r="X836" i="1"/>
  <c r="U837" i="1"/>
  <c r="V837" i="1"/>
  <c r="W837" i="1"/>
  <c r="X837" i="1"/>
  <c r="U838" i="1"/>
  <c r="V838" i="1"/>
  <c r="W838" i="1"/>
  <c r="X838" i="1"/>
  <c r="U839" i="1"/>
  <c r="V839" i="1"/>
  <c r="W839" i="1"/>
  <c r="X839" i="1"/>
  <c r="U840" i="1"/>
  <c r="V840" i="1"/>
  <c r="W840" i="1"/>
  <c r="X840" i="1"/>
  <c r="U841" i="1"/>
  <c r="V841" i="1"/>
  <c r="W841" i="1"/>
  <c r="X841" i="1"/>
  <c r="U842" i="1"/>
  <c r="V842" i="1"/>
  <c r="W842" i="1"/>
  <c r="X842" i="1"/>
  <c r="U843" i="1"/>
  <c r="V843" i="1"/>
  <c r="W843" i="1"/>
  <c r="X843" i="1"/>
  <c r="U844" i="1"/>
  <c r="V844" i="1"/>
  <c r="W844" i="1"/>
  <c r="X844" i="1"/>
  <c r="U845" i="1"/>
  <c r="V845" i="1"/>
  <c r="W845" i="1"/>
  <c r="X845" i="1"/>
  <c r="U846" i="1"/>
  <c r="V846" i="1"/>
  <c r="W846" i="1"/>
  <c r="X846" i="1"/>
  <c r="U847" i="1"/>
  <c r="V847" i="1"/>
  <c r="W847" i="1"/>
  <c r="X847" i="1"/>
  <c r="U848" i="1"/>
  <c r="V848" i="1"/>
  <c r="W848" i="1"/>
  <c r="X848" i="1"/>
  <c r="U849" i="1"/>
  <c r="V849" i="1"/>
  <c r="W849" i="1"/>
  <c r="X849" i="1"/>
  <c r="U850" i="1"/>
  <c r="V850" i="1"/>
  <c r="W850" i="1"/>
  <c r="X850" i="1"/>
  <c r="U851" i="1"/>
  <c r="V851" i="1"/>
  <c r="W851" i="1"/>
  <c r="X851" i="1"/>
  <c r="U852" i="1"/>
  <c r="V852" i="1"/>
  <c r="W852" i="1"/>
  <c r="X852" i="1"/>
  <c r="U853" i="1"/>
  <c r="V853" i="1"/>
  <c r="W853" i="1"/>
  <c r="X853" i="1"/>
  <c r="U854" i="1"/>
  <c r="V854" i="1"/>
  <c r="W854" i="1"/>
  <c r="X854" i="1"/>
  <c r="U855" i="1"/>
  <c r="V855" i="1"/>
  <c r="W855" i="1"/>
  <c r="X855" i="1"/>
  <c r="U856" i="1"/>
  <c r="V856" i="1"/>
  <c r="W856" i="1"/>
  <c r="X856" i="1"/>
  <c r="U857" i="1"/>
  <c r="V857" i="1"/>
  <c r="W857" i="1"/>
  <c r="X857" i="1"/>
  <c r="U858" i="1"/>
  <c r="V858" i="1"/>
  <c r="W858" i="1"/>
  <c r="X858" i="1"/>
  <c r="U859" i="1"/>
  <c r="V859" i="1"/>
  <c r="W859" i="1"/>
  <c r="X859" i="1"/>
  <c r="U860" i="1"/>
  <c r="V860" i="1"/>
  <c r="W860" i="1"/>
  <c r="X860" i="1"/>
  <c r="U861" i="1"/>
  <c r="V861" i="1"/>
  <c r="W861" i="1"/>
  <c r="X861" i="1"/>
  <c r="U862" i="1"/>
  <c r="V862" i="1"/>
  <c r="W862" i="1"/>
  <c r="X862" i="1"/>
  <c r="U863" i="1"/>
  <c r="V863" i="1"/>
  <c r="W863" i="1"/>
  <c r="X863" i="1"/>
  <c r="U864" i="1"/>
  <c r="V864" i="1"/>
  <c r="W864" i="1"/>
  <c r="X864" i="1"/>
  <c r="U865" i="1"/>
  <c r="V865" i="1"/>
  <c r="W865" i="1"/>
  <c r="X865" i="1"/>
  <c r="U866" i="1"/>
  <c r="V866" i="1"/>
  <c r="W866" i="1"/>
  <c r="X866" i="1"/>
  <c r="U867" i="1"/>
  <c r="V867" i="1"/>
  <c r="W867" i="1"/>
  <c r="X867" i="1"/>
  <c r="U868" i="1"/>
  <c r="V868" i="1"/>
  <c r="W868" i="1"/>
  <c r="X868" i="1"/>
  <c r="U869" i="1"/>
  <c r="V869" i="1"/>
  <c r="W869" i="1"/>
  <c r="X869" i="1"/>
  <c r="U870" i="1"/>
  <c r="V870" i="1"/>
  <c r="W870" i="1"/>
  <c r="X870" i="1"/>
  <c r="U871" i="1"/>
  <c r="V871" i="1"/>
  <c r="W871" i="1"/>
  <c r="X871" i="1"/>
  <c r="U872" i="1"/>
  <c r="V872" i="1"/>
  <c r="W872" i="1"/>
  <c r="X872" i="1"/>
  <c r="U873" i="1"/>
  <c r="V873" i="1"/>
  <c r="W873" i="1"/>
  <c r="X873" i="1"/>
  <c r="U874" i="1"/>
  <c r="V874" i="1"/>
  <c r="W874" i="1"/>
  <c r="X874" i="1"/>
  <c r="U875" i="1"/>
  <c r="V875" i="1"/>
  <c r="W875" i="1"/>
  <c r="X875" i="1"/>
  <c r="U876" i="1"/>
  <c r="V876" i="1"/>
  <c r="W876" i="1"/>
  <c r="X876" i="1"/>
  <c r="U877" i="1"/>
  <c r="V877" i="1"/>
  <c r="W877" i="1"/>
  <c r="X877" i="1"/>
  <c r="U878" i="1"/>
  <c r="V878" i="1"/>
  <c r="W878" i="1"/>
  <c r="X878" i="1"/>
  <c r="U879" i="1"/>
  <c r="V879" i="1"/>
  <c r="W879" i="1"/>
  <c r="X879" i="1"/>
  <c r="U880" i="1"/>
  <c r="V880" i="1"/>
  <c r="W880" i="1"/>
  <c r="X880" i="1"/>
  <c r="U881" i="1"/>
  <c r="V881" i="1"/>
  <c r="W881" i="1"/>
  <c r="X881" i="1"/>
  <c r="U882" i="1"/>
  <c r="V882" i="1"/>
  <c r="W882" i="1"/>
  <c r="X882" i="1"/>
  <c r="U883" i="1"/>
  <c r="V883" i="1"/>
  <c r="W883" i="1"/>
  <c r="X883" i="1"/>
  <c r="U884" i="1"/>
  <c r="V884" i="1"/>
  <c r="W884" i="1"/>
  <c r="X884" i="1"/>
  <c r="U885" i="1"/>
  <c r="V885" i="1"/>
  <c r="W885" i="1"/>
  <c r="X885" i="1"/>
  <c r="U886" i="1"/>
  <c r="V886" i="1"/>
  <c r="W886" i="1"/>
  <c r="X886" i="1"/>
  <c r="U887" i="1"/>
  <c r="V887" i="1"/>
  <c r="W887" i="1"/>
  <c r="X887" i="1"/>
  <c r="U888" i="1"/>
  <c r="V888" i="1"/>
  <c r="W888" i="1"/>
  <c r="X888" i="1"/>
  <c r="U889" i="1"/>
  <c r="V889" i="1"/>
  <c r="W889" i="1"/>
  <c r="X889" i="1"/>
  <c r="U890" i="1"/>
  <c r="V890" i="1"/>
  <c r="W890" i="1"/>
  <c r="X890" i="1"/>
  <c r="U891" i="1"/>
  <c r="V891" i="1"/>
  <c r="W891" i="1"/>
  <c r="X891" i="1"/>
  <c r="U892" i="1"/>
  <c r="V892" i="1"/>
  <c r="W892" i="1"/>
  <c r="X892" i="1"/>
  <c r="U893" i="1"/>
  <c r="V893" i="1"/>
  <c r="W893" i="1"/>
  <c r="X893" i="1"/>
  <c r="U894" i="1"/>
  <c r="V894" i="1"/>
  <c r="W894" i="1"/>
  <c r="X894" i="1"/>
  <c r="U895" i="1"/>
  <c r="V895" i="1"/>
  <c r="W895" i="1"/>
  <c r="X895" i="1"/>
  <c r="U896" i="1"/>
  <c r="V896" i="1"/>
  <c r="W896" i="1"/>
  <c r="X896" i="1"/>
  <c r="U897" i="1"/>
  <c r="V897" i="1"/>
  <c r="W897" i="1"/>
  <c r="X897" i="1"/>
  <c r="U898" i="1"/>
  <c r="V898" i="1"/>
  <c r="W898" i="1"/>
  <c r="X898" i="1"/>
  <c r="U899" i="1"/>
  <c r="V899" i="1"/>
  <c r="W899" i="1"/>
  <c r="X899" i="1"/>
  <c r="U900" i="1"/>
  <c r="V900" i="1"/>
  <c r="W900" i="1"/>
  <c r="X900" i="1"/>
  <c r="U901" i="1"/>
  <c r="V901" i="1"/>
  <c r="W901" i="1"/>
  <c r="X901" i="1"/>
  <c r="U902" i="1"/>
  <c r="V902" i="1"/>
  <c r="W902" i="1"/>
  <c r="X902" i="1"/>
  <c r="U903" i="1"/>
  <c r="V903" i="1"/>
  <c r="W903" i="1"/>
  <c r="X903" i="1"/>
  <c r="U904" i="1"/>
  <c r="V904" i="1"/>
  <c r="W904" i="1"/>
  <c r="X904" i="1"/>
  <c r="U905" i="1"/>
  <c r="V905" i="1"/>
  <c r="W905" i="1"/>
  <c r="X905" i="1"/>
  <c r="U906" i="1"/>
  <c r="V906" i="1"/>
  <c r="W906" i="1"/>
  <c r="X906" i="1"/>
  <c r="U907" i="1"/>
  <c r="V907" i="1"/>
  <c r="W907" i="1"/>
  <c r="X907" i="1"/>
  <c r="U908" i="1"/>
  <c r="V908" i="1"/>
  <c r="W908" i="1"/>
  <c r="X908" i="1"/>
  <c r="U909" i="1"/>
  <c r="V909" i="1"/>
  <c r="W909" i="1"/>
  <c r="X909" i="1"/>
  <c r="U910" i="1"/>
  <c r="V910" i="1"/>
  <c r="W910" i="1"/>
  <c r="X910" i="1"/>
  <c r="U911" i="1"/>
  <c r="V911" i="1"/>
  <c r="W911" i="1"/>
  <c r="X911" i="1"/>
  <c r="U912" i="1"/>
  <c r="V912" i="1"/>
  <c r="W912" i="1"/>
  <c r="X912" i="1"/>
  <c r="U913" i="1"/>
  <c r="V913" i="1"/>
  <c r="W913" i="1"/>
  <c r="X913" i="1"/>
  <c r="U914" i="1"/>
  <c r="V914" i="1"/>
  <c r="W914" i="1"/>
  <c r="X914" i="1"/>
  <c r="U915" i="1"/>
  <c r="V915" i="1"/>
  <c r="W915" i="1"/>
  <c r="X915" i="1"/>
  <c r="U916" i="1"/>
  <c r="V916" i="1"/>
  <c r="W916" i="1"/>
  <c r="X916" i="1"/>
  <c r="U917" i="1"/>
  <c r="V917" i="1"/>
  <c r="W917" i="1"/>
  <c r="X917" i="1"/>
  <c r="U918" i="1"/>
  <c r="V918" i="1"/>
  <c r="W918" i="1"/>
  <c r="X918" i="1"/>
  <c r="U919" i="1"/>
  <c r="V919" i="1"/>
  <c r="W919" i="1"/>
  <c r="X919" i="1"/>
  <c r="U920" i="1"/>
  <c r="V920" i="1"/>
  <c r="W920" i="1"/>
  <c r="X920" i="1"/>
  <c r="U921" i="1"/>
  <c r="V921" i="1"/>
  <c r="W921" i="1"/>
  <c r="X921" i="1"/>
  <c r="U922" i="1"/>
  <c r="V922" i="1"/>
  <c r="W922" i="1"/>
  <c r="X922" i="1"/>
  <c r="U923" i="1"/>
  <c r="V923" i="1"/>
  <c r="W923" i="1"/>
  <c r="X923" i="1"/>
  <c r="U924" i="1"/>
  <c r="V924" i="1"/>
  <c r="W924" i="1"/>
  <c r="X924" i="1"/>
  <c r="U925" i="1"/>
  <c r="V925" i="1"/>
  <c r="W925" i="1"/>
  <c r="X925" i="1"/>
  <c r="U926" i="1"/>
  <c r="V926" i="1"/>
  <c r="W926" i="1"/>
  <c r="X926" i="1"/>
  <c r="U927" i="1"/>
  <c r="V927" i="1"/>
  <c r="W927" i="1"/>
  <c r="X927" i="1"/>
  <c r="U928" i="1"/>
  <c r="V928" i="1"/>
  <c r="W928" i="1"/>
  <c r="X928" i="1"/>
  <c r="U929" i="1"/>
  <c r="V929" i="1"/>
  <c r="W929" i="1"/>
  <c r="X929" i="1"/>
  <c r="U930" i="1"/>
  <c r="V930" i="1"/>
  <c r="W930" i="1"/>
  <c r="X930" i="1"/>
  <c r="U931" i="1"/>
  <c r="V931" i="1"/>
  <c r="W931" i="1"/>
  <c r="X931" i="1"/>
  <c r="U932" i="1"/>
  <c r="V932" i="1"/>
  <c r="W932" i="1"/>
  <c r="X932" i="1"/>
  <c r="U933" i="1"/>
  <c r="V933" i="1"/>
  <c r="W933" i="1"/>
  <c r="X933" i="1"/>
  <c r="U934" i="1"/>
  <c r="V934" i="1"/>
  <c r="W934" i="1"/>
  <c r="X934" i="1"/>
  <c r="U935" i="1"/>
  <c r="V935" i="1"/>
  <c r="W935" i="1"/>
  <c r="X935" i="1"/>
  <c r="U936" i="1"/>
  <c r="V936" i="1"/>
  <c r="W936" i="1"/>
  <c r="X936" i="1"/>
  <c r="U937" i="1"/>
  <c r="V937" i="1"/>
  <c r="W937" i="1"/>
  <c r="X937" i="1"/>
  <c r="U938" i="1"/>
  <c r="V938" i="1"/>
  <c r="W938" i="1"/>
  <c r="X938" i="1"/>
  <c r="U939" i="1"/>
  <c r="V939" i="1"/>
  <c r="W939" i="1"/>
  <c r="X939" i="1"/>
  <c r="U940" i="1"/>
  <c r="V940" i="1"/>
  <c r="W940" i="1"/>
  <c r="X940" i="1"/>
  <c r="U941" i="1"/>
  <c r="V941" i="1"/>
  <c r="W941" i="1"/>
  <c r="X941" i="1"/>
  <c r="U942" i="1"/>
  <c r="V942" i="1"/>
  <c r="W942" i="1"/>
  <c r="X942" i="1"/>
  <c r="U943" i="1"/>
  <c r="V943" i="1"/>
  <c r="W943" i="1"/>
  <c r="X943" i="1"/>
  <c r="U944" i="1"/>
  <c r="V944" i="1"/>
  <c r="W944" i="1"/>
  <c r="X944" i="1"/>
  <c r="U945" i="1"/>
  <c r="V945" i="1"/>
  <c r="W945" i="1"/>
  <c r="X945" i="1"/>
  <c r="U946" i="1"/>
  <c r="V946" i="1"/>
  <c r="W946" i="1"/>
  <c r="X946" i="1"/>
  <c r="U947" i="1"/>
  <c r="V947" i="1"/>
  <c r="W947" i="1"/>
  <c r="X947" i="1"/>
  <c r="U948" i="1"/>
  <c r="V948" i="1"/>
  <c r="W948" i="1"/>
  <c r="X948" i="1"/>
  <c r="U949" i="1"/>
  <c r="V949" i="1"/>
  <c r="W949" i="1"/>
  <c r="X949" i="1"/>
  <c r="U950" i="1"/>
  <c r="V950" i="1"/>
  <c r="W950" i="1"/>
  <c r="X950" i="1"/>
  <c r="U951" i="1"/>
  <c r="V951" i="1"/>
  <c r="W951" i="1"/>
  <c r="X951" i="1"/>
  <c r="U952" i="1"/>
  <c r="V952" i="1"/>
  <c r="W952" i="1"/>
  <c r="X952" i="1"/>
  <c r="U953" i="1"/>
  <c r="V953" i="1"/>
  <c r="W953" i="1"/>
  <c r="X953" i="1"/>
  <c r="U954" i="1"/>
  <c r="V954" i="1"/>
  <c r="W954" i="1"/>
  <c r="X954" i="1"/>
  <c r="U955" i="1"/>
  <c r="V955" i="1"/>
  <c r="W955" i="1"/>
  <c r="X955" i="1"/>
  <c r="U956" i="1"/>
  <c r="V956" i="1"/>
  <c r="W956" i="1"/>
  <c r="X956" i="1"/>
  <c r="U957" i="1"/>
  <c r="V957" i="1"/>
  <c r="W957" i="1"/>
  <c r="X957" i="1"/>
  <c r="U958" i="1"/>
  <c r="V958" i="1"/>
  <c r="W958" i="1"/>
  <c r="X958" i="1"/>
  <c r="U959" i="1"/>
  <c r="V959" i="1"/>
  <c r="W959" i="1"/>
  <c r="X959" i="1"/>
  <c r="U960" i="1"/>
  <c r="V960" i="1"/>
  <c r="W960" i="1"/>
  <c r="X960" i="1"/>
  <c r="U961" i="1"/>
  <c r="V961" i="1"/>
  <c r="W961" i="1"/>
  <c r="X961" i="1"/>
  <c r="U962" i="1"/>
  <c r="V962" i="1"/>
  <c r="W962" i="1"/>
  <c r="X962" i="1"/>
  <c r="U963" i="1"/>
  <c r="V963" i="1"/>
  <c r="W963" i="1"/>
  <c r="X963" i="1"/>
  <c r="U964" i="1"/>
  <c r="V964" i="1"/>
  <c r="W964" i="1"/>
  <c r="X964" i="1"/>
  <c r="U965" i="1"/>
  <c r="V965" i="1"/>
  <c r="W965" i="1"/>
  <c r="X965" i="1"/>
  <c r="U966" i="1"/>
  <c r="V966" i="1"/>
  <c r="W966" i="1"/>
  <c r="X966" i="1"/>
  <c r="U967" i="1"/>
  <c r="V967" i="1"/>
  <c r="W967" i="1"/>
  <c r="X967" i="1"/>
  <c r="U968" i="1"/>
  <c r="V968" i="1"/>
  <c r="W968" i="1"/>
  <c r="X968" i="1"/>
  <c r="U969" i="1"/>
  <c r="V969" i="1"/>
  <c r="W969" i="1"/>
  <c r="X969" i="1"/>
  <c r="U970" i="1"/>
  <c r="V970" i="1"/>
  <c r="W970" i="1"/>
  <c r="X970" i="1"/>
  <c r="U971" i="1"/>
  <c r="V971" i="1"/>
  <c r="W971" i="1"/>
  <c r="X971" i="1"/>
  <c r="U972" i="1"/>
  <c r="V972" i="1"/>
  <c r="W972" i="1"/>
  <c r="X972" i="1"/>
  <c r="U973" i="1"/>
  <c r="V973" i="1"/>
  <c r="W973" i="1"/>
  <c r="X973" i="1"/>
  <c r="U974" i="1"/>
  <c r="V974" i="1"/>
  <c r="W974" i="1"/>
  <c r="X974" i="1"/>
  <c r="U975" i="1"/>
  <c r="V975" i="1"/>
  <c r="W975" i="1"/>
  <c r="X975" i="1"/>
  <c r="U976" i="1"/>
  <c r="V976" i="1"/>
  <c r="W976" i="1"/>
  <c r="X976" i="1"/>
  <c r="U977" i="1"/>
  <c r="V977" i="1"/>
  <c r="W977" i="1"/>
  <c r="X977" i="1"/>
  <c r="U978" i="1"/>
  <c r="V978" i="1"/>
  <c r="W978" i="1"/>
  <c r="X978" i="1"/>
  <c r="U979" i="1"/>
  <c r="V979" i="1"/>
  <c r="W979" i="1"/>
  <c r="X979" i="1"/>
  <c r="U980" i="1"/>
  <c r="V980" i="1"/>
  <c r="W980" i="1"/>
  <c r="X980" i="1"/>
  <c r="U981" i="1"/>
  <c r="V981" i="1"/>
  <c r="W981" i="1"/>
  <c r="X981" i="1"/>
  <c r="U982" i="1"/>
  <c r="V982" i="1"/>
  <c r="W982" i="1"/>
  <c r="X982" i="1"/>
  <c r="U983" i="1"/>
  <c r="V983" i="1"/>
  <c r="W983" i="1"/>
  <c r="X983" i="1"/>
  <c r="U984" i="1"/>
  <c r="V984" i="1"/>
  <c r="W984" i="1"/>
  <c r="X984" i="1"/>
  <c r="U985" i="1"/>
  <c r="V985" i="1"/>
  <c r="W985" i="1"/>
  <c r="X985" i="1"/>
  <c r="U986" i="1"/>
  <c r="V986" i="1"/>
  <c r="W986" i="1"/>
  <c r="X986" i="1"/>
  <c r="U987" i="1"/>
  <c r="V987" i="1"/>
  <c r="W987" i="1"/>
  <c r="X987" i="1"/>
  <c r="U988" i="1"/>
  <c r="V988" i="1"/>
  <c r="W988" i="1"/>
  <c r="X988" i="1"/>
  <c r="U989" i="1"/>
  <c r="V989" i="1"/>
  <c r="W989" i="1"/>
  <c r="X989" i="1"/>
  <c r="U990" i="1"/>
  <c r="V990" i="1"/>
  <c r="W990" i="1"/>
  <c r="X990" i="1"/>
  <c r="U991" i="1"/>
  <c r="V991" i="1"/>
  <c r="W991" i="1"/>
  <c r="X991" i="1"/>
  <c r="U992" i="1"/>
  <c r="V992" i="1"/>
  <c r="W992" i="1"/>
  <c r="X992" i="1"/>
  <c r="U993" i="1"/>
  <c r="V993" i="1"/>
  <c r="W993" i="1"/>
  <c r="X993" i="1"/>
  <c r="U994" i="1"/>
  <c r="V994" i="1"/>
  <c r="W994" i="1"/>
  <c r="X994" i="1"/>
  <c r="U995" i="1"/>
  <c r="V995" i="1"/>
  <c r="W995" i="1"/>
  <c r="X995" i="1"/>
  <c r="U996" i="1"/>
  <c r="V996" i="1"/>
  <c r="W996" i="1"/>
  <c r="X996" i="1"/>
  <c r="U997" i="1"/>
  <c r="V997" i="1"/>
  <c r="W997" i="1"/>
  <c r="X997" i="1"/>
  <c r="U998" i="1"/>
  <c r="V998" i="1"/>
  <c r="W998" i="1"/>
  <c r="X998" i="1"/>
  <c r="U999" i="1"/>
  <c r="V999" i="1"/>
  <c r="W999" i="1"/>
  <c r="X999" i="1"/>
  <c r="U1000" i="1"/>
  <c r="V1000" i="1"/>
  <c r="W1000" i="1"/>
  <c r="X1000" i="1"/>
  <c r="U1001" i="1"/>
  <c r="V1001" i="1"/>
  <c r="W1001" i="1"/>
  <c r="X1001" i="1"/>
  <c r="U1002" i="1"/>
  <c r="V1002" i="1"/>
  <c r="W1002" i="1"/>
  <c r="X1002" i="1"/>
  <c r="U1003" i="1"/>
  <c r="V1003" i="1"/>
  <c r="W1003" i="1"/>
  <c r="X1003" i="1"/>
  <c r="U1004" i="1"/>
  <c r="V1004" i="1"/>
  <c r="W1004" i="1"/>
  <c r="X1004" i="1"/>
  <c r="U1005" i="1"/>
  <c r="V1005" i="1"/>
  <c r="W1005" i="1"/>
  <c r="X1005" i="1"/>
  <c r="U1006" i="1"/>
  <c r="V1006" i="1"/>
  <c r="W1006" i="1"/>
  <c r="X1006" i="1"/>
  <c r="U1007" i="1"/>
  <c r="V1007" i="1"/>
  <c r="W1007" i="1"/>
  <c r="X1007" i="1"/>
  <c r="W12" i="1"/>
  <c r="V12" i="1"/>
  <c r="X12" i="1"/>
  <c r="U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2" i="1"/>
  <c r="H13" i="1" l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2" i="1"/>
  <c r="K289" i="1" l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2" i="1"/>
  <c r="I13" i="1"/>
  <c r="K13" i="1" s="1"/>
  <c r="I14" i="1"/>
  <c r="K14" i="1" s="1"/>
  <c r="I15" i="1"/>
  <c r="K15" i="1" s="1"/>
  <c r="I16" i="1"/>
  <c r="K16" i="1" s="1"/>
  <c r="I17" i="1"/>
  <c r="K17" i="1" s="1"/>
  <c r="I18" i="1"/>
  <c r="K18" i="1" s="1"/>
  <c r="I19" i="1"/>
  <c r="K19" i="1" s="1"/>
  <c r="I20" i="1"/>
  <c r="K20" i="1" s="1"/>
  <c r="I21" i="1"/>
  <c r="K21" i="1" s="1"/>
  <c r="I22" i="1"/>
  <c r="K22" i="1" s="1"/>
  <c r="I23" i="1"/>
  <c r="K23" i="1" s="1"/>
  <c r="I24" i="1"/>
  <c r="K24" i="1" s="1"/>
  <c r="I25" i="1"/>
  <c r="K25" i="1" s="1"/>
  <c r="I26" i="1"/>
  <c r="K26" i="1" s="1"/>
  <c r="I27" i="1"/>
  <c r="K27" i="1" s="1"/>
  <c r="I28" i="1"/>
  <c r="K28" i="1" s="1"/>
  <c r="I29" i="1"/>
  <c r="K29" i="1" s="1"/>
  <c r="I30" i="1"/>
  <c r="K30" i="1" s="1"/>
  <c r="I31" i="1"/>
  <c r="K31" i="1" s="1"/>
  <c r="I32" i="1"/>
  <c r="K32" i="1" s="1"/>
  <c r="I33" i="1"/>
  <c r="K33" i="1" s="1"/>
  <c r="I34" i="1"/>
  <c r="K34" i="1" s="1"/>
  <c r="I35" i="1"/>
  <c r="K35" i="1" s="1"/>
  <c r="I36" i="1"/>
  <c r="K36" i="1" s="1"/>
  <c r="I37" i="1"/>
  <c r="K37" i="1" s="1"/>
  <c r="I38" i="1"/>
  <c r="K38" i="1" s="1"/>
  <c r="I39" i="1"/>
  <c r="K39" i="1" s="1"/>
  <c r="I40" i="1"/>
  <c r="K40" i="1" s="1"/>
  <c r="I41" i="1"/>
  <c r="K41" i="1" s="1"/>
  <c r="I42" i="1"/>
  <c r="K42" i="1" s="1"/>
  <c r="I43" i="1"/>
  <c r="K43" i="1" s="1"/>
  <c r="I44" i="1"/>
  <c r="K44" i="1" s="1"/>
  <c r="I45" i="1"/>
  <c r="K45" i="1" s="1"/>
  <c r="I46" i="1"/>
  <c r="K46" i="1" s="1"/>
  <c r="I47" i="1"/>
  <c r="K47" i="1" s="1"/>
  <c r="I48" i="1"/>
  <c r="K48" i="1" s="1"/>
  <c r="I49" i="1"/>
  <c r="K49" i="1" s="1"/>
  <c r="I50" i="1"/>
  <c r="K50" i="1" s="1"/>
  <c r="I51" i="1"/>
  <c r="K51" i="1" s="1"/>
  <c r="I52" i="1"/>
  <c r="K52" i="1" s="1"/>
  <c r="I53" i="1"/>
  <c r="K53" i="1" s="1"/>
  <c r="I54" i="1"/>
  <c r="K54" i="1" s="1"/>
  <c r="I55" i="1"/>
  <c r="K55" i="1" s="1"/>
  <c r="I56" i="1"/>
  <c r="K56" i="1" s="1"/>
  <c r="I57" i="1"/>
  <c r="K57" i="1" s="1"/>
  <c r="I58" i="1"/>
  <c r="K58" i="1" s="1"/>
  <c r="I59" i="1"/>
  <c r="K59" i="1" s="1"/>
  <c r="I60" i="1"/>
  <c r="K60" i="1" s="1"/>
  <c r="I61" i="1"/>
  <c r="K61" i="1" s="1"/>
  <c r="I62" i="1"/>
  <c r="K62" i="1" s="1"/>
  <c r="I63" i="1"/>
  <c r="K63" i="1" s="1"/>
  <c r="I64" i="1"/>
  <c r="K64" i="1" s="1"/>
  <c r="I65" i="1"/>
  <c r="K65" i="1" s="1"/>
  <c r="I66" i="1"/>
  <c r="K66" i="1" s="1"/>
  <c r="I67" i="1"/>
  <c r="K67" i="1" s="1"/>
  <c r="I68" i="1"/>
  <c r="K68" i="1" s="1"/>
  <c r="I69" i="1"/>
  <c r="K69" i="1" s="1"/>
  <c r="I70" i="1"/>
  <c r="K70" i="1" s="1"/>
  <c r="I71" i="1"/>
  <c r="K71" i="1" s="1"/>
  <c r="I72" i="1"/>
  <c r="K72" i="1" s="1"/>
  <c r="I73" i="1"/>
  <c r="K73" i="1" s="1"/>
  <c r="I74" i="1"/>
  <c r="K74" i="1" s="1"/>
  <c r="I75" i="1"/>
  <c r="K75" i="1" s="1"/>
  <c r="I76" i="1"/>
  <c r="K76" i="1" s="1"/>
  <c r="I77" i="1"/>
  <c r="K77" i="1" s="1"/>
  <c r="I78" i="1"/>
  <c r="K78" i="1" s="1"/>
  <c r="I79" i="1"/>
  <c r="K79" i="1" s="1"/>
  <c r="I80" i="1"/>
  <c r="K80" i="1" s="1"/>
  <c r="I81" i="1"/>
  <c r="K81" i="1" s="1"/>
  <c r="I82" i="1"/>
  <c r="K82" i="1" s="1"/>
  <c r="I83" i="1"/>
  <c r="K83" i="1" s="1"/>
  <c r="I84" i="1"/>
  <c r="K84" i="1" s="1"/>
  <c r="I85" i="1"/>
  <c r="K85" i="1" s="1"/>
  <c r="I86" i="1"/>
  <c r="K86" i="1" s="1"/>
  <c r="I87" i="1"/>
  <c r="K87" i="1" s="1"/>
  <c r="I88" i="1"/>
  <c r="K88" i="1" s="1"/>
  <c r="I89" i="1"/>
  <c r="K89" i="1" s="1"/>
  <c r="I90" i="1"/>
  <c r="K90" i="1" s="1"/>
  <c r="I91" i="1"/>
  <c r="K91" i="1" s="1"/>
  <c r="I92" i="1"/>
  <c r="K92" i="1" s="1"/>
  <c r="I93" i="1"/>
  <c r="K93" i="1" s="1"/>
  <c r="I94" i="1"/>
  <c r="K94" i="1" s="1"/>
  <c r="I95" i="1"/>
  <c r="K95" i="1" s="1"/>
  <c r="I96" i="1"/>
  <c r="K96" i="1" s="1"/>
  <c r="I97" i="1"/>
  <c r="K97" i="1" s="1"/>
  <c r="I98" i="1"/>
  <c r="K98" i="1" s="1"/>
  <c r="I99" i="1"/>
  <c r="K99" i="1" s="1"/>
  <c r="I100" i="1"/>
  <c r="K100" i="1" s="1"/>
  <c r="I101" i="1"/>
  <c r="K101" i="1" s="1"/>
  <c r="I102" i="1"/>
  <c r="K102" i="1" s="1"/>
  <c r="I103" i="1"/>
  <c r="K103" i="1" s="1"/>
  <c r="I104" i="1"/>
  <c r="K104" i="1" s="1"/>
  <c r="I105" i="1"/>
  <c r="K105" i="1" s="1"/>
  <c r="I106" i="1"/>
  <c r="K106" i="1" s="1"/>
  <c r="I107" i="1"/>
  <c r="K107" i="1" s="1"/>
  <c r="I108" i="1"/>
  <c r="K108" i="1" s="1"/>
  <c r="I109" i="1"/>
  <c r="K109" i="1" s="1"/>
  <c r="I110" i="1"/>
  <c r="K110" i="1" s="1"/>
  <c r="I111" i="1"/>
  <c r="K111" i="1" s="1"/>
  <c r="I112" i="1"/>
  <c r="K112" i="1" s="1"/>
  <c r="I113" i="1"/>
  <c r="K113" i="1" s="1"/>
  <c r="I114" i="1"/>
  <c r="K114" i="1" s="1"/>
  <c r="I115" i="1"/>
  <c r="K115" i="1" s="1"/>
  <c r="I116" i="1"/>
  <c r="K116" i="1" s="1"/>
  <c r="I117" i="1"/>
  <c r="K117" i="1" s="1"/>
  <c r="I118" i="1"/>
  <c r="K118" i="1" s="1"/>
  <c r="I119" i="1"/>
  <c r="K119" i="1" s="1"/>
  <c r="I120" i="1"/>
  <c r="K120" i="1" s="1"/>
  <c r="I121" i="1"/>
  <c r="K121" i="1" s="1"/>
  <c r="I122" i="1"/>
  <c r="K122" i="1" s="1"/>
  <c r="I123" i="1"/>
  <c r="K123" i="1" s="1"/>
  <c r="I124" i="1"/>
  <c r="K124" i="1" s="1"/>
  <c r="I125" i="1"/>
  <c r="K125" i="1" s="1"/>
  <c r="I126" i="1"/>
  <c r="K126" i="1" s="1"/>
  <c r="I127" i="1"/>
  <c r="K127" i="1" s="1"/>
  <c r="I128" i="1"/>
  <c r="K128" i="1" s="1"/>
  <c r="I129" i="1"/>
  <c r="K129" i="1" s="1"/>
  <c r="I130" i="1"/>
  <c r="K130" i="1" s="1"/>
  <c r="I131" i="1"/>
  <c r="K131" i="1" s="1"/>
  <c r="I132" i="1"/>
  <c r="K132" i="1" s="1"/>
  <c r="I133" i="1"/>
  <c r="K133" i="1" s="1"/>
  <c r="I134" i="1"/>
  <c r="K134" i="1" s="1"/>
  <c r="I135" i="1"/>
  <c r="K135" i="1" s="1"/>
  <c r="I136" i="1"/>
  <c r="K136" i="1" s="1"/>
  <c r="I137" i="1"/>
  <c r="K137" i="1" s="1"/>
  <c r="I138" i="1"/>
  <c r="K138" i="1" s="1"/>
  <c r="I139" i="1"/>
  <c r="K139" i="1" s="1"/>
  <c r="I140" i="1"/>
  <c r="K140" i="1" s="1"/>
  <c r="I141" i="1"/>
  <c r="K141" i="1" s="1"/>
  <c r="I142" i="1"/>
  <c r="K142" i="1" s="1"/>
  <c r="I143" i="1"/>
  <c r="K143" i="1" s="1"/>
  <c r="I144" i="1"/>
  <c r="K144" i="1" s="1"/>
  <c r="I145" i="1"/>
  <c r="K145" i="1" s="1"/>
  <c r="I146" i="1"/>
  <c r="K146" i="1" s="1"/>
  <c r="I147" i="1"/>
  <c r="K147" i="1" s="1"/>
  <c r="I148" i="1"/>
  <c r="K148" i="1" s="1"/>
  <c r="I149" i="1"/>
  <c r="K149" i="1" s="1"/>
  <c r="I150" i="1"/>
  <c r="K150" i="1" s="1"/>
  <c r="I151" i="1"/>
  <c r="K151" i="1" s="1"/>
  <c r="I152" i="1"/>
  <c r="K152" i="1" s="1"/>
  <c r="I153" i="1"/>
  <c r="K153" i="1" s="1"/>
  <c r="I154" i="1"/>
  <c r="K154" i="1" s="1"/>
  <c r="I155" i="1"/>
  <c r="K155" i="1" s="1"/>
  <c r="I156" i="1"/>
  <c r="K156" i="1" s="1"/>
  <c r="I157" i="1"/>
  <c r="K157" i="1" s="1"/>
  <c r="I158" i="1"/>
  <c r="K158" i="1" s="1"/>
  <c r="I159" i="1"/>
  <c r="K159" i="1" s="1"/>
  <c r="I160" i="1"/>
  <c r="K160" i="1" s="1"/>
  <c r="I161" i="1"/>
  <c r="K161" i="1" s="1"/>
  <c r="I162" i="1"/>
  <c r="K162" i="1" s="1"/>
  <c r="I163" i="1"/>
  <c r="K163" i="1" s="1"/>
  <c r="I164" i="1"/>
  <c r="K164" i="1" s="1"/>
  <c r="I165" i="1"/>
  <c r="K165" i="1" s="1"/>
  <c r="I166" i="1"/>
  <c r="K166" i="1" s="1"/>
  <c r="I167" i="1"/>
  <c r="K167" i="1" s="1"/>
  <c r="I168" i="1"/>
  <c r="K168" i="1" s="1"/>
  <c r="I169" i="1"/>
  <c r="K169" i="1" s="1"/>
  <c r="I170" i="1"/>
  <c r="K170" i="1" s="1"/>
  <c r="I171" i="1"/>
  <c r="K171" i="1" s="1"/>
  <c r="I172" i="1"/>
  <c r="K172" i="1" s="1"/>
  <c r="I173" i="1"/>
  <c r="K173" i="1" s="1"/>
  <c r="I174" i="1"/>
  <c r="K174" i="1" s="1"/>
  <c r="I175" i="1"/>
  <c r="K175" i="1" s="1"/>
  <c r="I176" i="1"/>
  <c r="K176" i="1" s="1"/>
  <c r="I177" i="1"/>
  <c r="K177" i="1" s="1"/>
  <c r="I178" i="1"/>
  <c r="K178" i="1" s="1"/>
  <c r="I179" i="1"/>
  <c r="K179" i="1" s="1"/>
  <c r="I180" i="1"/>
  <c r="K180" i="1" s="1"/>
  <c r="I181" i="1"/>
  <c r="K181" i="1" s="1"/>
  <c r="I182" i="1"/>
  <c r="K182" i="1" s="1"/>
  <c r="I183" i="1"/>
  <c r="K183" i="1" s="1"/>
  <c r="I184" i="1"/>
  <c r="K184" i="1" s="1"/>
  <c r="I185" i="1"/>
  <c r="K185" i="1" s="1"/>
  <c r="I186" i="1"/>
  <c r="K186" i="1" s="1"/>
  <c r="I187" i="1"/>
  <c r="K187" i="1" s="1"/>
  <c r="I188" i="1"/>
  <c r="K188" i="1" s="1"/>
  <c r="I189" i="1"/>
  <c r="K189" i="1" s="1"/>
  <c r="I190" i="1"/>
  <c r="K190" i="1" s="1"/>
  <c r="I191" i="1"/>
  <c r="K191" i="1" s="1"/>
  <c r="I192" i="1"/>
  <c r="K192" i="1" s="1"/>
  <c r="I193" i="1"/>
  <c r="K193" i="1" s="1"/>
  <c r="I194" i="1"/>
  <c r="K194" i="1" s="1"/>
  <c r="I195" i="1"/>
  <c r="K195" i="1" s="1"/>
  <c r="I196" i="1"/>
  <c r="K196" i="1" s="1"/>
  <c r="I197" i="1"/>
  <c r="K197" i="1" s="1"/>
  <c r="I198" i="1"/>
  <c r="K198" i="1" s="1"/>
  <c r="I199" i="1"/>
  <c r="K199" i="1" s="1"/>
  <c r="I200" i="1"/>
  <c r="K200" i="1" s="1"/>
  <c r="I201" i="1"/>
  <c r="K201" i="1" s="1"/>
  <c r="I202" i="1"/>
  <c r="K202" i="1" s="1"/>
  <c r="I203" i="1"/>
  <c r="K203" i="1" s="1"/>
  <c r="I204" i="1"/>
  <c r="K204" i="1" s="1"/>
  <c r="I205" i="1"/>
  <c r="K205" i="1" s="1"/>
  <c r="I206" i="1"/>
  <c r="K206" i="1" s="1"/>
  <c r="I207" i="1"/>
  <c r="K207" i="1" s="1"/>
  <c r="I208" i="1"/>
  <c r="K208" i="1" s="1"/>
  <c r="I209" i="1"/>
  <c r="K209" i="1" s="1"/>
  <c r="I210" i="1"/>
  <c r="K210" i="1" s="1"/>
  <c r="I211" i="1"/>
  <c r="K211" i="1" s="1"/>
  <c r="I212" i="1"/>
  <c r="K212" i="1" s="1"/>
  <c r="I213" i="1"/>
  <c r="K213" i="1" s="1"/>
  <c r="I214" i="1"/>
  <c r="K214" i="1" s="1"/>
  <c r="I215" i="1"/>
  <c r="K215" i="1" s="1"/>
  <c r="I216" i="1"/>
  <c r="K216" i="1" s="1"/>
  <c r="I217" i="1"/>
  <c r="K217" i="1" s="1"/>
  <c r="I218" i="1"/>
  <c r="K218" i="1" s="1"/>
  <c r="I219" i="1"/>
  <c r="K219" i="1" s="1"/>
  <c r="I220" i="1"/>
  <c r="K220" i="1" s="1"/>
  <c r="I221" i="1"/>
  <c r="K221" i="1" s="1"/>
  <c r="I222" i="1"/>
  <c r="K222" i="1" s="1"/>
  <c r="I223" i="1"/>
  <c r="K223" i="1" s="1"/>
  <c r="I224" i="1"/>
  <c r="K224" i="1" s="1"/>
  <c r="I225" i="1"/>
  <c r="K225" i="1" s="1"/>
  <c r="I226" i="1"/>
  <c r="K226" i="1" s="1"/>
  <c r="I227" i="1"/>
  <c r="K227" i="1" s="1"/>
  <c r="I228" i="1"/>
  <c r="K228" i="1" s="1"/>
  <c r="I229" i="1"/>
  <c r="K229" i="1" s="1"/>
  <c r="I230" i="1"/>
  <c r="K230" i="1" s="1"/>
  <c r="I231" i="1"/>
  <c r="K231" i="1" s="1"/>
  <c r="I232" i="1"/>
  <c r="K232" i="1" s="1"/>
  <c r="I233" i="1"/>
  <c r="K233" i="1" s="1"/>
  <c r="I234" i="1"/>
  <c r="K234" i="1" s="1"/>
  <c r="I235" i="1"/>
  <c r="K235" i="1" s="1"/>
  <c r="I236" i="1"/>
  <c r="K236" i="1" s="1"/>
  <c r="I237" i="1"/>
  <c r="K237" i="1" s="1"/>
  <c r="I238" i="1"/>
  <c r="K238" i="1" s="1"/>
  <c r="I239" i="1"/>
  <c r="K239" i="1" s="1"/>
  <c r="I240" i="1"/>
  <c r="K240" i="1" s="1"/>
  <c r="I241" i="1"/>
  <c r="K241" i="1" s="1"/>
  <c r="I242" i="1"/>
  <c r="K242" i="1" s="1"/>
  <c r="I243" i="1"/>
  <c r="K243" i="1" s="1"/>
  <c r="I244" i="1"/>
  <c r="K244" i="1" s="1"/>
  <c r="I245" i="1"/>
  <c r="K245" i="1" s="1"/>
  <c r="I246" i="1"/>
  <c r="K246" i="1" s="1"/>
  <c r="I247" i="1"/>
  <c r="K247" i="1" s="1"/>
  <c r="I248" i="1"/>
  <c r="K248" i="1" s="1"/>
  <c r="I249" i="1"/>
  <c r="K249" i="1" s="1"/>
  <c r="I250" i="1"/>
  <c r="K250" i="1" s="1"/>
  <c r="I251" i="1"/>
  <c r="K251" i="1" s="1"/>
  <c r="I252" i="1"/>
  <c r="K252" i="1" s="1"/>
  <c r="I253" i="1"/>
  <c r="K253" i="1" s="1"/>
  <c r="I254" i="1"/>
  <c r="K254" i="1" s="1"/>
  <c r="I255" i="1"/>
  <c r="K255" i="1" s="1"/>
  <c r="I256" i="1"/>
  <c r="K256" i="1" s="1"/>
  <c r="I257" i="1"/>
  <c r="K257" i="1" s="1"/>
  <c r="I258" i="1"/>
  <c r="K258" i="1" s="1"/>
  <c r="I259" i="1"/>
  <c r="K259" i="1" s="1"/>
  <c r="I260" i="1"/>
  <c r="K260" i="1" s="1"/>
  <c r="I261" i="1"/>
  <c r="K261" i="1" s="1"/>
  <c r="I262" i="1"/>
  <c r="K262" i="1" s="1"/>
  <c r="I263" i="1"/>
  <c r="K263" i="1" s="1"/>
  <c r="I264" i="1"/>
  <c r="K264" i="1" s="1"/>
  <c r="I265" i="1"/>
  <c r="K265" i="1" s="1"/>
  <c r="I266" i="1"/>
  <c r="K266" i="1" s="1"/>
  <c r="I267" i="1"/>
  <c r="K267" i="1" s="1"/>
  <c r="I268" i="1"/>
  <c r="K268" i="1" s="1"/>
  <c r="I269" i="1"/>
  <c r="K269" i="1" s="1"/>
  <c r="I270" i="1"/>
  <c r="K270" i="1" s="1"/>
  <c r="I271" i="1"/>
  <c r="K271" i="1" s="1"/>
  <c r="I272" i="1"/>
  <c r="K272" i="1" s="1"/>
  <c r="I273" i="1"/>
  <c r="K273" i="1" s="1"/>
  <c r="I274" i="1"/>
  <c r="K274" i="1" s="1"/>
  <c r="I275" i="1"/>
  <c r="K275" i="1" s="1"/>
  <c r="I276" i="1"/>
  <c r="K276" i="1" s="1"/>
  <c r="I277" i="1"/>
  <c r="K277" i="1" s="1"/>
  <c r="I278" i="1"/>
  <c r="K278" i="1" s="1"/>
  <c r="I279" i="1"/>
  <c r="K279" i="1" s="1"/>
  <c r="I280" i="1"/>
  <c r="K280" i="1" s="1"/>
  <c r="I281" i="1"/>
  <c r="K281" i="1" s="1"/>
  <c r="I282" i="1"/>
  <c r="K282" i="1" s="1"/>
  <c r="I283" i="1"/>
  <c r="K283" i="1" s="1"/>
  <c r="I284" i="1"/>
  <c r="K284" i="1" s="1"/>
  <c r="I285" i="1"/>
  <c r="K285" i="1" s="1"/>
  <c r="I286" i="1"/>
  <c r="K286" i="1" s="1"/>
  <c r="I287" i="1"/>
  <c r="K287" i="1" s="1"/>
  <c r="I288" i="1"/>
  <c r="K288" i="1" s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2" i="1"/>
  <c r="K12" i="1" s="1"/>
  <c r="M13" i="1" l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2" i="1"/>
  <c r="H11" i="1"/>
  <c r="A14" i="1" l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3" i="1"/>
  <c r="A12" i="1"/>
  <c r="F12" i="1"/>
  <c r="AI12" i="1" s="1"/>
  <c r="F13" i="1"/>
  <c r="AI13" i="1" s="1"/>
  <c r="F14" i="1"/>
  <c r="AI14" i="1" s="1"/>
  <c r="F15" i="1"/>
  <c r="AI15" i="1" s="1"/>
  <c r="F16" i="1"/>
  <c r="AI16" i="1" s="1"/>
  <c r="F17" i="1"/>
  <c r="AI17" i="1" s="1"/>
  <c r="F18" i="1"/>
  <c r="AI18" i="1" s="1"/>
  <c r="F19" i="1"/>
  <c r="AI19" i="1" s="1"/>
  <c r="F20" i="1"/>
  <c r="AI20" i="1" s="1"/>
  <c r="F21" i="1"/>
  <c r="AI21" i="1" s="1"/>
  <c r="F22" i="1"/>
  <c r="AI22" i="1" s="1"/>
  <c r="F23" i="1"/>
  <c r="AI23" i="1" s="1"/>
  <c r="F24" i="1"/>
  <c r="AI24" i="1" s="1"/>
  <c r="F25" i="1"/>
  <c r="AI25" i="1" s="1"/>
  <c r="F26" i="1"/>
  <c r="AI26" i="1" s="1"/>
  <c r="F27" i="1"/>
  <c r="AI27" i="1" s="1"/>
  <c r="F28" i="1"/>
  <c r="AI28" i="1" s="1"/>
  <c r="F29" i="1"/>
  <c r="AI29" i="1" s="1"/>
  <c r="F30" i="1"/>
  <c r="AI30" i="1" s="1"/>
  <c r="F31" i="1"/>
  <c r="AI31" i="1" s="1"/>
  <c r="F32" i="1"/>
  <c r="AI32" i="1" s="1"/>
  <c r="F33" i="1"/>
  <c r="AI33" i="1" s="1"/>
  <c r="F34" i="1"/>
  <c r="AI34" i="1" s="1"/>
  <c r="F35" i="1"/>
  <c r="AI35" i="1" s="1"/>
  <c r="F36" i="1"/>
  <c r="AI36" i="1" s="1"/>
  <c r="F37" i="1"/>
  <c r="AI37" i="1" s="1"/>
  <c r="F38" i="1"/>
  <c r="AI38" i="1" s="1"/>
  <c r="F39" i="1"/>
  <c r="AI39" i="1" s="1"/>
  <c r="F40" i="1"/>
  <c r="AI40" i="1" s="1"/>
  <c r="F41" i="1"/>
  <c r="AI41" i="1" s="1"/>
  <c r="F42" i="1"/>
  <c r="AI42" i="1" s="1"/>
  <c r="F43" i="1"/>
  <c r="AI43" i="1" s="1"/>
  <c r="F44" i="1"/>
  <c r="AI44" i="1" s="1"/>
  <c r="F45" i="1"/>
  <c r="AI45" i="1" s="1"/>
  <c r="F46" i="1"/>
  <c r="AI46" i="1" s="1"/>
  <c r="F47" i="1"/>
  <c r="AI47" i="1" s="1"/>
  <c r="F48" i="1"/>
  <c r="AI48" i="1" s="1"/>
  <c r="F49" i="1"/>
  <c r="AI49" i="1" s="1"/>
  <c r="F50" i="1"/>
  <c r="AI50" i="1" s="1"/>
  <c r="F51" i="1"/>
  <c r="AI51" i="1" s="1"/>
  <c r="F52" i="1"/>
  <c r="AI52" i="1" s="1"/>
  <c r="F53" i="1"/>
  <c r="AI53" i="1" s="1"/>
  <c r="F54" i="1"/>
  <c r="AI54" i="1" s="1"/>
  <c r="F55" i="1"/>
  <c r="AI55" i="1" s="1"/>
  <c r="F56" i="1"/>
  <c r="AI56" i="1" s="1"/>
  <c r="F57" i="1"/>
  <c r="AI57" i="1" s="1"/>
  <c r="F58" i="1"/>
  <c r="AI58" i="1" s="1"/>
  <c r="F59" i="1"/>
  <c r="AI59" i="1" s="1"/>
  <c r="F60" i="1"/>
  <c r="AI60" i="1" s="1"/>
  <c r="F61" i="1"/>
  <c r="AI61" i="1" s="1"/>
  <c r="F62" i="1"/>
  <c r="AI62" i="1" s="1"/>
  <c r="F63" i="1"/>
  <c r="AI63" i="1" s="1"/>
  <c r="F64" i="1"/>
  <c r="AI64" i="1" s="1"/>
  <c r="F65" i="1"/>
  <c r="AI65" i="1" s="1"/>
  <c r="F66" i="1"/>
  <c r="AI66" i="1" s="1"/>
  <c r="F67" i="1"/>
  <c r="AI67" i="1" s="1"/>
  <c r="F68" i="1"/>
  <c r="AI68" i="1" s="1"/>
  <c r="F69" i="1"/>
  <c r="AI69" i="1" s="1"/>
  <c r="F70" i="1"/>
  <c r="AI70" i="1" s="1"/>
  <c r="F71" i="1"/>
  <c r="AI71" i="1" s="1"/>
  <c r="F72" i="1"/>
  <c r="AI72" i="1" s="1"/>
  <c r="F73" i="1"/>
  <c r="AI73" i="1" s="1"/>
  <c r="F74" i="1"/>
  <c r="AI74" i="1" s="1"/>
  <c r="F75" i="1"/>
  <c r="AI75" i="1" s="1"/>
  <c r="F76" i="1"/>
  <c r="AI76" i="1" s="1"/>
  <c r="F77" i="1"/>
  <c r="AI77" i="1" s="1"/>
  <c r="F78" i="1"/>
  <c r="AI78" i="1" s="1"/>
  <c r="F79" i="1"/>
  <c r="AI79" i="1" s="1"/>
  <c r="F80" i="1"/>
  <c r="AI80" i="1" s="1"/>
  <c r="F81" i="1"/>
  <c r="AI81" i="1" s="1"/>
  <c r="F82" i="1"/>
  <c r="AI82" i="1" s="1"/>
  <c r="F83" i="1"/>
  <c r="AI83" i="1" s="1"/>
  <c r="F84" i="1"/>
  <c r="AI84" i="1" s="1"/>
  <c r="F85" i="1"/>
  <c r="AI85" i="1" s="1"/>
  <c r="F86" i="1"/>
  <c r="AI86" i="1" s="1"/>
  <c r="F87" i="1"/>
  <c r="AI87" i="1" s="1"/>
  <c r="F88" i="1"/>
  <c r="AI88" i="1" s="1"/>
  <c r="F89" i="1"/>
  <c r="AI89" i="1" s="1"/>
  <c r="F90" i="1"/>
  <c r="AI90" i="1" s="1"/>
  <c r="F91" i="1"/>
  <c r="AI91" i="1" s="1"/>
  <c r="F92" i="1"/>
  <c r="AI92" i="1" s="1"/>
  <c r="F93" i="1"/>
  <c r="AI93" i="1" s="1"/>
  <c r="F94" i="1"/>
  <c r="AI94" i="1" s="1"/>
  <c r="F95" i="1"/>
  <c r="AI95" i="1" s="1"/>
  <c r="F96" i="1"/>
  <c r="AI96" i="1" s="1"/>
  <c r="F97" i="1"/>
  <c r="AI97" i="1" s="1"/>
  <c r="F98" i="1"/>
  <c r="AI98" i="1" s="1"/>
  <c r="F99" i="1"/>
  <c r="AI99" i="1" s="1"/>
  <c r="F100" i="1"/>
  <c r="AI100" i="1" s="1"/>
  <c r="F101" i="1"/>
  <c r="AI101" i="1" s="1"/>
  <c r="F102" i="1"/>
  <c r="AI102" i="1" s="1"/>
  <c r="F103" i="1"/>
  <c r="AI103" i="1" s="1"/>
  <c r="F104" i="1"/>
  <c r="AI104" i="1" s="1"/>
  <c r="F105" i="1"/>
  <c r="AI105" i="1" s="1"/>
  <c r="F106" i="1"/>
  <c r="AI106" i="1" s="1"/>
  <c r="F107" i="1"/>
  <c r="AI107" i="1" s="1"/>
  <c r="F108" i="1"/>
  <c r="AI108" i="1" s="1"/>
  <c r="F109" i="1"/>
  <c r="AI109" i="1" s="1"/>
  <c r="F110" i="1"/>
  <c r="AI110" i="1" s="1"/>
  <c r="F111" i="1"/>
  <c r="AI111" i="1" s="1"/>
  <c r="F112" i="1"/>
  <c r="AI112" i="1" s="1"/>
  <c r="F113" i="1"/>
  <c r="AI113" i="1" s="1"/>
  <c r="F114" i="1"/>
  <c r="AI114" i="1" s="1"/>
  <c r="F115" i="1"/>
  <c r="AI115" i="1" s="1"/>
  <c r="F116" i="1"/>
  <c r="AI116" i="1" s="1"/>
  <c r="F117" i="1"/>
  <c r="AI117" i="1" s="1"/>
  <c r="F118" i="1"/>
  <c r="AI118" i="1" s="1"/>
  <c r="F119" i="1"/>
  <c r="AI119" i="1" s="1"/>
  <c r="F120" i="1"/>
  <c r="AI120" i="1" s="1"/>
  <c r="F121" i="1"/>
  <c r="AI121" i="1" s="1"/>
  <c r="F122" i="1"/>
  <c r="AI122" i="1" s="1"/>
  <c r="F123" i="1"/>
  <c r="AI123" i="1" s="1"/>
  <c r="F124" i="1"/>
  <c r="AI124" i="1" s="1"/>
  <c r="F125" i="1"/>
  <c r="AI125" i="1" s="1"/>
  <c r="F126" i="1"/>
  <c r="AI126" i="1" s="1"/>
  <c r="F127" i="1"/>
  <c r="AI127" i="1" s="1"/>
  <c r="F128" i="1"/>
  <c r="AI128" i="1" s="1"/>
  <c r="F129" i="1"/>
  <c r="AI129" i="1" s="1"/>
  <c r="F130" i="1"/>
  <c r="AI130" i="1" s="1"/>
  <c r="F131" i="1"/>
  <c r="AI131" i="1" s="1"/>
  <c r="F132" i="1"/>
  <c r="AI132" i="1" s="1"/>
  <c r="F133" i="1"/>
  <c r="AI133" i="1" s="1"/>
  <c r="F134" i="1"/>
  <c r="AI134" i="1" s="1"/>
  <c r="F135" i="1"/>
  <c r="AI135" i="1" s="1"/>
  <c r="F136" i="1"/>
  <c r="AI136" i="1" s="1"/>
  <c r="F137" i="1"/>
  <c r="AI137" i="1" s="1"/>
  <c r="F138" i="1"/>
  <c r="AI138" i="1" s="1"/>
  <c r="F139" i="1"/>
  <c r="AI139" i="1" s="1"/>
  <c r="F140" i="1"/>
  <c r="AI140" i="1" s="1"/>
  <c r="F141" i="1"/>
  <c r="AI141" i="1" s="1"/>
  <c r="F142" i="1"/>
  <c r="AI142" i="1" s="1"/>
  <c r="F143" i="1"/>
  <c r="AI143" i="1" s="1"/>
  <c r="F144" i="1"/>
  <c r="AI144" i="1" s="1"/>
  <c r="F145" i="1"/>
  <c r="AI145" i="1" s="1"/>
  <c r="F146" i="1"/>
  <c r="AI146" i="1" s="1"/>
  <c r="F147" i="1"/>
  <c r="AI147" i="1" s="1"/>
  <c r="F148" i="1"/>
  <c r="AI148" i="1" s="1"/>
  <c r="F149" i="1"/>
  <c r="AI149" i="1" s="1"/>
  <c r="F150" i="1"/>
  <c r="AI150" i="1" s="1"/>
  <c r="F151" i="1"/>
  <c r="AI151" i="1" s="1"/>
  <c r="F152" i="1"/>
  <c r="AI152" i="1" s="1"/>
  <c r="F153" i="1"/>
  <c r="AI153" i="1" s="1"/>
  <c r="F154" i="1"/>
  <c r="AI154" i="1" s="1"/>
  <c r="F155" i="1"/>
  <c r="AI155" i="1" s="1"/>
  <c r="F156" i="1"/>
  <c r="AI156" i="1" s="1"/>
  <c r="F157" i="1"/>
  <c r="AI157" i="1" s="1"/>
  <c r="F158" i="1"/>
  <c r="AI158" i="1" s="1"/>
  <c r="F159" i="1"/>
  <c r="AI159" i="1" s="1"/>
  <c r="F160" i="1"/>
  <c r="AI160" i="1" s="1"/>
  <c r="F161" i="1"/>
  <c r="AI161" i="1" s="1"/>
  <c r="F162" i="1"/>
  <c r="AI162" i="1" s="1"/>
  <c r="F163" i="1"/>
  <c r="AI163" i="1" s="1"/>
  <c r="F164" i="1"/>
  <c r="AI164" i="1" s="1"/>
  <c r="F165" i="1"/>
  <c r="AI165" i="1" s="1"/>
  <c r="F166" i="1"/>
  <c r="AI166" i="1" s="1"/>
  <c r="F167" i="1"/>
  <c r="AI167" i="1" s="1"/>
  <c r="F168" i="1"/>
  <c r="AI168" i="1" s="1"/>
  <c r="F169" i="1"/>
  <c r="AI169" i="1" s="1"/>
  <c r="F170" i="1"/>
  <c r="AI170" i="1" s="1"/>
  <c r="F171" i="1"/>
  <c r="AI171" i="1" s="1"/>
  <c r="F172" i="1"/>
  <c r="AI172" i="1" s="1"/>
  <c r="F173" i="1"/>
  <c r="AI173" i="1" s="1"/>
  <c r="F174" i="1"/>
  <c r="AI174" i="1" s="1"/>
  <c r="F175" i="1"/>
  <c r="AI175" i="1" s="1"/>
  <c r="F176" i="1"/>
  <c r="AI176" i="1" s="1"/>
  <c r="F177" i="1"/>
  <c r="AI177" i="1" s="1"/>
  <c r="F178" i="1"/>
  <c r="AI178" i="1" s="1"/>
  <c r="F179" i="1"/>
  <c r="AI179" i="1" s="1"/>
  <c r="F180" i="1"/>
  <c r="AI180" i="1" s="1"/>
  <c r="F181" i="1"/>
  <c r="AI181" i="1" s="1"/>
  <c r="F182" i="1"/>
  <c r="AI182" i="1" s="1"/>
  <c r="F183" i="1"/>
  <c r="AI183" i="1" s="1"/>
  <c r="F184" i="1"/>
  <c r="AI184" i="1" s="1"/>
  <c r="F185" i="1"/>
  <c r="AI185" i="1" s="1"/>
  <c r="F186" i="1"/>
  <c r="AI186" i="1" s="1"/>
  <c r="F187" i="1"/>
  <c r="AI187" i="1" s="1"/>
  <c r="F188" i="1"/>
  <c r="AI188" i="1" s="1"/>
  <c r="F189" i="1"/>
  <c r="AI189" i="1" s="1"/>
  <c r="F190" i="1"/>
  <c r="AI190" i="1" s="1"/>
  <c r="F191" i="1"/>
  <c r="AI191" i="1" s="1"/>
  <c r="F192" i="1"/>
  <c r="AI192" i="1" s="1"/>
  <c r="F193" i="1"/>
  <c r="AI193" i="1" s="1"/>
  <c r="F194" i="1"/>
  <c r="AI194" i="1" s="1"/>
  <c r="F195" i="1"/>
  <c r="AI195" i="1" s="1"/>
  <c r="F196" i="1"/>
  <c r="AI196" i="1" s="1"/>
  <c r="F197" i="1"/>
  <c r="AI197" i="1" s="1"/>
  <c r="F198" i="1"/>
  <c r="AI198" i="1" s="1"/>
  <c r="F199" i="1"/>
  <c r="AI199" i="1" s="1"/>
  <c r="F200" i="1"/>
  <c r="AI200" i="1" s="1"/>
  <c r="F201" i="1"/>
  <c r="AI201" i="1" s="1"/>
  <c r="F202" i="1"/>
  <c r="AI202" i="1" s="1"/>
  <c r="F203" i="1"/>
  <c r="AI203" i="1" s="1"/>
  <c r="F204" i="1"/>
  <c r="AI204" i="1" s="1"/>
  <c r="F205" i="1"/>
  <c r="AI205" i="1" s="1"/>
  <c r="F206" i="1"/>
  <c r="AI206" i="1" s="1"/>
  <c r="F207" i="1"/>
  <c r="AI207" i="1" s="1"/>
  <c r="F208" i="1"/>
  <c r="AI208" i="1" s="1"/>
  <c r="F209" i="1"/>
  <c r="AI209" i="1" s="1"/>
  <c r="F210" i="1"/>
  <c r="AI210" i="1" s="1"/>
  <c r="F211" i="1"/>
  <c r="AI211" i="1" s="1"/>
  <c r="F212" i="1"/>
  <c r="AI212" i="1" s="1"/>
  <c r="F213" i="1"/>
  <c r="AI213" i="1" s="1"/>
  <c r="F214" i="1"/>
  <c r="AI214" i="1" s="1"/>
  <c r="F215" i="1"/>
  <c r="AI215" i="1" s="1"/>
  <c r="F216" i="1"/>
  <c r="AI216" i="1" s="1"/>
  <c r="F217" i="1"/>
  <c r="AI217" i="1" s="1"/>
  <c r="F218" i="1"/>
  <c r="AI218" i="1" s="1"/>
  <c r="F219" i="1"/>
  <c r="AI219" i="1" s="1"/>
  <c r="F220" i="1"/>
  <c r="AI220" i="1" s="1"/>
  <c r="F221" i="1"/>
  <c r="AI221" i="1" s="1"/>
  <c r="F222" i="1"/>
  <c r="AI222" i="1" s="1"/>
  <c r="F223" i="1"/>
  <c r="AI223" i="1" s="1"/>
  <c r="F224" i="1"/>
  <c r="AI224" i="1" s="1"/>
  <c r="F225" i="1"/>
  <c r="AI225" i="1" s="1"/>
  <c r="F226" i="1"/>
  <c r="AI226" i="1" s="1"/>
  <c r="F227" i="1"/>
  <c r="AI227" i="1" s="1"/>
  <c r="F228" i="1"/>
  <c r="AI228" i="1" s="1"/>
  <c r="F229" i="1"/>
  <c r="AI229" i="1" s="1"/>
  <c r="F230" i="1"/>
  <c r="AI230" i="1" s="1"/>
  <c r="F231" i="1"/>
  <c r="AI231" i="1" s="1"/>
  <c r="F232" i="1"/>
  <c r="AI232" i="1" s="1"/>
  <c r="F233" i="1"/>
  <c r="AI233" i="1" s="1"/>
  <c r="F234" i="1"/>
  <c r="AI234" i="1" s="1"/>
  <c r="F235" i="1"/>
  <c r="AI235" i="1" s="1"/>
  <c r="F236" i="1"/>
  <c r="AI236" i="1" s="1"/>
  <c r="F237" i="1"/>
  <c r="AI237" i="1" s="1"/>
  <c r="F238" i="1"/>
  <c r="AI238" i="1" s="1"/>
  <c r="F239" i="1"/>
  <c r="AI239" i="1" s="1"/>
  <c r="F240" i="1"/>
  <c r="AI240" i="1" s="1"/>
  <c r="F241" i="1"/>
  <c r="AI241" i="1" s="1"/>
  <c r="F242" i="1"/>
  <c r="AI242" i="1" s="1"/>
  <c r="F243" i="1"/>
  <c r="AI243" i="1" s="1"/>
  <c r="F244" i="1"/>
  <c r="AI244" i="1" s="1"/>
  <c r="F245" i="1"/>
  <c r="AI245" i="1" s="1"/>
  <c r="F246" i="1"/>
  <c r="AI246" i="1" s="1"/>
  <c r="F247" i="1"/>
  <c r="AI247" i="1" s="1"/>
  <c r="F248" i="1"/>
  <c r="AI248" i="1" s="1"/>
  <c r="F249" i="1"/>
  <c r="AI249" i="1" s="1"/>
  <c r="F250" i="1"/>
  <c r="AI250" i="1" s="1"/>
  <c r="F251" i="1"/>
  <c r="AI251" i="1" s="1"/>
  <c r="F252" i="1"/>
  <c r="AI252" i="1" s="1"/>
  <c r="F253" i="1"/>
  <c r="AI253" i="1" s="1"/>
  <c r="F254" i="1"/>
  <c r="AI254" i="1" s="1"/>
  <c r="F255" i="1"/>
  <c r="AI255" i="1" s="1"/>
  <c r="F256" i="1"/>
  <c r="AI256" i="1" s="1"/>
  <c r="F257" i="1"/>
  <c r="AI257" i="1" s="1"/>
  <c r="F258" i="1"/>
  <c r="AI258" i="1" s="1"/>
  <c r="F259" i="1"/>
  <c r="AI259" i="1" s="1"/>
  <c r="F260" i="1"/>
  <c r="AI260" i="1" s="1"/>
  <c r="F261" i="1"/>
  <c r="AI261" i="1" s="1"/>
  <c r="F262" i="1"/>
  <c r="AI262" i="1" s="1"/>
  <c r="F263" i="1"/>
  <c r="AI263" i="1" s="1"/>
  <c r="F264" i="1"/>
  <c r="AI264" i="1" s="1"/>
  <c r="F265" i="1"/>
  <c r="AI265" i="1" s="1"/>
  <c r="F266" i="1"/>
  <c r="AI266" i="1" s="1"/>
  <c r="F267" i="1"/>
  <c r="AI267" i="1" s="1"/>
  <c r="F268" i="1"/>
  <c r="AI268" i="1" s="1"/>
  <c r="F269" i="1"/>
  <c r="AI269" i="1" s="1"/>
  <c r="F270" i="1"/>
  <c r="AI270" i="1" s="1"/>
  <c r="F271" i="1"/>
  <c r="AI271" i="1" s="1"/>
  <c r="F272" i="1"/>
  <c r="AI272" i="1" s="1"/>
  <c r="F273" i="1"/>
  <c r="AI273" i="1" s="1"/>
  <c r="F274" i="1"/>
  <c r="AI274" i="1" s="1"/>
  <c r="F275" i="1"/>
  <c r="AI275" i="1" s="1"/>
  <c r="F276" i="1"/>
  <c r="AI276" i="1" s="1"/>
  <c r="F277" i="1"/>
  <c r="AI277" i="1" s="1"/>
  <c r="F278" i="1"/>
  <c r="AI278" i="1" s="1"/>
  <c r="F279" i="1"/>
  <c r="AI279" i="1" s="1"/>
  <c r="F280" i="1"/>
  <c r="AI280" i="1" s="1"/>
  <c r="F281" i="1"/>
  <c r="AI281" i="1" s="1"/>
  <c r="F282" i="1"/>
  <c r="AI282" i="1" s="1"/>
  <c r="F283" i="1"/>
  <c r="AI283" i="1" s="1"/>
  <c r="F284" i="1"/>
  <c r="AI284" i="1" s="1"/>
  <c r="F285" i="1"/>
  <c r="AI285" i="1" s="1"/>
  <c r="F286" i="1"/>
  <c r="AI286" i="1" s="1"/>
  <c r="F287" i="1"/>
  <c r="AI287" i="1" s="1"/>
  <c r="F288" i="1"/>
  <c r="AI288" i="1" s="1"/>
  <c r="F289" i="1"/>
  <c r="AI289" i="1" s="1"/>
  <c r="F290" i="1"/>
  <c r="AI290" i="1" s="1"/>
  <c r="F291" i="1"/>
  <c r="AI291" i="1" s="1"/>
  <c r="F292" i="1"/>
  <c r="AI292" i="1" s="1"/>
  <c r="F293" i="1"/>
  <c r="AI293" i="1" s="1"/>
  <c r="F294" i="1"/>
  <c r="AI294" i="1" s="1"/>
  <c r="F295" i="1"/>
  <c r="AI295" i="1" s="1"/>
  <c r="F296" i="1"/>
  <c r="AI296" i="1" s="1"/>
  <c r="F297" i="1"/>
  <c r="AI297" i="1" s="1"/>
  <c r="F298" i="1"/>
  <c r="AI298" i="1" s="1"/>
  <c r="F299" i="1"/>
  <c r="AI299" i="1" s="1"/>
  <c r="F300" i="1"/>
  <c r="AI300" i="1" s="1"/>
  <c r="F301" i="1"/>
  <c r="AI301" i="1" s="1"/>
  <c r="F302" i="1"/>
  <c r="AI302" i="1" s="1"/>
  <c r="F303" i="1"/>
  <c r="AI303" i="1" s="1"/>
  <c r="F304" i="1"/>
  <c r="AI304" i="1" s="1"/>
  <c r="F305" i="1"/>
  <c r="AI305" i="1" s="1"/>
  <c r="F306" i="1"/>
  <c r="AI306" i="1" s="1"/>
  <c r="F307" i="1"/>
  <c r="AI307" i="1" s="1"/>
  <c r="F308" i="1"/>
  <c r="AI308" i="1" s="1"/>
  <c r="F309" i="1"/>
  <c r="AI309" i="1" s="1"/>
  <c r="F310" i="1"/>
  <c r="AI310" i="1" s="1"/>
  <c r="F311" i="1"/>
  <c r="AI311" i="1" s="1"/>
  <c r="F312" i="1"/>
  <c r="AI312" i="1" s="1"/>
  <c r="F313" i="1"/>
  <c r="AI313" i="1" s="1"/>
  <c r="F314" i="1"/>
  <c r="AI314" i="1" s="1"/>
  <c r="F315" i="1"/>
  <c r="AI315" i="1" s="1"/>
  <c r="F316" i="1"/>
  <c r="AI316" i="1" s="1"/>
  <c r="F317" i="1"/>
  <c r="AI317" i="1" s="1"/>
  <c r="F318" i="1"/>
  <c r="AI318" i="1" s="1"/>
  <c r="F319" i="1"/>
  <c r="AI319" i="1" s="1"/>
  <c r="F320" i="1"/>
  <c r="AI320" i="1" s="1"/>
  <c r="F321" i="1"/>
  <c r="AI321" i="1" s="1"/>
  <c r="F322" i="1"/>
  <c r="AI322" i="1" s="1"/>
  <c r="F323" i="1"/>
  <c r="AI323" i="1" s="1"/>
  <c r="F324" i="1"/>
  <c r="AI324" i="1" s="1"/>
  <c r="F325" i="1"/>
  <c r="AI325" i="1" s="1"/>
  <c r="F326" i="1"/>
  <c r="AI326" i="1" s="1"/>
  <c r="F327" i="1"/>
  <c r="AI327" i="1" s="1"/>
  <c r="F328" i="1"/>
  <c r="AI328" i="1" s="1"/>
  <c r="F329" i="1"/>
  <c r="AI329" i="1" s="1"/>
  <c r="F330" i="1"/>
  <c r="AI330" i="1" s="1"/>
  <c r="F331" i="1"/>
  <c r="AI331" i="1" s="1"/>
  <c r="F332" i="1"/>
  <c r="AI332" i="1" s="1"/>
  <c r="F333" i="1"/>
  <c r="AI333" i="1" s="1"/>
  <c r="F334" i="1"/>
  <c r="AI334" i="1" s="1"/>
  <c r="F335" i="1"/>
  <c r="AI335" i="1" s="1"/>
  <c r="F336" i="1"/>
  <c r="AI336" i="1" s="1"/>
  <c r="F337" i="1"/>
  <c r="AI337" i="1" s="1"/>
  <c r="F338" i="1"/>
  <c r="AI338" i="1" s="1"/>
  <c r="F339" i="1"/>
  <c r="AI339" i="1" s="1"/>
  <c r="F340" i="1"/>
  <c r="AI340" i="1" s="1"/>
  <c r="F341" i="1"/>
  <c r="AI341" i="1" s="1"/>
  <c r="F342" i="1"/>
  <c r="AI342" i="1" s="1"/>
  <c r="F343" i="1"/>
  <c r="AI343" i="1" s="1"/>
  <c r="F344" i="1"/>
  <c r="AI344" i="1" s="1"/>
  <c r="F345" i="1"/>
  <c r="AI345" i="1" s="1"/>
  <c r="F346" i="1"/>
  <c r="AI346" i="1" s="1"/>
  <c r="F347" i="1"/>
  <c r="AI347" i="1" s="1"/>
  <c r="F348" i="1"/>
  <c r="AI348" i="1" s="1"/>
  <c r="F349" i="1"/>
  <c r="AI349" i="1" s="1"/>
  <c r="F350" i="1"/>
  <c r="AI350" i="1" s="1"/>
  <c r="F351" i="1"/>
  <c r="AI351" i="1" s="1"/>
  <c r="F352" i="1"/>
  <c r="AI352" i="1" s="1"/>
  <c r="F353" i="1"/>
  <c r="AI353" i="1" s="1"/>
  <c r="F354" i="1"/>
  <c r="AI354" i="1" s="1"/>
  <c r="F355" i="1"/>
  <c r="AI355" i="1" s="1"/>
  <c r="F356" i="1"/>
  <c r="AI356" i="1" s="1"/>
  <c r="F357" i="1"/>
  <c r="AI357" i="1" s="1"/>
  <c r="F358" i="1"/>
  <c r="AI358" i="1" s="1"/>
  <c r="F359" i="1"/>
  <c r="AI359" i="1" s="1"/>
  <c r="F360" i="1"/>
  <c r="AI360" i="1" s="1"/>
  <c r="F361" i="1"/>
  <c r="AI361" i="1" s="1"/>
  <c r="F362" i="1"/>
  <c r="AI362" i="1" s="1"/>
  <c r="F363" i="1"/>
  <c r="AI363" i="1" s="1"/>
  <c r="F364" i="1"/>
  <c r="AI364" i="1" s="1"/>
  <c r="F365" i="1"/>
  <c r="AI365" i="1" s="1"/>
  <c r="F366" i="1"/>
  <c r="AI366" i="1" s="1"/>
  <c r="F367" i="1"/>
  <c r="AI367" i="1" s="1"/>
  <c r="F368" i="1"/>
  <c r="AI368" i="1" s="1"/>
  <c r="F369" i="1"/>
  <c r="AI369" i="1" s="1"/>
  <c r="F370" i="1"/>
  <c r="AI370" i="1" s="1"/>
  <c r="F371" i="1"/>
  <c r="AI371" i="1" s="1"/>
  <c r="F372" i="1"/>
  <c r="AI372" i="1" s="1"/>
  <c r="F373" i="1"/>
  <c r="AI373" i="1" s="1"/>
  <c r="F374" i="1"/>
  <c r="AI374" i="1" s="1"/>
  <c r="F375" i="1"/>
  <c r="AI375" i="1" s="1"/>
  <c r="F376" i="1"/>
  <c r="AI376" i="1" s="1"/>
  <c r="F377" i="1"/>
  <c r="AI377" i="1" s="1"/>
  <c r="F378" i="1"/>
  <c r="AI378" i="1" s="1"/>
  <c r="F379" i="1"/>
  <c r="AI379" i="1" s="1"/>
  <c r="F380" i="1"/>
  <c r="AI380" i="1" s="1"/>
  <c r="F381" i="1"/>
  <c r="AI381" i="1" s="1"/>
  <c r="F382" i="1"/>
  <c r="AI382" i="1" s="1"/>
  <c r="F383" i="1"/>
  <c r="AI383" i="1" s="1"/>
  <c r="F384" i="1"/>
  <c r="AI384" i="1" s="1"/>
  <c r="F385" i="1"/>
  <c r="AI385" i="1" s="1"/>
  <c r="F386" i="1"/>
  <c r="AI386" i="1" s="1"/>
  <c r="F387" i="1"/>
  <c r="AI387" i="1" s="1"/>
  <c r="F388" i="1"/>
  <c r="AI388" i="1" s="1"/>
  <c r="F389" i="1"/>
  <c r="AI389" i="1" s="1"/>
  <c r="F390" i="1"/>
  <c r="AI390" i="1" s="1"/>
  <c r="F391" i="1"/>
  <c r="AI391" i="1" s="1"/>
  <c r="F392" i="1"/>
  <c r="AI392" i="1" s="1"/>
  <c r="F393" i="1"/>
  <c r="AI393" i="1" s="1"/>
  <c r="F394" i="1"/>
  <c r="AI394" i="1" s="1"/>
  <c r="F395" i="1"/>
  <c r="AI395" i="1" s="1"/>
  <c r="F396" i="1"/>
  <c r="AI396" i="1" s="1"/>
  <c r="F397" i="1"/>
  <c r="AI397" i="1" s="1"/>
  <c r="F398" i="1"/>
  <c r="AI398" i="1" s="1"/>
  <c r="F399" i="1"/>
  <c r="AI399" i="1" s="1"/>
  <c r="F400" i="1"/>
  <c r="AI400" i="1" s="1"/>
  <c r="F401" i="1"/>
  <c r="AI401" i="1" s="1"/>
  <c r="F402" i="1"/>
  <c r="AI402" i="1" s="1"/>
  <c r="F403" i="1"/>
  <c r="AI403" i="1" s="1"/>
  <c r="F404" i="1"/>
  <c r="AI404" i="1" s="1"/>
  <c r="F405" i="1"/>
  <c r="AI405" i="1" s="1"/>
  <c r="F406" i="1"/>
  <c r="AI406" i="1" s="1"/>
  <c r="F407" i="1"/>
  <c r="AI407" i="1" s="1"/>
  <c r="F408" i="1"/>
  <c r="AI408" i="1" s="1"/>
  <c r="F409" i="1"/>
  <c r="AI409" i="1" s="1"/>
  <c r="F410" i="1"/>
  <c r="AI410" i="1" s="1"/>
  <c r="F411" i="1"/>
  <c r="AI411" i="1" s="1"/>
  <c r="F412" i="1"/>
  <c r="AI412" i="1" s="1"/>
  <c r="F413" i="1"/>
  <c r="AI413" i="1" s="1"/>
  <c r="F414" i="1"/>
  <c r="AI414" i="1" s="1"/>
  <c r="F415" i="1"/>
  <c r="AI415" i="1" s="1"/>
  <c r="F416" i="1"/>
  <c r="AI416" i="1" s="1"/>
  <c r="F417" i="1"/>
  <c r="AI417" i="1" s="1"/>
  <c r="F418" i="1"/>
  <c r="AI418" i="1" s="1"/>
  <c r="F419" i="1"/>
  <c r="AI419" i="1" s="1"/>
  <c r="F420" i="1"/>
  <c r="AI420" i="1" s="1"/>
  <c r="F421" i="1"/>
  <c r="AI421" i="1" s="1"/>
  <c r="F422" i="1"/>
  <c r="AI422" i="1" s="1"/>
  <c r="F423" i="1"/>
  <c r="AI423" i="1" s="1"/>
  <c r="F424" i="1"/>
  <c r="AI424" i="1" s="1"/>
  <c r="F425" i="1"/>
  <c r="AI425" i="1" s="1"/>
  <c r="F426" i="1"/>
  <c r="AI426" i="1" s="1"/>
  <c r="F427" i="1"/>
  <c r="AI427" i="1" s="1"/>
  <c r="F428" i="1"/>
  <c r="AI428" i="1" s="1"/>
  <c r="F429" i="1"/>
  <c r="AI429" i="1" s="1"/>
  <c r="F430" i="1"/>
  <c r="AI430" i="1" s="1"/>
  <c r="F431" i="1"/>
  <c r="AI431" i="1" s="1"/>
  <c r="F432" i="1"/>
  <c r="AI432" i="1" s="1"/>
  <c r="F433" i="1"/>
  <c r="AI433" i="1" s="1"/>
  <c r="F434" i="1"/>
  <c r="AI434" i="1" s="1"/>
  <c r="F435" i="1"/>
  <c r="AI435" i="1" s="1"/>
  <c r="F436" i="1"/>
  <c r="AI436" i="1" s="1"/>
  <c r="F437" i="1"/>
  <c r="AI437" i="1" s="1"/>
  <c r="F438" i="1"/>
  <c r="AI438" i="1" s="1"/>
  <c r="F439" i="1"/>
  <c r="AI439" i="1" s="1"/>
  <c r="F440" i="1"/>
  <c r="AI440" i="1" s="1"/>
  <c r="F441" i="1"/>
  <c r="AI441" i="1" s="1"/>
  <c r="F442" i="1"/>
  <c r="AI442" i="1" s="1"/>
  <c r="F443" i="1"/>
  <c r="AI443" i="1" s="1"/>
  <c r="F444" i="1"/>
  <c r="AI444" i="1" s="1"/>
  <c r="F445" i="1"/>
  <c r="AI445" i="1" s="1"/>
  <c r="F446" i="1"/>
  <c r="AI446" i="1" s="1"/>
  <c r="F447" i="1"/>
  <c r="AI447" i="1" s="1"/>
  <c r="F448" i="1"/>
  <c r="AI448" i="1" s="1"/>
  <c r="F449" i="1"/>
  <c r="AI449" i="1" s="1"/>
  <c r="F450" i="1"/>
  <c r="AI450" i="1" s="1"/>
  <c r="F451" i="1"/>
  <c r="AI451" i="1" s="1"/>
  <c r="F452" i="1"/>
  <c r="AI452" i="1" s="1"/>
  <c r="F453" i="1"/>
  <c r="AI453" i="1" s="1"/>
  <c r="F454" i="1"/>
  <c r="AI454" i="1" s="1"/>
  <c r="F455" i="1"/>
  <c r="AI455" i="1" s="1"/>
  <c r="F456" i="1"/>
  <c r="AI456" i="1" s="1"/>
  <c r="F457" i="1"/>
  <c r="AI457" i="1" s="1"/>
  <c r="F458" i="1"/>
  <c r="AI458" i="1" s="1"/>
  <c r="F459" i="1"/>
  <c r="AI459" i="1" s="1"/>
  <c r="F460" i="1"/>
  <c r="AI460" i="1" s="1"/>
  <c r="F461" i="1"/>
  <c r="AI461" i="1" s="1"/>
  <c r="F462" i="1"/>
  <c r="AI462" i="1" s="1"/>
  <c r="F463" i="1"/>
  <c r="AI463" i="1" s="1"/>
  <c r="F464" i="1"/>
  <c r="AI464" i="1" s="1"/>
  <c r="F465" i="1"/>
  <c r="AI465" i="1" s="1"/>
  <c r="F466" i="1"/>
  <c r="AI466" i="1" s="1"/>
  <c r="F467" i="1"/>
  <c r="AI467" i="1" s="1"/>
  <c r="F468" i="1"/>
  <c r="AI468" i="1" s="1"/>
  <c r="F469" i="1"/>
  <c r="AI469" i="1" s="1"/>
  <c r="F470" i="1"/>
  <c r="AI470" i="1" s="1"/>
  <c r="F471" i="1"/>
  <c r="AI471" i="1" s="1"/>
  <c r="F472" i="1"/>
  <c r="AI472" i="1" s="1"/>
  <c r="F473" i="1"/>
  <c r="AI473" i="1" s="1"/>
  <c r="F474" i="1"/>
  <c r="AI474" i="1" s="1"/>
  <c r="F475" i="1"/>
  <c r="AI475" i="1" s="1"/>
  <c r="F476" i="1"/>
  <c r="AI476" i="1" s="1"/>
  <c r="F477" i="1"/>
  <c r="AI477" i="1" s="1"/>
  <c r="F478" i="1"/>
  <c r="AI478" i="1" s="1"/>
  <c r="F479" i="1"/>
  <c r="AI479" i="1" s="1"/>
  <c r="F480" i="1"/>
  <c r="AI480" i="1" s="1"/>
  <c r="F481" i="1"/>
  <c r="AI481" i="1" s="1"/>
  <c r="F482" i="1"/>
  <c r="AI482" i="1" s="1"/>
  <c r="F483" i="1"/>
  <c r="AI483" i="1" s="1"/>
  <c r="F484" i="1"/>
  <c r="AI484" i="1" s="1"/>
  <c r="F485" i="1"/>
  <c r="AI485" i="1" s="1"/>
  <c r="F486" i="1"/>
  <c r="AI486" i="1" s="1"/>
  <c r="F487" i="1"/>
  <c r="AI487" i="1" s="1"/>
  <c r="F488" i="1"/>
  <c r="AI488" i="1" s="1"/>
  <c r="F489" i="1"/>
  <c r="AI489" i="1" s="1"/>
  <c r="F490" i="1"/>
  <c r="AI490" i="1" s="1"/>
  <c r="F491" i="1"/>
  <c r="AI491" i="1" s="1"/>
  <c r="F492" i="1"/>
  <c r="AI492" i="1" s="1"/>
  <c r="F493" i="1"/>
  <c r="AI493" i="1" s="1"/>
  <c r="F494" i="1"/>
  <c r="AI494" i="1" s="1"/>
  <c r="F495" i="1"/>
  <c r="AI495" i="1" s="1"/>
  <c r="F496" i="1"/>
  <c r="AI496" i="1" s="1"/>
  <c r="F497" i="1"/>
  <c r="AI497" i="1" s="1"/>
  <c r="F498" i="1"/>
  <c r="AI498" i="1" s="1"/>
  <c r="F499" i="1"/>
  <c r="AI499" i="1" s="1"/>
  <c r="F500" i="1"/>
  <c r="AI500" i="1" s="1"/>
  <c r="F501" i="1"/>
  <c r="AI501" i="1" s="1"/>
  <c r="F502" i="1"/>
  <c r="AI502" i="1" s="1"/>
  <c r="F503" i="1"/>
  <c r="AI503" i="1" s="1"/>
  <c r="F504" i="1"/>
  <c r="AI504" i="1" s="1"/>
  <c r="F505" i="1"/>
  <c r="AI505" i="1" s="1"/>
  <c r="F506" i="1"/>
  <c r="AI506" i="1" s="1"/>
  <c r="F507" i="1"/>
  <c r="AI507" i="1" s="1"/>
  <c r="F508" i="1"/>
  <c r="AI508" i="1" s="1"/>
  <c r="F509" i="1"/>
  <c r="AI509" i="1" s="1"/>
  <c r="F510" i="1"/>
  <c r="AI510" i="1" s="1"/>
  <c r="F511" i="1"/>
  <c r="AI511" i="1" s="1"/>
  <c r="F512" i="1"/>
  <c r="AI512" i="1" s="1"/>
  <c r="F513" i="1"/>
  <c r="AI513" i="1" s="1"/>
  <c r="F514" i="1"/>
  <c r="AI514" i="1" s="1"/>
  <c r="F515" i="1"/>
  <c r="AI515" i="1" s="1"/>
  <c r="F516" i="1"/>
  <c r="AI516" i="1" s="1"/>
  <c r="F517" i="1"/>
  <c r="AI517" i="1" s="1"/>
  <c r="F518" i="1"/>
  <c r="AI518" i="1" s="1"/>
  <c r="F519" i="1"/>
  <c r="AI519" i="1" s="1"/>
  <c r="F520" i="1"/>
  <c r="AI520" i="1" s="1"/>
  <c r="F521" i="1"/>
  <c r="AI521" i="1" s="1"/>
  <c r="F522" i="1"/>
  <c r="AI522" i="1" s="1"/>
  <c r="F523" i="1"/>
  <c r="AI523" i="1" s="1"/>
  <c r="F524" i="1"/>
  <c r="AI524" i="1" s="1"/>
  <c r="F525" i="1"/>
  <c r="AI525" i="1" s="1"/>
  <c r="F526" i="1"/>
  <c r="AI526" i="1" s="1"/>
  <c r="F527" i="1"/>
  <c r="AI527" i="1" s="1"/>
  <c r="F528" i="1"/>
  <c r="AI528" i="1" s="1"/>
  <c r="F529" i="1"/>
  <c r="AI529" i="1" s="1"/>
  <c r="F530" i="1"/>
  <c r="AI530" i="1" s="1"/>
  <c r="F531" i="1"/>
  <c r="AI531" i="1" s="1"/>
  <c r="F532" i="1"/>
  <c r="AI532" i="1" s="1"/>
  <c r="F533" i="1"/>
  <c r="AI533" i="1" s="1"/>
  <c r="F534" i="1"/>
  <c r="AI534" i="1" s="1"/>
  <c r="F535" i="1"/>
  <c r="AI535" i="1" s="1"/>
  <c r="F536" i="1"/>
  <c r="AI536" i="1" s="1"/>
  <c r="F537" i="1"/>
  <c r="AI537" i="1" s="1"/>
  <c r="F538" i="1"/>
  <c r="AI538" i="1" s="1"/>
  <c r="F539" i="1"/>
  <c r="AI539" i="1" s="1"/>
  <c r="F540" i="1"/>
  <c r="AI540" i="1" s="1"/>
  <c r="F541" i="1"/>
  <c r="AI541" i="1" s="1"/>
  <c r="F542" i="1"/>
  <c r="AI542" i="1" s="1"/>
  <c r="F543" i="1"/>
  <c r="AI543" i="1" s="1"/>
  <c r="F544" i="1"/>
  <c r="AI544" i="1" s="1"/>
  <c r="F545" i="1"/>
  <c r="AI545" i="1" s="1"/>
  <c r="F546" i="1"/>
  <c r="AI546" i="1" s="1"/>
  <c r="F547" i="1"/>
  <c r="AI547" i="1" s="1"/>
  <c r="F548" i="1"/>
  <c r="AI548" i="1" s="1"/>
  <c r="F549" i="1"/>
  <c r="AI549" i="1" s="1"/>
  <c r="F550" i="1"/>
  <c r="AI550" i="1" s="1"/>
  <c r="F551" i="1"/>
  <c r="AI551" i="1" s="1"/>
  <c r="F552" i="1"/>
  <c r="AI552" i="1" s="1"/>
  <c r="F553" i="1"/>
  <c r="AI553" i="1" s="1"/>
  <c r="F554" i="1"/>
  <c r="AI554" i="1" s="1"/>
  <c r="F555" i="1"/>
  <c r="AI555" i="1" s="1"/>
  <c r="F556" i="1"/>
  <c r="AI556" i="1" s="1"/>
  <c r="F557" i="1"/>
  <c r="AI557" i="1" s="1"/>
  <c r="F558" i="1"/>
  <c r="AI558" i="1" s="1"/>
  <c r="F559" i="1"/>
  <c r="AI559" i="1" s="1"/>
  <c r="F560" i="1"/>
  <c r="AI560" i="1" s="1"/>
  <c r="F561" i="1"/>
  <c r="AI561" i="1" s="1"/>
  <c r="F562" i="1"/>
  <c r="AI562" i="1" s="1"/>
  <c r="F563" i="1"/>
  <c r="AI563" i="1" s="1"/>
  <c r="F564" i="1"/>
  <c r="AI564" i="1" s="1"/>
  <c r="F565" i="1"/>
  <c r="AI565" i="1" s="1"/>
  <c r="F566" i="1"/>
  <c r="AI566" i="1" s="1"/>
  <c r="F567" i="1"/>
  <c r="AI567" i="1" s="1"/>
  <c r="F568" i="1"/>
  <c r="AI568" i="1" s="1"/>
  <c r="F569" i="1"/>
  <c r="AI569" i="1" s="1"/>
  <c r="F570" i="1"/>
  <c r="AI570" i="1" s="1"/>
  <c r="F571" i="1"/>
  <c r="AI571" i="1" s="1"/>
  <c r="F572" i="1"/>
  <c r="AI572" i="1" s="1"/>
  <c r="F573" i="1"/>
  <c r="AI573" i="1" s="1"/>
  <c r="F574" i="1"/>
  <c r="AI574" i="1" s="1"/>
  <c r="F575" i="1"/>
  <c r="AI575" i="1" s="1"/>
  <c r="F576" i="1"/>
  <c r="AI576" i="1" s="1"/>
  <c r="F577" i="1"/>
  <c r="AI577" i="1" s="1"/>
  <c r="F578" i="1"/>
  <c r="AI578" i="1" s="1"/>
  <c r="F579" i="1"/>
  <c r="AI579" i="1" s="1"/>
  <c r="F580" i="1"/>
  <c r="AI580" i="1" s="1"/>
  <c r="F581" i="1"/>
  <c r="AI581" i="1" s="1"/>
  <c r="F582" i="1"/>
  <c r="AI582" i="1" s="1"/>
  <c r="F583" i="1"/>
  <c r="AI583" i="1" s="1"/>
  <c r="F584" i="1"/>
  <c r="AI584" i="1" s="1"/>
  <c r="F585" i="1"/>
  <c r="AI585" i="1" s="1"/>
  <c r="F586" i="1"/>
  <c r="AI586" i="1" s="1"/>
  <c r="F587" i="1"/>
  <c r="AI587" i="1" s="1"/>
  <c r="F588" i="1"/>
  <c r="AI588" i="1" s="1"/>
  <c r="F589" i="1"/>
  <c r="AI589" i="1" s="1"/>
  <c r="F590" i="1"/>
  <c r="AI590" i="1" s="1"/>
  <c r="F591" i="1"/>
  <c r="AI591" i="1" s="1"/>
  <c r="F592" i="1"/>
  <c r="AI592" i="1" s="1"/>
  <c r="F593" i="1"/>
  <c r="AI593" i="1" s="1"/>
  <c r="F594" i="1"/>
  <c r="AI594" i="1" s="1"/>
  <c r="F595" i="1"/>
  <c r="AI595" i="1" s="1"/>
  <c r="F596" i="1"/>
  <c r="AI596" i="1" s="1"/>
  <c r="F597" i="1"/>
  <c r="AI597" i="1" s="1"/>
  <c r="F598" i="1"/>
  <c r="AI598" i="1" s="1"/>
  <c r="F599" i="1"/>
  <c r="AI599" i="1" s="1"/>
  <c r="F600" i="1"/>
  <c r="AI600" i="1" s="1"/>
  <c r="F601" i="1"/>
  <c r="AI601" i="1" s="1"/>
  <c r="F602" i="1"/>
  <c r="AI602" i="1" s="1"/>
  <c r="F603" i="1"/>
  <c r="AI603" i="1" s="1"/>
  <c r="F604" i="1"/>
  <c r="AI604" i="1" s="1"/>
  <c r="F605" i="1"/>
  <c r="AI605" i="1" s="1"/>
  <c r="F606" i="1"/>
  <c r="AI606" i="1" s="1"/>
  <c r="F607" i="1"/>
  <c r="AI607" i="1" s="1"/>
  <c r="F608" i="1"/>
  <c r="AI608" i="1" s="1"/>
  <c r="F609" i="1"/>
  <c r="AI609" i="1" s="1"/>
  <c r="F610" i="1"/>
  <c r="AI610" i="1" s="1"/>
  <c r="F611" i="1"/>
  <c r="AI611" i="1" s="1"/>
  <c r="F612" i="1"/>
  <c r="AI612" i="1" s="1"/>
  <c r="F613" i="1"/>
  <c r="AI613" i="1" s="1"/>
  <c r="F614" i="1"/>
  <c r="AI614" i="1" s="1"/>
  <c r="F615" i="1"/>
  <c r="AI615" i="1" s="1"/>
  <c r="F616" i="1"/>
  <c r="AI616" i="1" s="1"/>
  <c r="F617" i="1"/>
  <c r="AI617" i="1" s="1"/>
  <c r="F618" i="1"/>
  <c r="AI618" i="1" s="1"/>
  <c r="F619" i="1"/>
  <c r="AI619" i="1" s="1"/>
  <c r="F620" i="1"/>
  <c r="AI620" i="1" s="1"/>
  <c r="F621" i="1"/>
  <c r="AI621" i="1" s="1"/>
  <c r="F622" i="1"/>
  <c r="AI622" i="1" s="1"/>
  <c r="F623" i="1"/>
  <c r="AI623" i="1" s="1"/>
  <c r="F624" i="1"/>
  <c r="AI624" i="1" s="1"/>
  <c r="F625" i="1"/>
  <c r="AI625" i="1" s="1"/>
  <c r="F626" i="1"/>
  <c r="AI626" i="1" s="1"/>
  <c r="F627" i="1"/>
  <c r="AI627" i="1" s="1"/>
  <c r="F628" i="1"/>
  <c r="AI628" i="1" s="1"/>
  <c r="F629" i="1"/>
  <c r="AI629" i="1" s="1"/>
  <c r="F630" i="1"/>
  <c r="AI630" i="1" s="1"/>
  <c r="F631" i="1"/>
  <c r="AI631" i="1" s="1"/>
  <c r="F632" i="1"/>
  <c r="AI632" i="1" s="1"/>
  <c r="F633" i="1"/>
  <c r="AI633" i="1" s="1"/>
  <c r="F634" i="1"/>
  <c r="AI634" i="1" s="1"/>
  <c r="F635" i="1"/>
  <c r="AI635" i="1" s="1"/>
  <c r="F636" i="1"/>
  <c r="AI636" i="1" s="1"/>
  <c r="F637" i="1"/>
  <c r="AI637" i="1" s="1"/>
  <c r="F638" i="1"/>
  <c r="AI638" i="1" s="1"/>
  <c r="F639" i="1"/>
  <c r="AI639" i="1" s="1"/>
  <c r="F640" i="1"/>
  <c r="AI640" i="1" s="1"/>
  <c r="F641" i="1"/>
  <c r="AI641" i="1" s="1"/>
  <c r="F642" i="1"/>
  <c r="AI642" i="1" s="1"/>
  <c r="F643" i="1"/>
  <c r="AI643" i="1" s="1"/>
  <c r="F644" i="1"/>
  <c r="AI644" i="1" s="1"/>
  <c r="F645" i="1"/>
  <c r="AI645" i="1" s="1"/>
  <c r="F646" i="1"/>
  <c r="AI646" i="1" s="1"/>
  <c r="F647" i="1"/>
  <c r="AI647" i="1" s="1"/>
  <c r="F648" i="1"/>
  <c r="AI648" i="1" s="1"/>
  <c r="F649" i="1"/>
  <c r="AI649" i="1" s="1"/>
  <c r="F650" i="1"/>
  <c r="AI650" i="1" s="1"/>
  <c r="F651" i="1"/>
  <c r="AI651" i="1" s="1"/>
  <c r="F652" i="1"/>
  <c r="AI652" i="1" s="1"/>
  <c r="F653" i="1"/>
  <c r="AI653" i="1" s="1"/>
  <c r="F654" i="1"/>
  <c r="AI654" i="1" s="1"/>
  <c r="F655" i="1"/>
  <c r="AI655" i="1" s="1"/>
  <c r="F656" i="1"/>
  <c r="AI656" i="1" s="1"/>
  <c r="F657" i="1"/>
  <c r="AI657" i="1" s="1"/>
  <c r="F658" i="1"/>
  <c r="AI658" i="1" s="1"/>
  <c r="F659" i="1"/>
  <c r="AI659" i="1" s="1"/>
  <c r="F660" i="1"/>
  <c r="AI660" i="1" s="1"/>
  <c r="F661" i="1"/>
  <c r="AI661" i="1" s="1"/>
  <c r="F662" i="1"/>
  <c r="AI662" i="1" s="1"/>
  <c r="F663" i="1"/>
  <c r="AI663" i="1" s="1"/>
  <c r="F664" i="1"/>
  <c r="AI664" i="1" s="1"/>
  <c r="F665" i="1"/>
  <c r="AI665" i="1" s="1"/>
  <c r="F666" i="1"/>
  <c r="AI666" i="1" s="1"/>
  <c r="F667" i="1"/>
  <c r="AI667" i="1" s="1"/>
  <c r="F668" i="1"/>
  <c r="AI668" i="1" s="1"/>
  <c r="F669" i="1"/>
  <c r="AI669" i="1" s="1"/>
  <c r="F670" i="1"/>
  <c r="AI670" i="1" s="1"/>
  <c r="F671" i="1"/>
  <c r="AI671" i="1" s="1"/>
  <c r="F672" i="1"/>
  <c r="AI672" i="1" s="1"/>
  <c r="F673" i="1"/>
  <c r="AI673" i="1" s="1"/>
  <c r="F674" i="1"/>
  <c r="AI674" i="1" s="1"/>
  <c r="F675" i="1"/>
  <c r="AI675" i="1" s="1"/>
  <c r="F676" i="1"/>
  <c r="AI676" i="1" s="1"/>
  <c r="F677" i="1"/>
  <c r="AI677" i="1" s="1"/>
  <c r="F678" i="1"/>
  <c r="AI678" i="1" s="1"/>
  <c r="F679" i="1"/>
  <c r="AI679" i="1" s="1"/>
  <c r="F680" i="1"/>
  <c r="AI680" i="1" s="1"/>
  <c r="F681" i="1"/>
  <c r="AI681" i="1" s="1"/>
  <c r="F682" i="1"/>
  <c r="AI682" i="1" s="1"/>
  <c r="F683" i="1"/>
  <c r="AI683" i="1" s="1"/>
  <c r="F684" i="1"/>
  <c r="AI684" i="1" s="1"/>
  <c r="F685" i="1"/>
  <c r="AI685" i="1" s="1"/>
  <c r="F686" i="1"/>
  <c r="AI686" i="1" s="1"/>
  <c r="F687" i="1"/>
  <c r="AI687" i="1" s="1"/>
  <c r="F688" i="1"/>
  <c r="AI688" i="1" s="1"/>
  <c r="F689" i="1"/>
  <c r="AI689" i="1" s="1"/>
  <c r="F690" i="1"/>
  <c r="AI690" i="1" s="1"/>
  <c r="F691" i="1"/>
  <c r="AI691" i="1" s="1"/>
  <c r="F692" i="1"/>
  <c r="AI692" i="1" s="1"/>
  <c r="F693" i="1"/>
  <c r="AI693" i="1" s="1"/>
  <c r="F694" i="1"/>
  <c r="AI694" i="1" s="1"/>
  <c r="F695" i="1"/>
  <c r="AI695" i="1" s="1"/>
  <c r="F696" i="1"/>
  <c r="AI696" i="1" s="1"/>
  <c r="F697" i="1"/>
  <c r="AI697" i="1" s="1"/>
  <c r="F698" i="1"/>
  <c r="AI698" i="1" s="1"/>
  <c r="F699" i="1"/>
  <c r="AI699" i="1" s="1"/>
  <c r="F700" i="1"/>
  <c r="AI700" i="1" s="1"/>
  <c r="F701" i="1"/>
  <c r="AI701" i="1" s="1"/>
  <c r="F702" i="1"/>
  <c r="AI702" i="1" s="1"/>
  <c r="F703" i="1"/>
  <c r="AI703" i="1" s="1"/>
  <c r="F704" i="1"/>
  <c r="AI704" i="1" s="1"/>
  <c r="F705" i="1"/>
  <c r="AI705" i="1" s="1"/>
  <c r="F706" i="1"/>
  <c r="AI706" i="1" s="1"/>
  <c r="F707" i="1"/>
  <c r="AI707" i="1" s="1"/>
  <c r="F708" i="1"/>
  <c r="AI708" i="1" s="1"/>
  <c r="F709" i="1"/>
  <c r="AI709" i="1" s="1"/>
  <c r="F710" i="1"/>
  <c r="AI710" i="1" s="1"/>
  <c r="F711" i="1"/>
  <c r="AI711" i="1" s="1"/>
  <c r="F712" i="1"/>
  <c r="AI712" i="1" s="1"/>
  <c r="F713" i="1"/>
  <c r="AI713" i="1" s="1"/>
  <c r="F714" i="1"/>
  <c r="AI714" i="1" s="1"/>
  <c r="F715" i="1"/>
  <c r="AI715" i="1" s="1"/>
  <c r="F716" i="1"/>
  <c r="AI716" i="1" s="1"/>
  <c r="F717" i="1"/>
  <c r="AI717" i="1" s="1"/>
  <c r="F718" i="1"/>
  <c r="AI718" i="1" s="1"/>
  <c r="F719" i="1"/>
  <c r="AI719" i="1" s="1"/>
  <c r="F720" i="1"/>
  <c r="AI720" i="1" s="1"/>
  <c r="F721" i="1"/>
  <c r="AI721" i="1" s="1"/>
  <c r="F722" i="1"/>
  <c r="AI722" i="1" s="1"/>
  <c r="F723" i="1"/>
  <c r="AI723" i="1" s="1"/>
  <c r="F724" i="1"/>
  <c r="AI724" i="1" s="1"/>
  <c r="F725" i="1"/>
  <c r="AI725" i="1" s="1"/>
  <c r="F726" i="1"/>
  <c r="AI726" i="1" s="1"/>
  <c r="F727" i="1"/>
  <c r="AI727" i="1" s="1"/>
  <c r="F728" i="1"/>
  <c r="AI728" i="1" s="1"/>
  <c r="F729" i="1"/>
  <c r="AI729" i="1" s="1"/>
  <c r="F730" i="1"/>
  <c r="AI730" i="1" s="1"/>
  <c r="F731" i="1"/>
  <c r="AI731" i="1" s="1"/>
  <c r="F732" i="1"/>
  <c r="AI732" i="1" s="1"/>
  <c r="F733" i="1"/>
  <c r="AI733" i="1" s="1"/>
  <c r="F734" i="1"/>
  <c r="AI734" i="1" s="1"/>
  <c r="F735" i="1"/>
  <c r="AI735" i="1" s="1"/>
  <c r="F736" i="1"/>
  <c r="AI736" i="1" s="1"/>
  <c r="F737" i="1"/>
  <c r="AI737" i="1" s="1"/>
  <c r="F738" i="1"/>
  <c r="AI738" i="1" s="1"/>
  <c r="F739" i="1"/>
  <c r="AI739" i="1" s="1"/>
  <c r="F740" i="1"/>
  <c r="AI740" i="1" s="1"/>
  <c r="F741" i="1"/>
  <c r="AI741" i="1" s="1"/>
  <c r="F742" i="1"/>
  <c r="AI742" i="1" s="1"/>
  <c r="F743" i="1"/>
  <c r="AI743" i="1" s="1"/>
  <c r="F744" i="1"/>
  <c r="AI744" i="1" s="1"/>
  <c r="F745" i="1"/>
  <c r="AI745" i="1" s="1"/>
  <c r="F746" i="1"/>
  <c r="AI746" i="1" s="1"/>
  <c r="F747" i="1"/>
  <c r="AI747" i="1" s="1"/>
  <c r="F748" i="1"/>
  <c r="AI748" i="1" s="1"/>
  <c r="F749" i="1"/>
  <c r="AI749" i="1" s="1"/>
  <c r="F750" i="1"/>
  <c r="AI750" i="1" s="1"/>
  <c r="F751" i="1"/>
  <c r="AI751" i="1" s="1"/>
  <c r="F752" i="1"/>
  <c r="AI752" i="1" s="1"/>
  <c r="F753" i="1"/>
  <c r="AI753" i="1" s="1"/>
  <c r="F754" i="1"/>
  <c r="AI754" i="1" s="1"/>
  <c r="F755" i="1"/>
  <c r="AI755" i="1" s="1"/>
  <c r="F756" i="1"/>
  <c r="AI756" i="1" s="1"/>
  <c r="F757" i="1"/>
  <c r="AI757" i="1" s="1"/>
  <c r="F758" i="1"/>
  <c r="AI758" i="1" s="1"/>
  <c r="F759" i="1"/>
  <c r="AI759" i="1" s="1"/>
  <c r="F760" i="1"/>
  <c r="AI760" i="1" s="1"/>
  <c r="F761" i="1"/>
  <c r="AI761" i="1" s="1"/>
  <c r="F762" i="1"/>
  <c r="AI762" i="1" s="1"/>
  <c r="F763" i="1"/>
  <c r="AI763" i="1" s="1"/>
  <c r="F764" i="1"/>
  <c r="AI764" i="1" s="1"/>
  <c r="F765" i="1"/>
  <c r="AI765" i="1" s="1"/>
  <c r="F766" i="1"/>
  <c r="AI766" i="1" s="1"/>
  <c r="F767" i="1"/>
  <c r="AI767" i="1" s="1"/>
  <c r="F768" i="1"/>
  <c r="AI768" i="1" s="1"/>
  <c r="F769" i="1"/>
  <c r="AI769" i="1" s="1"/>
  <c r="F770" i="1"/>
  <c r="AI770" i="1" s="1"/>
  <c r="F771" i="1"/>
  <c r="AI771" i="1" s="1"/>
  <c r="F772" i="1"/>
  <c r="AI772" i="1" s="1"/>
  <c r="F773" i="1"/>
  <c r="AI773" i="1" s="1"/>
  <c r="F774" i="1"/>
  <c r="AI774" i="1" s="1"/>
  <c r="F775" i="1"/>
  <c r="AI775" i="1" s="1"/>
  <c r="F776" i="1"/>
  <c r="AI776" i="1" s="1"/>
  <c r="F777" i="1"/>
  <c r="AI777" i="1" s="1"/>
  <c r="F778" i="1"/>
  <c r="AI778" i="1" s="1"/>
  <c r="F779" i="1"/>
  <c r="AI779" i="1" s="1"/>
  <c r="F780" i="1"/>
  <c r="AI780" i="1" s="1"/>
  <c r="F781" i="1"/>
  <c r="AI781" i="1" s="1"/>
  <c r="F782" i="1"/>
  <c r="AI782" i="1" s="1"/>
  <c r="F783" i="1"/>
  <c r="AI783" i="1" s="1"/>
  <c r="F784" i="1"/>
  <c r="AI784" i="1" s="1"/>
  <c r="F785" i="1"/>
  <c r="AI785" i="1" s="1"/>
  <c r="F786" i="1"/>
  <c r="AI786" i="1" s="1"/>
  <c r="F787" i="1"/>
  <c r="AI787" i="1" s="1"/>
  <c r="F788" i="1"/>
  <c r="AI788" i="1" s="1"/>
  <c r="F789" i="1"/>
  <c r="AI789" i="1" s="1"/>
  <c r="F790" i="1"/>
  <c r="AI790" i="1" s="1"/>
  <c r="F791" i="1"/>
  <c r="AI791" i="1" s="1"/>
  <c r="F792" i="1"/>
  <c r="AI792" i="1" s="1"/>
  <c r="F793" i="1"/>
  <c r="AI793" i="1" s="1"/>
  <c r="F794" i="1"/>
  <c r="AI794" i="1" s="1"/>
  <c r="F795" i="1"/>
  <c r="AI795" i="1" s="1"/>
  <c r="F796" i="1"/>
  <c r="AI796" i="1" s="1"/>
  <c r="F797" i="1"/>
  <c r="AI797" i="1" s="1"/>
  <c r="F798" i="1"/>
  <c r="AI798" i="1" s="1"/>
  <c r="F799" i="1"/>
  <c r="AI799" i="1" s="1"/>
  <c r="F800" i="1"/>
  <c r="AI800" i="1" s="1"/>
  <c r="F801" i="1"/>
  <c r="AI801" i="1" s="1"/>
  <c r="F802" i="1"/>
  <c r="AI802" i="1" s="1"/>
  <c r="F803" i="1"/>
  <c r="AI803" i="1" s="1"/>
  <c r="F804" i="1"/>
  <c r="AI804" i="1" s="1"/>
  <c r="F805" i="1"/>
  <c r="AI805" i="1" s="1"/>
  <c r="F806" i="1"/>
  <c r="AI806" i="1" s="1"/>
  <c r="F807" i="1"/>
  <c r="AI807" i="1" s="1"/>
  <c r="F808" i="1"/>
  <c r="AI808" i="1" s="1"/>
  <c r="F809" i="1"/>
  <c r="AI809" i="1" s="1"/>
  <c r="F810" i="1"/>
  <c r="AI810" i="1" s="1"/>
  <c r="F811" i="1"/>
  <c r="AI811" i="1" s="1"/>
  <c r="F812" i="1"/>
  <c r="AI812" i="1" s="1"/>
  <c r="F813" i="1"/>
  <c r="AI813" i="1" s="1"/>
  <c r="F814" i="1"/>
  <c r="AI814" i="1" s="1"/>
  <c r="F815" i="1"/>
  <c r="AI815" i="1" s="1"/>
  <c r="F816" i="1"/>
  <c r="AI816" i="1" s="1"/>
  <c r="F817" i="1"/>
  <c r="AI817" i="1" s="1"/>
  <c r="F818" i="1"/>
  <c r="AI818" i="1" s="1"/>
  <c r="F819" i="1"/>
  <c r="AI819" i="1" s="1"/>
  <c r="F820" i="1"/>
  <c r="AI820" i="1" s="1"/>
  <c r="F821" i="1"/>
  <c r="AI821" i="1" s="1"/>
  <c r="F822" i="1"/>
  <c r="AI822" i="1" s="1"/>
  <c r="F823" i="1"/>
  <c r="AI823" i="1" s="1"/>
  <c r="F824" i="1"/>
  <c r="AI824" i="1" s="1"/>
  <c r="F825" i="1"/>
  <c r="AI825" i="1" s="1"/>
  <c r="F826" i="1"/>
  <c r="AI826" i="1" s="1"/>
  <c r="F827" i="1"/>
  <c r="AI827" i="1" s="1"/>
  <c r="F828" i="1"/>
  <c r="AI828" i="1" s="1"/>
  <c r="F829" i="1"/>
  <c r="AI829" i="1" s="1"/>
  <c r="F830" i="1"/>
  <c r="AI830" i="1" s="1"/>
  <c r="F831" i="1"/>
  <c r="AI831" i="1" s="1"/>
  <c r="F832" i="1"/>
  <c r="AI832" i="1" s="1"/>
  <c r="F833" i="1"/>
  <c r="AI833" i="1" s="1"/>
  <c r="F834" i="1"/>
  <c r="AI834" i="1" s="1"/>
  <c r="F835" i="1"/>
  <c r="AI835" i="1" s="1"/>
  <c r="F836" i="1"/>
  <c r="AI836" i="1" s="1"/>
  <c r="F837" i="1"/>
  <c r="AI837" i="1" s="1"/>
  <c r="F838" i="1"/>
  <c r="AI838" i="1" s="1"/>
  <c r="F839" i="1"/>
  <c r="AI839" i="1" s="1"/>
  <c r="F840" i="1"/>
  <c r="AI840" i="1" s="1"/>
  <c r="F841" i="1"/>
  <c r="AI841" i="1" s="1"/>
  <c r="F842" i="1"/>
  <c r="AI842" i="1" s="1"/>
  <c r="F843" i="1"/>
  <c r="AI843" i="1" s="1"/>
  <c r="F844" i="1"/>
  <c r="AI844" i="1" s="1"/>
  <c r="F845" i="1"/>
  <c r="AI845" i="1" s="1"/>
  <c r="F846" i="1"/>
  <c r="AI846" i="1" s="1"/>
  <c r="F847" i="1"/>
  <c r="AI847" i="1" s="1"/>
  <c r="F848" i="1"/>
  <c r="AI848" i="1" s="1"/>
  <c r="F849" i="1"/>
  <c r="AI849" i="1" s="1"/>
  <c r="F850" i="1"/>
  <c r="AI850" i="1" s="1"/>
  <c r="F851" i="1"/>
  <c r="AI851" i="1" s="1"/>
  <c r="F852" i="1"/>
  <c r="AI852" i="1" s="1"/>
  <c r="F853" i="1"/>
  <c r="AI853" i="1" s="1"/>
  <c r="F854" i="1"/>
  <c r="AI854" i="1" s="1"/>
  <c r="F855" i="1"/>
  <c r="AI855" i="1" s="1"/>
  <c r="F856" i="1"/>
  <c r="AI856" i="1" s="1"/>
  <c r="F857" i="1"/>
  <c r="AI857" i="1" s="1"/>
  <c r="F858" i="1"/>
  <c r="AI858" i="1" s="1"/>
  <c r="F859" i="1"/>
  <c r="AI859" i="1" s="1"/>
  <c r="F860" i="1"/>
  <c r="AI860" i="1" s="1"/>
  <c r="F861" i="1"/>
  <c r="AI861" i="1" s="1"/>
  <c r="F862" i="1"/>
  <c r="AI862" i="1" s="1"/>
  <c r="F863" i="1"/>
  <c r="AI863" i="1" s="1"/>
  <c r="F864" i="1"/>
  <c r="AI864" i="1" s="1"/>
  <c r="F865" i="1"/>
  <c r="AI865" i="1" s="1"/>
  <c r="F866" i="1"/>
  <c r="AI866" i="1" s="1"/>
  <c r="F867" i="1"/>
  <c r="AI867" i="1" s="1"/>
  <c r="F868" i="1"/>
  <c r="AI868" i="1" s="1"/>
  <c r="F869" i="1"/>
  <c r="AI869" i="1" s="1"/>
  <c r="F870" i="1"/>
  <c r="AI870" i="1" s="1"/>
  <c r="F871" i="1"/>
  <c r="AI871" i="1" s="1"/>
  <c r="F872" i="1"/>
  <c r="AI872" i="1" s="1"/>
  <c r="F873" i="1"/>
  <c r="AI873" i="1" s="1"/>
  <c r="F874" i="1"/>
  <c r="AI874" i="1" s="1"/>
  <c r="F875" i="1"/>
  <c r="AI875" i="1" s="1"/>
  <c r="F876" i="1"/>
  <c r="AI876" i="1" s="1"/>
  <c r="F877" i="1"/>
  <c r="AI877" i="1" s="1"/>
  <c r="F878" i="1"/>
  <c r="AI878" i="1" s="1"/>
  <c r="F879" i="1"/>
  <c r="AI879" i="1" s="1"/>
  <c r="F880" i="1"/>
  <c r="AI880" i="1" s="1"/>
  <c r="F881" i="1"/>
  <c r="AI881" i="1" s="1"/>
  <c r="F882" i="1"/>
  <c r="AI882" i="1" s="1"/>
  <c r="F883" i="1"/>
  <c r="AI883" i="1" s="1"/>
  <c r="F884" i="1"/>
  <c r="AI884" i="1" s="1"/>
  <c r="F885" i="1"/>
  <c r="AI885" i="1" s="1"/>
  <c r="F886" i="1"/>
  <c r="AI886" i="1" s="1"/>
  <c r="F887" i="1"/>
  <c r="AI887" i="1" s="1"/>
  <c r="F888" i="1"/>
  <c r="AI888" i="1" s="1"/>
  <c r="F889" i="1"/>
  <c r="AI889" i="1" s="1"/>
  <c r="F890" i="1"/>
  <c r="AI890" i="1" s="1"/>
  <c r="F891" i="1"/>
  <c r="AI891" i="1" s="1"/>
  <c r="F892" i="1"/>
  <c r="AI892" i="1" s="1"/>
  <c r="F893" i="1"/>
  <c r="AI893" i="1" s="1"/>
  <c r="F894" i="1"/>
  <c r="AI894" i="1" s="1"/>
  <c r="F895" i="1"/>
  <c r="AI895" i="1" s="1"/>
  <c r="F896" i="1"/>
  <c r="AI896" i="1" s="1"/>
  <c r="F897" i="1"/>
  <c r="AI897" i="1" s="1"/>
  <c r="F898" i="1"/>
  <c r="AI898" i="1" s="1"/>
  <c r="F899" i="1"/>
  <c r="AI899" i="1" s="1"/>
  <c r="F900" i="1"/>
  <c r="AI900" i="1" s="1"/>
  <c r="F901" i="1"/>
  <c r="AI901" i="1" s="1"/>
  <c r="F902" i="1"/>
  <c r="AI902" i="1" s="1"/>
  <c r="F903" i="1"/>
  <c r="AI903" i="1" s="1"/>
  <c r="F904" i="1"/>
  <c r="AI904" i="1" s="1"/>
  <c r="F905" i="1"/>
  <c r="AI905" i="1" s="1"/>
  <c r="F906" i="1"/>
  <c r="AI906" i="1" s="1"/>
  <c r="F907" i="1"/>
  <c r="AI907" i="1" s="1"/>
  <c r="F908" i="1"/>
  <c r="AI908" i="1" s="1"/>
  <c r="F909" i="1"/>
  <c r="AI909" i="1" s="1"/>
  <c r="F910" i="1"/>
  <c r="AI910" i="1" s="1"/>
  <c r="F911" i="1"/>
  <c r="AI911" i="1" s="1"/>
  <c r="F912" i="1"/>
  <c r="AI912" i="1" s="1"/>
  <c r="F913" i="1"/>
  <c r="AI913" i="1" s="1"/>
  <c r="F914" i="1"/>
  <c r="AI914" i="1" s="1"/>
  <c r="F915" i="1"/>
  <c r="AI915" i="1" s="1"/>
  <c r="F916" i="1"/>
  <c r="AI916" i="1" s="1"/>
  <c r="F917" i="1"/>
  <c r="AI917" i="1" s="1"/>
  <c r="F918" i="1"/>
  <c r="AI918" i="1" s="1"/>
  <c r="F919" i="1"/>
  <c r="AI919" i="1" s="1"/>
  <c r="F920" i="1"/>
  <c r="AI920" i="1" s="1"/>
  <c r="F921" i="1"/>
  <c r="AI921" i="1" s="1"/>
  <c r="F922" i="1"/>
  <c r="AI922" i="1" s="1"/>
  <c r="F923" i="1"/>
  <c r="AI923" i="1" s="1"/>
  <c r="F924" i="1"/>
  <c r="AI924" i="1" s="1"/>
  <c r="F925" i="1"/>
  <c r="AI925" i="1" s="1"/>
  <c r="F926" i="1"/>
  <c r="AI926" i="1" s="1"/>
  <c r="F927" i="1"/>
  <c r="AI927" i="1" s="1"/>
  <c r="F928" i="1"/>
  <c r="AI928" i="1" s="1"/>
  <c r="F929" i="1"/>
  <c r="AI929" i="1" s="1"/>
  <c r="F930" i="1"/>
  <c r="AI930" i="1" s="1"/>
  <c r="F931" i="1"/>
  <c r="AI931" i="1" s="1"/>
  <c r="F932" i="1"/>
  <c r="AI932" i="1" s="1"/>
  <c r="F933" i="1"/>
  <c r="AI933" i="1" s="1"/>
  <c r="F934" i="1"/>
  <c r="AI934" i="1" s="1"/>
  <c r="F935" i="1"/>
  <c r="AI935" i="1" s="1"/>
  <c r="F936" i="1"/>
  <c r="AI936" i="1" s="1"/>
  <c r="F937" i="1"/>
  <c r="AI937" i="1" s="1"/>
  <c r="F938" i="1"/>
  <c r="AI938" i="1" s="1"/>
  <c r="F939" i="1"/>
  <c r="AI939" i="1" s="1"/>
  <c r="F940" i="1"/>
  <c r="AI940" i="1" s="1"/>
  <c r="F941" i="1"/>
  <c r="AI941" i="1" s="1"/>
  <c r="F942" i="1"/>
  <c r="AI942" i="1" s="1"/>
  <c r="F943" i="1"/>
  <c r="AI943" i="1" s="1"/>
  <c r="F944" i="1"/>
  <c r="AI944" i="1" s="1"/>
  <c r="F945" i="1"/>
  <c r="AI945" i="1" s="1"/>
  <c r="F946" i="1"/>
  <c r="AI946" i="1" s="1"/>
  <c r="F947" i="1"/>
  <c r="AI947" i="1" s="1"/>
  <c r="F948" i="1"/>
  <c r="AI948" i="1" s="1"/>
  <c r="F949" i="1"/>
  <c r="AI949" i="1" s="1"/>
  <c r="F950" i="1"/>
  <c r="AI950" i="1" s="1"/>
  <c r="F951" i="1"/>
  <c r="AI951" i="1" s="1"/>
  <c r="F952" i="1"/>
  <c r="AI952" i="1" s="1"/>
  <c r="F953" i="1"/>
  <c r="AI953" i="1" s="1"/>
  <c r="F954" i="1"/>
  <c r="AI954" i="1" s="1"/>
  <c r="F955" i="1"/>
  <c r="AI955" i="1" s="1"/>
  <c r="F956" i="1"/>
  <c r="AI956" i="1" s="1"/>
  <c r="F957" i="1"/>
  <c r="AI957" i="1" s="1"/>
  <c r="F958" i="1"/>
  <c r="AI958" i="1" s="1"/>
  <c r="F959" i="1"/>
  <c r="AI959" i="1" s="1"/>
  <c r="F960" i="1"/>
  <c r="AI960" i="1" s="1"/>
  <c r="F961" i="1"/>
  <c r="AI961" i="1" s="1"/>
  <c r="F962" i="1"/>
  <c r="AI962" i="1" s="1"/>
  <c r="F963" i="1"/>
  <c r="AI963" i="1" s="1"/>
  <c r="F964" i="1"/>
  <c r="AI964" i="1" s="1"/>
  <c r="F965" i="1"/>
  <c r="AI965" i="1" s="1"/>
  <c r="F966" i="1"/>
  <c r="AI966" i="1" s="1"/>
  <c r="F967" i="1"/>
  <c r="AI967" i="1" s="1"/>
  <c r="F968" i="1"/>
  <c r="AI968" i="1" s="1"/>
  <c r="F969" i="1"/>
  <c r="AI969" i="1" s="1"/>
  <c r="F970" i="1"/>
  <c r="AI970" i="1" s="1"/>
  <c r="F971" i="1"/>
  <c r="AI971" i="1" s="1"/>
  <c r="F972" i="1"/>
  <c r="AI972" i="1" s="1"/>
  <c r="F973" i="1"/>
  <c r="AI973" i="1" s="1"/>
  <c r="F974" i="1"/>
  <c r="AI974" i="1" s="1"/>
  <c r="F975" i="1"/>
  <c r="AI975" i="1" s="1"/>
  <c r="F976" i="1"/>
  <c r="AI976" i="1" s="1"/>
  <c r="F977" i="1"/>
  <c r="AI977" i="1" s="1"/>
  <c r="F978" i="1"/>
  <c r="AI978" i="1" s="1"/>
  <c r="F979" i="1"/>
  <c r="AI979" i="1" s="1"/>
  <c r="F980" i="1"/>
  <c r="AI980" i="1" s="1"/>
  <c r="F981" i="1"/>
  <c r="AI981" i="1" s="1"/>
  <c r="F982" i="1"/>
  <c r="AI982" i="1" s="1"/>
  <c r="F983" i="1"/>
  <c r="AI983" i="1" s="1"/>
  <c r="F984" i="1"/>
  <c r="AI984" i="1" s="1"/>
  <c r="F985" i="1"/>
  <c r="AI985" i="1" s="1"/>
  <c r="F986" i="1"/>
  <c r="AI986" i="1" s="1"/>
  <c r="F987" i="1"/>
  <c r="AI987" i="1" s="1"/>
  <c r="F988" i="1"/>
  <c r="AI988" i="1" s="1"/>
  <c r="F989" i="1"/>
  <c r="AI989" i="1" s="1"/>
  <c r="F990" i="1"/>
  <c r="AI990" i="1" s="1"/>
  <c r="F991" i="1"/>
  <c r="AI991" i="1" s="1"/>
  <c r="F992" i="1"/>
  <c r="AI992" i="1" s="1"/>
  <c r="F993" i="1"/>
  <c r="AI993" i="1" s="1"/>
  <c r="F994" i="1"/>
  <c r="AI994" i="1" s="1"/>
  <c r="F995" i="1"/>
  <c r="AI995" i="1" s="1"/>
  <c r="F996" i="1"/>
  <c r="AI996" i="1" s="1"/>
  <c r="F997" i="1"/>
  <c r="AI997" i="1" s="1"/>
  <c r="F998" i="1"/>
  <c r="AI998" i="1" s="1"/>
  <c r="F999" i="1"/>
  <c r="AI999" i="1" s="1"/>
  <c r="F1000" i="1"/>
  <c r="AI1000" i="1" s="1"/>
  <c r="F1001" i="1"/>
  <c r="AI1001" i="1" s="1"/>
  <c r="F1002" i="1"/>
  <c r="AI1002" i="1" s="1"/>
  <c r="F1003" i="1"/>
  <c r="AI1003" i="1" s="1"/>
  <c r="F1004" i="1"/>
  <c r="AI1004" i="1" s="1"/>
  <c r="F1005" i="1"/>
  <c r="AI1005" i="1" s="1"/>
  <c r="F1006" i="1"/>
  <c r="AI1006" i="1" s="1"/>
  <c r="F1007" i="1"/>
  <c r="AI1007" i="1" s="1"/>
  <c r="F11" i="1"/>
  <c r="AI11" i="1" s="1"/>
  <c r="A11" i="1"/>
  <c r="G12" i="1" l="1"/>
  <c r="O12" i="1"/>
  <c r="AH12" i="1"/>
  <c r="AJ12" i="1"/>
  <c r="G13" i="1"/>
  <c r="O13" i="1"/>
  <c r="AH13" i="1"/>
  <c r="AJ13" i="1"/>
  <c r="G14" i="1"/>
  <c r="O14" i="1"/>
  <c r="AH14" i="1"/>
  <c r="AJ14" i="1"/>
  <c r="G15" i="1"/>
  <c r="O15" i="1"/>
  <c r="AH15" i="1"/>
  <c r="AJ15" i="1"/>
  <c r="G16" i="1"/>
  <c r="O16" i="1"/>
  <c r="AH16" i="1"/>
  <c r="AJ16" i="1"/>
  <c r="G17" i="1"/>
  <c r="O17" i="1"/>
  <c r="AH17" i="1"/>
  <c r="AJ17" i="1"/>
  <c r="G18" i="1"/>
  <c r="O18" i="1"/>
  <c r="AH18" i="1"/>
  <c r="AJ18" i="1"/>
  <c r="G19" i="1"/>
  <c r="O19" i="1"/>
  <c r="AH19" i="1"/>
  <c r="AJ19" i="1"/>
  <c r="G20" i="1"/>
  <c r="O20" i="1"/>
  <c r="AH20" i="1"/>
  <c r="AJ20" i="1"/>
  <c r="G21" i="1"/>
  <c r="O21" i="1"/>
  <c r="AH21" i="1"/>
  <c r="AJ21" i="1"/>
  <c r="G22" i="1"/>
  <c r="O22" i="1"/>
  <c r="AH22" i="1"/>
  <c r="AJ22" i="1"/>
  <c r="G23" i="1"/>
  <c r="O23" i="1"/>
  <c r="AH23" i="1"/>
  <c r="AJ23" i="1"/>
  <c r="G24" i="1"/>
  <c r="O24" i="1"/>
  <c r="AH24" i="1"/>
  <c r="AJ24" i="1"/>
  <c r="G25" i="1"/>
  <c r="O25" i="1"/>
  <c r="AH25" i="1"/>
  <c r="AJ25" i="1"/>
  <c r="G26" i="1"/>
  <c r="O26" i="1"/>
  <c r="AH26" i="1"/>
  <c r="AJ26" i="1"/>
  <c r="G27" i="1"/>
  <c r="O27" i="1"/>
  <c r="AH27" i="1"/>
  <c r="AJ27" i="1"/>
  <c r="G28" i="1"/>
  <c r="O28" i="1"/>
  <c r="AH28" i="1"/>
  <c r="AJ28" i="1"/>
  <c r="G29" i="1"/>
  <c r="O29" i="1"/>
  <c r="AH29" i="1"/>
  <c r="AJ29" i="1"/>
  <c r="G30" i="1"/>
  <c r="O30" i="1"/>
  <c r="AH30" i="1"/>
  <c r="AJ30" i="1"/>
  <c r="G31" i="1"/>
  <c r="O31" i="1"/>
  <c r="AH31" i="1"/>
  <c r="AJ31" i="1"/>
  <c r="G32" i="1"/>
  <c r="O32" i="1"/>
  <c r="AH32" i="1"/>
  <c r="AJ32" i="1"/>
  <c r="G33" i="1"/>
  <c r="O33" i="1"/>
  <c r="AH33" i="1"/>
  <c r="AJ33" i="1"/>
  <c r="G34" i="1"/>
  <c r="O34" i="1"/>
  <c r="AH34" i="1"/>
  <c r="AJ34" i="1"/>
  <c r="G35" i="1"/>
  <c r="O35" i="1"/>
  <c r="AH35" i="1"/>
  <c r="AJ35" i="1"/>
  <c r="G36" i="1"/>
  <c r="O36" i="1"/>
  <c r="AH36" i="1"/>
  <c r="AJ36" i="1"/>
  <c r="G37" i="1"/>
  <c r="O37" i="1"/>
  <c r="AH37" i="1"/>
  <c r="AJ37" i="1"/>
  <c r="G38" i="1"/>
  <c r="O38" i="1"/>
  <c r="AH38" i="1"/>
  <c r="AJ38" i="1"/>
  <c r="G39" i="1"/>
  <c r="O39" i="1"/>
  <c r="AH39" i="1"/>
  <c r="AJ39" i="1"/>
  <c r="G40" i="1"/>
  <c r="O40" i="1"/>
  <c r="AH40" i="1"/>
  <c r="AJ40" i="1"/>
  <c r="G41" i="1"/>
  <c r="O41" i="1"/>
  <c r="AH41" i="1"/>
  <c r="AJ41" i="1"/>
  <c r="G42" i="1"/>
  <c r="O42" i="1"/>
  <c r="AH42" i="1"/>
  <c r="AJ42" i="1"/>
  <c r="G43" i="1"/>
  <c r="O43" i="1"/>
  <c r="AH43" i="1"/>
  <c r="AJ43" i="1"/>
  <c r="G44" i="1"/>
  <c r="O44" i="1"/>
  <c r="AH44" i="1"/>
  <c r="AJ44" i="1"/>
  <c r="G45" i="1"/>
  <c r="O45" i="1"/>
  <c r="AH45" i="1"/>
  <c r="AJ45" i="1"/>
  <c r="G46" i="1"/>
  <c r="O46" i="1"/>
  <c r="AH46" i="1"/>
  <c r="AJ46" i="1"/>
  <c r="G47" i="1"/>
  <c r="O47" i="1"/>
  <c r="AH47" i="1"/>
  <c r="AJ47" i="1"/>
  <c r="G48" i="1"/>
  <c r="O48" i="1"/>
  <c r="AH48" i="1"/>
  <c r="AJ48" i="1"/>
  <c r="G49" i="1"/>
  <c r="O49" i="1"/>
  <c r="AH49" i="1"/>
  <c r="AJ49" i="1"/>
  <c r="G50" i="1"/>
  <c r="O50" i="1"/>
  <c r="AH50" i="1"/>
  <c r="AJ50" i="1"/>
  <c r="G51" i="1"/>
  <c r="O51" i="1"/>
  <c r="AH51" i="1"/>
  <c r="AJ51" i="1"/>
  <c r="G52" i="1"/>
  <c r="O52" i="1"/>
  <c r="AH52" i="1"/>
  <c r="AJ52" i="1"/>
  <c r="G53" i="1"/>
  <c r="O53" i="1"/>
  <c r="AH53" i="1"/>
  <c r="AJ53" i="1"/>
  <c r="G54" i="1"/>
  <c r="O54" i="1"/>
  <c r="AH54" i="1"/>
  <c r="AJ54" i="1"/>
  <c r="G55" i="1"/>
  <c r="O55" i="1"/>
  <c r="AH55" i="1"/>
  <c r="AJ55" i="1"/>
  <c r="G56" i="1"/>
  <c r="O56" i="1"/>
  <c r="AH56" i="1"/>
  <c r="AJ56" i="1"/>
  <c r="G57" i="1"/>
  <c r="O57" i="1"/>
  <c r="AH57" i="1"/>
  <c r="AJ57" i="1"/>
  <c r="G58" i="1"/>
  <c r="O58" i="1"/>
  <c r="AH58" i="1"/>
  <c r="AJ58" i="1"/>
  <c r="G59" i="1"/>
  <c r="O59" i="1"/>
  <c r="AH59" i="1"/>
  <c r="AJ59" i="1"/>
  <c r="G60" i="1"/>
  <c r="O60" i="1"/>
  <c r="AH60" i="1"/>
  <c r="AJ60" i="1"/>
  <c r="G61" i="1"/>
  <c r="O61" i="1"/>
  <c r="AH61" i="1"/>
  <c r="AJ61" i="1"/>
  <c r="G62" i="1"/>
  <c r="O62" i="1"/>
  <c r="AH62" i="1"/>
  <c r="AJ62" i="1"/>
  <c r="G63" i="1"/>
  <c r="O63" i="1"/>
  <c r="AH63" i="1"/>
  <c r="AJ63" i="1"/>
  <c r="G64" i="1"/>
  <c r="O64" i="1"/>
  <c r="AH64" i="1"/>
  <c r="AJ64" i="1"/>
  <c r="G65" i="1"/>
  <c r="O65" i="1"/>
  <c r="AH65" i="1"/>
  <c r="AJ65" i="1"/>
  <c r="G66" i="1"/>
  <c r="O66" i="1"/>
  <c r="AH66" i="1"/>
  <c r="AJ66" i="1"/>
  <c r="G67" i="1"/>
  <c r="O67" i="1"/>
  <c r="AH67" i="1"/>
  <c r="AJ67" i="1"/>
  <c r="G68" i="1"/>
  <c r="O68" i="1"/>
  <c r="AH68" i="1"/>
  <c r="AJ68" i="1"/>
  <c r="G69" i="1"/>
  <c r="O69" i="1"/>
  <c r="AH69" i="1"/>
  <c r="AJ69" i="1"/>
  <c r="G70" i="1"/>
  <c r="O70" i="1"/>
  <c r="AH70" i="1"/>
  <c r="AJ70" i="1"/>
  <c r="G71" i="1"/>
  <c r="O71" i="1"/>
  <c r="AH71" i="1"/>
  <c r="AJ71" i="1"/>
  <c r="G72" i="1"/>
  <c r="O72" i="1"/>
  <c r="AH72" i="1"/>
  <c r="AJ72" i="1"/>
  <c r="G73" i="1"/>
  <c r="O73" i="1"/>
  <c r="AH73" i="1"/>
  <c r="AJ73" i="1"/>
  <c r="G74" i="1"/>
  <c r="O74" i="1"/>
  <c r="AH74" i="1"/>
  <c r="AJ74" i="1"/>
  <c r="G75" i="1"/>
  <c r="O75" i="1"/>
  <c r="AH75" i="1"/>
  <c r="AJ75" i="1"/>
  <c r="G76" i="1"/>
  <c r="O76" i="1"/>
  <c r="AH76" i="1"/>
  <c r="AJ76" i="1"/>
  <c r="G77" i="1"/>
  <c r="O77" i="1"/>
  <c r="AH77" i="1"/>
  <c r="AJ77" i="1"/>
  <c r="G78" i="1"/>
  <c r="O78" i="1"/>
  <c r="AH78" i="1"/>
  <c r="AJ78" i="1"/>
  <c r="G79" i="1"/>
  <c r="O79" i="1"/>
  <c r="AH79" i="1"/>
  <c r="AJ79" i="1"/>
  <c r="G80" i="1"/>
  <c r="O80" i="1"/>
  <c r="AH80" i="1"/>
  <c r="AJ80" i="1"/>
  <c r="G81" i="1"/>
  <c r="O81" i="1"/>
  <c r="AH81" i="1"/>
  <c r="AJ81" i="1"/>
  <c r="G82" i="1"/>
  <c r="O82" i="1"/>
  <c r="AH82" i="1"/>
  <c r="AJ82" i="1"/>
  <c r="G83" i="1"/>
  <c r="O83" i="1"/>
  <c r="AH83" i="1"/>
  <c r="AJ83" i="1"/>
  <c r="G84" i="1"/>
  <c r="O84" i="1"/>
  <c r="AH84" i="1"/>
  <c r="AJ84" i="1"/>
  <c r="G85" i="1"/>
  <c r="O85" i="1"/>
  <c r="AH85" i="1"/>
  <c r="AJ85" i="1"/>
  <c r="G86" i="1"/>
  <c r="O86" i="1"/>
  <c r="AH86" i="1"/>
  <c r="AJ86" i="1"/>
  <c r="G87" i="1"/>
  <c r="O87" i="1"/>
  <c r="AH87" i="1"/>
  <c r="AJ87" i="1"/>
  <c r="G88" i="1"/>
  <c r="O88" i="1"/>
  <c r="AH88" i="1"/>
  <c r="AJ88" i="1"/>
  <c r="G89" i="1"/>
  <c r="O89" i="1"/>
  <c r="AH89" i="1"/>
  <c r="AJ89" i="1"/>
  <c r="G90" i="1"/>
  <c r="O90" i="1"/>
  <c r="AH90" i="1"/>
  <c r="AJ90" i="1"/>
  <c r="G91" i="1"/>
  <c r="O91" i="1"/>
  <c r="AH91" i="1"/>
  <c r="AJ91" i="1"/>
  <c r="G92" i="1"/>
  <c r="O92" i="1"/>
  <c r="AH92" i="1"/>
  <c r="AJ92" i="1"/>
  <c r="G93" i="1"/>
  <c r="O93" i="1"/>
  <c r="AH93" i="1"/>
  <c r="AJ93" i="1"/>
  <c r="G94" i="1"/>
  <c r="O94" i="1"/>
  <c r="AH94" i="1"/>
  <c r="AJ94" i="1"/>
  <c r="G95" i="1"/>
  <c r="O95" i="1"/>
  <c r="AH95" i="1"/>
  <c r="AJ95" i="1"/>
  <c r="G96" i="1"/>
  <c r="O96" i="1"/>
  <c r="AH96" i="1"/>
  <c r="AJ96" i="1"/>
  <c r="G97" i="1"/>
  <c r="O97" i="1"/>
  <c r="AH97" i="1"/>
  <c r="AJ97" i="1"/>
  <c r="G98" i="1"/>
  <c r="O98" i="1"/>
  <c r="AH98" i="1"/>
  <c r="AJ98" i="1"/>
  <c r="G99" i="1"/>
  <c r="O99" i="1"/>
  <c r="AH99" i="1"/>
  <c r="AJ99" i="1"/>
  <c r="G100" i="1"/>
  <c r="O100" i="1"/>
  <c r="AH100" i="1"/>
  <c r="AJ100" i="1"/>
  <c r="G101" i="1"/>
  <c r="O101" i="1"/>
  <c r="AH101" i="1"/>
  <c r="AJ101" i="1"/>
  <c r="G102" i="1"/>
  <c r="O102" i="1"/>
  <c r="AH102" i="1"/>
  <c r="AJ102" i="1"/>
  <c r="G103" i="1"/>
  <c r="O103" i="1"/>
  <c r="AH103" i="1"/>
  <c r="AJ103" i="1"/>
  <c r="G104" i="1"/>
  <c r="O104" i="1"/>
  <c r="AH104" i="1"/>
  <c r="AJ104" i="1"/>
  <c r="G105" i="1"/>
  <c r="O105" i="1"/>
  <c r="AH105" i="1"/>
  <c r="AJ105" i="1"/>
  <c r="G106" i="1"/>
  <c r="O106" i="1"/>
  <c r="AH106" i="1"/>
  <c r="AJ106" i="1"/>
  <c r="G107" i="1"/>
  <c r="O107" i="1"/>
  <c r="AH107" i="1"/>
  <c r="AJ107" i="1"/>
  <c r="G108" i="1"/>
  <c r="O108" i="1"/>
  <c r="AH108" i="1"/>
  <c r="AJ108" i="1"/>
  <c r="G109" i="1"/>
  <c r="O109" i="1"/>
  <c r="AH109" i="1"/>
  <c r="AJ109" i="1"/>
  <c r="G110" i="1"/>
  <c r="O110" i="1"/>
  <c r="AH110" i="1"/>
  <c r="AJ110" i="1"/>
  <c r="G111" i="1"/>
  <c r="O111" i="1"/>
  <c r="AH111" i="1"/>
  <c r="AJ111" i="1"/>
  <c r="G112" i="1"/>
  <c r="O112" i="1"/>
  <c r="AH112" i="1"/>
  <c r="AJ112" i="1"/>
  <c r="G113" i="1"/>
  <c r="O113" i="1"/>
  <c r="AH113" i="1"/>
  <c r="AJ113" i="1"/>
  <c r="G114" i="1"/>
  <c r="O114" i="1"/>
  <c r="AH114" i="1"/>
  <c r="AJ114" i="1"/>
  <c r="G115" i="1"/>
  <c r="O115" i="1"/>
  <c r="AH115" i="1"/>
  <c r="AJ115" i="1"/>
  <c r="G116" i="1"/>
  <c r="O116" i="1"/>
  <c r="AH116" i="1"/>
  <c r="AJ116" i="1"/>
  <c r="G117" i="1"/>
  <c r="O117" i="1"/>
  <c r="AH117" i="1"/>
  <c r="AJ117" i="1"/>
  <c r="G118" i="1"/>
  <c r="O118" i="1"/>
  <c r="AH118" i="1"/>
  <c r="AJ118" i="1"/>
  <c r="G119" i="1"/>
  <c r="O119" i="1"/>
  <c r="AH119" i="1"/>
  <c r="AJ119" i="1"/>
  <c r="G120" i="1"/>
  <c r="O120" i="1"/>
  <c r="AH120" i="1"/>
  <c r="AJ120" i="1"/>
  <c r="G121" i="1"/>
  <c r="O121" i="1"/>
  <c r="AH121" i="1"/>
  <c r="AJ121" i="1"/>
  <c r="G122" i="1"/>
  <c r="O122" i="1"/>
  <c r="AH122" i="1"/>
  <c r="AJ122" i="1"/>
  <c r="G123" i="1"/>
  <c r="O123" i="1"/>
  <c r="AH123" i="1"/>
  <c r="AJ123" i="1"/>
  <c r="G124" i="1"/>
  <c r="O124" i="1"/>
  <c r="AH124" i="1"/>
  <c r="AJ124" i="1"/>
  <c r="G125" i="1"/>
  <c r="O125" i="1"/>
  <c r="AH125" i="1"/>
  <c r="AJ125" i="1"/>
  <c r="G126" i="1"/>
  <c r="O126" i="1"/>
  <c r="AH126" i="1"/>
  <c r="AJ126" i="1"/>
  <c r="G127" i="1"/>
  <c r="O127" i="1"/>
  <c r="AH127" i="1"/>
  <c r="AJ127" i="1"/>
  <c r="G128" i="1"/>
  <c r="O128" i="1"/>
  <c r="AH128" i="1"/>
  <c r="AJ128" i="1"/>
  <c r="G129" i="1"/>
  <c r="O129" i="1"/>
  <c r="AH129" i="1"/>
  <c r="AJ129" i="1"/>
  <c r="G130" i="1"/>
  <c r="O130" i="1"/>
  <c r="AH130" i="1"/>
  <c r="AJ130" i="1"/>
  <c r="G131" i="1"/>
  <c r="O131" i="1"/>
  <c r="AH131" i="1"/>
  <c r="AJ131" i="1"/>
  <c r="G132" i="1"/>
  <c r="O132" i="1"/>
  <c r="AH132" i="1"/>
  <c r="AJ132" i="1"/>
  <c r="G133" i="1"/>
  <c r="O133" i="1"/>
  <c r="AH133" i="1"/>
  <c r="AJ133" i="1"/>
  <c r="G134" i="1"/>
  <c r="O134" i="1"/>
  <c r="AH134" i="1"/>
  <c r="AJ134" i="1"/>
  <c r="G135" i="1"/>
  <c r="O135" i="1"/>
  <c r="AH135" i="1"/>
  <c r="AJ135" i="1"/>
  <c r="G136" i="1"/>
  <c r="O136" i="1"/>
  <c r="AH136" i="1"/>
  <c r="AJ136" i="1"/>
  <c r="G137" i="1"/>
  <c r="O137" i="1"/>
  <c r="AH137" i="1"/>
  <c r="AJ137" i="1"/>
  <c r="G138" i="1"/>
  <c r="O138" i="1"/>
  <c r="AH138" i="1"/>
  <c r="AJ138" i="1"/>
  <c r="G139" i="1"/>
  <c r="O139" i="1"/>
  <c r="AH139" i="1"/>
  <c r="AJ139" i="1"/>
  <c r="G140" i="1"/>
  <c r="O140" i="1"/>
  <c r="AH140" i="1"/>
  <c r="AJ140" i="1"/>
  <c r="G141" i="1"/>
  <c r="O141" i="1"/>
  <c r="AH141" i="1"/>
  <c r="AJ141" i="1"/>
  <c r="G142" i="1"/>
  <c r="O142" i="1"/>
  <c r="AH142" i="1"/>
  <c r="AJ142" i="1"/>
  <c r="G143" i="1"/>
  <c r="O143" i="1"/>
  <c r="AH143" i="1"/>
  <c r="AJ143" i="1"/>
  <c r="G144" i="1"/>
  <c r="O144" i="1"/>
  <c r="AH144" i="1"/>
  <c r="AJ144" i="1"/>
  <c r="G145" i="1"/>
  <c r="O145" i="1"/>
  <c r="AH145" i="1"/>
  <c r="AJ145" i="1"/>
  <c r="G146" i="1"/>
  <c r="O146" i="1"/>
  <c r="AH146" i="1"/>
  <c r="AJ146" i="1"/>
  <c r="G147" i="1"/>
  <c r="O147" i="1"/>
  <c r="AH147" i="1"/>
  <c r="AJ147" i="1"/>
  <c r="G148" i="1"/>
  <c r="O148" i="1"/>
  <c r="AH148" i="1"/>
  <c r="AJ148" i="1"/>
  <c r="G149" i="1"/>
  <c r="O149" i="1"/>
  <c r="AH149" i="1"/>
  <c r="AJ149" i="1"/>
  <c r="G150" i="1"/>
  <c r="O150" i="1"/>
  <c r="AH150" i="1"/>
  <c r="AJ150" i="1"/>
  <c r="G151" i="1"/>
  <c r="O151" i="1"/>
  <c r="AH151" i="1"/>
  <c r="AJ151" i="1"/>
  <c r="G152" i="1"/>
  <c r="O152" i="1"/>
  <c r="AH152" i="1"/>
  <c r="AJ152" i="1"/>
  <c r="G153" i="1"/>
  <c r="O153" i="1"/>
  <c r="AH153" i="1"/>
  <c r="AJ153" i="1"/>
  <c r="G154" i="1"/>
  <c r="O154" i="1"/>
  <c r="AH154" i="1"/>
  <c r="AJ154" i="1"/>
  <c r="G155" i="1"/>
  <c r="O155" i="1"/>
  <c r="AH155" i="1"/>
  <c r="AJ155" i="1"/>
  <c r="G156" i="1"/>
  <c r="O156" i="1"/>
  <c r="AH156" i="1"/>
  <c r="AJ156" i="1"/>
  <c r="G157" i="1"/>
  <c r="O157" i="1"/>
  <c r="AH157" i="1"/>
  <c r="AJ157" i="1"/>
  <c r="G158" i="1"/>
  <c r="O158" i="1"/>
  <c r="AH158" i="1"/>
  <c r="AJ158" i="1"/>
  <c r="G159" i="1"/>
  <c r="O159" i="1"/>
  <c r="AH159" i="1"/>
  <c r="AJ159" i="1"/>
  <c r="G160" i="1"/>
  <c r="O160" i="1"/>
  <c r="AH160" i="1"/>
  <c r="AJ160" i="1"/>
  <c r="G161" i="1"/>
  <c r="O161" i="1"/>
  <c r="AH161" i="1"/>
  <c r="AJ161" i="1"/>
  <c r="G162" i="1"/>
  <c r="O162" i="1"/>
  <c r="AH162" i="1"/>
  <c r="AJ162" i="1"/>
  <c r="G163" i="1"/>
  <c r="O163" i="1"/>
  <c r="AH163" i="1"/>
  <c r="AJ163" i="1"/>
  <c r="G164" i="1"/>
  <c r="O164" i="1"/>
  <c r="AH164" i="1"/>
  <c r="AJ164" i="1"/>
  <c r="G165" i="1"/>
  <c r="O165" i="1"/>
  <c r="AH165" i="1"/>
  <c r="AJ165" i="1"/>
  <c r="G166" i="1"/>
  <c r="O166" i="1"/>
  <c r="AH166" i="1"/>
  <c r="AJ166" i="1"/>
  <c r="G167" i="1"/>
  <c r="O167" i="1"/>
  <c r="AH167" i="1"/>
  <c r="AJ167" i="1"/>
  <c r="G168" i="1"/>
  <c r="O168" i="1"/>
  <c r="AH168" i="1"/>
  <c r="AJ168" i="1"/>
  <c r="G169" i="1"/>
  <c r="O169" i="1"/>
  <c r="AH169" i="1"/>
  <c r="AJ169" i="1"/>
  <c r="G170" i="1"/>
  <c r="O170" i="1"/>
  <c r="AH170" i="1"/>
  <c r="AJ170" i="1"/>
  <c r="G171" i="1"/>
  <c r="O171" i="1"/>
  <c r="AH171" i="1"/>
  <c r="AJ171" i="1"/>
  <c r="G172" i="1"/>
  <c r="O172" i="1"/>
  <c r="AH172" i="1"/>
  <c r="AJ172" i="1"/>
  <c r="G173" i="1"/>
  <c r="O173" i="1"/>
  <c r="AH173" i="1"/>
  <c r="AJ173" i="1"/>
  <c r="G174" i="1"/>
  <c r="O174" i="1"/>
  <c r="AH174" i="1"/>
  <c r="AJ174" i="1"/>
  <c r="G175" i="1"/>
  <c r="O175" i="1"/>
  <c r="AH175" i="1"/>
  <c r="AJ175" i="1"/>
  <c r="G176" i="1"/>
  <c r="O176" i="1"/>
  <c r="AH176" i="1"/>
  <c r="AJ176" i="1"/>
  <c r="G177" i="1"/>
  <c r="O177" i="1"/>
  <c r="AH177" i="1"/>
  <c r="AJ177" i="1"/>
  <c r="G178" i="1"/>
  <c r="O178" i="1"/>
  <c r="AH178" i="1"/>
  <c r="AJ178" i="1"/>
  <c r="G179" i="1"/>
  <c r="O179" i="1"/>
  <c r="AH179" i="1"/>
  <c r="AJ179" i="1"/>
  <c r="G180" i="1"/>
  <c r="O180" i="1"/>
  <c r="AH180" i="1"/>
  <c r="AJ180" i="1"/>
  <c r="G181" i="1"/>
  <c r="O181" i="1"/>
  <c r="AH181" i="1"/>
  <c r="AJ181" i="1"/>
  <c r="G182" i="1"/>
  <c r="O182" i="1"/>
  <c r="AH182" i="1"/>
  <c r="AJ182" i="1"/>
  <c r="G183" i="1"/>
  <c r="O183" i="1"/>
  <c r="AH183" i="1"/>
  <c r="AJ183" i="1"/>
  <c r="G184" i="1"/>
  <c r="O184" i="1"/>
  <c r="AH184" i="1"/>
  <c r="AJ184" i="1"/>
  <c r="G185" i="1"/>
  <c r="O185" i="1"/>
  <c r="AH185" i="1"/>
  <c r="AJ185" i="1"/>
  <c r="G186" i="1"/>
  <c r="O186" i="1"/>
  <c r="AH186" i="1"/>
  <c r="AJ186" i="1"/>
  <c r="G187" i="1"/>
  <c r="O187" i="1"/>
  <c r="AH187" i="1"/>
  <c r="AJ187" i="1"/>
  <c r="G188" i="1"/>
  <c r="O188" i="1"/>
  <c r="AH188" i="1"/>
  <c r="AJ188" i="1"/>
  <c r="G189" i="1"/>
  <c r="O189" i="1"/>
  <c r="AH189" i="1"/>
  <c r="AJ189" i="1"/>
  <c r="G190" i="1"/>
  <c r="O190" i="1"/>
  <c r="AH190" i="1"/>
  <c r="AJ190" i="1"/>
  <c r="G191" i="1"/>
  <c r="O191" i="1"/>
  <c r="AH191" i="1"/>
  <c r="AJ191" i="1"/>
  <c r="G192" i="1"/>
  <c r="O192" i="1"/>
  <c r="AH192" i="1"/>
  <c r="AJ192" i="1"/>
  <c r="G193" i="1"/>
  <c r="O193" i="1"/>
  <c r="AH193" i="1"/>
  <c r="AJ193" i="1"/>
  <c r="G194" i="1"/>
  <c r="O194" i="1"/>
  <c r="AH194" i="1"/>
  <c r="AJ194" i="1"/>
  <c r="G195" i="1"/>
  <c r="O195" i="1"/>
  <c r="AH195" i="1"/>
  <c r="AJ195" i="1"/>
  <c r="G196" i="1"/>
  <c r="O196" i="1"/>
  <c r="AH196" i="1"/>
  <c r="AJ196" i="1"/>
  <c r="G197" i="1"/>
  <c r="O197" i="1"/>
  <c r="AH197" i="1"/>
  <c r="AJ197" i="1"/>
  <c r="G198" i="1"/>
  <c r="O198" i="1"/>
  <c r="AH198" i="1"/>
  <c r="AJ198" i="1"/>
  <c r="G199" i="1"/>
  <c r="O199" i="1"/>
  <c r="AH199" i="1"/>
  <c r="AJ199" i="1"/>
  <c r="G200" i="1"/>
  <c r="O200" i="1"/>
  <c r="AH200" i="1"/>
  <c r="AJ200" i="1"/>
  <c r="G201" i="1"/>
  <c r="O201" i="1"/>
  <c r="AH201" i="1"/>
  <c r="AJ201" i="1"/>
  <c r="G202" i="1"/>
  <c r="O202" i="1"/>
  <c r="AH202" i="1"/>
  <c r="AJ202" i="1"/>
  <c r="G203" i="1"/>
  <c r="O203" i="1"/>
  <c r="AH203" i="1"/>
  <c r="AJ203" i="1"/>
  <c r="G204" i="1"/>
  <c r="O204" i="1"/>
  <c r="AH204" i="1"/>
  <c r="AJ204" i="1"/>
  <c r="G205" i="1"/>
  <c r="O205" i="1"/>
  <c r="AH205" i="1"/>
  <c r="AJ205" i="1"/>
  <c r="G206" i="1"/>
  <c r="O206" i="1"/>
  <c r="AH206" i="1"/>
  <c r="AJ206" i="1"/>
  <c r="G207" i="1"/>
  <c r="O207" i="1"/>
  <c r="AH207" i="1"/>
  <c r="AJ207" i="1"/>
  <c r="G208" i="1"/>
  <c r="O208" i="1"/>
  <c r="AH208" i="1"/>
  <c r="AJ208" i="1"/>
  <c r="G209" i="1"/>
  <c r="O209" i="1"/>
  <c r="AH209" i="1"/>
  <c r="AJ209" i="1"/>
  <c r="G210" i="1"/>
  <c r="O210" i="1"/>
  <c r="AH210" i="1"/>
  <c r="AJ210" i="1"/>
  <c r="G211" i="1"/>
  <c r="O211" i="1"/>
  <c r="AH211" i="1"/>
  <c r="AJ211" i="1"/>
  <c r="G212" i="1"/>
  <c r="O212" i="1"/>
  <c r="AH212" i="1"/>
  <c r="AJ212" i="1"/>
  <c r="G213" i="1"/>
  <c r="O213" i="1"/>
  <c r="AH213" i="1"/>
  <c r="AJ213" i="1"/>
  <c r="G214" i="1"/>
  <c r="O214" i="1"/>
  <c r="AH214" i="1"/>
  <c r="AJ214" i="1"/>
  <c r="G215" i="1"/>
  <c r="O215" i="1"/>
  <c r="AH215" i="1"/>
  <c r="AJ215" i="1"/>
  <c r="G216" i="1"/>
  <c r="O216" i="1"/>
  <c r="AH216" i="1"/>
  <c r="AJ216" i="1"/>
  <c r="G217" i="1"/>
  <c r="O217" i="1"/>
  <c r="AH217" i="1"/>
  <c r="AJ217" i="1"/>
  <c r="G218" i="1"/>
  <c r="O218" i="1"/>
  <c r="AH218" i="1"/>
  <c r="AJ218" i="1"/>
  <c r="G219" i="1"/>
  <c r="O219" i="1"/>
  <c r="AH219" i="1"/>
  <c r="AJ219" i="1"/>
  <c r="G220" i="1"/>
  <c r="O220" i="1"/>
  <c r="AH220" i="1"/>
  <c r="AJ220" i="1"/>
  <c r="G221" i="1"/>
  <c r="O221" i="1"/>
  <c r="AH221" i="1"/>
  <c r="AJ221" i="1"/>
  <c r="G222" i="1"/>
  <c r="O222" i="1"/>
  <c r="AH222" i="1"/>
  <c r="AJ222" i="1"/>
  <c r="G223" i="1"/>
  <c r="O223" i="1"/>
  <c r="AH223" i="1"/>
  <c r="AJ223" i="1"/>
  <c r="G224" i="1"/>
  <c r="O224" i="1"/>
  <c r="AH224" i="1"/>
  <c r="AJ224" i="1"/>
  <c r="G225" i="1"/>
  <c r="O225" i="1"/>
  <c r="AH225" i="1"/>
  <c r="AJ225" i="1"/>
  <c r="G226" i="1"/>
  <c r="O226" i="1"/>
  <c r="AH226" i="1"/>
  <c r="AJ226" i="1"/>
  <c r="G227" i="1"/>
  <c r="O227" i="1"/>
  <c r="AH227" i="1"/>
  <c r="AJ227" i="1"/>
  <c r="G228" i="1"/>
  <c r="O228" i="1"/>
  <c r="AH228" i="1"/>
  <c r="AJ228" i="1"/>
  <c r="G229" i="1"/>
  <c r="O229" i="1"/>
  <c r="AH229" i="1"/>
  <c r="AJ229" i="1"/>
  <c r="G230" i="1"/>
  <c r="O230" i="1"/>
  <c r="AH230" i="1"/>
  <c r="AJ230" i="1"/>
  <c r="G231" i="1"/>
  <c r="O231" i="1"/>
  <c r="AH231" i="1"/>
  <c r="AJ231" i="1"/>
  <c r="G232" i="1"/>
  <c r="O232" i="1"/>
  <c r="AH232" i="1"/>
  <c r="AJ232" i="1"/>
  <c r="G233" i="1"/>
  <c r="O233" i="1"/>
  <c r="AH233" i="1"/>
  <c r="AJ233" i="1"/>
  <c r="G234" i="1"/>
  <c r="O234" i="1"/>
  <c r="AH234" i="1"/>
  <c r="AJ234" i="1"/>
  <c r="G235" i="1"/>
  <c r="O235" i="1"/>
  <c r="AH235" i="1"/>
  <c r="AJ235" i="1"/>
  <c r="G236" i="1"/>
  <c r="O236" i="1"/>
  <c r="AH236" i="1"/>
  <c r="AJ236" i="1"/>
  <c r="G237" i="1"/>
  <c r="O237" i="1"/>
  <c r="AH237" i="1"/>
  <c r="AJ237" i="1"/>
  <c r="G238" i="1"/>
  <c r="O238" i="1"/>
  <c r="AH238" i="1"/>
  <c r="AJ238" i="1"/>
  <c r="G239" i="1"/>
  <c r="O239" i="1"/>
  <c r="AH239" i="1"/>
  <c r="AJ239" i="1"/>
  <c r="G240" i="1"/>
  <c r="O240" i="1"/>
  <c r="AH240" i="1"/>
  <c r="AJ240" i="1"/>
  <c r="G241" i="1"/>
  <c r="O241" i="1"/>
  <c r="AH241" i="1"/>
  <c r="AJ241" i="1"/>
  <c r="G242" i="1"/>
  <c r="O242" i="1"/>
  <c r="AH242" i="1"/>
  <c r="AJ242" i="1"/>
  <c r="G243" i="1"/>
  <c r="O243" i="1"/>
  <c r="AH243" i="1"/>
  <c r="AJ243" i="1"/>
  <c r="G244" i="1"/>
  <c r="O244" i="1"/>
  <c r="AH244" i="1"/>
  <c r="AJ244" i="1"/>
  <c r="G245" i="1"/>
  <c r="O245" i="1"/>
  <c r="AH245" i="1"/>
  <c r="AJ245" i="1"/>
  <c r="G246" i="1"/>
  <c r="O246" i="1"/>
  <c r="AH246" i="1"/>
  <c r="AJ246" i="1"/>
  <c r="G247" i="1"/>
  <c r="O247" i="1"/>
  <c r="AH247" i="1"/>
  <c r="AJ247" i="1"/>
  <c r="G248" i="1"/>
  <c r="O248" i="1"/>
  <c r="AH248" i="1"/>
  <c r="AJ248" i="1"/>
  <c r="G249" i="1"/>
  <c r="O249" i="1"/>
  <c r="AH249" i="1"/>
  <c r="AJ249" i="1"/>
  <c r="G250" i="1"/>
  <c r="O250" i="1"/>
  <c r="AH250" i="1"/>
  <c r="AJ250" i="1"/>
  <c r="G251" i="1"/>
  <c r="O251" i="1"/>
  <c r="AH251" i="1"/>
  <c r="AJ251" i="1"/>
  <c r="G252" i="1"/>
  <c r="O252" i="1"/>
  <c r="AH252" i="1"/>
  <c r="AJ252" i="1"/>
  <c r="G253" i="1"/>
  <c r="O253" i="1"/>
  <c r="AH253" i="1"/>
  <c r="AJ253" i="1"/>
  <c r="G254" i="1"/>
  <c r="O254" i="1"/>
  <c r="AH254" i="1"/>
  <c r="AJ254" i="1"/>
  <c r="G255" i="1"/>
  <c r="O255" i="1"/>
  <c r="AH255" i="1"/>
  <c r="AJ255" i="1"/>
  <c r="G256" i="1"/>
  <c r="O256" i="1"/>
  <c r="AH256" i="1"/>
  <c r="AJ256" i="1"/>
  <c r="G257" i="1"/>
  <c r="O257" i="1"/>
  <c r="AH257" i="1"/>
  <c r="AJ257" i="1"/>
  <c r="G258" i="1"/>
  <c r="O258" i="1"/>
  <c r="AH258" i="1"/>
  <c r="AJ258" i="1"/>
  <c r="G259" i="1"/>
  <c r="O259" i="1"/>
  <c r="AH259" i="1"/>
  <c r="AJ259" i="1"/>
  <c r="G260" i="1"/>
  <c r="O260" i="1"/>
  <c r="AH260" i="1"/>
  <c r="AJ260" i="1"/>
  <c r="G261" i="1"/>
  <c r="O261" i="1"/>
  <c r="AH261" i="1"/>
  <c r="AJ261" i="1"/>
  <c r="G262" i="1"/>
  <c r="O262" i="1"/>
  <c r="AH262" i="1"/>
  <c r="AJ262" i="1"/>
  <c r="G263" i="1"/>
  <c r="O263" i="1"/>
  <c r="AH263" i="1"/>
  <c r="AJ263" i="1"/>
  <c r="G264" i="1"/>
  <c r="O264" i="1"/>
  <c r="AH264" i="1"/>
  <c r="AJ264" i="1"/>
  <c r="G265" i="1"/>
  <c r="O265" i="1"/>
  <c r="AH265" i="1"/>
  <c r="AJ265" i="1"/>
  <c r="G266" i="1"/>
  <c r="O266" i="1"/>
  <c r="AH266" i="1"/>
  <c r="AJ266" i="1"/>
  <c r="G267" i="1"/>
  <c r="O267" i="1"/>
  <c r="AH267" i="1"/>
  <c r="AJ267" i="1"/>
  <c r="G268" i="1"/>
  <c r="O268" i="1"/>
  <c r="AH268" i="1"/>
  <c r="AJ268" i="1"/>
  <c r="G269" i="1"/>
  <c r="O269" i="1"/>
  <c r="AH269" i="1"/>
  <c r="AJ269" i="1"/>
  <c r="C270" i="1"/>
  <c r="G270" i="1"/>
  <c r="O270" i="1"/>
  <c r="AH270" i="1"/>
  <c r="AJ270" i="1"/>
  <c r="C271" i="1"/>
  <c r="G271" i="1"/>
  <c r="O271" i="1"/>
  <c r="AH271" i="1"/>
  <c r="AJ271" i="1"/>
  <c r="C272" i="1"/>
  <c r="G272" i="1"/>
  <c r="O272" i="1"/>
  <c r="AH272" i="1"/>
  <c r="AJ272" i="1"/>
  <c r="C273" i="1"/>
  <c r="G273" i="1"/>
  <c r="O273" i="1"/>
  <c r="AH273" i="1"/>
  <c r="AJ273" i="1"/>
  <c r="C274" i="1"/>
  <c r="G274" i="1"/>
  <c r="O274" i="1"/>
  <c r="AH274" i="1"/>
  <c r="AJ274" i="1"/>
  <c r="C275" i="1"/>
  <c r="G275" i="1"/>
  <c r="O275" i="1"/>
  <c r="AH275" i="1"/>
  <c r="AJ275" i="1"/>
  <c r="C276" i="1"/>
  <c r="G276" i="1"/>
  <c r="O276" i="1"/>
  <c r="AH276" i="1"/>
  <c r="AJ276" i="1"/>
  <c r="C277" i="1"/>
  <c r="G277" i="1"/>
  <c r="O277" i="1"/>
  <c r="AH277" i="1"/>
  <c r="AJ277" i="1"/>
  <c r="C278" i="1"/>
  <c r="G278" i="1"/>
  <c r="O278" i="1"/>
  <c r="AH278" i="1"/>
  <c r="AJ278" i="1"/>
  <c r="C279" i="1"/>
  <c r="G279" i="1"/>
  <c r="O279" i="1"/>
  <c r="AH279" i="1"/>
  <c r="AJ279" i="1"/>
  <c r="C280" i="1"/>
  <c r="G280" i="1"/>
  <c r="O280" i="1"/>
  <c r="AH280" i="1"/>
  <c r="AJ280" i="1"/>
  <c r="C281" i="1"/>
  <c r="G281" i="1"/>
  <c r="O281" i="1"/>
  <c r="AH281" i="1"/>
  <c r="AJ281" i="1"/>
  <c r="C282" i="1"/>
  <c r="G282" i="1"/>
  <c r="O282" i="1"/>
  <c r="AH282" i="1"/>
  <c r="AJ282" i="1"/>
  <c r="C283" i="1"/>
  <c r="G283" i="1"/>
  <c r="O283" i="1"/>
  <c r="AH283" i="1"/>
  <c r="AJ283" i="1"/>
  <c r="C284" i="1"/>
  <c r="G284" i="1"/>
  <c r="O284" i="1"/>
  <c r="AH284" i="1"/>
  <c r="AJ284" i="1"/>
  <c r="C285" i="1"/>
  <c r="G285" i="1"/>
  <c r="O285" i="1"/>
  <c r="AH285" i="1"/>
  <c r="AJ285" i="1"/>
  <c r="C286" i="1"/>
  <c r="G286" i="1"/>
  <c r="O286" i="1"/>
  <c r="AH286" i="1"/>
  <c r="AJ286" i="1"/>
  <c r="C287" i="1"/>
  <c r="G287" i="1"/>
  <c r="O287" i="1"/>
  <c r="AH287" i="1"/>
  <c r="AJ287" i="1"/>
  <c r="C288" i="1"/>
  <c r="G288" i="1"/>
  <c r="O288" i="1"/>
  <c r="AH288" i="1"/>
  <c r="AJ288" i="1"/>
  <c r="C289" i="1"/>
  <c r="G289" i="1"/>
  <c r="O289" i="1"/>
  <c r="AH289" i="1"/>
  <c r="AJ289" i="1"/>
  <c r="C290" i="1"/>
  <c r="G290" i="1"/>
  <c r="O290" i="1"/>
  <c r="AH290" i="1"/>
  <c r="AJ290" i="1"/>
  <c r="C291" i="1"/>
  <c r="G291" i="1"/>
  <c r="O291" i="1"/>
  <c r="AH291" i="1"/>
  <c r="AJ291" i="1"/>
  <c r="C292" i="1"/>
  <c r="G292" i="1"/>
  <c r="O292" i="1"/>
  <c r="AH292" i="1"/>
  <c r="AJ292" i="1"/>
  <c r="C293" i="1"/>
  <c r="G293" i="1"/>
  <c r="O293" i="1"/>
  <c r="AH293" i="1"/>
  <c r="AJ293" i="1"/>
  <c r="C294" i="1"/>
  <c r="G294" i="1"/>
  <c r="O294" i="1"/>
  <c r="AH294" i="1"/>
  <c r="AJ294" i="1"/>
  <c r="C295" i="1"/>
  <c r="G295" i="1"/>
  <c r="O295" i="1"/>
  <c r="AH295" i="1"/>
  <c r="AJ295" i="1"/>
  <c r="C296" i="1"/>
  <c r="G296" i="1"/>
  <c r="O296" i="1"/>
  <c r="AH296" i="1"/>
  <c r="AJ296" i="1"/>
  <c r="C297" i="1"/>
  <c r="G297" i="1"/>
  <c r="O297" i="1"/>
  <c r="AH297" i="1"/>
  <c r="AJ297" i="1"/>
  <c r="C298" i="1"/>
  <c r="G298" i="1"/>
  <c r="O298" i="1"/>
  <c r="AH298" i="1"/>
  <c r="AJ298" i="1"/>
  <c r="C299" i="1"/>
  <c r="G299" i="1"/>
  <c r="O299" i="1"/>
  <c r="AH299" i="1"/>
  <c r="AJ299" i="1"/>
  <c r="C300" i="1"/>
  <c r="G300" i="1"/>
  <c r="O300" i="1"/>
  <c r="AH300" i="1"/>
  <c r="AJ300" i="1"/>
  <c r="C301" i="1"/>
  <c r="G301" i="1"/>
  <c r="O301" i="1"/>
  <c r="AH301" i="1"/>
  <c r="AJ301" i="1"/>
  <c r="C302" i="1"/>
  <c r="G302" i="1"/>
  <c r="O302" i="1"/>
  <c r="AH302" i="1"/>
  <c r="AJ302" i="1"/>
  <c r="C303" i="1"/>
  <c r="G303" i="1"/>
  <c r="O303" i="1"/>
  <c r="AH303" i="1"/>
  <c r="AJ303" i="1"/>
  <c r="C304" i="1"/>
  <c r="G304" i="1"/>
  <c r="O304" i="1"/>
  <c r="AH304" i="1"/>
  <c r="AJ304" i="1"/>
  <c r="C305" i="1"/>
  <c r="G305" i="1"/>
  <c r="O305" i="1"/>
  <c r="AH305" i="1"/>
  <c r="AJ305" i="1"/>
  <c r="C306" i="1"/>
  <c r="G306" i="1"/>
  <c r="O306" i="1"/>
  <c r="AH306" i="1"/>
  <c r="AJ306" i="1"/>
  <c r="C307" i="1"/>
  <c r="G307" i="1"/>
  <c r="O307" i="1"/>
  <c r="AH307" i="1"/>
  <c r="AJ307" i="1"/>
  <c r="C308" i="1"/>
  <c r="G308" i="1"/>
  <c r="O308" i="1"/>
  <c r="AH308" i="1"/>
  <c r="AJ308" i="1"/>
  <c r="C309" i="1"/>
  <c r="G309" i="1"/>
  <c r="O309" i="1"/>
  <c r="AH309" i="1"/>
  <c r="AJ309" i="1"/>
  <c r="C310" i="1"/>
  <c r="G310" i="1"/>
  <c r="O310" i="1"/>
  <c r="AH310" i="1"/>
  <c r="AJ310" i="1"/>
  <c r="C311" i="1"/>
  <c r="G311" i="1"/>
  <c r="O311" i="1"/>
  <c r="AH311" i="1"/>
  <c r="AJ311" i="1"/>
  <c r="C312" i="1"/>
  <c r="G312" i="1"/>
  <c r="O312" i="1"/>
  <c r="AH312" i="1"/>
  <c r="AJ312" i="1"/>
  <c r="C313" i="1"/>
  <c r="G313" i="1"/>
  <c r="O313" i="1"/>
  <c r="AH313" i="1"/>
  <c r="AJ313" i="1"/>
  <c r="C314" i="1"/>
  <c r="G314" i="1"/>
  <c r="O314" i="1"/>
  <c r="AH314" i="1"/>
  <c r="AJ314" i="1"/>
  <c r="C315" i="1"/>
  <c r="G315" i="1"/>
  <c r="O315" i="1"/>
  <c r="AH315" i="1"/>
  <c r="AJ315" i="1"/>
  <c r="C316" i="1"/>
  <c r="G316" i="1"/>
  <c r="O316" i="1"/>
  <c r="AH316" i="1"/>
  <c r="AJ316" i="1"/>
  <c r="C317" i="1"/>
  <c r="G317" i="1"/>
  <c r="O317" i="1"/>
  <c r="AH317" i="1"/>
  <c r="AJ317" i="1"/>
  <c r="C318" i="1"/>
  <c r="G318" i="1"/>
  <c r="O318" i="1"/>
  <c r="AH318" i="1"/>
  <c r="AJ318" i="1"/>
  <c r="C319" i="1"/>
  <c r="G319" i="1"/>
  <c r="O319" i="1"/>
  <c r="AH319" i="1"/>
  <c r="AJ319" i="1"/>
  <c r="C320" i="1"/>
  <c r="G320" i="1"/>
  <c r="O320" i="1"/>
  <c r="AH320" i="1"/>
  <c r="AJ320" i="1"/>
  <c r="C321" i="1"/>
  <c r="G321" i="1"/>
  <c r="O321" i="1"/>
  <c r="AH321" i="1"/>
  <c r="AJ321" i="1"/>
  <c r="C322" i="1"/>
  <c r="G322" i="1"/>
  <c r="O322" i="1"/>
  <c r="AH322" i="1"/>
  <c r="AJ322" i="1"/>
  <c r="C323" i="1"/>
  <c r="G323" i="1"/>
  <c r="O323" i="1"/>
  <c r="AH323" i="1"/>
  <c r="AJ323" i="1"/>
  <c r="C324" i="1"/>
  <c r="G324" i="1"/>
  <c r="O324" i="1"/>
  <c r="AH324" i="1"/>
  <c r="AJ324" i="1"/>
  <c r="C325" i="1"/>
  <c r="G325" i="1"/>
  <c r="O325" i="1"/>
  <c r="AH325" i="1"/>
  <c r="AJ325" i="1"/>
  <c r="C326" i="1"/>
  <c r="G326" i="1"/>
  <c r="O326" i="1"/>
  <c r="AH326" i="1"/>
  <c r="AJ326" i="1"/>
  <c r="C327" i="1"/>
  <c r="G327" i="1"/>
  <c r="O327" i="1"/>
  <c r="AH327" i="1"/>
  <c r="AJ327" i="1"/>
  <c r="C328" i="1"/>
  <c r="G328" i="1"/>
  <c r="O328" i="1"/>
  <c r="AH328" i="1"/>
  <c r="AJ328" i="1"/>
  <c r="C329" i="1"/>
  <c r="G329" i="1"/>
  <c r="O329" i="1"/>
  <c r="AH329" i="1"/>
  <c r="AJ329" i="1"/>
  <c r="C330" i="1"/>
  <c r="G330" i="1"/>
  <c r="O330" i="1"/>
  <c r="AH330" i="1"/>
  <c r="AJ330" i="1"/>
  <c r="C331" i="1"/>
  <c r="G331" i="1"/>
  <c r="O331" i="1"/>
  <c r="AH331" i="1"/>
  <c r="AJ331" i="1"/>
  <c r="C332" i="1"/>
  <c r="G332" i="1"/>
  <c r="O332" i="1"/>
  <c r="AH332" i="1"/>
  <c r="AJ332" i="1"/>
  <c r="C333" i="1"/>
  <c r="G333" i="1"/>
  <c r="O333" i="1"/>
  <c r="AH333" i="1"/>
  <c r="AJ333" i="1"/>
  <c r="C334" i="1"/>
  <c r="G334" i="1"/>
  <c r="O334" i="1"/>
  <c r="AH334" i="1"/>
  <c r="AJ334" i="1"/>
  <c r="C335" i="1"/>
  <c r="G335" i="1"/>
  <c r="O335" i="1"/>
  <c r="AH335" i="1"/>
  <c r="AJ335" i="1"/>
  <c r="C336" i="1"/>
  <c r="G336" i="1"/>
  <c r="O336" i="1"/>
  <c r="AH336" i="1"/>
  <c r="AJ336" i="1"/>
  <c r="C337" i="1"/>
  <c r="G337" i="1"/>
  <c r="O337" i="1"/>
  <c r="AH337" i="1"/>
  <c r="AJ337" i="1"/>
  <c r="C338" i="1"/>
  <c r="G338" i="1"/>
  <c r="O338" i="1"/>
  <c r="AH338" i="1"/>
  <c r="AJ338" i="1"/>
  <c r="C339" i="1"/>
  <c r="G339" i="1"/>
  <c r="O339" i="1"/>
  <c r="AH339" i="1"/>
  <c r="AJ339" i="1"/>
  <c r="C340" i="1"/>
  <c r="G340" i="1"/>
  <c r="O340" i="1"/>
  <c r="AH340" i="1"/>
  <c r="AJ340" i="1"/>
  <c r="C341" i="1"/>
  <c r="G341" i="1"/>
  <c r="O341" i="1"/>
  <c r="AH341" i="1"/>
  <c r="AJ341" i="1"/>
  <c r="C342" i="1"/>
  <c r="G342" i="1"/>
  <c r="O342" i="1"/>
  <c r="AH342" i="1"/>
  <c r="AJ342" i="1"/>
  <c r="C343" i="1"/>
  <c r="G343" i="1"/>
  <c r="O343" i="1"/>
  <c r="AH343" i="1"/>
  <c r="AJ343" i="1"/>
  <c r="C344" i="1"/>
  <c r="G344" i="1"/>
  <c r="O344" i="1"/>
  <c r="AH344" i="1"/>
  <c r="AJ344" i="1"/>
  <c r="C345" i="1"/>
  <c r="G345" i="1"/>
  <c r="O345" i="1"/>
  <c r="AH345" i="1"/>
  <c r="AJ345" i="1"/>
  <c r="C346" i="1"/>
  <c r="G346" i="1"/>
  <c r="O346" i="1"/>
  <c r="AH346" i="1"/>
  <c r="AJ346" i="1"/>
  <c r="C347" i="1"/>
  <c r="G347" i="1"/>
  <c r="O347" i="1"/>
  <c r="AH347" i="1"/>
  <c r="AJ347" i="1"/>
  <c r="C348" i="1"/>
  <c r="G348" i="1"/>
  <c r="O348" i="1"/>
  <c r="AH348" i="1"/>
  <c r="AJ348" i="1"/>
  <c r="C349" i="1"/>
  <c r="G349" i="1"/>
  <c r="O349" i="1"/>
  <c r="AH349" i="1"/>
  <c r="AJ349" i="1"/>
  <c r="C350" i="1"/>
  <c r="G350" i="1"/>
  <c r="O350" i="1"/>
  <c r="AH350" i="1"/>
  <c r="AJ350" i="1"/>
  <c r="C351" i="1"/>
  <c r="G351" i="1"/>
  <c r="O351" i="1"/>
  <c r="AH351" i="1"/>
  <c r="AJ351" i="1"/>
  <c r="C352" i="1"/>
  <c r="G352" i="1"/>
  <c r="O352" i="1"/>
  <c r="AH352" i="1"/>
  <c r="AJ352" i="1"/>
  <c r="C353" i="1"/>
  <c r="G353" i="1"/>
  <c r="O353" i="1"/>
  <c r="AH353" i="1"/>
  <c r="AJ353" i="1"/>
  <c r="C354" i="1"/>
  <c r="G354" i="1"/>
  <c r="O354" i="1"/>
  <c r="AH354" i="1"/>
  <c r="AJ354" i="1"/>
  <c r="C355" i="1"/>
  <c r="G355" i="1"/>
  <c r="O355" i="1"/>
  <c r="AH355" i="1"/>
  <c r="AJ355" i="1"/>
  <c r="C356" i="1"/>
  <c r="G356" i="1"/>
  <c r="O356" i="1"/>
  <c r="AH356" i="1"/>
  <c r="AJ356" i="1"/>
  <c r="C357" i="1"/>
  <c r="G357" i="1"/>
  <c r="O357" i="1"/>
  <c r="AH357" i="1"/>
  <c r="AJ357" i="1"/>
  <c r="C358" i="1"/>
  <c r="G358" i="1"/>
  <c r="O358" i="1"/>
  <c r="AH358" i="1"/>
  <c r="AJ358" i="1"/>
  <c r="C359" i="1"/>
  <c r="G359" i="1"/>
  <c r="O359" i="1"/>
  <c r="AH359" i="1"/>
  <c r="AJ359" i="1"/>
  <c r="C360" i="1"/>
  <c r="G360" i="1"/>
  <c r="O360" i="1"/>
  <c r="AH360" i="1"/>
  <c r="AJ360" i="1"/>
  <c r="C361" i="1"/>
  <c r="G361" i="1"/>
  <c r="O361" i="1"/>
  <c r="AH361" i="1"/>
  <c r="AJ361" i="1"/>
  <c r="C362" i="1"/>
  <c r="G362" i="1"/>
  <c r="O362" i="1"/>
  <c r="AH362" i="1"/>
  <c r="AJ362" i="1"/>
  <c r="C363" i="1"/>
  <c r="G363" i="1"/>
  <c r="O363" i="1"/>
  <c r="AH363" i="1"/>
  <c r="AJ363" i="1"/>
  <c r="C364" i="1"/>
  <c r="G364" i="1"/>
  <c r="O364" i="1"/>
  <c r="AH364" i="1"/>
  <c r="AJ364" i="1"/>
  <c r="C365" i="1"/>
  <c r="G365" i="1"/>
  <c r="O365" i="1"/>
  <c r="AH365" i="1"/>
  <c r="AJ365" i="1"/>
  <c r="C366" i="1"/>
  <c r="G366" i="1"/>
  <c r="O366" i="1"/>
  <c r="AH366" i="1"/>
  <c r="AJ366" i="1"/>
  <c r="C367" i="1"/>
  <c r="G367" i="1"/>
  <c r="O367" i="1"/>
  <c r="AH367" i="1"/>
  <c r="AJ367" i="1"/>
  <c r="C368" i="1"/>
  <c r="G368" i="1"/>
  <c r="O368" i="1"/>
  <c r="AH368" i="1"/>
  <c r="AJ368" i="1"/>
  <c r="C369" i="1"/>
  <c r="G369" i="1"/>
  <c r="O369" i="1"/>
  <c r="AH369" i="1"/>
  <c r="AJ369" i="1"/>
  <c r="C370" i="1"/>
  <c r="G370" i="1"/>
  <c r="O370" i="1"/>
  <c r="AH370" i="1"/>
  <c r="AJ370" i="1"/>
  <c r="C371" i="1"/>
  <c r="G371" i="1"/>
  <c r="O371" i="1"/>
  <c r="AH371" i="1"/>
  <c r="AJ371" i="1"/>
  <c r="C372" i="1"/>
  <c r="G372" i="1"/>
  <c r="O372" i="1"/>
  <c r="AH372" i="1"/>
  <c r="AJ372" i="1"/>
  <c r="C373" i="1"/>
  <c r="G373" i="1"/>
  <c r="O373" i="1"/>
  <c r="AH373" i="1"/>
  <c r="AJ373" i="1"/>
  <c r="C374" i="1"/>
  <c r="G374" i="1"/>
  <c r="O374" i="1"/>
  <c r="AH374" i="1"/>
  <c r="AJ374" i="1"/>
  <c r="C375" i="1"/>
  <c r="G375" i="1"/>
  <c r="O375" i="1"/>
  <c r="AH375" i="1"/>
  <c r="AJ375" i="1"/>
  <c r="C376" i="1"/>
  <c r="G376" i="1"/>
  <c r="O376" i="1"/>
  <c r="AH376" i="1"/>
  <c r="AJ376" i="1"/>
  <c r="C377" i="1"/>
  <c r="G377" i="1"/>
  <c r="O377" i="1"/>
  <c r="AH377" i="1"/>
  <c r="AJ377" i="1"/>
  <c r="C378" i="1"/>
  <c r="G378" i="1"/>
  <c r="O378" i="1"/>
  <c r="AH378" i="1"/>
  <c r="AJ378" i="1"/>
  <c r="C379" i="1"/>
  <c r="G379" i="1"/>
  <c r="O379" i="1"/>
  <c r="AH379" i="1"/>
  <c r="AJ379" i="1"/>
  <c r="C380" i="1"/>
  <c r="G380" i="1"/>
  <c r="O380" i="1"/>
  <c r="AH380" i="1"/>
  <c r="AJ380" i="1"/>
  <c r="C381" i="1"/>
  <c r="G381" i="1"/>
  <c r="O381" i="1"/>
  <c r="AH381" i="1"/>
  <c r="AJ381" i="1"/>
  <c r="C382" i="1"/>
  <c r="G382" i="1"/>
  <c r="O382" i="1"/>
  <c r="AH382" i="1"/>
  <c r="AJ382" i="1"/>
  <c r="C383" i="1"/>
  <c r="G383" i="1"/>
  <c r="O383" i="1"/>
  <c r="AH383" i="1"/>
  <c r="AJ383" i="1"/>
  <c r="C384" i="1"/>
  <c r="G384" i="1"/>
  <c r="O384" i="1"/>
  <c r="AH384" i="1"/>
  <c r="AJ384" i="1"/>
  <c r="C385" i="1"/>
  <c r="G385" i="1"/>
  <c r="O385" i="1"/>
  <c r="AH385" i="1"/>
  <c r="AJ385" i="1"/>
  <c r="C386" i="1"/>
  <c r="G386" i="1"/>
  <c r="O386" i="1"/>
  <c r="AH386" i="1"/>
  <c r="AJ386" i="1"/>
  <c r="C387" i="1"/>
  <c r="G387" i="1"/>
  <c r="O387" i="1"/>
  <c r="AH387" i="1"/>
  <c r="AJ387" i="1"/>
  <c r="C388" i="1"/>
  <c r="G388" i="1"/>
  <c r="O388" i="1"/>
  <c r="AH388" i="1"/>
  <c r="AJ388" i="1"/>
  <c r="C389" i="1"/>
  <c r="G389" i="1"/>
  <c r="O389" i="1"/>
  <c r="AH389" i="1"/>
  <c r="AJ389" i="1"/>
  <c r="C390" i="1"/>
  <c r="G390" i="1"/>
  <c r="O390" i="1"/>
  <c r="AH390" i="1"/>
  <c r="AJ390" i="1"/>
  <c r="C391" i="1"/>
  <c r="G391" i="1"/>
  <c r="O391" i="1"/>
  <c r="AH391" i="1"/>
  <c r="AJ391" i="1"/>
  <c r="C392" i="1"/>
  <c r="G392" i="1"/>
  <c r="O392" i="1"/>
  <c r="AH392" i="1"/>
  <c r="AJ392" i="1"/>
  <c r="C393" i="1"/>
  <c r="G393" i="1"/>
  <c r="O393" i="1"/>
  <c r="AH393" i="1"/>
  <c r="AJ393" i="1"/>
  <c r="C394" i="1"/>
  <c r="G394" i="1"/>
  <c r="O394" i="1"/>
  <c r="AH394" i="1"/>
  <c r="AJ394" i="1"/>
  <c r="C395" i="1"/>
  <c r="G395" i="1"/>
  <c r="O395" i="1"/>
  <c r="AH395" i="1"/>
  <c r="AJ395" i="1"/>
  <c r="C396" i="1"/>
  <c r="G396" i="1"/>
  <c r="O396" i="1"/>
  <c r="AH396" i="1"/>
  <c r="AJ396" i="1"/>
  <c r="C397" i="1"/>
  <c r="G397" i="1"/>
  <c r="O397" i="1"/>
  <c r="AH397" i="1"/>
  <c r="AJ397" i="1"/>
  <c r="C398" i="1"/>
  <c r="G398" i="1"/>
  <c r="O398" i="1"/>
  <c r="AH398" i="1"/>
  <c r="AJ398" i="1"/>
  <c r="C399" i="1"/>
  <c r="G399" i="1"/>
  <c r="O399" i="1"/>
  <c r="AH399" i="1"/>
  <c r="AJ399" i="1"/>
  <c r="C400" i="1"/>
  <c r="G400" i="1"/>
  <c r="O400" i="1"/>
  <c r="AH400" i="1"/>
  <c r="AJ400" i="1"/>
  <c r="C401" i="1"/>
  <c r="G401" i="1"/>
  <c r="O401" i="1"/>
  <c r="AH401" i="1"/>
  <c r="AJ401" i="1"/>
  <c r="C402" i="1"/>
  <c r="G402" i="1"/>
  <c r="O402" i="1"/>
  <c r="AH402" i="1"/>
  <c r="AJ402" i="1"/>
  <c r="C403" i="1"/>
  <c r="G403" i="1"/>
  <c r="O403" i="1"/>
  <c r="AH403" i="1"/>
  <c r="AJ403" i="1"/>
  <c r="C404" i="1"/>
  <c r="G404" i="1"/>
  <c r="O404" i="1"/>
  <c r="AH404" i="1"/>
  <c r="AJ404" i="1"/>
  <c r="C405" i="1"/>
  <c r="G405" i="1"/>
  <c r="O405" i="1"/>
  <c r="AH405" i="1"/>
  <c r="AJ405" i="1"/>
  <c r="C406" i="1"/>
  <c r="G406" i="1"/>
  <c r="O406" i="1"/>
  <c r="AH406" i="1"/>
  <c r="AJ406" i="1"/>
  <c r="C407" i="1"/>
  <c r="G407" i="1"/>
  <c r="O407" i="1"/>
  <c r="AH407" i="1"/>
  <c r="AJ407" i="1"/>
  <c r="C408" i="1"/>
  <c r="G408" i="1"/>
  <c r="O408" i="1"/>
  <c r="AH408" i="1"/>
  <c r="AJ408" i="1"/>
  <c r="C409" i="1"/>
  <c r="G409" i="1"/>
  <c r="O409" i="1"/>
  <c r="AH409" i="1"/>
  <c r="AJ409" i="1"/>
  <c r="C410" i="1"/>
  <c r="G410" i="1"/>
  <c r="O410" i="1"/>
  <c r="AH410" i="1"/>
  <c r="AJ410" i="1"/>
  <c r="C411" i="1"/>
  <c r="G411" i="1"/>
  <c r="O411" i="1"/>
  <c r="AH411" i="1"/>
  <c r="AJ411" i="1"/>
  <c r="C412" i="1"/>
  <c r="G412" i="1"/>
  <c r="O412" i="1"/>
  <c r="AH412" i="1"/>
  <c r="AJ412" i="1"/>
  <c r="C413" i="1"/>
  <c r="G413" i="1"/>
  <c r="O413" i="1"/>
  <c r="AH413" i="1"/>
  <c r="AJ413" i="1"/>
  <c r="C414" i="1"/>
  <c r="G414" i="1"/>
  <c r="O414" i="1"/>
  <c r="AH414" i="1"/>
  <c r="AJ414" i="1"/>
  <c r="C415" i="1"/>
  <c r="G415" i="1"/>
  <c r="O415" i="1"/>
  <c r="AH415" i="1"/>
  <c r="AJ415" i="1"/>
  <c r="C416" i="1"/>
  <c r="G416" i="1"/>
  <c r="O416" i="1"/>
  <c r="AH416" i="1"/>
  <c r="AJ416" i="1"/>
  <c r="C417" i="1"/>
  <c r="G417" i="1"/>
  <c r="O417" i="1"/>
  <c r="AH417" i="1"/>
  <c r="AJ417" i="1"/>
  <c r="C418" i="1"/>
  <c r="G418" i="1"/>
  <c r="O418" i="1"/>
  <c r="AH418" i="1"/>
  <c r="AJ418" i="1"/>
  <c r="C419" i="1"/>
  <c r="G419" i="1"/>
  <c r="O419" i="1"/>
  <c r="AH419" i="1"/>
  <c r="AJ419" i="1"/>
  <c r="C420" i="1"/>
  <c r="G420" i="1"/>
  <c r="O420" i="1"/>
  <c r="AH420" i="1"/>
  <c r="AJ420" i="1"/>
  <c r="C421" i="1"/>
  <c r="G421" i="1"/>
  <c r="O421" i="1"/>
  <c r="AH421" i="1"/>
  <c r="AJ421" i="1"/>
  <c r="C422" i="1"/>
  <c r="G422" i="1"/>
  <c r="O422" i="1"/>
  <c r="AH422" i="1"/>
  <c r="AJ422" i="1"/>
  <c r="C423" i="1"/>
  <c r="G423" i="1"/>
  <c r="O423" i="1"/>
  <c r="AH423" i="1"/>
  <c r="AJ423" i="1"/>
  <c r="C424" i="1"/>
  <c r="G424" i="1"/>
  <c r="O424" i="1"/>
  <c r="AH424" i="1"/>
  <c r="AJ424" i="1"/>
  <c r="C425" i="1"/>
  <c r="G425" i="1"/>
  <c r="O425" i="1"/>
  <c r="AH425" i="1"/>
  <c r="AJ425" i="1"/>
  <c r="C426" i="1"/>
  <c r="G426" i="1"/>
  <c r="O426" i="1"/>
  <c r="AH426" i="1"/>
  <c r="AJ426" i="1"/>
  <c r="C427" i="1"/>
  <c r="G427" i="1"/>
  <c r="O427" i="1"/>
  <c r="AH427" i="1"/>
  <c r="AJ427" i="1"/>
  <c r="C428" i="1"/>
  <c r="G428" i="1"/>
  <c r="O428" i="1"/>
  <c r="AH428" i="1"/>
  <c r="AJ428" i="1"/>
  <c r="C429" i="1"/>
  <c r="G429" i="1"/>
  <c r="O429" i="1"/>
  <c r="AH429" i="1"/>
  <c r="AJ429" i="1"/>
  <c r="C430" i="1"/>
  <c r="G430" i="1"/>
  <c r="O430" i="1"/>
  <c r="AH430" i="1"/>
  <c r="AJ430" i="1"/>
  <c r="C431" i="1"/>
  <c r="G431" i="1"/>
  <c r="O431" i="1"/>
  <c r="AH431" i="1"/>
  <c r="AJ431" i="1"/>
  <c r="C432" i="1"/>
  <c r="G432" i="1"/>
  <c r="O432" i="1"/>
  <c r="AH432" i="1"/>
  <c r="AJ432" i="1"/>
  <c r="C433" i="1"/>
  <c r="G433" i="1"/>
  <c r="O433" i="1"/>
  <c r="AH433" i="1"/>
  <c r="AJ433" i="1"/>
  <c r="C434" i="1"/>
  <c r="G434" i="1"/>
  <c r="O434" i="1"/>
  <c r="AH434" i="1"/>
  <c r="AJ434" i="1"/>
  <c r="C435" i="1"/>
  <c r="G435" i="1"/>
  <c r="O435" i="1"/>
  <c r="AH435" i="1"/>
  <c r="AJ435" i="1"/>
  <c r="C436" i="1"/>
  <c r="G436" i="1"/>
  <c r="O436" i="1"/>
  <c r="AH436" i="1"/>
  <c r="AJ436" i="1"/>
  <c r="C437" i="1"/>
  <c r="G437" i="1"/>
  <c r="O437" i="1"/>
  <c r="AH437" i="1"/>
  <c r="AJ437" i="1"/>
  <c r="C438" i="1"/>
  <c r="G438" i="1"/>
  <c r="O438" i="1"/>
  <c r="AH438" i="1"/>
  <c r="AJ438" i="1"/>
  <c r="C439" i="1"/>
  <c r="G439" i="1"/>
  <c r="O439" i="1"/>
  <c r="AH439" i="1"/>
  <c r="AJ439" i="1"/>
  <c r="C440" i="1"/>
  <c r="G440" i="1"/>
  <c r="O440" i="1"/>
  <c r="AH440" i="1"/>
  <c r="AJ440" i="1"/>
  <c r="C441" i="1"/>
  <c r="G441" i="1"/>
  <c r="O441" i="1"/>
  <c r="AH441" i="1"/>
  <c r="AJ441" i="1"/>
  <c r="C442" i="1"/>
  <c r="G442" i="1"/>
  <c r="O442" i="1"/>
  <c r="AH442" i="1"/>
  <c r="AJ442" i="1"/>
  <c r="C443" i="1"/>
  <c r="G443" i="1"/>
  <c r="O443" i="1"/>
  <c r="AH443" i="1"/>
  <c r="AJ443" i="1"/>
  <c r="C444" i="1"/>
  <c r="G444" i="1"/>
  <c r="O444" i="1"/>
  <c r="AH444" i="1"/>
  <c r="AJ444" i="1"/>
  <c r="C445" i="1"/>
  <c r="G445" i="1"/>
  <c r="O445" i="1"/>
  <c r="AH445" i="1"/>
  <c r="AJ445" i="1"/>
  <c r="C446" i="1"/>
  <c r="G446" i="1"/>
  <c r="O446" i="1"/>
  <c r="AH446" i="1"/>
  <c r="AJ446" i="1"/>
  <c r="C447" i="1"/>
  <c r="G447" i="1"/>
  <c r="O447" i="1"/>
  <c r="AH447" i="1"/>
  <c r="AJ447" i="1"/>
  <c r="C448" i="1"/>
  <c r="G448" i="1"/>
  <c r="O448" i="1"/>
  <c r="AH448" i="1"/>
  <c r="AJ448" i="1"/>
  <c r="C449" i="1"/>
  <c r="G449" i="1"/>
  <c r="O449" i="1"/>
  <c r="AH449" i="1"/>
  <c r="AJ449" i="1"/>
  <c r="C450" i="1"/>
  <c r="G450" i="1"/>
  <c r="O450" i="1"/>
  <c r="AH450" i="1"/>
  <c r="AJ450" i="1"/>
  <c r="C451" i="1"/>
  <c r="G451" i="1"/>
  <c r="O451" i="1"/>
  <c r="AH451" i="1"/>
  <c r="AJ451" i="1"/>
  <c r="C452" i="1"/>
  <c r="G452" i="1"/>
  <c r="O452" i="1"/>
  <c r="AH452" i="1"/>
  <c r="AJ452" i="1"/>
  <c r="C453" i="1"/>
  <c r="G453" i="1"/>
  <c r="O453" i="1"/>
  <c r="AH453" i="1"/>
  <c r="AJ453" i="1"/>
  <c r="C454" i="1"/>
  <c r="G454" i="1"/>
  <c r="O454" i="1"/>
  <c r="AH454" i="1"/>
  <c r="AJ454" i="1"/>
  <c r="C455" i="1"/>
  <c r="G455" i="1"/>
  <c r="O455" i="1"/>
  <c r="AH455" i="1"/>
  <c r="AJ455" i="1"/>
  <c r="C456" i="1"/>
  <c r="G456" i="1"/>
  <c r="O456" i="1"/>
  <c r="AH456" i="1"/>
  <c r="AJ456" i="1"/>
  <c r="C457" i="1"/>
  <c r="G457" i="1"/>
  <c r="O457" i="1"/>
  <c r="AH457" i="1"/>
  <c r="AJ457" i="1"/>
  <c r="C458" i="1"/>
  <c r="G458" i="1"/>
  <c r="O458" i="1"/>
  <c r="AH458" i="1"/>
  <c r="AJ458" i="1"/>
  <c r="C459" i="1"/>
  <c r="G459" i="1"/>
  <c r="O459" i="1"/>
  <c r="AH459" i="1"/>
  <c r="AJ459" i="1"/>
  <c r="C460" i="1"/>
  <c r="G460" i="1"/>
  <c r="O460" i="1"/>
  <c r="AH460" i="1"/>
  <c r="AJ460" i="1"/>
  <c r="C461" i="1"/>
  <c r="G461" i="1"/>
  <c r="O461" i="1"/>
  <c r="AH461" i="1"/>
  <c r="AJ461" i="1"/>
  <c r="C462" i="1"/>
  <c r="G462" i="1"/>
  <c r="O462" i="1"/>
  <c r="AH462" i="1"/>
  <c r="AJ462" i="1"/>
  <c r="C463" i="1"/>
  <c r="G463" i="1"/>
  <c r="O463" i="1"/>
  <c r="AH463" i="1"/>
  <c r="AJ463" i="1"/>
  <c r="C464" i="1"/>
  <c r="G464" i="1"/>
  <c r="O464" i="1"/>
  <c r="AH464" i="1"/>
  <c r="AJ464" i="1"/>
  <c r="C465" i="1"/>
  <c r="G465" i="1"/>
  <c r="O465" i="1"/>
  <c r="AH465" i="1"/>
  <c r="AJ465" i="1"/>
  <c r="C466" i="1"/>
  <c r="G466" i="1"/>
  <c r="O466" i="1"/>
  <c r="AH466" i="1"/>
  <c r="AJ466" i="1"/>
  <c r="C467" i="1"/>
  <c r="G467" i="1"/>
  <c r="O467" i="1"/>
  <c r="AH467" i="1"/>
  <c r="AJ467" i="1"/>
  <c r="C468" i="1"/>
  <c r="G468" i="1"/>
  <c r="O468" i="1"/>
  <c r="AH468" i="1"/>
  <c r="AJ468" i="1"/>
  <c r="C469" i="1"/>
  <c r="G469" i="1"/>
  <c r="O469" i="1"/>
  <c r="AH469" i="1"/>
  <c r="AJ469" i="1"/>
  <c r="C470" i="1"/>
  <c r="G470" i="1"/>
  <c r="O470" i="1"/>
  <c r="AH470" i="1"/>
  <c r="AJ470" i="1"/>
  <c r="C471" i="1"/>
  <c r="G471" i="1"/>
  <c r="O471" i="1"/>
  <c r="AH471" i="1"/>
  <c r="AJ471" i="1"/>
  <c r="C472" i="1"/>
  <c r="G472" i="1"/>
  <c r="O472" i="1"/>
  <c r="AH472" i="1"/>
  <c r="AJ472" i="1"/>
  <c r="C473" i="1"/>
  <c r="G473" i="1"/>
  <c r="O473" i="1"/>
  <c r="AH473" i="1"/>
  <c r="AJ473" i="1"/>
  <c r="C474" i="1"/>
  <c r="G474" i="1"/>
  <c r="O474" i="1"/>
  <c r="AH474" i="1"/>
  <c r="AJ474" i="1"/>
  <c r="C475" i="1"/>
  <c r="G475" i="1"/>
  <c r="O475" i="1"/>
  <c r="AH475" i="1"/>
  <c r="AJ475" i="1"/>
  <c r="C476" i="1"/>
  <c r="G476" i="1"/>
  <c r="O476" i="1"/>
  <c r="AH476" i="1"/>
  <c r="AJ476" i="1"/>
  <c r="C477" i="1"/>
  <c r="G477" i="1"/>
  <c r="O477" i="1"/>
  <c r="AH477" i="1"/>
  <c r="AJ477" i="1"/>
  <c r="C478" i="1"/>
  <c r="G478" i="1"/>
  <c r="O478" i="1"/>
  <c r="AH478" i="1"/>
  <c r="AJ478" i="1"/>
  <c r="C479" i="1"/>
  <c r="G479" i="1"/>
  <c r="O479" i="1"/>
  <c r="AH479" i="1"/>
  <c r="AJ479" i="1"/>
  <c r="C480" i="1"/>
  <c r="G480" i="1"/>
  <c r="O480" i="1"/>
  <c r="AH480" i="1"/>
  <c r="AJ480" i="1"/>
  <c r="C481" i="1"/>
  <c r="G481" i="1"/>
  <c r="O481" i="1"/>
  <c r="AH481" i="1"/>
  <c r="AJ481" i="1"/>
  <c r="C482" i="1"/>
  <c r="G482" i="1"/>
  <c r="O482" i="1"/>
  <c r="AH482" i="1"/>
  <c r="AJ482" i="1"/>
  <c r="C483" i="1"/>
  <c r="G483" i="1"/>
  <c r="O483" i="1"/>
  <c r="AH483" i="1"/>
  <c r="AJ483" i="1"/>
  <c r="C484" i="1"/>
  <c r="G484" i="1"/>
  <c r="O484" i="1"/>
  <c r="AH484" i="1"/>
  <c r="AJ484" i="1"/>
  <c r="C485" i="1"/>
  <c r="G485" i="1"/>
  <c r="O485" i="1"/>
  <c r="AH485" i="1"/>
  <c r="AJ485" i="1"/>
  <c r="C486" i="1"/>
  <c r="G486" i="1"/>
  <c r="O486" i="1"/>
  <c r="AH486" i="1"/>
  <c r="AJ486" i="1"/>
  <c r="C487" i="1"/>
  <c r="G487" i="1"/>
  <c r="O487" i="1"/>
  <c r="AH487" i="1"/>
  <c r="AJ487" i="1"/>
  <c r="C488" i="1"/>
  <c r="G488" i="1"/>
  <c r="O488" i="1"/>
  <c r="AH488" i="1"/>
  <c r="AJ488" i="1"/>
  <c r="C489" i="1"/>
  <c r="G489" i="1"/>
  <c r="O489" i="1"/>
  <c r="AH489" i="1"/>
  <c r="AJ489" i="1"/>
  <c r="C490" i="1"/>
  <c r="G490" i="1"/>
  <c r="O490" i="1"/>
  <c r="AH490" i="1"/>
  <c r="AJ490" i="1"/>
  <c r="C491" i="1"/>
  <c r="G491" i="1"/>
  <c r="O491" i="1"/>
  <c r="AH491" i="1"/>
  <c r="AJ491" i="1"/>
  <c r="C492" i="1"/>
  <c r="G492" i="1"/>
  <c r="O492" i="1"/>
  <c r="AH492" i="1"/>
  <c r="AJ492" i="1"/>
  <c r="C493" i="1"/>
  <c r="G493" i="1"/>
  <c r="O493" i="1"/>
  <c r="AH493" i="1"/>
  <c r="AJ493" i="1"/>
  <c r="C494" i="1"/>
  <c r="G494" i="1"/>
  <c r="O494" i="1"/>
  <c r="AH494" i="1"/>
  <c r="AJ494" i="1"/>
  <c r="C495" i="1"/>
  <c r="G495" i="1"/>
  <c r="O495" i="1"/>
  <c r="AH495" i="1"/>
  <c r="AJ495" i="1"/>
  <c r="C496" i="1"/>
  <c r="G496" i="1"/>
  <c r="O496" i="1"/>
  <c r="AH496" i="1"/>
  <c r="AJ496" i="1"/>
  <c r="C497" i="1"/>
  <c r="G497" i="1"/>
  <c r="O497" i="1"/>
  <c r="AH497" i="1"/>
  <c r="AJ497" i="1"/>
  <c r="C498" i="1"/>
  <c r="G498" i="1"/>
  <c r="O498" i="1"/>
  <c r="AH498" i="1"/>
  <c r="AJ498" i="1"/>
  <c r="C499" i="1"/>
  <c r="G499" i="1"/>
  <c r="O499" i="1"/>
  <c r="AH499" i="1"/>
  <c r="AJ499" i="1"/>
  <c r="C500" i="1"/>
  <c r="G500" i="1"/>
  <c r="O500" i="1"/>
  <c r="AH500" i="1"/>
  <c r="AJ500" i="1"/>
  <c r="C501" i="1"/>
  <c r="G501" i="1"/>
  <c r="O501" i="1"/>
  <c r="AH501" i="1"/>
  <c r="AJ501" i="1"/>
  <c r="C502" i="1"/>
  <c r="G502" i="1"/>
  <c r="O502" i="1"/>
  <c r="AH502" i="1"/>
  <c r="AJ502" i="1"/>
  <c r="C503" i="1"/>
  <c r="G503" i="1"/>
  <c r="O503" i="1"/>
  <c r="AH503" i="1"/>
  <c r="AJ503" i="1"/>
  <c r="C504" i="1"/>
  <c r="G504" i="1"/>
  <c r="O504" i="1"/>
  <c r="AH504" i="1"/>
  <c r="AJ504" i="1"/>
  <c r="C505" i="1"/>
  <c r="G505" i="1"/>
  <c r="O505" i="1"/>
  <c r="AH505" i="1"/>
  <c r="AJ505" i="1"/>
  <c r="C506" i="1"/>
  <c r="G506" i="1"/>
  <c r="O506" i="1"/>
  <c r="AH506" i="1"/>
  <c r="AJ506" i="1"/>
  <c r="C507" i="1"/>
  <c r="G507" i="1"/>
  <c r="O507" i="1"/>
  <c r="AH507" i="1"/>
  <c r="AJ507" i="1"/>
  <c r="C508" i="1"/>
  <c r="G508" i="1"/>
  <c r="O508" i="1"/>
  <c r="AH508" i="1"/>
  <c r="AJ508" i="1"/>
  <c r="C509" i="1"/>
  <c r="G509" i="1"/>
  <c r="O509" i="1"/>
  <c r="AH509" i="1"/>
  <c r="AJ509" i="1"/>
  <c r="C510" i="1"/>
  <c r="G510" i="1"/>
  <c r="O510" i="1"/>
  <c r="AH510" i="1"/>
  <c r="AJ510" i="1"/>
  <c r="C511" i="1"/>
  <c r="G511" i="1"/>
  <c r="O511" i="1"/>
  <c r="AH511" i="1"/>
  <c r="AJ511" i="1"/>
  <c r="C512" i="1"/>
  <c r="G512" i="1"/>
  <c r="O512" i="1"/>
  <c r="AH512" i="1"/>
  <c r="AJ512" i="1"/>
  <c r="C513" i="1"/>
  <c r="G513" i="1"/>
  <c r="O513" i="1"/>
  <c r="AH513" i="1"/>
  <c r="AJ513" i="1"/>
  <c r="C514" i="1"/>
  <c r="G514" i="1"/>
  <c r="O514" i="1"/>
  <c r="AH514" i="1"/>
  <c r="AJ514" i="1"/>
  <c r="C515" i="1"/>
  <c r="G515" i="1"/>
  <c r="O515" i="1"/>
  <c r="AH515" i="1"/>
  <c r="AJ515" i="1"/>
  <c r="C516" i="1"/>
  <c r="G516" i="1"/>
  <c r="O516" i="1"/>
  <c r="AH516" i="1"/>
  <c r="AJ516" i="1"/>
  <c r="C517" i="1"/>
  <c r="G517" i="1"/>
  <c r="O517" i="1"/>
  <c r="AH517" i="1"/>
  <c r="AJ517" i="1"/>
  <c r="C518" i="1"/>
  <c r="G518" i="1"/>
  <c r="O518" i="1"/>
  <c r="AH518" i="1"/>
  <c r="AJ518" i="1"/>
  <c r="C519" i="1"/>
  <c r="G519" i="1"/>
  <c r="O519" i="1"/>
  <c r="AH519" i="1"/>
  <c r="AJ519" i="1"/>
  <c r="C520" i="1"/>
  <c r="G520" i="1"/>
  <c r="O520" i="1"/>
  <c r="AH520" i="1"/>
  <c r="AJ520" i="1"/>
  <c r="C521" i="1"/>
  <c r="G521" i="1"/>
  <c r="O521" i="1"/>
  <c r="AH521" i="1"/>
  <c r="AJ521" i="1"/>
  <c r="C522" i="1"/>
  <c r="G522" i="1"/>
  <c r="O522" i="1"/>
  <c r="AH522" i="1"/>
  <c r="AJ522" i="1"/>
  <c r="C523" i="1"/>
  <c r="G523" i="1"/>
  <c r="O523" i="1"/>
  <c r="AH523" i="1"/>
  <c r="AJ523" i="1"/>
  <c r="C524" i="1"/>
  <c r="G524" i="1"/>
  <c r="O524" i="1"/>
  <c r="AH524" i="1"/>
  <c r="AJ524" i="1"/>
  <c r="C525" i="1"/>
  <c r="G525" i="1"/>
  <c r="O525" i="1"/>
  <c r="AH525" i="1"/>
  <c r="AJ525" i="1"/>
  <c r="C526" i="1"/>
  <c r="G526" i="1"/>
  <c r="O526" i="1"/>
  <c r="AH526" i="1"/>
  <c r="AJ526" i="1"/>
  <c r="C527" i="1"/>
  <c r="G527" i="1"/>
  <c r="O527" i="1"/>
  <c r="AH527" i="1"/>
  <c r="AJ527" i="1"/>
  <c r="C528" i="1"/>
  <c r="G528" i="1"/>
  <c r="O528" i="1"/>
  <c r="AH528" i="1"/>
  <c r="AJ528" i="1"/>
  <c r="C529" i="1"/>
  <c r="G529" i="1"/>
  <c r="O529" i="1"/>
  <c r="AH529" i="1"/>
  <c r="AJ529" i="1"/>
  <c r="C530" i="1"/>
  <c r="G530" i="1"/>
  <c r="O530" i="1"/>
  <c r="AH530" i="1"/>
  <c r="AJ530" i="1"/>
  <c r="C531" i="1"/>
  <c r="G531" i="1"/>
  <c r="O531" i="1"/>
  <c r="AH531" i="1"/>
  <c r="AJ531" i="1"/>
  <c r="C532" i="1"/>
  <c r="G532" i="1"/>
  <c r="O532" i="1"/>
  <c r="AH532" i="1"/>
  <c r="AJ532" i="1"/>
  <c r="C533" i="1"/>
  <c r="G533" i="1"/>
  <c r="O533" i="1"/>
  <c r="AH533" i="1"/>
  <c r="AJ533" i="1"/>
  <c r="C534" i="1"/>
  <c r="G534" i="1"/>
  <c r="O534" i="1"/>
  <c r="AH534" i="1"/>
  <c r="AJ534" i="1"/>
  <c r="C535" i="1"/>
  <c r="G535" i="1"/>
  <c r="O535" i="1"/>
  <c r="AH535" i="1"/>
  <c r="AJ535" i="1"/>
  <c r="C536" i="1"/>
  <c r="G536" i="1"/>
  <c r="O536" i="1"/>
  <c r="AH536" i="1"/>
  <c r="AJ536" i="1"/>
  <c r="C537" i="1"/>
  <c r="G537" i="1"/>
  <c r="O537" i="1"/>
  <c r="AH537" i="1"/>
  <c r="AJ537" i="1"/>
  <c r="C538" i="1"/>
  <c r="G538" i="1"/>
  <c r="O538" i="1"/>
  <c r="AH538" i="1"/>
  <c r="AJ538" i="1"/>
  <c r="C539" i="1"/>
  <c r="G539" i="1"/>
  <c r="O539" i="1"/>
  <c r="AH539" i="1"/>
  <c r="AJ539" i="1"/>
  <c r="C540" i="1"/>
  <c r="G540" i="1"/>
  <c r="O540" i="1"/>
  <c r="AH540" i="1"/>
  <c r="AJ540" i="1"/>
  <c r="C541" i="1"/>
  <c r="G541" i="1"/>
  <c r="O541" i="1"/>
  <c r="AH541" i="1"/>
  <c r="AJ541" i="1"/>
  <c r="C542" i="1"/>
  <c r="G542" i="1"/>
  <c r="O542" i="1"/>
  <c r="AH542" i="1"/>
  <c r="AJ542" i="1"/>
  <c r="C543" i="1"/>
  <c r="G543" i="1"/>
  <c r="O543" i="1"/>
  <c r="AH543" i="1"/>
  <c r="AJ543" i="1"/>
  <c r="C544" i="1"/>
  <c r="G544" i="1"/>
  <c r="O544" i="1"/>
  <c r="AH544" i="1"/>
  <c r="AJ544" i="1"/>
  <c r="C545" i="1"/>
  <c r="G545" i="1"/>
  <c r="O545" i="1"/>
  <c r="AH545" i="1"/>
  <c r="AJ545" i="1"/>
  <c r="C546" i="1"/>
  <c r="G546" i="1"/>
  <c r="O546" i="1"/>
  <c r="AH546" i="1"/>
  <c r="AJ546" i="1"/>
  <c r="C547" i="1"/>
  <c r="G547" i="1"/>
  <c r="O547" i="1"/>
  <c r="AH547" i="1"/>
  <c r="AJ547" i="1"/>
  <c r="C548" i="1"/>
  <c r="G548" i="1"/>
  <c r="O548" i="1"/>
  <c r="AH548" i="1"/>
  <c r="AJ548" i="1"/>
  <c r="C549" i="1"/>
  <c r="G549" i="1"/>
  <c r="O549" i="1"/>
  <c r="AH549" i="1"/>
  <c r="AJ549" i="1"/>
  <c r="C550" i="1"/>
  <c r="G550" i="1"/>
  <c r="O550" i="1"/>
  <c r="AH550" i="1"/>
  <c r="AJ550" i="1"/>
  <c r="C551" i="1"/>
  <c r="G551" i="1"/>
  <c r="O551" i="1"/>
  <c r="AH551" i="1"/>
  <c r="AJ551" i="1"/>
  <c r="C552" i="1"/>
  <c r="G552" i="1"/>
  <c r="O552" i="1"/>
  <c r="AH552" i="1"/>
  <c r="AJ552" i="1"/>
  <c r="C553" i="1"/>
  <c r="G553" i="1"/>
  <c r="O553" i="1"/>
  <c r="AH553" i="1"/>
  <c r="AJ553" i="1"/>
  <c r="C554" i="1"/>
  <c r="G554" i="1"/>
  <c r="O554" i="1"/>
  <c r="AH554" i="1"/>
  <c r="AJ554" i="1"/>
  <c r="C555" i="1"/>
  <c r="G555" i="1"/>
  <c r="O555" i="1"/>
  <c r="AH555" i="1"/>
  <c r="AJ555" i="1"/>
  <c r="C556" i="1"/>
  <c r="G556" i="1"/>
  <c r="O556" i="1"/>
  <c r="AH556" i="1"/>
  <c r="AJ556" i="1"/>
  <c r="C557" i="1"/>
  <c r="G557" i="1"/>
  <c r="O557" i="1"/>
  <c r="AH557" i="1"/>
  <c r="AJ557" i="1"/>
  <c r="C558" i="1"/>
  <c r="G558" i="1"/>
  <c r="O558" i="1"/>
  <c r="AH558" i="1"/>
  <c r="AJ558" i="1"/>
  <c r="C559" i="1"/>
  <c r="G559" i="1"/>
  <c r="O559" i="1"/>
  <c r="AH559" i="1"/>
  <c r="AJ559" i="1"/>
  <c r="C560" i="1"/>
  <c r="G560" i="1"/>
  <c r="O560" i="1"/>
  <c r="AH560" i="1"/>
  <c r="AJ560" i="1"/>
  <c r="C561" i="1"/>
  <c r="G561" i="1"/>
  <c r="O561" i="1"/>
  <c r="AH561" i="1"/>
  <c r="AJ561" i="1"/>
  <c r="C562" i="1"/>
  <c r="G562" i="1"/>
  <c r="O562" i="1"/>
  <c r="AH562" i="1"/>
  <c r="AJ562" i="1"/>
  <c r="C563" i="1"/>
  <c r="G563" i="1"/>
  <c r="O563" i="1"/>
  <c r="AH563" i="1"/>
  <c r="AJ563" i="1"/>
  <c r="C564" i="1"/>
  <c r="G564" i="1"/>
  <c r="O564" i="1"/>
  <c r="AH564" i="1"/>
  <c r="AJ564" i="1"/>
  <c r="C565" i="1"/>
  <c r="G565" i="1"/>
  <c r="O565" i="1"/>
  <c r="AH565" i="1"/>
  <c r="AJ565" i="1"/>
  <c r="C566" i="1"/>
  <c r="G566" i="1"/>
  <c r="O566" i="1"/>
  <c r="AH566" i="1"/>
  <c r="AJ566" i="1"/>
  <c r="C567" i="1"/>
  <c r="G567" i="1"/>
  <c r="O567" i="1"/>
  <c r="AH567" i="1"/>
  <c r="AJ567" i="1"/>
  <c r="C568" i="1"/>
  <c r="G568" i="1"/>
  <c r="O568" i="1"/>
  <c r="AH568" i="1"/>
  <c r="AJ568" i="1"/>
  <c r="C569" i="1"/>
  <c r="G569" i="1"/>
  <c r="O569" i="1"/>
  <c r="AH569" i="1"/>
  <c r="AJ569" i="1"/>
  <c r="C570" i="1"/>
  <c r="G570" i="1"/>
  <c r="O570" i="1"/>
  <c r="AH570" i="1"/>
  <c r="AJ570" i="1"/>
  <c r="C571" i="1"/>
  <c r="G571" i="1"/>
  <c r="O571" i="1"/>
  <c r="AH571" i="1"/>
  <c r="AJ571" i="1"/>
  <c r="C572" i="1"/>
  <c r="G572" i="1"/>
  <c r="O572" i="1"/>
  <c r="AH572" i="1"/>
  <c r="AJ572" i="1"/>
  <c r="C573" i="1"/>
  <c r="G573" i="1"/>
  <c r="O573" i="1"/>
  <c r="AH573" i="1"/>
  <c r="AJ573" i="1"/>
  <c r="C574" i="1"/>
  <c r="G574" i="1"/>
  <c r="O574" i="1"/>
  <c r="AH574" i="1"/>
  <c r="AJ574" i="1"/>
  <c r="C575" i="1"/>
  <c r="G575" i="1"/>
  <c r="O575" i="1"/>
  <c r="AH575" i="1"/>
  <c r="AJ575" i="1"/>
  <c r="C576" i="1"/>
  <c r="G576" i="1"/>
  <c r="O576" i="1"/>
  <c r="AH576" i="1"/>
  <c r="AJ576" i="1"/>
  <c r="C577" i="1"/>
  <c r="G577" i="1"/>
  <c r="O577" i="1"/>
  <c r="AH577" i="1"/>
  <c r="AJ577" i="1"/>
  <c r="C578" i="1"/>
  <c r="G578" i="1"/>
  <c r="O578" i="1"/>
  <c r="AH578" i="1"/>
  <c r="AJ578" i="1"/>
  <c r="C579" i="1"/>
  <c r="G579" i="1"/>
  <c r="O579" i="1"/>
  <c r="AH579" i="1"/>
  <c r="AJ579" i="1"/>
  <c r="C580" i="1"/>
  <c r="G580" i="1"/>
  <c r="O580" i="1"/>
  <c r="AH580" i="1"/>
  <c r="AJ580" i="1"/>
  <c r="C581" i="1"/>
  <c r="G581" i="1"/>
  <c r="O581" i="1"/>
  <c r="AH581" i="1"/>
  <c r="AJ581" i="1"/>
  <c r="C582" i="1"/>
  <c r="G582" i="1"/>
  <c r="O582" i="1"/>
  <c r="AH582" i="1"/>
  <c r="AJ582" i="1"/>
  <c r="C583" i="1"/>
  <c r="G583" i="1"/>
  <c r="O583" i="1"/>
  <c r="AH583" i="1"/>
  <c r="AJ583" i="1"/>
  <c r="C584" i="1"/>
  <c r="G584" i="1"/>
  <c r="O584" i="1"/>
  <c r="AH584" i="1"/>
  <c r="AJ584" i="1"/>
  <c r="C585" i="1"/>
  <c r="G585" i="1"/>
  <c r="O585" i="1"/>
  <c r="AH585" i="1"/>
  <c r="AJ585" i="1"/>
  <c r="C586" i="1"/>
  <c r="G586" i="1"/>
  <c r="O586" i="1"/>
  <c r="AH586" i="1"/>
  <c r="AJ586" i="1"/>
  <c r="C587" i="1"/>
  <c r="G587" i="1"/>
  <c r="O587" i="1"/>
  <c r="AH587" i="1"/>
  <c r="AJ587" i="1"/>
  <c r="C588" i="1"/>
  <c r="G588" i="1"/>
  <c r="O588" i="1"/>
  <c r="AH588" i="1"/>
  <c r="AJ588" i="1"/>
  <c r="C589" i="1"/>
  <c r="G589" i="1"/>
  <c r="O589" i="1"/>
  <c r="AH589" i="1"/>
  <c r="AJ589" i="1"/>
  <c r="C590" i="1"/>
  <c r="G590" i="1"/>
  <c r="O590" i="1"/>
  <c r="AH590" i="1"/>
  <c r="AJ590" i="1"/>
  <c r="C591" i="1"/>
  <c r="G591" i="1"/>
  <c r="O591" i="1"/>
  <c r="AH591" i="1"/>
  <c r="AJ591" i="1"/>
  <c r="C592" i="1"/>
  <c r="G592" i="1"/>
  <c r="O592" i="1"/>
  <c r="AH592" i="1"/>
  <c r="AJ592" i="1"/>
  <c r="C593" i="1"/>
  <c r="G593" i="1"/>
  <c r="O593" i="1"/>
  <c r="AH593" i="1"/>
  <c r="AJ593" i="1"/>
  <c r="C594" i="1"/>
  <c r="G594" i="1"/>
  <c r="O594" i="1"/>
  <c r="AH594" i="1"/>
  <c r="AJ594" i="1"/>
  <c r="C595" i="1"/>
  <c r="G595" i="1"/>
  <c r="O595" i="1"/>
  <c r="AH595" i="1"/>
  <c r="AJ595" i="1"/>
  <c r="C596" i="1"/>
  <c r="G596" i="1"/>
  <c r="O596" i="1"/>
  <c r="AH596" i="1"/>
  <c r="AJ596" i="1"/>
  <c r="C597" i="1"/>
  <c r="G597" i="1"/>
  <c r="O597" i="1"/>
  <c r="AH597" i="1"/>
  <c r="AJ597" i="1"/>
  <c r="C598" i="1"/>
  <c r="G598" i="1"/>
  <c r="O598" i="1"/>
  <c r="AH598" i="1"/>
  <c r="AJ598" i="1"/>
  <c r="C599" i="1"/>
  <c r="G599" i="1"/>
  <c r="O599" i="1"/>
  <c r="AH599" i="1"/>
  <c r="AJ599" i="1"/>
  <c r="C600" i="1"/>
  <c r="G600" i="1"/>
  <c r="O600" i="1"/>
  <c r="AH600" i="1"/>
  <c r="AJ600" i="1"/>
  <c r="C601" i="1"/>
  <c r="G601" i="1"/>
  <c r="O601" i="1"/>
  <c r="AH601" i="1"/>
  <c r="AJ601" i="1"/>
  <c r="C602" i="1"/>
  <c r="G602" i="1"/>
  <c r="O602" i="1"/>
  <c r="AH602" i="1"/>
  <c r="AJ602" i="1"/>
  <c r="C603" i="1"/>
  <c r="G603" i="1"/>
  <c r="O603" i="1"/>
  <c r="AH603" i="1"/>
  <c r="AJ603" i="1"/>
  <c r="C604" i="1"/>
  <c r="G604" i="1"/>
  <c r="O604" i="1"/>
  <c r="AH604" i="1"/>
  <c r="AJ604" i="1"/>
  <c r="C605" i="1"/>
  <c r="G605" i="1"/>
  <c r="O605" i="1"/>
  <c r="AH605" i="1"/>
  <c r="AJ605" i="1"/>
  <c r="C606" i="1"/>
  <c r="G606" i="1"/>
  <c r="O606" i="1"/>
  <c r="AH606" i="1"/>
  <c r="AJ606" i="1"/>
  <c r="C607" i="1"/>
  <c r="G607" i="1"/>
  <c r="O607" i="1"/>
  <c r="AH607" i="1"/>
  <c r="AJ607" i="1"/>
  <c r="C608" i="1"/>
  <c r="G608" i="1"/>
  <c r="O608" i="1"/>
  <c r="AH608" i="1"/>
  <c r="AJ608" i="1"/>
  <c r="C609" i="1"/>
  <c r="G609" i="1"/>
  <c r="O609" i="1"/>
  <c r="AH609" i="1"/>
  <c r="AJ609" i="1"/>
  <c r="C610" i="1"/>
  <c r="G610" i="1"/>
  <c r="O610" i="1"/>
  <c r="AH610" i="1"/>
  <c r="AJ610" i="1"/>
  <c r="C611" i="1"/>
  <c r="G611" i="1"/>
  <c r="O611" i="1"/>
  <c r="AH611" i="1"/>
  <c r="AJ611" i="1"/>
  <c r="C612" i="1"/>
  <c r="G612" i="1"/>
  <c r="O612" i="1"/>
  <c r="AH612" i="1"/>
  <c r="AJ612" i="1"/>
  <c r="C613" i="1"/>
  <c r="G613" i="1"/>
  <c r="O613" i="1"/>
  <c r="AH613" i="1"/>
  <c r="AJ613" i="1"/>
  <c r="C614" i="1"/>
  <c r="G614" i="1"/>
  <c r="O614" i="1"/>
  <c r="AH614" i="1"/>
  <c r="AJ614" i="1"/>
  <c r="C615" i="1"/>
  <c r="G615" i="1"/>
  <c r="O615" i="1"/>
  <c r="AH615" i="1"/>
  <c r="AJ615" i="1"/>
  <c r="C616" i="1"/>
  <c r="G616" i="1"/>
  <c r="O616" i="1"/>
  <c r="AH616" i="1"/>
  <c r="AJ616" i="1"/>
  <c r="C617" i="1"/>
  <c r="G617" i="1"/>
  <c r="O617" i="1"/>
  <c r="AH617" i="1"/>
  <c r="AJ617" i="1"/>
  <c r="C618" i="1"/>
  <c r="G618" i="1"/>
  <c r="O618" i="1"/>
  <c r="AH618" i="1"/>
  <c r="AJ618" i="1"/>
  <c r="C619" i="1"/>
  <c r="G619" i="1"/>
  <c r="O619" i="1"/>
  <c r="AH619" i="1"/>
  <c r="AJ619" i="1"/>
  <c r="C620" i="1"/>
  <c r="G620" i="1"/>
  <c r="O620" i="1"/>
  <c r="AH620" i="1"/>
  <c r="AJ620" i="1"/>
  <c r="C621" i="1"/>
  <c r="G621" i="1"/>
  <c r="O621" i="1"/>
  <c r="AH621" i="1"/>
  <c r="AJ621" i="1"/>
  <c r="C622" i="1"/>
  <c r="G622" i="1"/>
  <c r="O622" i="1"/>
  <c r="AH622" i="1"/>
  <c r="AJ622" i="1"/>
  <c r="C623" i="1"/>
  <c r="G623" i="1"/>
  <c r="O623" i="1"/>
  <c r="AH623" i="1"/>
  <c r="AJ623" i="1"/>
  <c r="C624" i="1"/>
  <c r="G624" i="1"/>
  <c r="O624" i="1"/>
  <c r="AH624" i="1"/>
  <c r="AJ624" i="1"/>
  <c r="C625" i="1"/>
  <c r="G625" i="1"/>
  <c r="O625" i="1"/>
  <c r="AH625" i="1"/>
  <c r="AJ625" i="1"/>
  <c r="C626" i="1"/>
  <c r="G626" i="1"/>
  <c r="O626" i="1"/>
  <c r="AH626" i="1"/>
  <c r="AJ626" i="1"/>
  <c r="C627" i="1"/>
  <c r="G627" i="1"/>
  <c r="O627" i="1"/>
  <c r="AH627" i="1"/>
  <c r="AJ627" i="1"/>
  <c r="C628" i="1"/>
  <c r="G628" i="1"/>
  <c r="O628" i="1"/>
  <c r="AH628" i="1"/>
  <c r="AJ628" i="1"/>
  <c r="C629" i="1"/>
  <c r="G629" i="1"/>
  <c r="O629" i="1"/>
  <c r="AH629" i="1"/>
  <c r="AJ629" i="1"/>
  <c r="C630" i="1"/>
  <c r="G630" i="1"/>
  <c r="O630" i="1"/>
  <c r="AH630" i="1"/>
  <c r="AJ630" i="1"/>
  <c r="C631" i="1"/>
  <c r="G631" i="1"/>
  <c r="O631" i="1"/>
  <c r="AH631" i="1"/>
  <c r="AJ631" i="1"/>
  <c r="C632" i="1"/>
  <c r="G632" i="1"/>
  <c r="O632" i="1"/>
  <c r="AH632" i="1"/>
  <c r="AJ632" i="1"/>
  <c r="C633" i="1"/>
  <c r="G633" i="1"/>
  <c r="O633" i="1"/>
  <c r="AH633" i="1"/>
  <c r="AJ633" i="1"/>
  <c r="C634" i="1"/>
  <c r="G634" i="1"/>
  <c r="O634" i="1"/>
  <c r="AH634" i="1"/>
  <c r="AJ634" i="1"/>
  <c r="C635" i="1"/>
  <c r="G635" i="1"/>
  <c r="O635" i="1"/>
  <c r="AH635" i="1"/>
  <c r="AJ635" i="1"/>
  <c r="C636" i="1"/>
  <c r="G636" i="1"/>
  <c r="O636" i="1"/>
  <c r="AH636" i="1"/>
  <c r="AJ636" i="1"/>
  <c r="C637" i="1"/>
  <c r="G637" i="1"/>
  <c r="O637" i="1"/>
  <c r="AH637" i="1"/>
  <c r="AJ637" i="1"/>
  <c r="C638" i="1"/>
  <c r="G638" i="1"/>
  <c r="O638" i="1"/>
  <c r="AH638" i="1"/>
  <c r="AJ638" i="1"/>
  <c r="C639" i="1"/>
  <c r="G639" i="1"/>
  <c r="O639" i="1"/>
  <c r="AH639" i="1"/>
  <c r="AJ639" i="1"/>
  <c r="C640" i="1"/>
  <c r="G640" i="1"/>
  <c r="O640" i="1"/>
  <c r="AH640" i="1"/>
  <c r="AJ640" i="1"/>
  <c r="C641" i="1"/>
  <c r="G641" i="1"/>
  <c r="O641" i="1"/>
  <c r="AH641" i="1"/>
  <c r="AJ641" i="1"/>
  <c r="C642" i="1"/>
  <c r="G642" i="1"/>
  <c r="O642" i="1"/>
  <c r="AH642" i="1"/>
  <c r="AJ642" i="1"/>
  <c r="C643" i="1"/>
  <c r="G643" i="1"/>
  <c r="O643" i="1"/>
  <c r="AH643" i="1"/>
  <c r="AJ643" i="1"/>
  <c r="C644" i="1"/>
  <c r="G644" i="1"/>
  <c r="O644" i="1"/>
  <c r="AH644" i="1"/>
  <c r="AJ644" i="1"/>
  <c r="C645" i="1"/>
  <c r="G645" i="1"/>
  <c r="O645" i="1"/>
  <c r="AH645" i="1"/>
  <c r="AJ645" i="1"/>
  <c r="C646" i="1"/>
  <c r="G646" i="1"/>
  <c r="O646" i="1"/>
  <c r="AH646" i="1"/>
  <c r="AJ646" i="1"/>
  <c r="C647" i="1"/>
  <c r="G647" i="1"/>
  <c r="O647" i="1"/>
  <c r="AH647" i="1"/>
  <c r="AJ647" i="1"/>
  <c r="C648" i="1"/>
  <c r="G648" i="1"/>
  <c r="O648" i="1"/>
  <c r="AH648" i="1"/>
  <c r="AJ648" i="1"/>
  <c r="C649" i="1"/>
  <c r="G649" i="1"/>
  <c r="O649" i="1"/>
  <c r="AH649" i="1"/>
  <c r="AJ649" i="1"/>
  <c r="C650" i="1"/>
  <c r="G650" i="1"/>
  <c r="O650" i="1"/>
  <c r="AH650" i="1"/>
  <c r="AJ650" i="1"/>
  <c r="C651" i="1"/>
  <c r="G651" i="1"/>
  <c r="O651" i="1"/>
  <c r="AH651" i="1"/>
  <c r="AJ651" i="1"/>
  <c r="C652" i="1"/>
  <c r="G652" i="1"/>
  <c r="O652" i="1"/>
  <c r="AH652" i="1"/>
  <c r="AJ652" i="1"/>
  <c r="C653" i="1"/>
  <c r="G653" i="1"/>
  <c r="O653" i="1"/>
  <c r="AH653" i="1"/>
  <c r="AJ653" i="1"/>
  <c r="C654" i="1"/>
  <c r="G654" i="1"/>
  <c r="O654" i="1"/>
  <c r="AH654" i="1"/>
  <c r="AJ654" i="1"/>
  <c r="C655" i="1"/>
  <c r="G655" i="1"/>
  <c r="O655" i="1"/>
  <c r="AH655" i="1"/>
  <c r="AJ655" i="1"/>
  <c r="C656" i="1"/>
  <c r="G656" i="1"/>
  <c r="O656" i="1"/>
  <c r="AH656" i="1"/>
  <c r="AJ656" i="1"/>
  <c r="C657" i="1"/>
  <c r="G657" i="1"/>
  <c r="O657" i="1"/>
  <c r="AH657" i="1"/>
  <c r="AJ657" i="1"/>
  <c r="C658" i="1"/>
  <c r="G658" i="1"/>
  <c r="O658" i="1"/>
  <c r="AH658" i="1"/>
  <c r="AJ658" i="1"/>
  <c r="C659" i="1"/>
  <c r="G659" i="1"/>
  <c r="O659" i="1"/>
  <c r="AH659" i="1"/>
  <c r="AJ659" i="1"/>
  <c r="C660" i="1"/>
  <c r="G660" i="1"/>
  <c r="O660" i="1"/>
  <c r="AH660" i="1"/>
  <c r="AJ660" i="1"/>
  <c r="C661" i="1"/>
  <c r="G661" i="1"/>
  <c r="O661" i="1"/>
  <c r="AH661" i="1"/>
  <c r="AJ661" i="1"/>
  <c r="C662" i="1"/>
  <c r="G662" i="1"/>
  <c r="O662" i="1"/>
  <c r="AH662" i="1"/>
  <c r="AJ662" i="1"/>
  <c r="C663" i="1"/>
  <c r="G663" i="1"/>
  <c r="O663" i="1"/>
  <c r="AH663" i="1"/>
  <c r="AJ663" i="1"/>
  <c r="C664" i="1"/>
  <c r="G664" i="1"/>
  <c r="O664" i="1"/>
  <c r="AH664" i="1"/>
  <c r="AJ664" i="1"/>
  <c r="C665" i="1"/>
  <c r="G665" i="1"/>
  <c r="O665" i="1"/>
  <c r="AH665" i="1"/>
  <c r="AJ665" i="1"/>
  <c r="C666" i="1"/>
  <c r="G666" i="1"/>
  <c r="O666" i="1"/>
  <c r="AH666" i="1"/>
  <c r="AJ666" i="1"/>
  <c r="C667" i="1"/>
  <c r="G667" i="1"/>
  <c r="O667" i="1"/>
  <c r="AH667" i="1"/>
  <c r="AJ667" i="1"/>
  <c r="C668" i="1"/>
  <c r="G668" i="1"/>
  <c r="O668" i="1"/>
  <c r="AH668" i="1"/>
  <c r="AJ668" i="1"/>
  <c r="C669" i="1"/>
  <c r="G669" i="1"/>
  <c r="O669" i="1"/>
  <c r="AH669" i="1"/>
  <c r="AJ669" i="1"/>
  <c r="C670" i="1"/>
  <c r="G670" i="1"/>
  <c r="O670" i="1"/>
  <c r="AH670" i="1"/>
  <c r="AJ670" i="1"/>
  <c r="C671" i="1"/>
  <c r="G671" i="1"/>
  <c r="O671" i="1"/>
  <c r="AH671" i="1"/>
  <c r="AJ671" i="1"/>
  <c r="C672" i="1"/>
  <c r="G672" i="1"/>
  <c r="O672" i="1"/>
  <c r="AH672" i="1"/>
  <c r="AJ672" i="1"/>
  <c r="C673" i="1"/>
  <c r="G673" i="1"/>
  <c r="O673" i="1"/>
  <c r="AH673" i="1"/>
  <c r="AJ673" i="1"/>
  <c r="C674" i="1"/>
  <c r="G674" i="1"/>
  <c r="O674" i="1"/>
  <c r="AH674" i="1"/>
  <c r="AJ674" i="1"/>
  <c r="C675" i="1"/>
  <c r="G675" i="1"/>
  <c r="O675" i="1"/>
  <c r="AH675" i="1"/>
  <c r="AJ675" i="1"/>
  <c r="C676" i="1"/>
  <c r="G676" i="1"/>
  <c r="O676" i="1"/>
  <c r="AH676" i="1"/>
  <c r="AJ676" i="1"/>
  <c r="C677" i="1"/>
  <c r="G677" i="1"/>
  <c r="O677" i="1"/>
  <c r="AH677" i="1"/>
  <c r="AJ677" i="1"/>
  <c r="C678" i="1"/>
  <c r="G678" i="1"/>
  <c r="O678" i="1"/>
  <c r="AH678" i="1"/>
  <c r="AJ678" i="1"/>
  <c r="C679" i="1"/>
  <c r="G679" i="1"/>
  <c r="O679" i="1"/>
  <c r="AH679" i="1"/>
  <c r="AJ679" i="1"/>
  <c r="C680" i="1"/>
  <c r="G680" i="1"/>
  <c r="O680" i="1"/>
  <c r="AH680" i="1"/>
  <c r="AJ680" i="1"/>
  <c r="C681" i="1"/>
  <c r="G681" i="1"/>
  <c r="O681" i="1"/>
  <c r="AH681" i="1"/>
  <c r="AJ681" i="1"/>
  <c r="C682" i="1"/>
  <c r="G682" i="1"/>
  <c r="O682" i="1"/>
  <c r="AH682" i="1"/>
  <c r="AJ682" i="1"/>
  <c r="C683" i="1"/>
  <c r="G683" i="1"/>
  <c r="O683" i="1"/>
  <c r="AH683" i="1"/>
  <c r="AJ683" i="1"/>
  <c r="C684" i="1"/>
  <c r="G684" i="1"/>
  <c r="O684" i="1"/>
  <c r="AH684" i="1"/>
  <c r="AJ684" i="1"/>
  <c r="C685" i="1"/>
  <c r="G685" i="1"/>
  <c r="O685" i="1"/>
  <c r="AH685" i="1"/>
  <c r="AJ685" i="1"/>
  <c r="C686" i="1"/>
  <c r="G686" i="1"/>
  <c r="O686" i="1"/>
  <c r="AH686" i="1"/>
  <c r="AJ686" i="1"/>
  <c r="C687" i="1"/>
  <c r="G687" i="1"/>
  <c r="O687" i="1"/>
  <c r="AH687" i="1"/>
  <c r="AJ687" i="1"/>
  <c r="C688" i="1"/>
  <c r="G688" i="1"/>
  <c r="O688" i="1"/>
  <c r="AH688" i="1"/>
  <c r="AJ688" i="1"/>
  <c r="C689" i="1"/>
  <c r="G689" i="1"/>
  <c r="O689" i="1"/>
  <c r="AH689" i="1"/>
  <c r="AJ689" i="1"/>
  <c r="C690" i="1"/>
  <c r="G690" i="1"/>
  <c r="O690" i="1"/>
  <c r="AH690" i="1"/>
  <c r="AJ690" i="1"/>
  <c r="C691" i="1"/>
  <c r="G691" i="1"/>
  <c r="O691" i="1"/>
  <c r="AH691" i="1"/>
  <c r="AJ691" i="1"/>
  <c r="C692" i="1"/>
  <c r="G692" i="1"/>
  <c r="O692" i="1"/>
  <c r="AH692" i="1"/>
  <c r="AJ692" i="1"/>
  <c r="C693" i="1"/>
  <c r="G693" i="1"/>
  <c r="O693" i="1"/>
  <c r="AH693" i="1"/>
  <c r="AJ693" i="1"/>
  <c r="C694" i="1"/>
  <c r="G694" i="1"/>
  <c r="O694" i="1"/>
  <c r="AH694" i="1"/>
  <c r="AJ694" i="1"/>
  <c r="C695" i="1"/>
  <c r="G695" i="1"/>
  <c r="O695" i="1"/>
  <c r="AH695" i="1"/>
  <c r="AJ695" i="1"/>
  <c r="C696" i="1"/>
  <c r="G696" i="1"/>
  <c r="O696" i="1"/>
  <c r="AH696" i="1"/>
  <c r="AJ696" i="1"/>
  <c r="C697" i="1"/>
  <c r="G697" i="1"/>
  <c r="O697" i="1"/>
  <c r="AH697" i="1"/>
  <c r="AJ697" i="1"/>
  <c r="C698" i="1"/>
  <c r="G698" i="1"/>
  <c r="O698" i="1"/>
  <c r="AH698" i="1"/>
  <c r="AJ698" i="1"/>
  <c r="C699" i="1"/>
  <c r="G699" i="1"/>
  <c r="O699" i="1"/>
  <c r="AH699" i="1"/>
  <c r="AJ699" i="1"/>
  <c r="C700" i="1"/>
  <c r="G700" i="1"/>
  <c r="O700" i="1"/>
  <c r="AH700" i="1"/>
  <c r="AJ700" i="1"/>
  <c r="C701" i="1"/>
  <c r="G701" i="1"/>
  <c r="O701" i="1"/>
  <c r="AH701" i="1"/>
  <c r="AJ701" i="1"/>
  <c r="C702" i="1"/>
  <c r="G702" i="1"/>
  <c r="O702" i="1"/>
  <c r="AH702" i="1"/>
  <c r="AJ702" i="1"/>
  <c r="C703" i="1"/>
  <c r="G703" i="1"/>
  <c r="O703" i="1"/>
  <c r="AH703" i="1"/>
  <c r="AJ703" i="1"/>
  <c r="C704" i="1"/>
  <c r="G704" i="1"/>
  <c r="O704" i="1"/>
  <c r="AH704" i="1"/>
  <c r="AJ704" i="1"/>
  <c r="C705" i="1"/>
  <c r="G705" i="1"/>
  <c r="O705" i="1"/>
  <c r="AH705" i="1"/>
  <c r="AJ705" i="1"/>
  <c r="C706" i="1"/>
  <c r="G706" i="1"/>
  <c r="O706" i="1"/>
  <c r="AH706" i="1"/>
  <c r="AJ706" i="1"/>
  <c r="C707" i="1"/>
  <c r="G707" i="1"/>
  <c r="O707" i="1"/>
  <c r="AH707" i="1"/>
  <c r="AJ707" i="1"/>
  <c r="C708" i="1"/>
  <c r="G708" i="1"/>
  <c r="O708" i="1"/>
  <c r="AH708" i="1"/>
  <c r="AJ708" i="1"/>
  <c r="C709" i="1"/>
  <c r="G709" i="1"/>
  <c r="O709" i="1"/>
  <c r="AH709" i="1"/>
  <c r="AJ709" i="1"/>
  <c r="C710" i="1"/>
  <c r="G710" i="1"/>
  <c r="O710" i="1"/>
  <c r="AH710" i="1"/>
  <c r="AJ710" i="1"/>
  <c r="C711" i="1"/>
  <c r="G711" i="1"/>
  <c r="O711" i="1"/>
  <c r="AH711" i="1"/>
  <c r="AJ711" i="1"/>
  <c r="C712" i="1"/>
  <c r="G712" i="1"/>
  <c r="O712" i="1"/>
  <c r="AH712" i="1"/>
  <c r="AJ712" i="1"/>
  <c r="C713" i="1"/>
  <c r="G713" i="1"/>
  <c r="O713" i="1"/>
  <c r="AH713" i="1"/>
  <c r="AJ713" i="1"/>
  <c r="C714" i="1"/>
  <c r="G714" i="1"/>
  <c r="O714" i="1"/>
  <c r="AH714" i="1"/>
  <c r="AJ714" i="1"/>
  <c r="C715" i="1"/>
  <c r="G715" i="1"/>
  <c r="O715" i="1"/>
  <c r="AH715" i="1"/>
  <c r="AJ715" i="1"/>
  <c r="C716" i="1"/>
  <c r="G716" i="1"/>
  <c r="O716" i="1"/>
  <c r="AH716" i="1"/>
  <c r="AJ716" i="1"/>
  <c r="C717" i="1"/>
  <c r="G717" i="1"/>
  <c r="O717" i="1"/>
  <c r="AH717" i="1"/>
  <c r="AJ717" i="1"/>
  <c r="C718" i="1"/>
  <c r="G718" i="1"/>
  <c r="O718" i="1"/>
  <c r="AH718" i="1"/>
  <c r="AJ718" i="1"/>
  <c r="C719" i="1"/>
  <c r="G719" i="1"/>
  <c r="O719" i="1"/>
  <c r="AH719" i="1"/>
  <c r="AJ719" i="1"/>
  <c r="C720" i="1"/>
  <c r="G720" i="1"/>
  <c r="O720" i="1"/>
  <c r="AH720" i="1"/>
  <c r="AJ720" i="1"/>
  <c r="C721" i="1"/>
  <c r="G721" i="1"/>
  <c r="O721" i="1"/>
  <c r="AH721" i="1"/>
  <c r="AJ721" i="1"/>
  <c r="C722" i="1"/>
  <c r="G722" i="1"/>
  <c r="O722" i="1"/>
  <c r="AH722" i="1"/>
  <c r="AJ722" i="1"/>
  <c r="C723" i="1"/>
  <c r="G723" i="1"/>
  <c r="O723" i="1"/>
  <c r="AH723" i="1"/>
  <c r="AJ723" i="1"/>
  <c r="C724" i="1"/>
  <c r="G724" i="1"/>
  <c r="O724" i="1"/>
  <c r="AH724" i="1"/>
  <c r="AJ724" i="1"/>
  <c r="C725" i="1"/>
  <c r="G725" i="1"/>
  <c r="O725" i="1"/>
  <c r="AH725" i="1"/>
  <c r="AJ725" i="1"/>
  <c r="C726" i="1"/>
  <c r="G726" i="1"/>
  <c r="O726" i="1"/>
  <c r="AH726" i="1"/>
  <c r="AJ726" i="1"/>
  <c r="C727" i="1"/>
  <c r="G727" i="1"/>
  <c r="O727" i="1"/>
  <c r="AH727" i="1"/>
  <c r="AJ727" i="1"/>
  <c r="C728" i="1"/>
  <c r="G728" i="1"/>
  <c r="O728" i="1"/>
  <c r="AH728" i="1"/>
  <c r="AJ728" i="1"/>
  <c r="C729" i="1"/>
  <c r="G729" i="1"/>
  <c r="O729" i="1"/>
  <c r="AH729" i="1"/>
  <c r="AJ729" i="1"/>
  <c r="C730" i="1"/>
  <c r="G730" i="1"/>
  <c r="O730" i="1"/>
  <c r="AH730" i="1"/>
  <c r="AJ730" i="1"/>
  <c r="C731" i="1"/>
  <c r="G731" i="1"/>
  <c r="O731" i="1"/>
  <c r="AH731" i="1"/>
  <c r="AJ731" i="1"/>
  <c r="C732" i="1"/>
  <c r="G732" i="1"/>
  <c r="O732" i="1"/>
  <c r="AH732" i="1"/>
  <c r="AJ732" i="1"/>
  <c r="C733" i="1"/>
  <c r="G733" i="1"/>
  <c r="O733" i="1"/>
  <c r="AH733" i="1"/>
  <c r="AJ733" i="1"/>
  <c r="C734" i="1"/>
  <c r="G734" i="1"/>
  <c r="O734" i="1"/>
  <c r="AH734" i="1"/>
  <c r="AJ734" i="1"/>
  <c r="C735" i="1"/>
  <c r="G735" i="1"/>
  <c r="O735" i="1"/>
  <c r="AH735" i="1"/>
  <c r="AJ735" i="1"/>
  <c r="C736" i="1"/>
  <c r="G736" i="1"/>
  <c r="O736" i="1"/>
  <c r="AH736" i="1"/>
  <c r="AJ736" i="1"/>
  <c r="C737" i="1"/>
  <c r="G737" i="1"/>
  <c r="O737" i="1"/>
  <c r="AH737" i="1"/>
  <c r="AJ737" i="1"/>
  <c r="C738" i="1"/>
  <c r="G738" i="1"/>
  <c r="O738" i="1"/>
  <c r="AH738" i="1"/>
  <c r="AJ738" i="1"/>
  <c r="C739" i="1"/>
  <c r="G739" i="1"/>
  <c r="O739" i="1"/>
  <c r="AH739" i="1"/>
  <c r="AJ739" i="1"/>
  <c r="C740" i="1"/>
  <c r="G740" i="1"/>
  <c r="O740" i="1"/>
  <c r="AH740" i="1"/>
  <c r="AJ740" i="1"/>
  <c r="C741" i="1"/>
  <c r="G741" i="1"/>
  <c r="O741" i="1"/>
  <c r="AH741" i="1"/>
  <c r="AJ741" i="1"/>
  <c r="C742" i="1"/>
  <c r="G742" i="1"/>
  <c r="O742" i="1"/>
  <c r="AH742" i="1"/>
  <c r="AJ742" i="1"/>
  <c r="C743" i="1"/>
  <c r="G743" i="1"/>
  <c r="O743" i="1"/>
  <c r="AH743" i="1"/>
  <c r="AJ743" i="1"/>
  <c r="C744" i="1"/>
  <c r="G744" i="1"/>
  <c r="O744" i="1"/>
  <c r="AH744" i="1"/>
  <c r="AJ744" i="1"/>
  <c r="C745" i="1"/>
  <c r="G745" i="1"/>
  <c r="O745" i="1"/>
  <c r="AH745" i="1"/>
  <c r="AJ745" i="1"/>
  <c r="C746" i="1"/>
  <c r="G746" i="1"/>
  <c r="O746" i="1"/>
  <c r="AH746" i="1"/>
  <c r="AJ746" i="1"/>
  <c r="C747" i="1"/>
  <c r="G747" i="1"/>
  <c r="O747" i="1"/>
  <c r="AH747" i="1"/>
  <c r="AJ747" i="1"/>
  <c r="C748" i="1"/>
  <c r="G748" i="1"/>
  <c r="O748" i="1"/>
  <c r="AH748" i="1"/>
  <c r="AJ748" i="1"/>
  <c r="C749" i="1"/>
  <c r="G749" i="1"/>
  <c r="O749" i="1"/>
  <c r="AH749" i="1"/>
  <c r="AJ749" i="1"/>
  <c r="C750" i="1"/>
  <c r="G750" i="1"/>
  <c r="O750" i="1"/>
  <c r="AH750" i="1"/>
  <c r="AJ750" i="1"/>
  <c r="C751" i="1"/>
  <c r="G751" i="1"/>
  <c r="O751" i="1"/>
  <c r="AH751" i="1"/>
  <c r="AJ751" i="1"/>
  <c r="C752" i="1"/>
  <c r="G752" i="1"/>
  <c r="O752" i="1"/>
  <c r="AH752" i="1"/>
  <c r="AJ752" i="1"/>
  <c r="C753" i="1"/>
  <c r="G753" i="1"/>
  <c r="O753" i="1"/>
  <c r="AH753" i="1"/>
  <c r="AJ753" i="1"/>
  <c r="C754" i="1"/>
  <c r="G754" i="1"/>
  <c r="O754" i="1"/>
  <c r="AH754" i="1"/>
  <c r="AJ754" i="1"/>
  <c r="C755" i="1"/>
  <c r="G755" i="1"/>
  <c r="O755" i="1"/>
  <c r="AH755" i="1"/>
  <c r="AJ755" i="1"/>
  <c r="C756" i="1"/>
  <c r="G756" i="1"/>
  <c r="O756" i="1"/>
  <c r="AH756" i="1"/>
  <c r="AJ756" i="1"/>
  <c r="C757" i="1"/>
  <c r="G757" i="1"/>
  <c r="O757" i="1"/>
  <c r="AH757" i="1"/>
  <c r="AJ757" i="1"/>
  <c r="C758" i="1"/>
  <c r="G758" i="1"/>
  <c r="O758" i="1"/>
  <c r="AH758" i="1"/>
  <c r="AJ758" i="1"/>
  <c r="C759" i="1"/>
  <c r="G759" i="1"/>
  <c r="O759" i="1"/>
  <c r="AH759" i="1"/>
  <c r="AJ759" i="1"/>
  <c r="C760" i="1"/>
  <c r="G760" i="1"/>
  <c r="O760" i="1"/>
  <c r="AH760" i="1"/>
  <c r="AJ760" i="1"/>
  <c r="C761" i="1"/>
  <c r="G761" i="1"/>
  <c r="O761" i="1"/>
  <c r="AH761" i="1"/>
  <c r="AJ761" i="1"/>
  <c r="C762" i="1"/>
  <c r="G762" i="1"/>
  <c r="O762" i="1"/>
  <c r="AH762" i="1"/>
  <c r="AJ762" i="1"/>
  <c r="C763" i="1"/>
  <c r="G763" i="1"/>
  <c r="O763" i="1"/>
  <c r="AH763" i="1"/>
  <c r="AJ763" i="1"/>
  <c r="C764" i="1"/>
  <c r="G764" i="1"/>
  <c r="O764" i="1"/>
  <c r="AH764" i="1"/>
  <c r="AJ764" i="1"/>
  <c r="C765" i="1"/>
  <c r="G765" i="1"/>
  <c r="O765" i="1"/>
  <c r="AH765" i="1"/>
  <c r="AJ765" i="1"/>
  <c r="C766" i="1"/>
  <c r="G766" i="1"/>
  <c r="O766" i="1"/>
  <c r="AH766" i="1"/>
  <c r="AJ766" i="1"/>
  <c r="C767" i="1"/>
  <c r="G767" i="1"/>
  <c r="O767" i="1"/>
  <c r="AH767" i="1"/>
  <c r="AJ767" i="1"/>
  <c r="C768" i="1"/>
  <c r="G768" i="1"/>
  <c r="O768" i="1"/>
  <c r="AH768" i="1"/>
  <c r="AJ768" i="1"/>
  <c r="C769" i="1"/>
  <c r="G769" i="1"/>
  <c r="O769" i="1"/>
  <c r="AH769" i="1"/>
  <c r="AJ769" i="1"/>
  <c r="C770" i="1"/>
  <c r="G770" i="1"/>
  <c r="O770" i="1"/>
  <c r="AH770" i="1"/>
  <c r="AJ770" i="1"/>
  <c r="C771" i="1"/>
  <c r="G771" i="1"/>
  <c r="O771" i="1"/>
  <c r="AH771" i="1"/>
  <c r="AJ771" i="1"/>
  <c r="C772" i="1"/>
  <c r="G772" i="1"/>
  <c r="O772" i="1"/>
  <c r="AH772" i="1"/>
  <c r="AJ772" i="1"/>
  <c r="C773" i="1"/>
  <c r="G773" i="1"/>
  <c r="O773" i="1"/>
  <c r="AH773" i="1"/>
  <c r="AJ773" i="1"/>
  <c r="C774" i="1"/>
  <c r="G774" i="1"/>
  <c r="O774" i="1"/>
  <c r="AH774" i="1"/>
  <c r="AJ774" i="1"/>
  <c r="C775" i="1"/>
  <c r="G775" i="1"/>
  <c r="O775" i="1"/>
  <c r="AH775" i="1"/>
  <c r="AJ775" i="1"/>
  <c r="C776" i="1"/>
  <c r="G776" i="1"/>
  <c r="O776" i="1"/>
  <c r="AH776" i="1"/>
  <c r="AJ776" i="1"/>
  <c r="C777" i="1"/>
  <c r="G777" i="1"/>
  <c r="O777" i="1"/>
  <c r="AH777" i="1"/>
  <c r="AJ777" i="1"/>
  <c r="C778" i="1"/>
  <c r="G778" i="1"/>
  <c r="O778" i="1"/>
  <c r="AH778" i="1"/>
  <c r="AJ778" i="1"/>
  <c r="C779" i="1"/>
  <c r="G779" i="1"/>
  <c r="O779" i="1"/>
  <c r="AH779" i="1"/>
  <c r="AJ779" i="1"/>
  <c r="C780" i="1"/>
  <c r="G780" i="1"/>
  <c r="O780" i="1"/>
  <c r="AH780" i="1"/>
  <c r="AJ780" i="1"/>
  <c r="C781" i="1"/>
  <c r="G781" i="1"/>
  <c r="O781" i="1"/>
  <c r="AH781" i="1"/>
  <c r="AJ781" i="1"/>
  <c r="C782" i="1"/>
  <c r="G782" i="1"/>
  <c r="O782" i="1"/>
  <c r="AH782" i="1"/>
  <c r="AJ782" i="1"/>
  <c r="C783" i="1"/>
  <c r="G783" i="1"/>
  <c r="O783" i="1"/>
  <c r="AH783" i="1"/>
  <c r="AJ783" i="1"/>
  <c r="C784" i="1"/>
  <c r="G784" i="1"/>
  <c r="O784" i="1"/>
  <c r="AH784" i="1"/>
  <c r="AJ784" i="1"/>
  <c r="C785" i="1"/>
  <c r="G785" i="1"/>
  <c r="O785" i="1"/>
  <c r="AH785" i="1"/>
  <c r="AJ785" i="1"/>
  <c r="C786" i="1"/>
  <c r="G786" i="1"/>
  <c r="O786" i="1"/>
  <c r="AH786" i="1"/>
  <c r="AJ786" i="1"/>
  <c r="C787" i="1"/>
  <c r="G787" i="1"/>
  <c r="O787" i="1"/>
  <c r="AH787" i="1"/>
  <c r="AJ787" i="1"/>
  <c r="C788" i="1"/>
  <c r="G788" i="1"/>
  <c r="O788" i="1"/>
  <c r="AH788" i="1"/>
  <c r="AJ788" i="1"/>
  <c r="C789" i="1"/>
  <c r="G789" i="1"/>
  <c r="O789" i="1"/>
  <c r="AH789" i="1"/>
  <c r="AJ789" i="1"/>
  <c r="C790" i="1"/>
  <c r="G790" i="1"/>
  <c r="O790" i="1"/>
  <c r="AH790" i="1"/>
  <c r="AJ790" i="1"/>
  <c r="C791" i="1"/>
  <c r="G791" i="1"/>
  <c r="O791" i="1"/>
  <c r="AH791" i="1"/>
  <c r="AJ791" i="1"/>
  <c r="C792" i="1"/>
  <c r="G792" i="1"/>
  <c r="O792" i="1"/>
  <c r="AH792" i="1"/>
  <c r="AJ792" i="1"/>
  <c r="C793" i="1"/>
  <c r="G793" i="1"/>
  <c r="O793" i="1"/>
  <c r="AH793" i="1"/>
  <c r="AJ793" i="1"/>
  <c r="C794" i="1"/>
  <c r="G794" i="1"/>
  <c r="O794" i="1"/>
  <c r="AH794" i="1"/>
  <c r="AJ794" i="1"/>
  <c r="C795" i="1"/>
  <c r="G795" i="1"/>
  <c r="O795" i="1"/>
  <c r="AH795" i="1"/>
  <c r="AJ795" i="1"/>
  <c r="C796" i="1"/>
  <c r="G796" i="1"/>
  <c r="O796" i="1"/>
  <c r="AH796" i="1"/>
  <c r="AJ796" i="1"/>
  <c r="C797" i="1"/>
  <c r="G797" i="1"/>
  <c r="O797" i="1"/>
  <c r="AH797" i="1"/>
  <c r="AJ797" i="1"/>
  <c r="C798" i="1"/>
  <c r="G798" i="1"/>
  <c r="O798" i="1"/>
  <c r="AH798" i="1"/>
  <c r="AJ798" i="1"/>
  <c r="C799" i="1"/>
  <c r="G799" i="1"/>
  <c r="O799" i="1"/>
  <c r="AH799" i="1"/>
  <c r="AJ799" i="1"/>
  <c r="C800" i="1"/>
  <c r="G800" i="1"/>
  <c r="O800" i="1"/>
  <c r="AH800" i="1"/>
  <c r="AJ800" i="1"/>
  <c r="C801" i="1"/>
  <c r="G801" i="1"/>
  <c r="O801" i="1"/>
  <c r="AH801" i="1"/>
  <c r="AJ801" i="1"/>
  <c r="C802" i="1"/>
  <c r="G802" i="1"/>
  <c r="O802" i="1"/>
  <c r="AH802" i="1"/>
  <c r="AJ802" i="1"/>
  <c r="C803" i="1"/>
  <c r="G803" i="1"/>
  <c r="O803" i="1"/>
  <c r="AH803" i="1"/>
  <c r="AJ803" i="1"/>
  <c r="C804" i="1"/>
  <c r="G804" i="1"/>
  <c r="O804" i="1"/>
  <c r="AH804" i="1"/>
  <c r="AJ804" i="1"/>
  <c r="C805" i="1"/>
  <c r="G805" i="1"/>
  <c r="O805" i="1"/>
  <c r="AH805" i="1"/>
  <c r="AJ805" i="1"/>
  <c r="C806" i="1"/>
  <c r="G806" i="1"/>
  <c r="O806" i="1"/>
  <c r="AH806" i="1"/>
  <c r="AJ806" i="1"/>
  <c r="C807" i="1"/>
  <c r="G807" i="1"/>
  <c r="O807" i="1"/>
  <c r="AH807" i="1"/>
  <c r="AJ807" i="1"/>
  <c r="C808" i="1"/>
  <c r="G808" i="1"/>
  <c r="O808" i="1"/>
  <c r="AH808" i="1"/>
  <c r="AJ808" i="1"/>
  <c r="C809" i="1"/>
  <c r="G809" i="1"/>
  <c r="O809" i="1"/>
  <c r="AH809" i="1"/>
  <c r="AJ809" i="1"/>
  <c r="C810" i="1"/>
  <c r="G810" i="1"/>
  <c r="O810" i="1"/>
  <c r="AH810" i="1"/>
  <c r="AJ810" i="1"/>
  <c r="C811" i="1"/>
  <c r="G811" i="1"/>
  <c r="O811" i="1"/>
  <c r="AH811" i="1"/>
  <c r="AJ811" i="1"/>
  <c r="C812" i="1"/>
  <c r="G812" i="1"/>
  <c r="O812" i="1"/>
  <c r="AH812" i="1"/>
  <c r="AJ812" i="1"/>
  <c r="C813" i="1"/>
  <c r="G813" i="1"/>
  <c r="O813" i="1"/>
  <c r="AH813" i="1"/>
  <c r="AJ813" i="1"/>
  <c r="C814" i="1"/>
  <c r="G814" i="1"/>
  <c r="O814" i="1"/>
  <c r="AH814" i="1"/>
  <c r="AJ814" i="1"/>
  <c r="C815" i="1"/>
  <c r="G815" i="1"/>
  <c r="O815" i="1"/>
  <c r="AH815" i="1"/>
  <c r="AJ815" i="1"/>
  <c r="C816" i="1"/>
  <c r="G816" i="1"/>
  <c r="O816" i="1"/>
  <c r="AH816" i="1"/>
  <c r="AJ816" i="1"/>
  <c r="C817" i="1"/>
  <c r="G817" i="1"/>
  <c r="O817" i="1"/>
  <c r="AH817" i="1"/>
  <c r="AJ817" i="1"/>
  <c r="C818" i="1"/>
  <c r="G818" i="1"/>
  <c r="O818" i="1"/>
  <c r="AH818" i="1"/>
  <c r="AJ818" i="1"/>
  <c r="C819" i="1"/>
  <c r="G819" i="1"/>
  <c r="O819" i="1"/>
  <c r="AH819" i="1"/>
  <c r="AJ819" i="1"/>
  <c r="C820" i="1"/>
  <c r="G820" i="1"/>
  <c r="O820" i="1"/>
  <c r="AH820" i="1"/>
  <c r="AJ820" i="1"/>
  <c r="C821" i="1"/>
  <c r="G821" i="1"/>
  <c r="O821" i="1"/>
  <c r="AH821" i="1"/>
  <c r="AJ821" i="1"/>
  <c r="C822" i="1"/>
  <c r="G822" i="1"/>
  <c r="O822" i="1"/>
  <c r="AH822" i="1"/>
  <c r="AJ822" i="1"/>
  <c r="C823" i="1"/>
  <c r="G823" i="1"/>
  <c r="O823" i="1"/>
  <c r="AH823" i="1"/>
  <c r="AJ823" i="1"/>
  <c r="C824" i="1"/>
  <c r="G824" i="1"/>
  <c r="O824" i="1"/>
  <c r="AH824" i="1"/>
  <c r="AJ824" i="1"/>
  <c r="C825" i="1"/>
  <c r="G825" i="1"/>
  <c r="O825" i="1"/>
  <c r="AH825" i="1"/>
  <c r="AJ825" i="1"/>
  <c r="C826" i="1"/>
  <c r="G826" i="1"/>
  <c r="O826" i="1"/>
  <c r="AH826" i="1"/>
  <c r="AJ826" i="1"/>
  <c r="C827" i="1"/>
  <c r="G827" i="1"/>
  <c r="O827" i="1"/>
  <c r="AH827" i="1"/>
  <c r="AJ827" i="1"/>
  <c r="C828" i="1"/>
  <c r="G828" i="1"/>
  <c r="O828" i="1"/>
  <c r="AH828" i="1"/>
  <c r="AJ828" i="1"/>
  <c r="C829" i="1"/>
  <c r="G829" i="1"/>
  <c r="O829" i="1"/>
  <c r="AH829" i="1"/>
  <c r="AJ829" i="1"/>
  <c r="C830" i="1"/>
  <c r="G830" i="1"/>
  <c r="O830" i="1"/>
  <c r="AH830" i="1"/>
  <c r="AJ830" i="1"/>
  <c r="C831" i="1"/>
  <c r="G831" i="1"/>
  <c r="O831" i="1"/>
  <c r="AH831" i="1"/>
  <c r="AJ831" i="1"/>
  <c r="C832" i="1"/>
  <c r="G832" i="1"/>
  <c r="O832" i="1"/>
  <c r="AH832" i="1"/>
  <c r="AJ832" i="1"/>
  <c r="C833" i="1"/>
  <c r="G833" i="1"/>
  <c r="O833" i="1"/>
  <c r="AH833" i="1"/>
  <c r="AJ833" i="1"/>
  <c r="C834" i="1"/>
  <c r="G834" i="1"/>
  <c r="O834" i="1"/>
  <c r="AH834" i="1"/>
  <c r="AJ834" i="1"/>
  <c r="C835" i="1"/>
  <c r="G835" i="1"/>
  <c r="O835" i="1"/>
  <c r="AH835" i="1"/>
  <c r="AJ835" i="1"/>
  <c r="C836" i="1"/>
  <c r="G836" i="1"/>
  <c r="O836" i="1"/>
  <c r="AH836" i="1"/>
  <c r="AJ836" i="1"/>
  <c r="C837" i="1"/>
  <c r="G837" i="1"/>
  <c r="O837" i="1"/>
  <c r="AH837" i="1"/>
  <c r="AJ837" i="1"/>
  <c r="C838" i="1"/>
  <c r="G838" i="1"/>
  <c r="O838" i="1"/>
  <c r="AH838" i="1"/>
  <c r="AJ838" i="1"/>
  <c r="C839" i="1"/>
  <c r="G839" i="1"/>
  <c r="O839" i="1"/>
  <c r="AH839" i="1"/>
  <c r="AJ839" i="1"/>
  <c r="C840" i="1"/>
  <c r="G840" i="1"/>
  <c r="O840" i="1"/>
  <c r="AH840" i="1"/>
  <c r="AJ840" i="1"/>
  <c r="C841" i="1"/>
  <c r="G841" i="1"/>
  <c r="O841" i="1"/>
  <c r="AH841" i="1"/>
  <c r="AJ841" i="1"/>
  <c r="C842" i="1"/>
  <c r="G842" i="1"/>
  <c r="O842" i="1"/>
  <c r="AH842" i="1"/>
  <c r="AJ842" i="1"/>
  <c r="C843" i="1"/>
  <c r="G843" i="1"/>
  <c r="O843" i="1"/>
  <c r="AH843" i="1"/>
  <c r="AJ843" i="1"/>
  <c r="C844" i="1"/>
  <c r="G844" i="1"/>
  <c r="O844" i="1"/>
  <c r="AH844" i="1"/>
  <c r="AJ844" i="1"/>
  <c r="C845" i="1"/>
  <c r="G845" i="1"/>
  <c r="O845" i="1"/>
  <c r="AH845" i="1"/>
  <c r="AJ845" i="1"/>
  <c r="C846" i="1"/>
  <c r="G846" i="1"/>
  <c r="O846" i="1"/>
  <c r="AH846" i="1"/>
  <c r="AJ846" i="1"/>
  <c r="C847" i="1"/>
  <c r="G847" i="1"/>
  <c r="O847" i="1"/>
  <c r="AH847" i="1"/>
  <c r="AJ847" i="1"/>
  <c r="C848" i="1"/>
  <c r="G848" i="1"/>
  <c r="O848" i="1"/>
  <c r="AH848" i="1"/>
  <c r="AJ848" i="1"/>
  <c r="C849" i="1"/>
  <c r="G849" i="1"/>
  <c r="O849" i="1"/>
  <c r="AH849" i="1"/>
  <c r="AJ849" i="1"/>
  <c r="C850" i="1"/>
  <c r="G850" i="1"/>
  <c r="O850" i="1"/>
  <c r="AH850" i="1"/>
  <c r="AJ850" i="1"/>
  <c r="C851" i="1"/>
  <c r="G851" i="1"/>
  <c r="O851" i="1"/>
  <c r="AH851" i="1"/>
  <c r="AJ851" i="1"/>
  <c r="C852" i="1"/>
  <c r="G852" i="1"/>
  <c r="O852" i="1"/>
  <c r="AH852" i="1"/>
  <c r="AJ852" i="1"/>
  <c r="C853" i="1"/>
  <c r="G853" i="1"/>
  <c r="O853" i="1"/>
  <c r="AH853" i="1"/>
  <c r="AJ853" i="1"/>
  <c r="C854" i="1"/>
  <c r="G854" i="1"/>
  <c r="O854" i="1"/>
  <c r="AH854" i="1"/>
  <c r="AJ854" i="1"/>
  <c r="C855" i="1"/>
  <c r="G855" i="1"/>
  <c r="O855" i="1"/>
  <c r="AH855" i="1"/>
  <c r="AJ855" i="1"/>
  <c r="C856" i="1"/>
  <c r="G856" i="1"/>
  <c r="O856" i="1"/>
  <c r="AH856" i="1"/>
  <c r="AJ856" i="1"/>
  <c r="C857" i="1"/>
  <c r="G857" i="1"/>
  <c r="O857" i="1"/>
  <c r="AH857" i="1"/>
  <c r="AJ857" i="1"/>
  <c r="C858" i="1"/>
  <c r="G858" i="1"/>
  <c r="O858" i="1"/>
  <c r="AH858" i="1"/>
  <c r="AJ858" i="1"/>
  <c r="C859" i="1"/>
  <c r="G859" i="1"/>
  <c r="O859" i="1"/>
  <c r="AH859" i="1"/>
  <c r="AJ859" i="1"/>
  <c r="C860" i="1"/>
  <c r="G860" i="1"/>
  <c r="O860" i="1"/>
  <c r="AH860" i="1"/>
  <c r="AJ860" i="1"/>
  <c r="C861" i="1"/>
  <c r="G861" i="1"/>
  <c r="O861" i="1"/>
  <c r="AH861" i="1"/>
  <c r="AJ861" i="1"/>
  <c r="C862" i="1"/>
  <c r="G862" i="1"/>
  <c r="O862" i="1"/>
  <c r="AH862" i="1"/>
  <c r="AJ862" i="1"/>
  <c r="C863" i="1"/>
  <c r="G863" i="1"/>
  <c r="O863" i="1"/>
  <c r="AH863" i="1"/>
  <c r="AJ863" i="1"/>
  <c r="C864" i="1"/>
  <c r="G864" i="1"/>
  <c r="O864" i="1"/>
  <c r="AH864" i="1"/>
  <c r="AJ864" i="1"/>
  <c r="C865" i="1"/>
  <c r="G865" i="1"/>
  <c r="O865" i="1"/>
  <c r="AH865" i="1"/>
  <c r="AJ865" i="1"/>
  <c r="C866" i="1"/>
  <c r="G866" i="1"/>
  <c r="O866" i="1"/>
  <c r="AH866" i="1"/>
  <c r="AJ866" i="1"/>
  <c r="C867" i="1"/>
  <c r="G867" i="1"/>
  <c r="O867" i="1"/>
  <c r="AH867" i="1"/>
  <c r="AJ867" i="1"/>
  <c r="C868" i="1"/>
  <c r="G868" i="1"/>
  <c r="O868" i="1"/>
  <c r="AH868" i="1"/>
  <c r="AJ868" i="1"/>
  <c r="C869" i="1"/>
  <c r="G869" i="1"/>
  <c r="O869" i="1"/>
  <c r="AH869" i="1"/>
  <c r="AJ869" i="1"/>
  <c r="C870" i="1"/>
  <c r="G870" i="1"/>
  <c r="O870" i="1"/>
  <c r="AH870" i="1"/>
  <c r="AJ870" i="1"/>
  <c r="C871" i="1"/>
  <c r="G871" i="1"/>
  <c r="O871" i="1"/>
  <c r="AH871" i="1"/>
  <c r="AJ871" i="1"/>
  <c r="C872" i="1"/>
  <c r="G872" i="1"/>
  <c r="O872" i="1"/>
  <c r="AH872" i="1"/>
  <c r="AJ872" i="1"/>
  <c r="C873" i="1"/>
  <c r="G873" i="1"/>
  <c r="O873" i="1"/>
  <c r="AH873" i="1"/>
  <c r="AJ873" i="1"/>
  <c r="C874" i="1"/>
  <c r="G874" i="1"/>
  <c r="O874" i="1"/>
  <c r="AH874" i="1"/>
  <c r="AJ874" i="1"/>
  <c r="C875" i="1"/>
  <c r="G875" i="1"/>
  <c r="O875" i="1"/>
  <c r="AH875" i="1"/>
  <c r="AJ875" i="1"/>
  <c r="C876" i="1"/>
  <c r="G876" i="1"/>
  <c r="O876" i="1"/>
  <c r="AH876" i="1"/>
  <c r="AJ876" i="1"/>
  <c r="C877" i="1"/>
  <c r="G877" i="1"/>
  <c r="O877" i="1"/>
  <c r="AH877" i="1"/>
  <c r="AJ877" i="1"/>
  <c r="C878" i="1"/>
  <c r="G878" i="1"/>
  <c r="O878" i="1"/>
  <c r="AH878" i="1"/>
  <c r="AJ878" i="1"/>
  <c r="C879" i="1"/>
  <c r="G879" i="1"/>
  <c r="O879" i="1"/>
  <c r="AH879" i="1"/>
  <c r="AJ879" i="1"/>
  <c r="C880" i="1"/>
  <c r="G880" i="1"/>
  <c r="O880" i="1"/>
  <c r="AH880" i="1"/>
  <c r="AJ880" i="1"/>
  <c r="C881" i="1"/>
  <c r="G881" i="1"/>
  <c r="O881" i="1"/>
  <c r="AH881" i="1"/>
  <c r="AJ881" i="1"/>
  <c r="C882" i="1"/>
  <c r="G882" i="1"/>
  <c r="O882" i="1"/>
  <c r="AH882" i="1"/>
  <c r="AJ882" i="1"/>
  <c r="C883" i="1"/>
  <c r="G883" i="1"/>
  <c r="O883" i="1"/>
  <c r="AH883" i="1"/>
  <c r="AJ883" i="1"/>
  <c r="C884" i="1"/>
  <c r="G884" i="1"/>
  <c r="O884" i="1"/>
  <c r="AH884" i="1"/>
  <c r="AJ884" i="1"/>
  <c r="C885" i="1"/>
  <c r="G885" i="1"/>
  <c r="O885" i="1"/>
  <c r="AH885" i="1"/>
  <c r="AJ885" i="1"/>
  <c r="C886" i="1"/>
  <c r="G886" i="1"/>
  <c r="O886" i="1"/>
  <c r="AH886" i="1"/>
  <c r="AJ886" i="1"/>
  <c r="C887" i="1"/>
  <c r="G887" i="1"/>
  <c r="O887" i="1"/>
  <c r="AH887" i="1"/>
  <c r="AJ887" i="1"/>
  <c r="C888" i="1"/>
  <c r="G888" i="1"/>
  <c r="O888" i="1"/>
  <c r="AH888" i="1"/>
  <c r="AJ888" i="1"/>
  <c r="C889" i="1"/>
  <c r="G889" i="1"/>
  <c r="O889" i="1"/>
  <c r="AH889" i="1"/>
  <c r="AJ889" i="1"/>
  <c r="C890" i="1"/>
  <c r="G890" i="1"/>
  <c r="O890" i="1"/>
  <c r="AH890" i="1"/>
  <c r="AJ890" i="1"/>
  <c r="C891" i="1"/>
  <c r="G891" i="1"/>
  <c r="O891" i="1"/>
  <c r="AH891" i="1"/>
  <c r="AJ891" i="1"/>
  <c r="C892" i="1"/>
  <c r="G892" i="1"/>
  <c r="O892" i="1"/>
  <c r="AH892" i="1"/>
  <c r="AJ892" i="1"/>
  <c r="C893" i="1"/>
  <c r="G893" i="1"/>
  <c r="O893" i="1"/>
  <c r="AH893" i="1"/>
  <c r="AJ893" i="1"/>
  <c r="C894" i="1"/>
  <c r="G894" i="1"/>
  <c r="O894" i="1"/>
  <c r="AH894" i="1"/>
  <c r="AJ894" i="1"/>
  <c r="C895" i="1"/>
  <c r="G895" i="1"/>
  <c r="O895" i="1"/>
  <c r="AH895" i="1"/>
  <c r="AJ895" i="1"/>
  <c r="C896" i="1"/>
  <c r="G896" i="1"/>
  <c r="O896" i="1"/>
  <c r="AH896" i="1"/>
  <c r="AJ896" i="1"/>
  <c r="C897" i="1"/>
  <c r="G897" i="1"/>
  <c r="O897" i="1"/>
  <c r="AH897" i="1"/>
  <c r="AJ897" i="1"/>
  <c r="C898" i="1"/>
  <c r="G898" i="1"/>
  <c r="O898" i="1"/>
  <c r="AH898" i="1"/>
  <c r="AJ898" i="1"/>
  <c r="C899" i="1"/>
  <c r="G899" i="1"/>
  <c r="O899" i="1"/>
  <c r="AH899" i="1"/>
  <c r="AJ899" i="1"/>
  <c r="C900" i="1"/>
  <c r="G900" i="1"/>
  <c r="O900" i="1"/>
  <c r="AH900" i="1"/>
  <c r="AJ900" i="1"/>
  <c r="C901" i="1"/>
  <c r="G901" i="1"/>
  <c r="O901" i="1"/>
  <c r="AH901" i="1"/>
  <c r="AJ901" i="1"/>
  <c r="C902" i="1"/>
  <c r="G902" i="1"/>
  <c r="O902" i="1"/>
  <c r="AH902" i="1"/>
  <c r="AJ902" i="1"/>
  <c r="C903" i="1"/>
  <c r="G903" i="1"/>
  <c r="O903" i="1"/>
  <c r="AH903" i="1"/>
  <c r="AJ903" i="1"/>
  <c r="C904" i="1"/>
  <c r="G904" i="1"/>
  <c r="O904" i="1"/>
  <c r="AH904" i="1"/>
  <c r="AJ904" i="1"/>
  <c r="C905" i="1"/>
  <c r="G905" i="1"/>
  <c r="O905" i="1"/>
  <c r="AH905" i="1"/>
  <c r="AJ905" i="1"/>
  <c r="C906" i="1"/>
  <c r="G906" i="1"/>
  <c r="O906" i="1"/>
  <c r="AH906" i="1"/>
  <c r="AJ906" i="1"/>
  <c r="C907" i="1"/>
  <c r="G907" i="1"/>
  <c r="O907" i="1"/>
  <c r="AH907" i="1"/>
  <c r="AJ907" i="1"/>
  <c r="C908" i="1"/>
  <c r="G908" i="1"/>
  <c r="O908" i="1"/>
  <c r="AH908" i="1"/>
  <c r="AJ908" i="1"/>
  <c r="C909" i="1"/>
  <c r="G909" i="1"/>
  <c r="O909" i="1"/>
  <c r="AH909" i="1"/>
  <c r="AJ909" i="1"/>
  <c r="C910" i="1"/>
  <c r="G910" i="1"/>
  <c r="O910" i="1"/>
  <c r="AH910" i="1"/>
  <c r="AJ910" i="1"/>
  <c r="C911" i="1"/>
  <c r="G911" i="1"/>
  <c r="O911" i="1"/>
  <c r="AH911" i="1"/>
  <c r="AJ911" i="1"/>
  <c r="C912" i="1"/>
  <c r="G912" i="1"/>
  <c r="O912" i="1"/>
  <c r="AH912" i="1"/>
  <c r="AJ912" i="1"/>
  <c r="C913" i="1"/>
  <c r="G913" i="1"/>
  <c r="O913" i="1"/>
  <c r="AH913" i="1"/>
  <c r="AJ913" i="1"/>
  <c r="C914" i="1"/>
  <c r="G914" i="1"/>
  <c r="O914" i="1"/>
  <c r="AH914" i="1"/>
  <c r="AJ914" i="1"/>
  <c r="C915" i="1"/>
  <c r="G915" i="1"/>
  <c r="O915" i="1"/>
  <c r="AH915" i="1"/>
  <c r="AJ915" i="1"/>
  <c r="C916" i="1"/>
  <c r="G916" i="1"/>
  <c r="O916" i="1"/>
  <c r="AH916" i="1"/>
  <c r="AJ916" i="1"/>
  <c r="C917" i="1"/>
  <c r="G917" i="1"/>
  <c r="O917" i="1"/>
  <c r="AH917" i="1"/>
  <c r="AJ917" i="1"/>
  <c r="C918" i="1"/>
  <c r="G918" i="1"/>
  <c r="O918" i="1"/>
  <c r="AH918" i="1"/>
  <c r="AJ918" i="1"/>
  <c r="C919" i="1"/>
  <c r="G919" i="1"/>
  <c r="O919" i="1"/>
  <c r="AH919" i="1"/>
  <c r="AJ919" i="1"/>
  <c r="C920" i="1"/>
  <c r="G920" i="1"/>
  <c r="O920" i="1"/>
  <c r="AH920" i="1"/>
  <c r="AJ920" i="1"/>
  <c r="C921" i="1"/>
  <c r="G921" i="1"/>
  <c r="O921" i="1"/>
  <c r="AH921" i="1"/>
  <c r="AJ921" i="1"/>
  <c r="C922" i="1"/>
  <c r="G922" i="1"/>
  <c r="O922" i="1"/>
  <c r="AH922" i="1"/>
  <c r="AJ922" i="1"/>
  <c r="C923" i="1"/>
  <c r="G923" i="1"/>
  <c r="O923" i="1"/>
  <c r="AH923" i="1"/>
  <c r="AJ923" i="1"/>
  <c r="C924" i="1"/>
  <c r="G924" i="1"/>
  <c r="O924" i="1"/>
  <c r="AH924" i="1"/>
  <c r="AJ924" i="1"/>
  <c r="C925" i="1"/>
  <c r="G925" i="1"/>
  <c r="O925" i="1"/>
  <c r="AH925" i="1"/>
  <c r="AJ925" i="1"/>
  <c r="C926" i="1"/>
  <c r="G926" i="1"/>
  <c r="O926" i="1"/>
  <c r="AH926" i="1"/>
  <c r="AJ926" i="1"/>
  <c r="C927" i="1"/>
  <c r="G927" i="1"/>
  <c r="O927" i="1"/>
  <c r="AH927" i="1"/>
  <c r="AJ927" i="1"/>
  <c r="C928" i="1"/>
  <c r="G928" i="1"/>
  <c r="O928" i="1"/>
  <c r="AH928" i="1"/>
  <c r="AJ928" i="1"/>
  <c r="C929" i="1"/>
  <c r="G929" i="1"/>
  <c r="O929" i="1"/>
  <c r="AH929" i="1"/>
  <c r="AJ929" i="1"/>
  <c r="C930" i="1"/>
  <c r="G930" i="1"/>
  <c r="O930" i="1"/>
  <c r="AH930" i="1"/>
  <c r="AJ930" i="1"/>
  <c r="C931" i="1"/>
  <c r="G931" i="1"/>
  <c r="O931" i="1"/>
  <c r="AH931" i="1"/>
  <c r="AJ931" i="1"/>
  <c r="C932" i="1"/>
  <c r="G932" i="1"/>
  <c r="O932" i="1"/>
  <c r="AH932" i="1"/>
  <c r="AJ932" i="1"/>
  <c r="C933" i="1"/>
  <c r="G933" i="1"/>
  <c r="O933" i="1"/>
  <c r="AH933" i="1"/>
  <c r="AJ933" i="1"/>
  <c r="C934" i="1"/>
  <c r="G934" i="1"/>
  <c r="O934" i="1"/>
  <c r="AH934" i="1"/>
  <c r="AJ934" i="1"/>
  <c r="C935" i="1"/>
  <c r="G935" i="1"/>
  <c r="O935" i="1"/>
  <c r="AH935" i="1"/>
  <c r="AJ935" i="1"/>
  <c r="C936" i="1"/>
  <c r="G936" i="1"/>
  <c r="O936" i="1"/>
  <c r="AH936" i="1"/>
  <c r="AJ936" i="1"/>
  <c r="C937" i="1"/>
  <c r="G937" i="1"/>
  <c r="O937" i="1"/>
  <c r="AH937" i="1"/>
  <c r="AJ937" i="1"/>
  <c r="C938" i="1"/>
  <c r="G938" i="1"/>
  <c r="O938" i="1"/>
  <c r="AH938" i="1"/>
  <c r="AJ938" i="1"/>
  <c r="C939" i="1"/>
  <c r="G939" i="1"/>
  <c r="O939" i="1"/>
  <c r="AH939" i="1"/>
  <c r="AJ939" i="1"/>
  <c r="C940" i="1"/>
  <c r="G940" i="1"/>
  <c r="O940" i="1"/>
  <c r="AH940" i="1"/>
  <c r="AJ940" i="1"/>
  <c r="C941" i="1"/>
  <c r="G941" i="1"/>
  <c r="O941" i="1"/>
  <c r="AH941" i="1"/>
  <c r="AJ941" i="1"/>
  <c r="C942" i="1"/>
  <c r="G942" i="1"/>
  <c r="O942" i="1"/>
  <c r="AH942" i="1"/>
  <c r="AJ942" i="1"/>
  <c r="C943" i="1"/>
  <c r="G943" i="1"/>
  <c r="O943" i="1"/>
  <c r="AH943" i="1"/>
  <c r="AJ943" i="1"/>
  <c r="C944" i="1"/>
  <c r="G944" i="1"/>
  <c r="O944" i="1"/>
  <c r="AH944" i="1"/>
  <c r="AJ944" i="1"/>
  <c r="C945" i="1"/>
  <c r="G945" i="1"/>
  <c r="O945" i="1"/>
  <c r="AH945" i="1"/>
  <c r="AJ945" i="1"/>
  <c r="C946" i="1"/>
  <c r="G946" i="1"/>
  <c r="O946" i="1"/>
  <c r="AH946" i="1"/>
  <c r="AJ946" i="1"/>
  <c r="C947" i="1"/>
  <c r="G947" i="1"/>
  <c r="O947" i="1"/>
  <c r="AH947" i="1"/>
  <c r="AJ947" i="1"/>
  <c r="C948" i="1"/>
  <c r="G948" i="1"/>
  <c r="O948" i="1"/>
  <c r="AH948" i="1"/>
  <c r="AJ948" i="1"/>
  <c r="C949" i="1"/>
  <c r="G949" i="1"/>
  <c r="O949" i="1"/>
  <c r="AH949" i="1"/>
  <c r="AJ949" i="1"/>
  <c r="C950" i="1"/>
  <c r="G950" i="1"/>
  <c r="O950" i="1"/>
  <c r="AH950" i="1"/>
  <c r="AJ950" i="1"/>
  <c r="C951" i="1"/>
  <c r="G951" i="1"/>
  <c r="O951" i="1"/>
  <c r="AH951" i="1"/>
  <c r="AJ951" i="1"/>
  <c r="C952" i="1"/>
  <c r="G952" i="1"/>
  <c r="O952" i="1"/>
  <c r="AH952" i="1"/>
  <c r="AJ952" i="1"/>
  <c r="C953" i="1"/>
  <c r="G953" i="1"/>
  <c r="O953" i="1"/>
  <c r="AH953" i="1"/>
  <c r="AJ953" i="1"/>
  <c r="C954" i="1"/>
  <c r="G954" i="1"/>
  <c r="O954" i="1"/>
  <c r="AH954" i="1"/>
  <c r="AJ954" i="1"/>
  <c r="C955" i="1"/>
  <c r="G955" i="1"/>
  <c r="O955" i="1"/>
  <c r="AH955" i="1"/>
  <c r="AJ955" i="1"/>
  <c r="C956" i="1"/>
  <c r="G956" i="1"/>
  <c r="O956" i="1"/>
  <c r="AH956" i="1"/>
  <c r="AJ956" i="1"/>
  <c r="C957" i="1"/>
  <c r="G957" i="1"/>
  <c r="O957" i="1"/>
  <c r="AH957" i="1"/>
  <c r="AJ957" i="1"/>
  <c r="C958" i="1"/>
  <c r="G958" i="1"/>
  <c r="O958" i="1"/>
  <c r="AH958" i="1"/>
  <c r="AJ958" i="1"/>
  <c r="C959" i="1"/>
  <c r="G959" i="1"/>
  <c r="O959" i="1"/>
  <c r="AH959" i="1"/>
  <c r="AJ959" i="1"/>
  <c r="C960" i="1"/>
  <c r="G960" i="1"/>
  <c r="O960" i="1"/>
  <c r="AH960" i="1"/>
  <c r="AJ960" i="1"/>
  <c r="C961" i="1"/>
  <c r="G961" i="1"/>
  <c r="O961" i="1"/>
  <c r="AH961" i="1"/>
  <c r="AJ961" i="1"/>
  <c r="C962" i="1"/>
  <c r="G962" i="1"/>
  <c r="O962" i="1"/>
  <c r="AH962" i="1"/>
  <c r="AJ962" i="1"/>
  <c r="C963" i="1"/>
  <c r="G963" i="1"/>
  <c r="O963" i="1"/>
  <c r="AH963" i="1"/>
  <c r="AJ963" i="1"/>
  <c r="C964" i="1"/>
  <c r="G964" i="1"/>
  <c r="O964" i="1"/>
  <c r="AH964" i="1"/>
  <c r="AJ964" i="1"/>
  <c r="C965" i="1"/>
  <c r="G965" i="1"/>
  <c r="O965" i="1"/>
  <c r="AH965" i="1"/>
  <c r="AJ965" i="1"/>
  <c r="C966" i="1"/>
  <c r="G966" i="1"/>
  <c r="O966" i="1"/>
  <c r="AH966" i="1"/>
  <c r="AJ966" i="1"/>
  <c r="C967" i="1"/>
  <c r="G967" i="1"/>
  <c r="O967" i="1"/>
  <c r="AH967" i="1"/>
  <c r="AJ967" i="1"/>
  <c r="C968" i="1"/>
  <c r="G968" i="1"/>
  <c r="O968" i="1"/>
  <c r="AH968" i="1"/>
  <c r="AJ968" i="1"/>
  <c r="C969" i="1"/>
  <c r="G969" i="1"/>
  <c r="O969" i="1"/>
  <c r="AH969" i="1"/>
  <c r="AJ969" i="1"/>
  <c r="C970" i="1"/>
  <c r="G970" i="1"/>
  <c r="O970" i="1"/>
  <c r="AH970" i="1"/>
  <c r="AJ970" i="1"/>
  <c r="C971" i="1"/>
  <c r="G971" i="1"/>
  <c r="O971" i="1"/>
  <c r="AH971" i="1"/>
  <c r="AJ971" i="1"/>
  <c r="C972" i="1"/>
  <c r="G972" i="1"/>
  <c r="O972" i="1"/>
  <c r="AH972" i="1"/>
  <c r="AJ972" i="1"/>
  <c r="C973" i="1"/>
  <c r="G973" i="1"/>
  <c r="O973" i="1"/>
  <c r="AH973" i="1"/>
  <c r="AJ973" i="1"/>
  <c r="C974" i="1"/>
  <c r="G974" i="1"/>
  <c r="O974" i="1"/>
  <c r="AH974" i="1"/>
  <c r="AJ974" i="1"/>
  <c r="C975" i="1"/>
  <c r="G975" i="1"/>
  <c r="O975" i="1"/>
  <c r="AH975" i="1"/>
  <c r="AJ975" i="1"/>
  <c r="C976" i="1"/>
  <c r="G976" i="1"/>
  <c r="O976" i="1"/>
  <c r="AH976" i="1"/>
  <c r="AJ976" i="1"/>
  <c r="C977" i="1"/>
  <c r="G977" i="1"/>
  <c r="O977" i="1"/>
  <c r="AH977" i="1"/>
  <c r="AJ977" i="1"/>
  <c r="C978" i="1"/>
  <c r="G978" i="1"/>
  <c r="O978" i="1"/>
  <c r="AH978" i="1"/>
  <c r="AJ978" i="1"/>
  <c r="C979" i="1"/>
  <c r="G979" i="1"/>
  <c r="O979" i="1"/>
  <c r="AH979" i="1"/>
  <c r="AJ979" i="1"/>
  <c r="C980" i="1"/>
  <c r="G980" i="1"/>
  <c r="O980" i="1"/>
  <c r="AH980" i="1"/>
  <c r="AJ980" i="1"/>
  <c r="C981" i="1"/>
  <c r="G981" i="1"/>
  <c r="O981" i="1"/>
  <c r="AH981" i="1"/>
  <c r="AJ981" i="1"/>
  <c r="C982" i="1"/>
  <c r="G982" i="1"/>
  <c r="O982" i="1"/>
  <c r="AH982" i="1"/>
  <c r="AJ982" i="1"/>
  <c r="C983" i="1"/>
  <c r="G983" i="1"/>
  <c r="O983" i="1"/>
  <c r="AH983" i="1"/>
  <c r="AJ983" i="1"/>
  <c r="C984" i="1"/>
  <c r="G984" i="1"/>
  <c r="O984" i="1"/>
  <c r="AH984" i="1"/>
  <c r="AJ984" i="1"/>
  <c r="C985" i="1"/>
  <c r="G985" i="1"/>
  <c r="O985" i="1"/>
  <c r="AH985" i="1"/>
  <c r="AJ985" i="1"/>
  <c r="C986" i="1"/>
  <c r="G986" i="1"/>
  <c r="O986" i="1"/>
  <c r="AH986" i="1"/>
  <c r="AJ986" i="1"/>
  <c r="C987" i="1"/>
  <c r="G987" i="1"/>
  <c r="O987" i="1"/>
  <c r="AH987" i="1"/>
  <c r="AJ987" i="1"/>
  <c r="C988" i="1"/>
  <c r="G988" i="1"/>
  <c r="O988" i="1"/>
  <c r="AH988" i="1"/>
  <c r="AJ988" i="1"/>
  <c r="C989" i="1"/>
  <c r="G989" i="1"/>
  <c r="O989" i="1"/>
  <c r="AH989" i="1"/>
  <c r="AJ989" i="1"/>
  <c r="C990" i="1"/>
  <c r="G990" i="1"/>
  <c r="O990" i="1"/>
  <c r="AH990" i="1"/>
  <c r="AJ990" i="1"/>
  <c r="C991" i="1"/>
  <c r="G991" i="1"/>
  <c r="O991" i="1"/>
  <c r="AH991" i="1"/>
  <c r="AJ991" i="1"/>
  <c r="C992" i="1"/>
  <c r="G992" i="1"/>
  <c r="O992" i="1"/>
  <c r="AH992" i="1"/>
  <c r="AJ992" i="1"/>
  <c r="C993" i="1"/>
  <c r="G993" i="1"/>
  <c r="O993" i="1"/>
  <c r="AH993" i="1"/>
  <c r="AJ993" i="1"/>
  <c r="C994" i="1"/>
  <c r="G994" i="1"/>
  <c r="O994" i="1"/>
  <c r="AH994" i="1"/>
  <c r="AJ994" i="1"/>
  <c r="C995" i="1"/>
  <c r="G995" i="1"/>
  <c r="O995" i="1"/>
  <c r="AH995" i="1"/>
  <c r="AJ995" i="1"/>
  <c r="C996" i="1"/>
  <c r="G996" i="1"/>
  <c r="O996" i="1"/>
  <c r="AH996" i="1"/>
  <c r="AJ996" i="1"/>
  <c r="C997" i="1"/>
  <c r="G997" i="1"/>
  <c r="O997" i="1"/>
  <c r="AH997" i="1"/>
  <c r="AJ997" i="1"/>
  <c r="C998" i="1"/>
  <c r="G998" i="1"/>
  <c r="O998" i="1"/>
  <c r="AH998" i="1"/>
  <c r="AJ998" i="1"/>
  <c r="C999" i="1"/>
  <c r="G999" i="1"/>
  <c r="O999" i="1"/>
  <c r="AH999" i="1"/>
  <c r="AJ999" i="1"/>
  <c r="C1000" i="1"/>
  <c r="G1000" i="1"/>
  <c r="O1000" i="1"/>
  <c r="AH1000" i="1"/>
  <c r="AJ1000" i="1"/>
  <c r="C1001" i="1"/>
  <c r="G1001" i="1"/>
  <c r="O1001" i="1"/>
  <c r="AH1001" i="1"/>
  <c r="AJ1001" i="1"/>
  <c r="C1002" i="1"/>
  <c r="G1002" i="1"/>
  <c r="O1002" i="1"/>
  <c r="AH1002" i="1"/>
  <c r="AJ1002" i="1"/>
  <c r="C1003" i="1"/>
  <c r="G1003" i="1"/>
  <c r="O1003" i="1"/>
  <c r="AH1003" i="1"/>
  <c r="AJ1003" i="1"/>
  <c r="C1004" i="1"/>
  <c r="G1004" i="1"/>
  <c r="O1004" i="1"/>
  <c r="AH1004" i="1"/>
  <c r="AJ1004" i="1"/>
  <c r="C1005" i="1"/>
  <c r="G1005" i="1"/>
  <c r="O1005" i="1"/>
  <c r="AH1005" i="1"/>
  <c r="AJ1005" i="1"/>
  <c r="C1006" i="1"/>
  <c r="G1006" i="1"/>
  <c r="O1006" i="1"/>
  <c r="AH1006" i="1"/>
  <c r="AJ1006" i="1"/>
  <c r="C1007" i="1"/>
  <c r="G1007" i="1"/>
  <c r="O1007" i="1"/>
  <c r="AH1007" i="1"/>
  <c r="AJ1007" i="1"/>
  <c r="AJ11" i="1"/>
  <c r="AH11" i="1"/>
  <c r="M11" i="1"/>
  <c r="J11" i="1"/>
  <c r="I11" i="1"/>
  <c r="K11" i="1" l="1"/>
  <c r="H8" i="3"/>
  <c r="I8" i="3" s="1"/>
  <c r="C12" i="1" s="1"/>
  <c r="H9" i="3"/>
  <c r="I9" i="3" s="1"/>
  <c r="C13" i="1" s="1"/>
  <c r="H10" i="3"/>
  <c r="I10" i="3" s="1"/>
  <c r="C14" i="1" s="1"/>
  <c r="H11" i="3"/>
  <c r="I11" i="3" s="1"/>
  <c r="C15" i="1" s="1"/>
  <c r="H12" i="3"/>
  <c r="I12" i="3" s="1"/>
  <c r="C16" i="1" s="1"/>
  <c r="H13" i="3"/>
  <c r="I13" i="3" s="1"/>
  <c r="C17" i="1" s="1"/>
  <c r="H14" i="3"/>
  <c r="I14" i="3" s="1"/>
  <c r="C18" i="1" s="1"/>
  <c r="H15" i="3"/>
  <c r="I15" i="3" s="1"/>
  <c r="C19" i="1" s="1"/>
  <c r="H16" i="3"/>
  <c r="I16" i="3" s="1"/>
  <c r="C20" i="1" s="1"/>
  <c r="H17" i="3"/>
  <c r="I17" i="3" s="1"/>
  <c r="C21" i="1" s="1"/>
  <c r="H18" i="3"/>
  <c r="I18" i="3" s="1"/>
  <c r="C22" i="1" s="1"/>
  <c r="H19" i="3"/>
  <c r="I19" i="3" s="1"/>
  <c r="C23" i="1" s="1"/>
  <c r="H20" i="3"/>
  <c r="I20" i="3" s="1"/>
  <c r="C24" i="1" s="1"/>
  <c r="H21" i="3"/>
  <c r="I21" i="3" s="1"/>
  <c r="C25" i="1" s="1"/>
  <c r="H22" i="3"/>
  <c r="I22" i="3" s="1"/>
  <c r="C26" i="1" s="1"/>
  <c r="H23" i="3"/>
  <c r="I23" i="3" s="1"/>
  <c r="C27" i="1" s="1"/>
  <c r="H24" i="3"/>
  <c r="I24" i="3" s="1"/>
  <c r="C28" i="1" s="1"/>
  <c r="H25" i="3"/>
  <c r="I25" i="3" s="1"/>
  <c r="C29" i="1" s="1"/>
  <c r="H26" i="3"/>
  <c r="I26" i="3" s="1"/>
  <c r="C30" i="1" s="1"/>
  <c r="H27" i="3"/>
  <c r="I27" i="3" s="1"/>
  <c r="C31" i="1" s="1"/>
  <c r="H28" i="3"/>
  <c r="I28" i="3" s="1"/>
  <c r="C32" i="1" s="1"/>
  <c r="H29" i="3"/>
  <c r="I29" i="3" s="1"/>
  <c r="C33" i="1" s="1"/>
  <c r="H30" i="3"/>
  <c r="I30" i="3" s="1"/>
  <c r="C34" i="1" s="1"/>
  <c r="H31" i="3"/>
  <c r="I31" i="3" s="1"/>
  <c r="C35" i="1" s="1"/>
  <c r="H32" i="3"/>
  <c r="I32" i="3" s="1"/>
  <c r="C36" i="1" s="1"/>
  <c r="H33" i="3"/>
  <c r="I33" i="3" s="1"/>
  <c r="C37" i="1" s="1"/>
  <c r="H34" i="3"/>
  <c r="I34" i="3" s="1"/>
  <c r="C38" i="1" s="1"/>
  <c r="H35" i="3"/>
  <c r="I35" i="3" s="1"/>
  <c r="C39" i="1" s="1"/>
  <c r="H36" i="3"/>
  <c r="I36" i="3" s="1"/>
  <c r="C40" i="1" s="1"/>
  <c r="H37" i="3"/>
  <c r="I37" i="3" s="1"/>
  <c r="C41" i="1" s="1"/>
  <c r="H38" i="3"/>
  <c r="I38" i="3" s="1"/>
  <c r="C42" i="1" s="1"/>
  <c r="H39" i="3"/>
  <c r="I39" i="3" s="1"/>
  <c r="C43" i="1" s="1"/>
  <c r="H40" i="3"/>
  <c r="I40" i="3" s="1"/>
  <c r="C44" i="1" s="1"/>
  <c r="H41" i="3"/>
  <c r="I41" i="3" s="1"/>
  <c r="C45" i="1" s="1"/>
  <c r="H42" i="3"/>
  <c r="I42" i="3" s="1"/>
  <c r="C46" i="1" s="1"/>
  <c r="H43" i="3"/>
  <c r="I43" i="3" s="1"/>
  <c r="C47" i="1" s="1"/>
  <c r="H44" i="3"/>
  <c r="I44" i="3" s="1"/>
  <c r="C48" i="1" s="1"/>
  <c r="H45" i="3"/>
  <c r="I45" i="3" s="1"/>
  <c r="C49" i="1" s="1"/>
  <c r="H46" i="3"/>
  <c r="I46" i="3" s="1"/>
  <c r="C50" i="1" s="1"/>
  <c r="H47" i="3"/>
  <c r="I47" i="3" s="1"/>
  <c r="C51" i="1" s="1"/>
  <c r="H48" i="3"/>
  <c r="I48" i="3" s="1"/>
  <c r="C52" i="1" s="1"/>
  <c r="H49" i="3"/>
  <c r="I49" i="3" s="1"/>
  <c r="C53" i="1" s="1"/>
  <c r="H50" i="3"/>
  <c r="I50" i="3" s="1"/>
  <c r="C54" i="1" s="1"/>
  <c r="H51" i="3"/>
  <c r="I51" i="3" s="1"/>
  <c r="C55" i="1" s="1"/>
  <c r="H52" i="3"/>
  <c r="I52" i="3" s="1"/>
  <c r="C56" i="1" s="1"/>
  <c r="H53" i="3"/>
  <c r="I53" i="3" s="1"/>
  <c r="C57" i="1" s="1"/>
  <c r="H54" i="3"/>
  <c r="I54" i="3" s="1"/>
  <c r="C58" i="1" s="1"/>
  <c r="H55" i="3"/>
  <c r="I55" i="3" s="1"/>
  <c r="C59" i="1" s="1"/>
  <c r="H56" i="3"/>
  <c r="I56" i="3" s="1"/>
  <c r="C60" i="1" s="1"/>
  <c r="H57" i="3"/>
  <c r="I57" i="3" s="1"/>
  <c r="C61" i="1" s="1"/>
  <c r="H58" i="3"/>
  <c r="I58" i="3" s="1"/>
  <c r="C62" i="1" s="1"/>
  <c r="H59" i="3"/>
  <c r="I59" i="3" s="1"/>
  <c r="C63" i="1" s="1"/>
  <c r="H60" i="3"/>
  <c r="I60" i="3" s="1"/>
  <c r="C64" i="1" s="1"/>
  <c r="H61" i="3"/>
  <c r="I61" i="3" s="1"/>
  <c r="C65" i="1" s="1"/>
  <c r="H62" i="3"/>
  <c r="I62" i="3" s="1"/>
  <c r="C66" i="1" s="1"/>
  <c r="H63" i="3"/>
  <c r="I63" i="3" s="1"/>
  <c r="C67" i="1" s="1"/>
  <c r="H64" i="3"/>
  <c r="I64" i="3" s="1"/>
  <c r="C68" i="1" s="1"/>
  <c r="H65" i="3"/>
  <c r="I65" i="3" s="1"/>
  <c r="C69" i="1" s="1"/>
  <c r="H66" i="3"/>
  <c r="I66" i="3" s="1"/>
  <c r="C70" i="1" s="1"/>
  <c r="H67" i="3"/>
  <c r="I67" i="3" s="1"/>
  <c r="C71" i="1" s="1"/>
  <c r="H68" i="3"/>
  <c r="I68" i="3" s="1"/>
  <c r="C72" i="1" s="1"/>
  <c r="H69" i="3"/>
  <c r="I69" i="3" s="1"/>
  <c r="C73" i="1" s="1"/>
  <c r="H70" i="3"/>
  <c r="I70" i="3" s="1"/>
  <c r="C74" i="1" s="1"/>
  <c r="H71" i="3"/>
  <c r="I71" i="3" s="1"/>
  <c r="C75" i="1" s="1"/>
  <c r="H72" i="3"/>
  <c r="I72" i="3" s="1"/>
  <c r="C76" i="1" s="1"/>
  <c r="H73" i="3"/>
  <c r="I73" i="3" s="1"/>
  <c r="C77" i="1" s="1"/>
  <c r="H74" i="3"/>
  <c r="I74" i="3" s="1"/>
  <c r="C78" i="1" s="1"/>
  <c r="H75" i="3"/>
  <c r="I75" i="3" s="1"/>
  <c r="C79" i="1" s="1"/>
  <c r="H76" i="3"/>
  <c r="I76" i="3" s="1"/>
  <c r="C80" i="1" s="1"/>
  <c r="H77" i="3"/>
  <c r="I77" i="3" s="1"/>
  <c r="C81" i="1" s="1"/>
  <c r="H78" i="3"/>
  <c r="I78" i="3" s="1"/>
  <c r="C82" i="1" s="1"/>
  <c r="H79" i="3"/>
  <c r="I79" i="3" s="1"/>
  <c r="C83" i="1" s="1"/>
  <c r="H80" i="3"/>
  <c r="I80" i="3" s="1"/>
  <c r="C84" i="1" s="1"/>
  <c r="H81" i="3"/>
  <c r="I81" i="3" s="1"/>
  <c r="C85" i="1" s="1"/>
  <c r="H82" i="3"/>
  <c r="I82" i="3" s="1"/>
  <c r="C86" i="1" s="1"/>
  <c r="H83" i="3"/>
  <c r="I83" i="3" s="1"/>
  <c r="C87" i="1" s="1"/>
  <c r="H84" i="3"/>
  <c r="I84" i="3" s="1"/>
  <c r="C88" i="1" s="1"/>
  <c r="H85" i="3"/>
  <c r="I85" i="3" s="1"/>
  <c r="C89" i="1" s="1"/>
  <c r="H86" i="3"/>
  <c r="I86" i="3" s="1"/>
  <c r="C90" i="1" s="1"/>
  <c r="H87" i="3"/>
  <c r="I87" i="3" s="1"/>
  <c r="C91" i="1" s="1"/>
  <c r="H88" i="3"/>
  <c r="I88" i="3" s="1"/>
  <c r="C92" i="1" s="1"/>
  <c r="H89" i="3"/>
  <c r="I89" i="3" s="1"/>
  <c r="C93" i="1" s="1"/>
  <c r="H90" i="3"/>
  <c r="I90" i="3" s="1"/>
  <c r="C94" i="1" s="1"/>
  <c r="H91" i="3"/>
  <c r="I91" i="3" s="1"/>
  <c r="C95" i="1" s="1"/>
  <c r="H92" i="3"/>
  <c r="I92" i="3" s="1"/>
  <c r="C96" i="1" s="1"/>
  <c r="H93" i="3"/>
  <c r="I93" i="3" s="1"/>
  <c r="C97" i="1" s="1"/>
  <c r="H94" i="3"/>
  <c r="I94" i="3" s="1"/>
  <c r="C98" i="1" s="1"/>
  <c r="H95" i="3"/>
  <c r="I95" i="3" s="1"/>
  <c r="C99" i="1" s="1"/>
  <c r="H96" i="3"/>
  <c r="I96" i="3" s="1"/>
  <c r="C100" i="1" s="1"/>
  <c r="H97" i="3"/>
  <c r="I97" i="3" s="1"/>
  <c r="C101" i="1" s="1"/>
  <c r="H98" i="3"/>
  <c r="I98" i="3" s="1"/>
  <c r="C102" i="1" s="1"/>
  <c r="H99" i="3"/>
  <c r="I99" i="3" s="1"/>
  <c r="C103" i="1" s="1"/>
  <c r="H100" i="3"/>
  <c r="I100" i="3" s="1"/>
  <c r="C104" i="1" s="1"/>
  <c r="H101" i="3"/>
  <c r="I101" i="3" s="1"/>
  <c r="C105" i="1" s="1"/>
  <c r="H102" i="3"/>
  <c r="I102" i="3" s="1"/>
  <c r="C106" i="1" s="1"/>
  <c r="H103" i="3"/>
  <c r="I103" i="3" s="1"/>
  <c r="C107" i="1" s="1"/>
  <c r="H104" i="3"/>
  <c r="I104" i="3" s="1"/>
  <c r="C108" i="1" s="1"/>
  <c r="H105" i="3"/>
  <c r="I105" i="3" s="1"/>
  <c r="C109" i="1" s="1"/>
  <c r="H106" i="3"/>
  <c r="I106" i="3" s="1"/>
  <c r="C110" i="1" s="1"/>
  <c r="H107" i="3"/>
  <c r="I107" i="3" s="1"/>
  <c r="C111" i="1" s="1"/>
  <c r="H108" i="3"/>
  <c r="I108" i="3" s="1"/>
  <c r="C112" i="1" s="1"/>
  <c r="H109" i="3"/>
  <c r="I109" i="3" s="1"/>
  <c r="C113" i="1" s="1"/>
  <c r="H110" i="3"/>
  <c r="I110" i="3" s="1"/>
  <c r="C114" i="1" s="1"/>
  <c r="H111" i="3"/>
  <c r="I111" i="3" s="1"/>
  <c r="C115" i="1" s="1"/>
  <c r="H112" i="3"/>
  <c r="I112" i="3" s="1"/>
  <c r="C116" i="1" s="1"/>
  <c r="H113" i="3"/>
  <c r="I113" i="3" s="1"/>
  <c r="C117" i="1" s="1"/>
  <c r="H114" i="3"/>
  <c r="I114" i="3" s="1"/>
  <c r="C118" i="1" s="1"/>
  <c r="H115" i="3"/>
  <c r="I115" i="3" s="1"/>
  <c r="C119" i="1" s="1"/>
  <c r="H116" i="3"/>
  <c r="I116" i="3" s="1"/>
  <c r="C120" i="1" s="1"/>
  <c r="H117" i="3"/>
  <c r="I117" i="3" s="1"/>
  <c r="C121" i="1" s="1"/>
  <c r="H118" i="3"/>
  <c r="I118" i="3" s="1"/>
  <c r="C122" i="1" s="1"/>
  <c r="H119" i="3"/>
  <c r="I119" i="3" s="1"/>
  <c r="C123" i="1" s="1"/>
  <c r="H120" i="3"/>
  <c r="I120" i="3" s="1"/>
  <c r="C124" i="1" s="1"/>
  <c r="H121" i="3"/>
  <c r="I121" i="3" s="1"/>
  <c r="C125" i="1" s="1"/>
  <c r="H122" i="3"/>
  <c r="I122" i="3" s="1"/>
  <c r="C126" i="1" s="1"/>
  <c r="H123" i="3"/>
  <c r="I123" i="3" s="1"/>
  <c r="C127" i="1" s="1"/>
  <c r="H124" i="3"/>
  <c r="I124" i="3" s="1"/>
  <c r="C128" i="1" s="1"/>
  <c r="H125" i="3"/>
  <c r="I125" i="3" s="1"/>
  <c r="C129" i="1" s="1"/>
  <c r="H126" i="3"/>
  <c r="I126" i="3" s="1"/>
  <c r="C130" i="1" s="1"/>
  <c r="H127" i="3"/>
  <c r="I127" i="3" s="1"/>
  <c r="C131" i="1" s="1"/>
  <c r="H128" i="3"/>
  <c r="I128" i="3" s="1"/>
  <c r="C132" i="1" s="1"/>
  <c r="H129" i="3"/>
  <c r="I129" i="3" s="1"/>
  <c r="C133" i="1" s="1"/>
  <c r="H130" i="3"/>
  <c r="I130" i="3" s="1"/>
  <c r="C134" i="1" s="1"/>
  <c r="H131" i="3"/>
  <c r="I131" i="3" s="1"/>
  <c r="C135" i="1" s="1"/>
  <c r="H132" i="3"/>
  <c r="I132" i="3" s="1"/>
  <c r="C136" i="1" s="1"/>
  <c r="H133" i="3"/>
  <c r="I133" i="3" s="1"/>
  <c r="C137" i="1" s="1"/>
  <c r="H134" i="3"/>
  <c r="I134" i="3" s="1"/>
  <c r="C138" i="1" s="1"/>
  <c r="H135" i="3"/>
  <c r="I135" i="3" s="1"/>
  <c r="C139" i="1" s="1"/>
  <c r="H136" i="3"/>
  <c r="I136" i="3" s="1"/>
  <c r="C140" i="1" s="1"/>
  <c r="H137" i="3"/>
  <c r="I137" i="3" s="1"/>
  <c r="C141" i="1" s="1"/>
  <c r="H138" i="3"/>
  <c r="I138" i="3" s="1"/>
  <c r="C142" i="1" s="1"/>
  <c r="H139" i="3"/>
  <c r="I139" i="3" s="1"/>
  <c r="C143" i="1" s="1"/>
  <c r="H140" i="3"/>
  <c r="I140" i="3" s="1"/>
  <c r="C144" i="1" s="1"/>
  <c r="H141" i="3"/>
  <c r="I141" i="3" s="1"/>
  <c r="C145" i="1" s="1"/>
  <c r="H142" i="3"/>
  <c r="I142" i="3" s="1"/>
  <c r="C146" i="1" s="1"/>
  <c r="H143" i="3"/>
  <c r="I143" i="3" s="1"/>
  <c r="C147" i="1" s="1"/>
  <c r="H144" i="3"/>
  <c r="I144" i="3" s="1"/>
  <c r="C148" i="1" s="1"/>
  <c r="H145" i="3"/>
  <c r="I145" i="3" s="1"/>
  <c r="C149" i="1" s="1"/>
  <c r="H146" i="3"/>
  <c r="I146" i="3" s="1"/>
  <c r="C150" i="1" s="1"/>
  <c r="H147" i="3"/>
  <c r="I147" i="3" s="1"/>
  <c r="C151" i="1" s="1"/>
  <c r="H148" i="3"/>
  <c r="I148" i="3" s="1"/>
  <c r="C152" i="1" s="1"/>
  <c r="H149" i="3"/>
  <c r="I149" i="3" s="1"/>
  <c r="C153" i="1" s="1"/>
  <c r="H150" i="3"/>
  <c r="I150" i="3" s="1"/>
  <c r="C154" i="1" s="1"/>
  <c r="H151" i="3"/>
  <c r="I151" i="3" s="1"/>
  <c r="C155" i="1" s="1"/>
  <c r="H152" i="3"/>
  <c r="I152" i="3" s="1"/>
  <c r="C156" i="1" s="1"/>
  <c r="H153" i="3"/>
  <c r="I153" i="3" s="1"/>
  <c r="C157" i="1" s="1"/>
  <c r="H154" i="3"/>
  <c r="I154" i="3" s="1"/>
  <c r="C158" i="1" s="1"/>
  <c r="H155" i="3"/>
  <c r="I155" i="3" s="1"/>
  <c r="C159" i="1" s="1"/>
  <c r="H156" i="3"/>
  <c r="I156" i="3" s="1"/>
  <c r="C160" i="1" s="1"/>
  <c r="H157" i="3"/>
  <c r="I157" i="3" s="1"/>
  <c r="C161" i="1" s="1"/>
  <c r="H158" i="3"/>
  <c r="I158" i="3" s="1"/>
  <c r="C162" i="1" s="1"/>
  <c r="H159" i="3"/>
  <c r="I159" i="3" s="1"/>
  <c r="C163" i="1" s="1"/>
  <c r="H160" i="3"/>
  <c r="I160" i="3" s="1"/>
  <c r="C164" i="1" s="1"/>
  <c r="H161" i="3"/>
  <c r="I161" i="3" s="1"/>
  <c r="C165" i="1" s="1"/>
  <c r="H162" i="3"/>
  <c r="I162" i="3" s="1"/>
  <c r="C166" i="1" s="1"/>
  <c r="H163" i="3"/>
  <c r="I163" i="3" s="1"/>
  <c r="C167" i="1" s="1"/>
  <c r="H164" i="3"/>
  <c r="I164" i="3" s="1"/>
  <c r="C168" i="1" s="1"/>
  <c r="H165" i="3"/>
  <c r="I165" i="3" s="1"/>
  <c r="C169" i="1" s="1"/>
  <c r="H166" i="3"/>
  <c r="I166" i="3" s="1"/>
  <c r="C170" i="1" s="1"/>
  <c r="H167" i="3"/>
  <c r="I167" i="3" s="1"/>
  <c r="C171" i="1" s="1"/>
  <c r="H168" i="3"/>
  <c r="I168" i="3" s="1"/>
  <c r="C172" i="1" s="1"/>
  <c r="H169" i="3"/>
  <c r="I169" i="3" s="1"/>
  <c r="C173" i="1" s="1"/>
  <c r="H170" i="3"/>
  <c r="I170" i="3" s="1"/>
  <c r="C174" i="1" s="1"/>
  <c r="H171" i="3"/>
  <c r="I171" i="3" s="1"/>
  <c r="C175" i="1" s="1"/>
  <c r="H172" i="3"/>
  <c r="I172" i="3" s="1"/>
  <c r="C176" i="1" s="1"/>
  <c r="H173" i="3"/>
  <c r="I173" i="3" s="1"/>
  <c r="C177" i="1" s="1"/>
  <c r="H174" i="3"/>
  <c r="I174" i="3" s="1"/>
  <c r="C178" i="1" s="1"/>
  <c r="H175" i="3"/>
  <c r="I175" i="3" s="1"/>
  <c r="C179" i="1" s="1"/>
  <c r="H176" i="3"/>
  <c r="I176" i="3" s="1"/>
  <c r="C180" i="1" s="1"/>
  <c r="H177" i="3"/>
  <c r="I177" i="3" s="1"/>
  <c r="C181" i="1" s="1"/>
  <c r="H178" i="3"/>
  <c r="I178" i="3" s="1"/>
  <c r="C182" i="1" s="1"/>
  <c r="H179" i="3"/>
  <c r="I179" i="3" s="1"/>
  <c r="C183" i="1" s="1"/>
  <c r="H180" i="3"/>
  <c r="I180" i="3" s="1"/>
  <c r="C184" i="1" s="1"/>
  <c r="H181" i="3"/>
  <c r="I181" i="3" s="1"/>
  <c r="C185" i="1" s="1"/>
  <c r="H182" i="3"/>
  <c r="I182" i="3" s="1"/>
  <c r="C186" i="1" s="1"/>
  <c r="H183" i="3"/>
  <c r="I183" i="3" s="1"/>
  <c r="C187" i="1" s="1"/>
  <c r="H184" i="3"/>
  <c r="I184" i="3" s="1"/>
  <c r="C188" i="1" s="1"/>
  <c r="H185" i="3"/>
  <c r="I185" i="3" s="1"/>
  <c r="C189" i="1" s="1"/>
  <c r="H186" i="3"/>
  <c r="I186" i="3" s="1"/>
  <c r="C190" i="1" s="1"/>
  <c r="H187" i="3"/>
  <c r="I187" i="3" s="1"/>
  <c r="C191" i="1" s="1"/>
  <c r="H188" i="3"/>
  <c r="I188" i="3" s="1"/>
  <c r="C192" i="1" s="1"/>
  <c r="H189" i="3"/>
  <c r="I189" i="3" s="1"/>
  <c r="C193" i="1" s="1"/>
  <c r="H190" i="3"/>
  <c r="I190" i="3" s="1"/>
  <c r="C194" i="1" s="1"/>
  <c r="H191" i="3"/>
  <c r="I191" i="3" s="1"/>
  <c r="C195" i="1" s="1"/>
  <c r="H192" i="3"/>
  <c r="I192" i="3" s="1"/>
  <c r="C196" i="1" s="1"/>
  <c r="H193" i="3"/>
  <c r="I193" i="3" s="1"/>
  <c r="C197" i="1" s="1"/>
  <c r="H194" i="3"/>
  <c r="I194" i="3" s="1"/>
  <c r="C198" i="1" s="1"/>
  <c r="H195" i="3"/>
  <c r="I195" i="3" s="1"/>
  <c r="C199" i="1" s="1"/>
  <c r="H196" i="3"/>
  <c r="I196" i="3" s="1"/>
  <c r="C200" i="1" s="1"/>
  <c r="H197" i="3"/>
  <c r="I197" i="3" s="1"/>
  <c r="C201" i="1" s="1"/>
  <c r="H198" i="3"/>
  <c r="I198" i="3" s="1"/>
  <c r="C202" i="1" s="1"/>
  <c r="H199" i="3"/>
  <c r="I199" i="3" s="1"/>
  <c r="C203" i="1" s="1"/>
  <c r="H200" i="3"/>
  <c r="I200" i="3" s="1"/>
  <c r="C204" i="1" s="1"/>
  <c r="H201" i="3"/>
  <c r="I201" i="3" s="1"/>
  <c r="C205" i="1" s="1"/>
  <c r="H202" i="3"/>
  <c r="I202" i="3" s="1"/>
  <c r="C206" i="1" s="1"/>
  <c r="H203" i="3"/>
  <c r="I203" i="3" s="1"/>
  <c r="C207" i="1" s="1"/>
  <c r="H204" i="3"/>
  <c r="I204" i="3" s="1"/>
  <c r="C208" i="1" s="1"/>
  <c r="H205" i="3"/>
  <c r="I205" i="3" s="1"/>
  <c r="C209" i="1" s="1"/>
  <c r="H206" i="3"/>
  <c r="I206" i="3" s="1"/>
  <c r="C210" i="1" s="1"/>
  <c r="H207" i="3"/>
  <c r="I207" i="3" s="1"/>
  <c r="C211" i="1" s="1"/>
  <c r="H208" i="3"/>
  <c r="I208" i="3" s="1"/>
  <c r="C212" i="1" s="1"/>
  <c r="H209" i="3"/>
  <c r="I209" i="3" s="1"/>
  <c r="C213" i="1" s="1"/>
  <c r="H210" i="3"/>
  <c r="I210" i="3" s="1"/>
  <c r="C214" i="1" s="1"/>
  <c r="H211" i="3"/>
  <c r="I211" i="3" s="1"/>
  <c r="C215" i="1" s="1"/>
  <c r="H212" i="3"/>
  <c r="I212" i="3" s="1"/>
  <c r="C216" i="1" s="1"/>
  <c r="H213" i="3"/>
  <c r="I213" i="3" s="1"/>
  <c r="C217" i="1" s="1"/>
  <c r="H214" i="3"/>
  <c r="I214" i="3" s="1"/>
  <c r="C218" i="1" s="1"/>
  <c r="H215" i="3"/>
  <c r="I215" i="3" s="1"/>
  <c r="C219" i="1" s="1"/>
  <c r="H216" i="3"/>
  <c r="I216" i="3" s="1"/>
  <c r="C220" i="1" s="1"/>
  <c r="H217" i="3"/>
  <c r="I217" i="3" s="1"/>
  <c r="C221" i="1" s="1"/>
  <c r="H218" i="3"/>
  <c r="I218" i="3" s="1"/>
  <c r="C222" i="1" s="1"/>
  <c r="H219" i="3"/>
  <c r="I219" i="3" s="1"/>
  <c r="C223" i="1" s="1"/>
  <c r="H220" i="3"/>
  <c r="I220" i="3" s="1"/>
  <c r="C224" i="1" s="1"/>
  <c r="H221" i="3"/>
  <c r="I221" i="3" s="1"/>
  <c r="C225" i="1" s="1"/>
  <c r="H222" i="3"/>
  <c r="I222" i="3" s="1"/>
  <c r="C226" i="1" s="1"/>
  <c r="H223" i="3"/>
  <c r="I223" i="3" s="1"/>
  <c r="C227" i="1" s="1"/>
  <c r="H224" i="3"/>
  <c r="I224" i="3" s="1"/>
  <c r="C228" i="1" s="1"/>
  <c r="H225" i="3"/>
  <c r="I225" i="3" s="1"/>
  <c r="C229" i="1" s="1"/>
  <c r="H226" i="3"/>
  <c r="I226" i="3" s="1"/>
  <c r="C230" i="1" s="1"/>
  <c r="H227" i="3"/>
  <c r="I227" i="3" s="1"/>
  <c r="C231" i="1" s="1"/>
  <c r="H228" i="3"/>
  <c r="I228" i="3" s="1"/>
  <c r="C232" i="1" s="1"/>
  <c r="H229" i="3"/>
  <c r="I229" i="3" s="1"/>
  <c r="C233" i="1" s="1"/>
  <c r="H230" i="3"/>
  <c r="I230" i="3" s="1"/>
  <c r="C234" i="1" s="1"/>
  <c r="H231" i="3"/>
  <c r="I231" i="3" s="1"/>
  <c r="C235" i="1" s="1"/>
  <c r="H232" i="3"/>
  <c r="I232" i="3" s="1"/>
  <c r="C236" i="1" s="1"/>
  <c r="H233" i="3"/>
  <c r="I233" i="3" s="1"/>
  <c r="C237" i="1" s="1"/>
  <c r="H234" i="3"/>
  <c r="I234" i="3" s="1"/>
  <c r="C238" i="1" s="1"/>
  <c r="H235" i="3"/>
  <c r="I235" i="3" s="1"/>
  <c r="C239" i="1" s="1"/>
  <c r="H236" i="3"/>
  <c r="I236" i="3" s="1"/>
  <c r="C240" i="1" s="1"/>
  <c r="H237" i="3"/>
  <c r="I237" i="3" s="1"/>
  <c r="C241" i="1" s="1"/>
  <c r="H238" i="3"/>
  <c r="I238" i="3" s="1"/>
  <c r="C242" i="1" s="1"/>
  <c r="H239" i="3"/>
  <c r="I239" i="3" s="1"/>
  <c r="C243" i="1" s="1"/>
  <c r="H240" i="3"/>
  <c r="I240" i="3" s="1"/>
  <c r="C244" i="1" s="1"/>
  <c r="H241" i="3"/>
  <c r="I241" i="3" s="1"/>
  <c r="C245" i="1" s="1"/>
  <c r="H242" i="3"/>
  <c r="I242" i="3" s="1"/>
  <c r="C246" i="1" s="1"/>
  <c r="H243" i="3"/>
  <c r="I243" i="3" s="1"/>
  <c r="C247" i="1" s="1"/>
  <c r="H244" i="3"/>
  <c r="I244" i="3" s="1"/>
  <c r="C248" i="1" s="1"/>
  <c r="H245" i="3"/>
  <c r="I245" i="3" s="1"/>
  <c r="C249" i="1" s="1"/>
  <c r="H246" i="3"/>
  <c r="I246" i="3" s="1"/>
  <c r="C250" i="1" s="1"/>
  <c r="H247" i="3"/>
  <c r="I247" i="3" s="1"/>
  <c r="C251" i="1" s="1"/>
  <c r="H248" i="3"/>
  <c r="I248" i="3" s="1"/>
  <c r="C252" i="1" s="1"/>
  <c r="H249" i="3"/>
  <c r="I249" i="3" s="1"/>
  <c r="C253" i="1" s="1"/>
  <c r="H250" i="3"/>
  <c r="I250" i="3" s="1"/>
  <c r="C254" i="1" s="1"/>
  <c r="H251" i="3"/>
  <c r="I251" i="3" s="1"/>
  <c r="C255" i="1" s="1"/>
  <c r="H252" i="3"/>
  <c r="I252" i="3" s="1"/>
  <c r="C256" i="1" s="1"/>
  <c r="H253" i="3"/>
  <c r="I253" i="3" s="1"/>
  <c r="C257" i="1" s="1"/>
  <c r="H254" i="3"/>
  <c r="I254" i="3" s="1"/>
  <c r="C258" i="1" s="1"/>
  <c r="H255" i="3"/>
  <c r="I255" i="3" s="1"/>
  <c r="C259" i="1" s="1"/>
  <c r="H256" i="3"/>
  <c r="I256" i="3" s="1"/>
  <c r="C260" i="1" s="1"/>
  <c r="H257" i="3"/>
  <c r="I257" i="3" s="1"/>
  <c r="C261" i="1" s="1"/>
  <c r="H258" i="3"/>
  <c r="I258" i="3" s="1"/>
  <c r="C262" i="1" s="1"/>
  <c r="H259" i="3"/>
  <c r="I259" i="3" s="1"/>
  <c r="C263" i="1" s="1"/>
  <c r="H260" i="3"/>
  <c r="I260" i="3" s="1"/>
  <c r="C264" i="1" s="1"/>
  <c r="H261" i="3"/>
  <c r="I261" i="3" s="1"/>
  <c r="C265" i="1" s="1"/>
  <c r="H262" i="3"/>
  <c r="I262" i="3" s="1"/>
  <c r="C266" i="1" s="1"/>
  <c r="H263" i="3"/>
  <c r="I263" i="3" s="1"/>
  <c r="C267" i="1" s="1"/>
  <c r="H264" i="3"/>
  <c r="I264" i="3" s="1"/>
  <c r="C268" i="1" s="1"/>
  <c r="H265" i="3"/>
  <c r="I265" i="3" s="1"/>
  <c r="C269" i="1" s="1"/>
  <c r="H7" i="3"/>
  <c r="I7" i="3" s="1"/>
  <c r="C11" i="1" s="1"/>
  <c r="X11" i="1" l="1"/>
  <c r="V11" i="1"/>
  <c r="W11" i="1"/>
  <c r="U11" i="1"/>
  <c r="Q11" i="1"/>
  <c r="L11" i="1"/>
  <c r="O11" i="1" s="1"/>
  <c r="G11" i="1" l="1"/>
</calcChain>
</file>

<file path=xl/sharedStrings.xml><?xml version="1.0" encoding="utf-8"?>
<sst xmlns="http://schemas.openxmlformats.org/spreadsheetml/2006/main" count="5085" uniqueCount="83">
  <si>
    <t>Tipo de Dato</t>
  </si>
  <si>
    <t>Fecha</t>
  </si>
  <si>
    <t>Dirección</t>
  </si>
  <si>
    <t>Texto (3)</t>
  </si>
  <si>
    <t>Texto (30)</t>
  </si>
  <si>
    <t>Texto (100)</t>
  </si>
  <si>
    <t>Texto (20)</t>
  </si>
  <si>
    <t>Número Entero</t>
  </si>
  <si>
    <t>Número Decimal</t>
  </si>
  <si>
    <t>Según Tabla:</t>
  </si>
  <si>
    <t>Se debe ingresar en el sistema la parametrización previa, asi el sistema podrá leer las siglas correctamente.</t>
  </si>
  <si>
    <t>Número de orden</t>
  </si>
  <si>
    <t>Email</t>
  </si>
  <si>
    <t>Estado de la orden</t>
  </si>
  <si>
    <t>Estado del pago</t>
  </si>
  <si>
    <t>Estado del envío</t>
  </si>
  <si>
    <t>Moneda</t>
  </si>
  <si>
    <t>Subtotal de productos</t>
  </si>
  <si>
    <t>Descuento</t>
  </si>
  <si>
    <t>Costo de envío</t>
  </si>
  <si>
    <t>Total</t>
  </si>
  <si>
    <t>Nombre del comprador</t>
  </si>
  <si>
    <t>DNI / CUIT</t>
  </si>
  <si>
    <t>Teléfono</t>
  </si>
  <si>
    <t>Nombre para el envío</t>
  </si>
  <si>
    <t>Teléfono para el envío</t>
  </si>
  <si>
    <t>Número</t>
  </si>
  <si>
    <t>Piso</t>
  </si>
  <si>
    <t>Localidad</t>
  </si>
  <si>
    <t>Ciudad</t>
  </si>
  <si>
    <t>Código postal</t>
  </si>
  <si>
    <t>Provincia o estado</t>
  </si>
  <si>
    <t>País</t>
  </si>
  <si>
    <t>Medio de envío</t>
  </si>
  <si>
    <t>Medio de pago</t>
  </si>
  <si>
    <t>Cupón de descuento</t>
  </si>
  <si>
    <t>Notas del comprador</t>
  </si>
  <si>
    <t>Notas del vendedor</t>
  </si>
  <si>
    <t>Fecha de pago</t>
  </si>
  <si>
    <t>Fecha de envío</t>
  </si>
  <si>
    <t>Nombre del producto</t>
  </si>
  <si>
    <t>Canal</t>
  </si>
  <si>
    <t>Código de tracking del envío</t>
  </si>
  <si>
    <t>Identificador de la transacción en el medio de pago</t>
  </si>
  <si>
    <t>Identificador de la orden</t>
  </si>
  <si>
    <t>Producto Físico</t>
  </si>
  <si>
    <t>Persona que registró la venta</t>
  </si>
  <si>
    <t>Sucursal de venta</t>
  </si>
  <si>
    <t>Vendedor</t>
  </si>
  <si>
    <t>Texto (10)</t>
  </si>
  <si>
    <t>Cuenta Bancaria</t>
  </si>
  <si>
    <t>Precio Art.</t>
  </si>
  <si>
    <t>Cantidad</t>
  </si>
  <si>
    <t>Cod. Art.</t>
  </si>
  <si>
    <t>05</t>
  </si>
  <si>
    <t>01</t>
  </si>
  <si>
    <t>MES</t>
  </si>
  <si>
    <t>Numero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</si>
  <si>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</si>
  <si>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</si>
  <si>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</si>
  <si>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</si>
  <si>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</si>
  <si>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</si>
  <si>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</si>
  <si>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</si>
  <si>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</si>
  <si>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</si>
  <si>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</si>
  <si>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</si>
  <si>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02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</si>
  <si>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</si>
  <si>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</si>
  <si>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</si>
  <si>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</si>
  <si>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</si>
  <si>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</si>
  <si>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</si>
  <si>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</si>
  <si>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</si>
  <si>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.</t>
  </si>
  <si>
    <t>Comprobantes de Clientes (ML)</t>
  </si>
  <si>
    <t>Para ingresar la Importación se debe dirigir a Administración &gt;&gt; Cuentas a Cobrar &gt;&gt;&gt; Operaciones &gt;&gt; Proceso de Comprobantes Masivos &gt;&gt; PML.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</si>
</sst>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12"/>
      <name val="Arial"/>
      <family val="2"/>
    </font>
    <font>
      <b/>
      <sz val="18"/>
      <color theme="1"/>
      <name val="Calibri"/>
      <family val="2"/>
      <scheme val="minor"/>
    </font>
    <font>
      <sz val="10"/>
      <name val="Arial"/>
      <family val="2"/>
    </font>
    <font>
      <sz val="10"/>
      <color indexed="17"/>
      <name val="Arial"/>
      <family val="2"/>
    </font>
    <font>
      <sz val="11"/>
      <color theme="1"/>
      <name val="Calibri"/>
      <family val="2"/>
      <scheme val="minor"/>
    </font>
    <font>
      <sz val="10"/>
      <name val="Calibri"/>
    </font>
    <font>
      <b/>
      <sz val="9"/>
      <name val="Calibri"/>
    </font>
    <font>
      <b/>
      <sz val="10"/>
      <name val="Calibri"/>
    </font>
    <font>
      <sz val="11"/>
      <name val="Calibri"/>
      <family val="2"/>
      <scheme val="minor"/>
    </font>
    <font>
      <u/>
      <sz val="10"/>
      <color rgb="FF1218DC"/>
      <name val="Calibri"/>
    </font>
    <font>
      <b/>
      <sz val="16"/>
      <name val="Calibri"/>
    </font>
    <font>
      <b/>
      <u/>
      <sz val="10"/>
      <color rgb="FF1218DC"/>
      <name val="Calibri"/>
    </font>
    <font>
      <b/>
      <sz val="9"/>
      <color rgb="FFA61C00"/>
      <name val="Calibri"/>
    </font>
  </fonts>
  <fills count="1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1C232"/>
      </patternFill>
    </fill>
    <fill>
      <patternFill patternType="solid">
        <fgColor rgb="FFAB86FF"/>
      </patternFill>
    </fill>
    <fill>
      <patternFill patternType="solid">
        <fgColor rgb="FFF6B26B"/>
      </patternFill>
    </fill>
    <fill>
      <patternFill patternType="solid">
        <fgColor rgb="FFFFD966"/>
      </patternFill>
    </fill>
    <fill>
      <patternFill patternType="solid">
        <fgColor rgb="FFB1DA9F"/>
      </patternFill>
    </fill>
    <fill>
      <patternFill patternType="solid">
        <fgColor rgb="FF6FA8DC"/>
      </patternFill>
    </fill>
    <fill>
      <patternFill patternType="solid">
        <fgColor rgb="FFC27BA0"/>
      </patternFill>
    </fill>
    <fill>
      <patternFill patternType="solid">
        <fgColor rgb="FF76A5AF"/>
      </patternFill>
    </fill>
    <fill>
      <patternFill patternType="solid">
        <fgColor rgb="FFB7B7B7"/>
      </patternFill>
    </fill>
    <fill>
      <patternFill patternType="solid">
        <fgColor rgb="FFF4CCCC"/>
      </patternFill>
    </fill>
    <fill>
      <patternFill patternType="solid">
        <fgColor rgb="FFF3F3F3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43" fontId="6" fillId="0" borderId="0" applyFont="0" applyFill="0" applyBorder="0" applyAlignment="0" applyProtection="0"/>
  </cellStyleXfs>
  <cellXfs count="76">
    <xf numFmtId="0" fontId="0" fillId="0" borderId="0" xfId="0"/>
    <xf numFmtId="0" fontId="1" fillId="3" borderId="7" xfId="0" applyFont="1" applyFill="1" applyBorder="1" applyAlignment="1">
      <alignment horizontal="right"/>
    </xf>
    <xf numFmtId="0" fontId="2" fillId="0" borderId="0" xfId="0" applyFont="1" applyAlignment="1">
      <alignment horizontal="right"/>
    </xf>
    <xf numFmtId="0" fontId="1" fillId="2" borderId="7" xfId="0" applyFont="1" applyFill="1" applyBorder="1" applyAlignment="1">
      <alignment horizontal="center"/>
    </xf>
    <xf numFmtId="0" fontId="5" fillId="0" borderId="0" xfId="1" applyFont="1"/>
    <xf numFmtId="0" fontId="5" fillId="0" borderId="0" xfId="1" applyFon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/>
    <xf numFmtId="14" fontId="0" fillId="0" borderId="0" xfId="0" applyNumberFormat="1"/>
    <xf numFmtId="49" fontId="1" fillId="3" borderId="7" xfId="0" applyNumberFormat="1" applyFont="1" applyFill="1" applyBorder="1" applyAlignment="1">
      <alignment horizontal="right"/>
    </xf>
    <xf numFmtId="49" fontId="2" fillId="0" borderId="0" xfId="0" applyNumberFormat="1" applyFont="1" applyAlignment="1">
      <alignment horizontal="right"/>
    </xf>
    <xf numFmtId="49" fontId="1" fillId="2" borderId="7" xfId="0" applyNumberFormat="1" applyFont="1" applyFill="1" applyBorder="1" applyAlignment="1">
      <alignment horizontal="center"/>
    </xf>
    <xf numFmtId="49" fontId="5" fillId="0" borderId="0" xfId="1" applyNumberFormat="1" applyFont="1" applyAlignment="1">
      <alignment horizontal="right"/>
    </xf>
    <xf numFmtId="0" fontId="0" fillId="0" borderId="0" xfId="0" applyNumberFormat="1"/>
    <xf numFmtId="2" fontId="0" fillId="0" borderId="0" xfId="0" applyNumberFormat="1"/>
    <xf numFmtId="0" fontId="0" fillId="0" borderId="0" xfId="0"/>
    <xf numFmtId="4" fontId="0" fillId="0" borderId="0" xfId="0" applyNumberFormat="1" applyAlignment="1"/>
    <xf numFmtId="0" fontId="7" fillId="0" borderId="0" xfId="0" applyFont="1" applyBorder="1" applyAlignment="1" applyProtection="1">
      <alignment vertical="center"/>
      <protection locked="0"/>
    </xf>
    <xf numFmtId="0" fontId="9" fillId="12" borderId="0" xfId="0" applyFont="1" applyFill="1" applyBorder="1" applyAlignment="1" applyProtection="1">
      <alignment vertical="center"/>
      <protection locked="0"/>
    </xf>
    <xf numFmtId="0" fontId="7" fillId="14" borderId="0" xfId="0" applyFont="1" applyFill="1" applyBorder="1" applyAlignment="1" applyProtection="1">
      <alignment vertical="center"/>
      <protection locked="0"/>
    </xf>
    <xf numFmtId="0" fontId="0" fillId="0" borderId="0" xfId="0"/>
    <xf numFmtId="0" fontId="8" fillId="4" borderId="10" xfId="0" applyFont="1" applyFill="1" applyBorder="1" applyAlignment="1" applyProtection="1">
      <alignment horizontal="center" vertical="center" wrapText="1"/>
      <protection locked="0"/>
    </xf>
    <xf numFmtId="14" fontId="7" fillId="0" borderId="0" xfId="0" applyNumberFormat="1" applyFont="1" applyBorder="1" applyAlignment="1" applyProtection="1">
      <alignment vertical="center"/>
      <protection locked="0"/>
    </xf>
    <xf numFmtId="49" fontId="0" fillId="0" borderId="7" xfId="0" applyNumberFormat="1" applyBorder="1"/>
    <xf numFmtId="49" fontId="0" fillId="0" borderId="11" xfId="0" applyNumberFormat="1" applyBorder="1"/>
    <xf numFmtId="49" fontId="0" fillId="0" borderId="12" xfId="0" applyNumberFormat="1" applyBorder="1"/>
    <xf numFmtId="49" fontId="0" fillId="0" borderId="13" xfId="0" applyNumberFormat="1" applyBorder="1"/>
    <xf numFmtId="0" fontId="0" fillId="0" borderId="0" xfId="0"/>
    <xf numFmtId="20" fontId="0" fillId="0" borderId="0" xfId="0" applyNumberFormat="1"/>
    <xf numFmtId="0" fontId="7" fillId="0" borderId="0" xfId="0" applyNumberFormat="1" applyFont="1" applyBorder="1" applyAlignment="1" applyProtection="1">
      <alignment vertical="center"/>
      <protection locked="0"/>
    </xf>
    <xf numFmtId="0" fontId="10" fillId="0" borderId="0" xfId="1" applyFont="1"/>
    <xf numFmtId="0" fontId="12" fillId="0" borderId="10" xfId="0" applyFont="1" applyBorder="1" applyAlignment="1" applyProtection="1">
      <alignment horizontal="left" vertical="center"/>
      <protection locked="0"/>
    </xf>
    <xf numFmtId="0" fontId="8" fillId="5" borderId="10" xfId="0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horizontal="right" vertical="center"/>
      <protection locked="0"/>
    </xf>
    <xf numFmtId="43" fontId="7" fillId="0" borderId="0" xfId="2" applyFont="1" applyBorder="1" applyAlignment="1" applyProtection="1">
      <alignment horizontal="right" vertical="center"/>
      <protection locked="0"/>
    </xf>
    <xf numFmtId="43" fontId="7" fillId="0" borderId="0" xfId="1" applyNumberFormat="1" applyFont="1" applyBorder="1" applyAlignment="1" applyProtection="1">
      <alignment horizontal="right" vertical="center"/>
      <protection locked="0"/>
    </xf>
    <xf numFmtId="43" fontId="7" fillId="0" borderId="0" xfId="2" applyFont="1" applyFill="1" applyBorder="1" applyAlignment="1" applyProtection="1">
      <alignment horizontal="right" vertical="center"/>
      <protection locked="0"/>
    </xf>
    <xf numFmtId="0" fontId="7" fillId="0" borderId="0" xfId="1" applyFont="1" applyBorder="1" applyAlignment="1" applyProtection="1">
      <alignment horizontal="right" vertical="center"/>
      <protection locked="0"/>
    </xf>
    <xf numFmtId="0" fontId="13" fillId="12" borderId="0" xfId="0" applyFont="1" applyFill="1" applyBorder="1" applyAlignment="1" applyProtection="1">
      <alignment vertical="center"/>
      <protection locked="0"/>
    </xf>
    <xf numFmtId="0" fontId="9" fillId="12" borderId="0" xfId="0" applyFont="1" applyFill="1" applyBorder="1" applyAlignment="1" applyProtection="1">
      <alignment horizontal="right" vertical="center"/>
      <protection locked="0"/>
    </xf>
    <xf numFmtId="43" fontId="9" fillId="12" borderId="0" xfId="2" applyFont="1" applyFill="1" applyBorder="1" applyAlignment="1" applyProtection="1">
      <alignment horizontal="right" vertical="center"/>
      <protection locked="0"/>
    </xf>
    <xf numFmtId="0" fontId="14" fillId="13" borderId="10" xfId="0" applyFont="1" applyFill="1" applyBorder="1" applyAlignment="1" applyProtection="1">
      <alignment horizontal="left" vertical="center"/>
      <protection locked="0"/>
    </xf>
    <xf numFmtId="0" fontId="11" fillId="14" borderId="0" xfId="0" applyFont="1" applyFill="1" applyBorder="1" applyAlignment="1" applyProtection="1">
      <alignment vertical="center"/>
      <protection locked="0"/>
    </xf>
    <xf numFmtId="0" fontId="7" fillId="14" borderId="0" xfId="0" applyFont="1" applyFill="1" applyBorder="1" applyAlignment="1" applyProtection="1">
      <alignment horizontal="right" vertical="center"/>
      <protection locked="0"/>
    </xf>
    <xf numFmtId="43" fontId="7" fillId="14" borderId="0" xfId="2" applyFont="1" applyFill="1" applyBorder="1" applyAlignment="1" applyProtection="1">
      <alignment horizontal="right" vertical="center"/>
      <protection locked="0"/>
    </xf>
    <xf numFmtId="0" fontId="8" fillId="9" borderId="10" xfId="0" applyFont="1" applyFill="1" applyBorder="1" applyAlignment="1" applyProtection="1">
      <alignment horizontal="center" vertical="center" wrapText="1"/>
      <protection locked="0"/>
    </xf>
    <xf numFmtId="0" fontId="0" fillId="0" borderId="0" xfId="0"/>
    <xf numFmtId="0" fontId="8" fillId="10" borderId="10" xfId="0" applyFont="1" applyFill="1" applyBorder="1" applyAlignment="1" applyProtection="1">
      <alignment horizontal="center" vertical="center" wrapText="1"/>
      <protection locked="0"/>
    </xf>
    <xf numFmtId="0" fontId="8" fillId="11" borderId="10" xfId="0" applyFont="1" applyFill="1" applyBorder="1" applyAlignment="1" applyProtection="1">
      <alignment horizontal="center" vertical="center" wrapText="1"/>
      <protection locked="0"/>
    </xf>
    <xf numFmtId="0" fontId="8" fillId="4" borderId="10" xfId="0" applyFont="1" applyFill="1" applyBorder="1" applyAlignment="1" applyProtection="1">
      <alignment horizontal="center" vertical="center" wrapText="1"/>
      <protection locked="0"/>
    </xf>
    <xf numFmtId="4" fontId="0" fillId="0" borderId="0" xfId="0" applyNumberFormat="1"/>
    <xf numFmtId="0" fontId="8" fillId="6" borderId="10" xfId="0" applyFont="1" applyFill="1" applyBorder="1" applyAlignment="1" applyProtection="1">
      <alignment horizontal="center" vertical="center" wrapText="1"/>
      <protection locked="0"/>
    </xf>
    <xf numFmtId="0" fontId="8" fillId="7" borderId="10" xfId="0" applyFont="1" applyFill="1" applyBorder="1" applyAlignment="1" applyProtection="1">
      <alignment horizontal="center" vertical="center" wrapText="1"/>
      <protection locked="0"/>
    </xf>
    <xf numFmtId="0" fontId="8" fillId="8" borderId="10" xfId="0" applyFont="1" applyFill="1" applyBorder="1" applyAlignment="1" applyProtection="1">
      <alignment horizontal="center" vertical="center" wrapText="1"/>
      <protection locked="0"/>
    </xf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8" fillId="9" borderId="10" xfId="0" applyFont="1" applyFill="1" applyBorder="1" applyAlignment="1" applyProtection="1">
      <alignment horizontal="center" vertical="center" wrapText="1"/>
      <protection locked="0"/>
    </xf>
    <xf numFmtId="0" fontId="0" fillId="0" borderId="0" xfId="0"/>
    <xf numFmtId="0" fontId="8" fillId="10" borderId="10" xfId="0" applyFont="1" applyFill="1" applyBorder="1" applyAlignment="1" applyProtection="1">
      <alignment horizontal="center" vertical="center" wrapText="1"/>
      <protection locked="0"/>
    </xf>
    <xf numFmtId="0" fontId="8" fillId="11" borderId="10" xfId="0" applyFont="1" applyFill="1" applyBorder="1" applyAlignment="1" applyProtection="1">
      <alignment horizontal="center" vertical="center" wrapText="1"/>
      <protection locked="0"/>
    </xf>
    <xf numFmtId="0" fontId="7" fillId="0" borderId="10" xfId="0" applyFont="1" applyBorder="1" applyAlignment="1" applyProtection="1">
      <alignment horizontal="left" vertical="center" wrapText="1"/>
      <protection locked="0"/>
    </xf>
    <xf numFmtId="0" fontId="11" fillId="0" borderId="10" xfId="0" applyFont="1" applyBorder="1" applyAlignment="1" applyProtection="1">
      <alignment horizontal="right" vertical="center" wrapText="1"/>
      <protection locked="0"/>
    </xf>
    <xf numFmtId="0" fontId="8" fillId="4" borderId="10" xfId="0" applyFont="1" applyFill="1" applyBorder="1" applyAlignment="1" applyProtection="1">
      <alignment horizontal="center" vertical="center" wrapText="1"/>
      <protection locked="0"/>
    </xf>
    <xf numFmtId="4" fontId="0" fillId="0" borderId="0" xfId="0" applyNumberFormat="1"/>
    <xf numFmtId="0" fontId="8" fillId="6" borderId="10" xfId="0" applyFont="1" applyFill="1" applyBorder="1" applyAlignment="1" applyProtection="1">
      <alignment horizontal="center" vertical="center" wrapText="1"/>
      <protection locked="0"/>
    </xf>
    <xf numFmtId="0" fontId="8" fillId="7" borderId="10" xfId="0" applyFont="1" applyFill="1" applyBorder="1" applyAlignment="1" applyProtection="1">
      <alignment horizontal="center" vertical="center" wrapText="1"/>
      <protection locked="0"/>
    </xf>
    <xf numFmtId="0" fontId="8" fillId="8" borderId="10" xfId="0" applyFont="1" applyFill="1" applyBorder="1" applyAlignment="1" applyProtection="1">
      <alignment horizontal="center" vertical="center" wrapText="1"/>
      <protection locked="0"/>
    </xf>
  </cellXfs>
  <cellStyles count="3">
    <cellStyle name="Millares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1438275</xdr:colOff>
      <xdr:row>6</xdr:row>
      <xdr:rowOff>104775</xdr:rowOff>
    </xdr:from>
    <xdr:to>
      <xdr:col>3</xdr:col>
      <xdr:colOff>9525</xdr:colOff>
      <xdr:row>8</xdr:row>
      <xdr:rowOff>0</xdr:rowOff>
    </xdr:to>
    <xdr:sp macro="[0]!InsertarFecha" textlink="">
      <xdr:nvSpPr>
        <xdr:cNvPr id="2" name="1 Rectángulo"/>
        <xdr:cNvSpPr/>
      </xdr:nvSpPr>
      <xdr:spPr>
        <a:xfrm>
          <a:off x="2562225" y="1266825"/>
          <a:ext cx="1695450" cy="276225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AR" sz="1100"/>
            <a:t>Insertar Fecha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S1113"/>
  <sheetViews>
    <sheetView tabSelected="1" workbookViewId="0">
      <selection activeCell="A14" sqref="A14"/>
    </sheetView>
  </sheetViews>
  <sheetFormatPr baseColWidth="10" defaultRowHeight="15" x14ac:dyDescent="0.25"/>
  <cols>
    <col min="1" max="1" width="16.85546875" bestFit="1" customWidth="1"/>
    <col min="2" max="2" width="21.7109375" bestFit="1" customWidth="1"/>
    <col min="3" max="3" width="25.140625" bestFit="1" customWidth="1"/>
    <col min="4" max="4" width="19.140625" bestFit="1" customWidth="1"/>
    <col min="5" max="5" width="17.85546875" bestFit="1" customWidth="1"/>
    <col min="6" max="6" width="21.7109375" bestFit="1" customWidth="1"/>
    <col min="8" max="8" width="30.42578125" style="7" bestFit="1" customWidth="1"/>
    <col min="9" max="9" width="13.7109375" style="7" bestFit="1" customWidth="1"/>
    <col min="10" max="10" width="18" style="7" bestFit="1" customWidth="1"/>
    <col min="11" max="11" width="15.85546875" style="7" bestFit="1" customWidth="1"/>
    <col min="12" max="12" width="21.85546875" bestFit="1" customWidth="1"/>
    <col min="13" max="13" width="18.85546875" bestFit="1" customWidth="1"/>
    <col min="14" max="14" width="17.5703125" style="7" customWidth="1"/>
    <col min="15" max="15" width="20.28515625" bestFit="1" customWidth="1"/>
    <col min="16" max="16" width="21" style="7" bestFit="1" customWidth="1"/>
    <col min="17" max="17" width="17.5703125" bestFit="1" customWidth="1"/>
    <col min="18" max="20" width="15.85546875" bestFit="1" customWidth="1"/>
    <col min="22" max="22" width="15.85546875" bestFit="1" customWidth="1"/>
    <col min="23" max="23" width="21.85546875" bestFit="1" customWidth="1"/>
    <col min="24" max="24" width="9.7109375" bestFit="1" customWidth="1"/>
    <col min="25" max="25" width="18.140625" customWidth="1"/>
    <col min="26" max="26" width="15.85546875" bestFit="1" customWidth="1"/>
    <col min="27" max="27" width="19.28515625" bestFit="1" customWidth="1"/>
    <col min="28" max="29" width="19.5703125" bestFit="1" customWidth="1"/>
    <col min="30" max="30" width="18.5703125" style="8" bestFit="1" customWidth="1"/>
    <col min="31" max="31" width="13.5703125" style="8" bestFit="1" customWidth="1"/>
    <col min="32" max="32" width="21.85546875" bestFit="1" customWidth="1"/>
    <col min="33" max="33" width="22.28515625" style="7" bestFit="1" customWidth="1"/>
    <col min="34" max="34" width="15.85546875" style="7" bestFit="1" customWidth="1"/>
    <col min="35" max="35" width="15.85546875" bestFit="1" customWidth="1"/>
    <col min="36" max="36" width="13.28515625" style="7" bestFit="1" customWidth="1"/>
    <col min="37" max="37" width="12.5703125" bestFit="1" customWidth="1"/>
    <col min="38" max="38" width="26.42578125" bestFit="1" customWidth="1"/>
    <col min="39" max="39" width="47" bestFit="1" customWidth="1"/>
    <col min="40" max="40" width="23.140625" bestFit="1" customWidth="1"/>
    <col min="41" max="41" width="14.42578125" bestFit="1" customWidth="1"/>
    <col min="42" max="42" width="27.140625" bestFit="1" customWidth="1"/>
    <col min="43" max="43" width="16.5703125" bestFit="1" customWidth="1"/>
    <col min="44" max="44" width="9.85546875" bestFit="1" customWidth="1"/>
    <col min="45" max="45" width="15.140625" bestFit="1" customWidth="1"/>
  </cols>
  <sheetData>
    <row r="1" spans="1:45" ht="15" customHeight="1" x14ac:dyDescent="0.25">
      <c r="A1" s="56" t="s">
        <v>81</v>
      </c>
      <c r="B1" s="57"/>
      <c r="C1" s="58"/>
      <c r="F1" s="4" t="s">
        <v>9</v>
      </c>
      <c r="G1" t="s">
        <v>10</v>
      </c>
      <c r="H1" s="2"/>
      <c r="I1" s="2"/>
      <c r="J1" s="2"/>
      <c r="K1"/>
      <c r="AD1"/>
      <c r="AE1"/>
      <c r="AG1"/>
      <c r="AH1"/>
    </row>
    <row r="2" spans="1:45" ht="15.75" customHeight="1" x14ac:dyDescent="0.25">
      <c r="A2" s="59"/>
      <c r="B2" s="60"/>
      <c r="C2" s="61"/>
      <c r="H2"/>
      <c r="I2"/>
      <c r="J2"/>
      <c r="K2"/>
      <c r="AD2"/>
      <c r="AE2"/>
      <c r="AG2"/>
      <c r="AH2"/>
    </row>
    <row r="3" spans="1:45" ht="15.75" thickBot="1" x14ac:dyDescent="0.3">
      <c r="A3" s="62"/>
      <c r="B3" s="63"/>
      <c r="C3" s="64"/>
      <c r="E3" s="4"/>
      <c r="F3" s="7" t="s">
        <v>82</v>
      </c>
      <c r="H3"/>
      <c r="I3"/>
      <c r="J3"/>
      <c r="K3"/>
      <c r="AD3"/>
      <c r="AE3"/>
      <c r="AG3"/>
      <c r="AH3"/>
    </row>
    <row r="4" spans="1:45" x14ac:dyDescent="0.25">
      <c r="H4"/>
      <c r="I4"/>
      <c r="J4"/>
      <c r="K4"/>
      <c r="AD4"/>
      <c r="AE4"/>
      <c r="AG4"/>
      <c r="AH4"/>
    </row>
    <row r="5" spans="1:45" x14ac:dyDescent="0.25">
      <c r="A5" s="1">
        <v>0</v>
      </c>
      <c r="B5" s="1">
        <v>1</v>
      </c>
      <c r="C5" s="1">
        <v>2</v>
      </c>
      <c r="D5" s="1">
        <v>3</v>
      </c>
      <c r="E5" s="1">
        <v>4</v>
      </c>
      <c r="F5" s="1">
        <v>5</v>
      </c>
      <c r="G5" s="1">
        <v>6</v>
      </c>
      <c r="H5" s="1">
        <v>7</v>
      </c>
      <c r="I5" s="1">
        <v>8</v>
      </c>
      <c r="J5" s="1">
        <v>9</v>
      </c>
      <c r="K5" s="1">
        <v>10</v>
      </c>
      <c r="L5" s="1">
        <v>11</v>
      </c>
      <c r="M5" s="1">
        <v>12</v>
      </c>
      <c r="N5" s="9">
        <v>13</v>
      </c>
      <c r="O5" s="1">
        <v>14</v>
      </c>
      <c r="P5" s="9">
        <v>15</v>
      </c>
      <c r="Q5" s="1">
        <v>16</v>
      </c>
      <c r="R5" s="1">
        <v>17</v>
      </c>
      <c r="S5" s="1">
        <v>18</v>
      </c>
      <c r="T5" s="1">
        <v>19</v>
      </c>
      <c r="U5" s="1">
        <v>20</v>
      </c>
      <c r="V5" s="1">
        <v>21</v>
      </c>
      <c r="W5" s="1">
        <v>22</v>
      </c>
      <c r="X5" s="1">
        <v>23</v>
      </c>
      <c r="Y5" s="1">
        <v>24</v>
      </c>
      <c r="Z5" s="1">
        <v>25</v>
      </c>
      <c r="AA5" s="1">
        <v>26</v>
      </c>
      <c r="AB5" s="1">
        <v>27</v>
      </c>
      <c r="AC5" s="1">
        <v>28</v>
      </c>
      <c r="AD5" s="1">
        <v>29</v>
      </c>
      <c r="AE5" s="1">
        <v>30</v>
      </c>
      <c r="AF5" s="1">
        <v>31</v>
      </c>
      <c r="AG5" s="1">
        <v>32</v>
      </c>
      <c r="AH5" s="1">
        <v>33</v>
      </c>
      <c r="AI5" s="1">
        <v>34</v>
      </c>
      <c r="AJ5" s="9">
        <v>35</v>
      </c>
      <c r="AK5" s="1">
        <v>36</v>
      </c>
      <c r="AL5" s="1">
        <v>37</v>
      </c>
      <c r="AM5" s="1">
        <v>38</v>
      </c>
      <c r="AN5" s="1">
        <v>39</v>
      </c>
      <c r="AO5" s="1">
        <v>40</v>
      </c>
      <c r="AP5" s="1">
        <v>41</v>
      </c>
      <c r="AQ5" s="1">
        <v>42</v>
      </c>
      <c r="AR5" s="1">
        <v>43</v>
      </c>
      <c r="AS5" s="1">
        <v>44</v>
      </c>
    </row>
    <row r="6" spans="1:45" x14ac:dyDescent="0.25">
      <c r="A6" t="s">
        <v>7</v>
      </c>
      <c r="B6" s="2" t="s">
        <v>5</v>
      </c>
      <c r="C6" t="s">
        <v>0</v>
      </c>
      <c r="D6" s="2" t="s">
        <v>4</v>
      </c>
      <c r="E6" s="2" t="s">
        <v>4</v>
      </c>
      <c r="F6" s="2" t="s">
        <v>4</v>
      </c>
      <c r="G6" s="2" t="s">
        <v>3</v>
      </c>
      <c r="H6" t="s">
        <v>8</v>
      </c>
      <c r="I6" t="s">
        <v>8</v>
      </c>
      <c r="J6" t="s">
        <v>8</v>
      </c>
      <c r="K6" t="s">
        <v>8</v>
      </c>
      <c r="L6" s="2" t="s">
        <v>4</v>
      </c>
      <c r="M6" s="2" t="s">
        <v>4</v>
      </c>
      <c r="N6" s="10" t="s">
        <v>6</v>
      </c>
      <c r="O6" s="2" t="s">
        <v>4</v>
      </c>
      <c r="P6" s="10" t="s">
        <v>6</v>
      </c>
      <c r="Q6" s="10" t="s">
        <v>49</v>
      </c>
      <c r="R6" t="s">
        <v>8</v>
      </c>
      <c r="S6" s="10" t="s">
        <v>49</v>
      </c>
      <c r="T6" s="10" t="s">
        <v>49</v>
      </c>
      <c r="U6" s="10" t="s">
        <v>6</v>
      </c>
      <c r="V6" t="s">
        <v>8</v>
      </c>
      <c r="W6" s="10" t="s">
        <v>6</v>
      </c>
      <c r="X6" s="10" t="s">
        <v>6</v>
      </c>
      <c r="AD6"/>
      <c r="AE6"/>
      <c r="AG6"/>
      <c r="AH6" t="s">
        <v>8</v>
      </c>
      <c r="AI6" t="s">
        <v>8</v>
      </c>
    </row>
    <row r="7" spans="1:45" x14ac:dyDescent="0.25">
      <c r="C7" s="22"/>
      <c r="D7" s="6"/>
      <c r="E7" s="6"/>
      <c r="F7" s="6"/>
      <c r="G7" s="5"/>
      <c r="H7" s="5"/>
      <c r="I7" s="5"/>
      <c r="J7" s="5"/>
      <c r="K7" s="5"/>
      <c r="O7" s="5"/>
      <c r="P7" s="12"/>
      <c r="Q7" s="5"/>
      <c r="AD7"/>
      <c r="AE7"/>
      <c r="AG7"/>
      <c r="AH7"/>
      <c r="AI7" s="5"/>
    </row>
    <row r="8" spans="1:45" x14ac:dyDescent="0.25">
      <c r="C8" s="22"/>
      <c r="H8"/>
      <c r="I8"/>
      <c r="J8"/>
      <c r="K8"/>
      <c r="Y8" s="5"/>
      <c r="AA8" s="5"/>
      <c r="AD8"/>
      <c r="AE8"/>
      <c r="AG8"/>
      <c r="AH8"/>
    </row>
    <row r="9" spans="1:45" x14ac:dyDescent="0.25">
      <c r="H9"/>
      <c r="I9"/>
      <c r="J9"/>
      <c r="K9"/>
      <c r="AD9"/>
      <c r="AE9"/>
      <c r="AG9"/>
      <c r="AH9"/>
    </row>
    <row r="10" spans="1:45" x14ac:dyDescent="0.25">
      <c r="A10" s="3" t="s">
        <v>11</v>
      </c>
      <c r="B10" s="3" t="s">
        <v>12</v>
      </c>
      <c r="C10" s="3" t="s">
        <v>1</v>
      </c>
      <c r="D10" s="3" t="s">
        <v>13</v>
      </c>
      <c r="E10" s="3" t="s">
        <v>14</v>
      </c>
      <c r="F10" s="3" t="s">
        <v>15</v>
      </c>
      <c r="G10" s="3" t="s">
        <v>16</v>
      </c>
      <c r="H10" s="3" t="s">
        <v>17</v>
      </c>
      <c r="I10" s="3" t="s">
        <v>18</v>
      </c>
      <c r="J10" s="3" t="s">
        <v>19</v>
      </c>
      <c r="K10" s="3" t="s">
        <v>20</v>
      </c>
      <c r="L10" s="3" t="s">
        <v>21</v>
      </c>
      <c r="M10" s="3" t="s">
        <v>22</v>
      </c>
      <c r="N10" s="11" t="s">
        <v>23</v>
      </c>
      <c r="O10" s="3" t="s">
        <v>24</v>
      </c>
      <c r="P10" s="11" t="s">
        <v>25</v>
      </c>
      <c r="Q10" s="3" t="s">
        <v>2</v>
      </c>
      <c r="R10" s="3" t="s">
        <v>26</v>
      </c>
      <c r="S10" s="3" t="s">
        <v>27</v>
      </c>
      <c r="T10" s="3" t="s">
        <v>28</v>
      </c>
      <c r="U10" s="3" t="s">
        <v>29</v>
      </c>
      <c r="V10" s="3" t="s">
        <v>30</v>
      </c>
      <c r="W10" s="3" t="s">
        <v>31</v>
      </c>
      <c r="X10" s="3" t="s">
        <v>32</v>
      </c>
      <c r="Y10" s="3" t="s">
        <v>33</v>
      </c>
      <c r="Z10" s="3" t="s">
        <v>34</v>
      </c>
      <c r="AA10" s="3" t="s">
        <v>35</v>
      </c>
      <c r="AB10" s="3"/>
      <c r="AC10" s="3" t="s">
        <v>36</v>
      </c>
      <c r="AD10" s="3" t="s">
        <v>37</v>
      </c>
      <c r="AE10" s="3" t="s">
        <v>38</v>
      </c>
      <c r="AF10" s="3" t="s">
        <v>39</v>
      </c>
      <c r="AG10" s="3" t="s">
        <v>40</v>
      </c>
      <c r="AH10" s="3" t="s">
        <v>51</v>
      </c>
      <c r="AI10" s="3" t="s">
        <v>52</v>
      </c>
      <c r="AJ10" s="11" t="s">
        <v>53</v>
      </c>
      <c r="AK10" s="3" t="s">
        <v>41</v>
      </c>
      <c r="AL10" s="3" t="s">
        <v>42</v>
      </c>
      <c r="AM10" s="3" t="s">
        <v>43</v>
      </c>
      <c r="AN10" s="3" t="s">
        <v>44</v>
      </c>
      <c r="AO10" s="3" t="s">
        <v>45</v>
      </c>
      <c r="AP10" s="3" t="s">
        <v>46</v>
      </c>
      <c r="AQ10" s="3" t="s">
        <v>47</v>
      </c>
      <c r="AR10" s="3" t="s">
        <v>48</v>
      </c>
      <c r="AS10" s="3" t="s">
        <v>50</v>
      </c>
    </row>
    <row r="11" spans="1:45" x14ac:dyDescent="0.25">
      <c r="A11">
        <f>+'Pegar ML'!A7</f>
        <v>0</v>
      </c>
      <c r="C11" s="30" t="e">
        <f>IF(AjusteFecha!I7=0,"",AjusteFecha!I7)</f>
        <v>#N/A</v>
      </c>
      <c r="F11" t="str">
        <f>IF('Pegar ML'!C7="","",'Pegar ML'!C7)</f>
        <v/>
      </c>
      <c r="G11" t="str">
        <f>IF('Pegar ML'!G2="ARS","PS","PS")</f>
        <v>PS</v>
      </c>
      <c r="H11" s="14">
        <f>IF('Pegar ML'!H7="",0,'Pegar ML'!H7)</f>
        <v>0</v>
      </c>
      <c r="I11" s="14">
        <f>IF('Pegar ML'!O7="",0,'Pegar ML'!O7)</f>
        <v>0</v>
      </c>
      <c r="J11" s="14">
        <f>IF('Pegar ML'!L7="",0,'Pegar ML'!L7)</f>
        <v>0</v>
      </c>
      <c r="K11" s="14">
        <f>+H11-I11+J11</f>
        <v>0</v>
      </c>
      <c r="L11">
        <f>+'Pegar ML'!AB7</f>
        <v>0</v>
      </c>
      <c r="M11" s="15" t="str">
        <f>RIGHT('Pegar ML'!AC7,8)</f>
        <v/>
      </c>
      <c r="N11" s="15" t="s">
        <v>80</v>
      </c>
      <c r="O11">
        <f t="shared" ref="O11:O74" si="0">+L11</f>
        <v>0</v>
      </c>
      <c r="P11" t="s">
        <v>80</v>
      </c>
      <c r="Q11">
        <f>+'Pegar ML'!AD7</f>
        <v>0</v>
      </c>
      <c r="R11" t="s">
        <v>80</v>
      </c>
      <c r="S11" t="s">
        <v>80</v>
      </c>
      <c r="T11" t="s">
        <v>80</v>
      </c>
      <c r="U11">
        <f>+'Pegar ML'!AI7</f>
        <v>0</v>
      </c>
      <c r="V11">
        <f>+'Pegar ML'!AK7</f>
        <v>0</v>
      </c>
      <c r="W11">
        <f>+'Pegar ML'!AJ7</f>
        <v>0</v>
      </c>
      <c r="X11">
        <f>+'Pegar ML'!AL7</f>
        <v>0</v>
      </c>
      <c r="AD11"/>
      <c r="AF11" s="8"/>
      <c r="AG11"/>
      <c r="AH11" s="14">
        <f>+'Pegar ML'!Y7</f>
        <v>0</v>
      </c>
      <c r="AI11" s="13">
        <f t="shared" ref="AI11:AI74" si="1">IF(F11="Paquete de 2 productos","",1)</f>
        <v>1</v>
      </c>
      <c r="AJ11" s="7">
        <f>+'Pegar ML'!T7</f>
        <v>0</v>
      </c>
      <c r="AS11">
        <v>17</v>
      </c>
    </row>
    <row r="12" spans="1:45" x14ac:dyDescent="0.25">
      <c r="A12" s="27">
        <f>IF('Pegar ML'!C7="Paquete de 2 productos",'Pegar ML'!A7,'Pegar ML'!A8)</f>
        <v>0</v>
      </c>
      <c r="B12" s="27"/>
      <c r="C12" s="30" t="e">
        <f>IF(AjusteFecha!I8=0,"",AjusteFecha!I8)</f>
        <v>#N/A</v>
      </c>
      <c r="D12" s="27"/>
      <c r="E12" s="27"/>
      <c r="F12" s="27" t="str">
        <f>IF('Pegar ML'!C8="","",'Pegar ML'!C8)</f>
        <v/>
      </c>
      <c r="G12" s="27" t="str">
        <f>IF('Pegar ML'!G3="ARS","PS","PS")</f>
        <v>PS</v>
      </c>
      <c r="H12" s="14">
        <f>IF('Pegar ML'!C7="Paquete de 2 productos",IF('Pegar ML'!H7="",0,'Pegar ML'!H7),IF('Pegar ML'!H8="",0,'Pegar ML'!H8))</f>
        <v>0</v>
      </c>
      <c r="I12" s="14">
        <f>IF('Pegar ML'!C7="Paquete de 2 productos",IF('Pegar ML'!O7="",0,'Pegar ML'!O7),IF('Pegar ML'!O8="",0,'Pegar ML'!O8))</f>
        <v>0</v>
      </c>
      <c r="J12" s="14">
        <f>IF('Pegar ML'!C7="Paquete de 2 productos",IF('Pegar ML'!O7="",0,'Pegar ML'!O7),IF('Pegar ML'!O8="",0,'Pegar ML'!O8))</f>
        <v>0</v>
      </c>
      <c r="K12" s="14">
        <f t="shared" ref="K12:K75" si="2">+H12-I12+J12</f>
        <v>0</v>
      </c>
      <c r="L12" s="27">
        <f>IF('Pegar ML'!AB8=" ",'Pegar ML'!AB7,'Pegar ML'!AB8)</f>
        <v>0</v>
      </c>
      <c r="M12" s="27" t="str">
        <f>IF('Pegar ML'!AC8=" ",RIGHT('Pegar ML'!AC7,8),RIGHT('Pegar ML'!AC8,8))</f>
        <v/>
      </c>
      <c r="N12" s="27" t="s">
        <v>80</v>
      </c>
      <c r="O12" s="27">
        <f t="shared" si="0"/>
        <v>0</v>
      </c>
      <c r="P12" s="27" t="s">
        <v>80</v>
      </c>
      <c r="Q12" s="27">
        <f>IF('Pegar ML'!AD8=" ",'Pegar ML'!AD7,'Pegar ML'!AD8)</f>
        <v>0</v>
      </c>
      <c r="R12" s="27" t="s">
        <v>80</v>
      </c>
      <c r="S12" s="27" t="s">
        <v>80</v>
      </c>
      <c r="T12" s="27" t="s">
        <v>80</v>
      </c>
      <c r="U12" s="55">
        <f>IF('Pegar ML'!AI8=" ",'Pegar ML'!AI7,'Pegar ML'!AI8)</f>
        <v>0</v>
      </c>
      <c r="V12" s="55">
        <f>IF('Pegar ML'!AK8=" ",'Pegar ML'!AK7,'Pegar ML'!AK8)</f>
        <v>0</v>
      </c>
      <c r="W12" s="55">
        <f>IF('Pegar ML'!AJ8=" ",'Pegar ML'!AJ7,'Pegar ML'!AJ8)</f>
        <v>0</v>
      </c>
      <c r="X12" s="55">
        <f>IF('Pegar ML'!AL8=" ",'Pegar ML'!AL7,'Pegar ML'!AL8)</f>
        <v>0</v>
      </c>
      <c r="Y12" s="27"/>
      <c r="Z12" s="27"/>
      <c r="AA12" s="27"/>
      <c r="AB12" s="27"/>
      <c r="AC12" s="27"/>
      <c r="AD12" s="27"/>
      <c r="AF12" s="8"/>
      <c r="AG12" s="27"/>
      <c r="AH12" s="14">
        <f>+'Pegar ML'!Y8</f>
        <v>0</v>
      </c>
      <c r="AI12" s="13">
        <f t="shared" si="1"/>
        <v>1</v>
      </c>
      <c r="AJ12" s="7">
        <f>+'Pegar ML'!T8</f>
        <v>0</v>
      </c>
      <c r="AK12" s="27"/>
      <c r="AL12" s="27"/>
      <c r="AM12" s="27"/>
      <c r="AN12" s="27"/>
      <c r="AO12" s="27"/>
      <c r="AP12" s="27"/>
      <c r="AQ12" s="27"/>
      <c r="AR12" s="27"/>
      <c r="AS12">
        <v>17</v>
      </c>
    </row>
    <row r="13" spans="1:45" x14ac:dyDescent="0.25">
      <c r="A13" s="27">
        <f>IF('Pegar ML'!C8="Paquete de 2 productos",'Pegar ML'!A8,IF('Pegar ML'!C7="Paquete de 2 productos",'Pegar ML'!A7,'Pegar ML'!A9))</f>
        <v>0</v>
      </c>
      <c r="B13" s="27"/>
      <c r="C13" s="30" t="e">
        <f>IF(AjusteFecha!I9=0,"",AjusteFecha!I9)</f>
        <v>#N/A</v>
      </c>
      <c r="D13" s="27"/>
      <c r="E13" s="27"/>
      <c r="F13" s="27" t="str">
        <f>IF('Pegar ML'!C9="","",'Pegar ML'!C9)</f>
        <v/>
      </c>
      <c r="G13" s="27" t="str">
        <f>IF('Pegar ML'!G4="ARS","PS","PS")</f>
        <v>PS</v>
      </c>
      <c r="H13" s="14">
        <f>IF('Pegar ML'!C8="Paquete de 2 productos",IF('Pegar ML'!H8="",0,'Pegar ML'!H8),IF('Pegar ML'!H9="",0,'Pegar ML'!H9))</f>
        <v>0</v>
      </c>
      <c r="I13" s="14">
        <f>IF('Pegar ML'!C8="Paquete de 2 productos",IF('Pegar ML'!O8="",0,'Pegar ML'!O8),IF('Pegar ML'!O9="",0,'Pegar ML'!O9))</f>
        <v>0</v>
      </c>
      <c r="J13" s="14">
        <f>IF('Pegar ML'!C8="Paquete de 2 productos",IF('Pegar ML'!O8="",0,'Pegar ML'!O8),IF('Pegar ML'!O9="",0,'Pegar ML'!O9))</f>
        <v>0</v>
      </c>
      <c r="K13" s="14">
        <f t="shared" si="2"/>
        <v>0</v>
      </c>
      <c r="L13" s="27">
        <f>IF('Pegar ML'!AB9=" ",'Pegar ML'!AB8,'Pegar ML'!AB9)</f>
        <v>0</v>
      </c>
      <c r="M13" s="27" t="str">
        <f>IF('Pegar ML'!AC9=" ",RIGHT('Pegar ML'!AC8,8),RIGHT('Pegar ML'!AC9,8))</f>
        <v/>
      </c>
      <c r="N13" s="27" t="s">
        <v>80</v>
      </c>
      <c r="O13" s="27">
        <f t="shared" si="0"/>
        <v>0</v>
      </c>
      <c r="P13" s="27" t="s">
        <v>80</v>
      </c>
      <c r="Q13" s="55">
        <f>IF('Pegar ML'!AD9=" ",'Pegar ML'!AD8,'Pegar ML'!AD9)</f>
        <v>0</v>
      </c>
      <c r="R13" s="27" t="s">
        <v>80</v>
      </c>
      <c r="S13" s="27" t="s">
        <v>80</v>
      </c>
      <c r="T13" s="27" t="s">
        <v>80</v>
      </c>
      <c r="U13" s="55">
        <f>IF('Pegar ML'!AI9=" ",'Pegar ML'!AI8,'Pegar ML'!AI9)</f>
        <v>0</v>
      </c>
      <c r="V13" s="55">
        <f>IF('Pegar ML'!AK9=" ",'Pegar ML'!AK8,'Pegar ML'!AK9)</f>
        <v>0</v>
      </c>
      <c r="W13" s="55">
        <f>IF('Pegar ML'!AJ9=" ",'Pegar ML'!AJ8,'Pegar ML'!AJ9)</f>
        <v>0</v>
      </c>
      <c r="X13" s="55">
        <f>IF('Pegar ML'!AL9=" ",'Pegar ML'!AL8,'Pegar ML'!AL9)</f>
        <v>0</v>
      </c>
      <c r="Y13" s="27"/>
      <c r="Z13" s="27"/>
      <c r="AA13" s="27"/>
      <c r="AB13" s="27"/>
      <c r="AC13" s="27"/>
      <c r="AD13" s="27"/>
      <c r="AF13" s="8"/>
      <c r="AG13" s="27"/>
      <c r="AH13" s="14">
        <f>+'Pegar ML'!Y9</f>
        <v>0</v>
      </c>
      <c r="AI13" s="13">
        <f t="shared" si="1"/>
        <v>1</v>
      </c>
      <c r="AJ13" s="7">
        <f>+'Pegar ML'!T9</f>
        <v>0</v>
      </c>
      <c r="AK13" s="27"/>
      <c r="AL13" s="27"/>
      <c r="AM13" s="27"/>
      <c r="AN13" s="27"/>
      <c r="AO13" s="27"/>
      <c r="AP13" s="27"/>
      <c r="AQ13" s="27"/>
      <c r="AR13" s="27"/>
      <c r="AS13" s="27">
        <v>17</v>
      </c>
    </row>
    <row r="14" spans="1:45" x14ac:dyDescent="0.25">
      <c r="A14" s="27">
        <f>IF('Pegar ML'!C9="Paquete de 2 productos",'Pegar ML'!A9,IF('Pegar ML'!C8="Paquete de 2 productos",'Pegar ML'!A8,'Pegar ML'!A10))</f>
        <v>0</v>
      </c>
      <c r="B14" s="27"/>
      <c r="C14" s="30" t="e">
        <f>IF(AjusteFecha!I10=0,"",AjusteFecha!I10)</f>
        <v>#N/A</v>
      </c>
      <c r="D14" s="27"/>
      <c r="E14" s="27"/>
      <c r="F14" s="27" t="str">
        <f>IF('Pegar ML'!C10="","",'Pegar ML'!C10)</f>
        <v/>
      </c>
      <c r="G14" s="27" t="str">
        <f>IF('Pegar ML'!G5="ARS","PS","PS")</f>
        <v>PS</v>
      </c>
      <c r="H14" s="14">
        <f>IF('Pegar ML'!C9="Paquete de 2 productos",IF('Pegar ML'!H9="",0,'Pegar ML'!H9),IF('Pegar ML'!H10="",0,'Pegar ML'!H10))</f>
        <v>0</v>
      </c>
      <c r="I14" s="14">
        <f>IF('Pegar ML'!C9="Paquete de 2 productos",IF('Pegar ML'!O9="",0,'Pegar ML'!O9),IF('Pegar ML'!O10="",0,'Pegar ML'!O10))</f>
        <v>0</v>
      </c>
      <c r="J14" s="14">
        <f>IF('Pegar ML'!C9="Paquete de 2 productos",IF('Pegar ML'!O9="",0,'Pegar ML'!O9),IF('Pegar ML'!O10="",0,'Pegar ML'!O10))</f>
        <v>0</v>
      </c>
      <c r="K14" s="14">
        <f t="shared" si="2"/>
        <v>0</v>
      </c>
      <c r="L14" s="27">
        <f>IF('Pegar ML'!AB10=" ",'Pegar ML'!AB9,'Pegar ML'!AB10)</f>
        <v>0</v>
      </c>
      <c r="M14" s="27" t="str">
        <f>IF('Pegar ML'!AC10=" ",RIGHT('Pegar ML'!AC9,8),RIGHT('Pegar ML'!AC10,8))</f>
        <v/>
      </c>
      <c r="N14" s="27" t="s">
        <v>80</v>
      </c>
      <c r="O14" s="27">
        <f t="shared" si="0"/>
        <v>0</v>
      </c>
      <c r="P14" s="27" t="s">
        <v>80</v>
      </c>
      <c r="Q14" s="55">
        <f>IF('Pegar ML'!AD10=" ",'Pegar ML'!AD9,'Pegar ML'!AD10)</f>
        <v>0</v>
      </c>
      <c r="R14" s="27" t="s">
        <v>80</v>
      </c>
      <c r="S14" s="27" t="s">
        <v>80</v>
      </c>
      <c r="T14" s="27" t="s">
        <v>80</v>
      </c>
      <c r="U14" s="55">
        <f>IF('Pegar ML'!AI10=" ",'Pegar ML'!AI9,'Pegar ML'!AI10)</f>
        <v>0</v>
      </c>
      <c r="V14" s="55">
        <f>IF('Pegar ML'!AK10=" ",'Pegar ML'!AK9,'Pegar ML'!AK10)</f>
        <v>0</v>
      </c>
      <c r="W14" s="55">
        <f>IF('Pegar ML'!AJ10=" ",'Pegar ML'!AJ9,'Pegar ML'!AJ10)</f>
        <v>0</v>
      </c>
      <c r="X14" s="55">
        <f>IF('Pegar ML'!AL10=" ",'Pegar ML'!AL9,'Pegar ML'!AL10)</f>
        <v>0</v>
      </c>
      <c r="Y14" s="27"/>
      <c r="Z14" s="27"/>
      <c r="AA14" s="27"/>
      <c r="AB14" s="27"/>
      <c r="AC14" s="27"/>
      <c r="AD14" s="27"/>
      <c r="AF14" s="8"/>
      <c r="AG14" s="27"/>
      <c r="AH14" s="14">
        <f>+'Pegar ML'!Y10</f>
        <v>0</v>
      </c>
      <c r="AI14" s="13">
        <f t="shared" si="1"/>
        <v>1</v>
      </c>
      <c r="AJ14" s="7">
        <f>+'Pegar ML'!T10</f>
        <v>0</v>
      </c>
      <c r="AK14" s="27"/>
      <c r="AL14" s="27"/>
      <c r="AM14" s="27"/>
      <c r="AN14" s="27"/>
      <c r="AO14" s="27"/>
      <c r="AP14" s="27"/>
      <c r="AQ14" s="27"/>
      <c r="AR14" s="27"/>
      <c r="AS14" s="27">
        <v>17</v>
      </c>
    </row>
    <row r="15" spans="1:45" x14ac:dyDescent="0.25">
      <c r="A15" s="27">
        <f>IF('Pegar ML'!C10="Paquete de 2 productos",'Pegar ML'!A10,IF('Pegar ML'!C9="Paquete de 2 productos",'Pegar ML'!A9,'Pegar ML'!A11))</f>
        <v>0</v>
      </c>
      <c r="B15" s="27"/>
      <c r="C15" s="30" t="e">
        <f>IF(AjusteFecha!I11=0,"",AjusteFecha!I11)</f>
        <v>#N/A</v>
      </c>
      <c r="D15" s="27"/>
      <c r="E15" s="27"/>
      <c r="F15" s="27" t="str">
        <f>IF('Pegar ML'!C11="","",'Pegar ML'!C11)</f>
        <v/>
      </c>
      <c r="G15" s="27" t="str">
        <f>IF('Pegar ML'!G6="ARS","PS","PS")</f>
        <v>PS</v>
      </c>
      <c r="H15" s="14">
        <f>IF('Pegar ML'!C10="Paquete de 2 productos",IF('Pegar ML'!H10="",0,'Pegar ML'!H10),IF('Pegar ML'!H11="",0,'Pegar ML'!H11))</f>
        <v>0</v>
      </c>
      <c r="I15" s="14">
        <f>IF('Pegar ML'!C10="Paquete de 2 productos",IF('Pegar ML'!O10="",0,'Pegar ML'!O10),IF('Pegar ML'!O11="",0,'Pegar ML'!O11))</f>
        <v>0</v>
      </c>
      <c r="J15" s="14">
        <f>IF('Pegar ML'!C10="Paquete de 2 productos",IF('Pegar ML'!O10="",0,'Pegar ML'!O10),IF('Pegar ML'!O11="",0,'Pegar ML'!O11))</f>
        <v>0</v>
      </c>
      <c r="K15" s="14">
        <f t="shared" si="2"/>
        <v>0</v>
      </c>
      <c r="L15" s="27">
        <f>IF('Pegar ML'!AB11=" ",'Pegar ML'!AB10,'Pegar ML'!AB11)</f>
        <v>0</v>
      </c>
      <c r="M15" s="27" t="str">
        <f>IF('Pegar ML'!AC11=" ",RIGHT('Pegar ML'!AC10,8),RIGHT('Pegar ML'!AC11,8))</f>
        <v/>
      </c>
      <c r="N15" s="27" t="s">
        <v>80</v>
      </c>
      <c r="O15" s="27">
        <f t="shared" si="0"/>
        <v>0</v>
      </c>
      <c r="P15" s="27" t="s">
        <v>80</v>
      </c>
      <c r="Q15" s="55">
        <f>IF('Pegar ML'!AD11=" ",'Pegar ML'!AD10,'Pegar ML'!AD11)</f>
        <v>0</v>
      </c>
      <c r="R15" s="27" t="s">
        <v>80</v>
      </c>
      <c r="S15" s="27" t="s">
        <v>80</v>
      </c>
      <c r="T15" s="27" t="s">
        <v>80</v>
      </c>
      <c r="U15" s="55">
        <f>IF('Pegar ML'!AI11=" ",'Pegar ML'!AI10,'Pegar ML'!AI11)</f>
        <v>0</v>
      </c>
      <c r="V15" s="55">
        <f>IF('Pegar ML'!AK11=" ",'Pegar ML'!AK10,'Pegar ML'!AK11)</f>
        <v>0</v>
      </c>
      <c r="W15" s="55">
        <f>IF('Pegar ML'!AJ11=" ",'Pegar ML'!AJ10,'Pegar ML'!AJ11)</f>
        <v>0</v>
      </c>
      <c r="X15" s="55">
        <f>IF('Pegar ML'!AL11=" ",'Pegar ML'!AL10,'Pegar ML'!AL11)</f>
        <v>0</v>
      </c>
      <c r="Y15" s="27"/>
      <c r="Z15" s="27"/>
      <c r="AA15" s="27"/>
      <c r="AB15" s="27"/>
      <c r="AC15" s="27"/>
      <c r="AD15" s="27"/>
      <c r="AF15" s="8"/>
      <c r="AG15" s="27"/>
      <c r="AH15" s="14">
        <f>+'Pegar ML'!Y11</f>
        <v>0</v>
      </c>
      <c r="AI15" s="13">
        <f t="shared" si="1"/>
        <v>1</v>
      </c>
      <c r="AJ15" s="7">
        <f>+'Pegar ML'!T11</f>
        <v>0</v>
      </c>
      <c r="AK15" s="27"/>
      <c r="AL15" s="27"/>
      <c r="AM15" s="27"/>
      <c r="AN15" s="27"/>
      <c r="AO15" s="27"/>
      <c r="AP15" s="27"/>
      <c r="AQ15" s="27"/>
      <c r="AR15" s="27"/>
      <c r="AS15" s="27">
        <v>17</v>
      </c>
    </row>
    <row r="16" spans="1:45" x14ac:dyDescent="0.25">
      <c r="A16" s="27">
        <f>IF('Pegar ML'!C11="Paquete de 2 productos",'Pegar ML'!A11,IF('Pegar ML'!C10="Paquete de 2 productos",'Pegar ML'!A10,'Pegar ML'!A12))</f>
        <v>0</v>
      </c>
      <c r="B16" s="27"/>
      <c r="C16" s="30" t="e">
        <f>IF(AjusteFecha!I12=0,"",AjusteFecha!I12)</f>
        <v>#N/A</v>
      </c>
      <c r="D16" s="27"/>
      <c r="E16" s="27"/>
      <c r="F16" s="27" t="str">
        <f>IF('Pegar ML'!C12="","",'Pegar ML'!C12)</f>
        <v/>
      </c>
      <c r="G16" s="27" t="str">
        <f>IF('Pegar ML'!G7="ARS","PS","PS")</f>
        <v>PS</v>
      </c>
      <c r="H16" s="14">
        <f>IF('Pegar ML'!C11="Paquete de 2 productos",IF('Pegar ML'!H11="",0,'Pegar ML'!H11),IF('Pegar ML'!H12="",0,'Pegar ML'!H12))</f>
        <v>0</v>
      </c>
      <c r="I16" s="14">
        <f>IF('Pegar ML'!C11="Paquete de 2 productos",IF('Pegar ML'!O11="",0,'Pegar ML'!O11),IF('Pegar ML'!O12="",0,'Pegar ML'!O12))</f>
        <v>0</v>
      </c>
      <c r="J16" s="14">
        <f>IF('Pegar ML'!C11="Paquete de 2 productos",IF('Pegar ML'!O11="",0,'Pegar ML'!O11),IF('Pegar ML'!O12="",0,'Pegar ML'!O12))</f>
        <v>0</v>
      </c>
      <c r="K16" s="14">
        <f t="shared" si="2"/>
        <v>0</v>
      </c>
      <c r="L16" s="27">
        <f>IF('Pegar ML'!AB12=" ",'Pegar ML'!AB11,'Pegar ML'!AB12)</f>
        <v>0</v>
      </c>
      <c r="M16" s="27" t="str">
        <f>IF('Pegar ML'!AC12=" ",RIGHT('Pegar ML'!AC11,8),RIGHT('Pegar ML'!AC12,8))</f>
        <v/>
      </c>
      <c r="N16" s="27" t="s">
        <v>80</v>
      </c>
      <c r="O16" s="27">
        <f t="shared" si="0"/>
        <v>0</v>
      </c>
      <c r="P16" s="27" t="s">
        <v>80</v>
      </c>
      <c r="Q16" s="55">
        <f>IF('Pegar ML'!AD12=" ",'Pegar ML'!AD11,'Pegar ML'!AD12)</f>
        <v>0</v>
      </c>
      <c r="R16" s="27" t="s">
        <v>80</v>
      </c>
      <c r="S16" s="27" t="s">
        <v>80</v>
      </c>
      <c r="T16" s="27" t="s">
        <v>80</v>
      </c>
      <c r="U16" s="55">
        <f>IF('Pegar ML'!AI12=" ",'Pegar ML'!AI11,'Pegar ML'!AI12)</f>
        <v>0</v>
      </c>
      <c r="V16" s="55">
        <f>IF('Pegar ML'!AK12=" ",'Pegar ML'!AK11,'Pegar ML'!AK12)</f>
        <v>0</v>
      </c>
      <c r="W16" s="55">
        <f>IF('Pegar ML'!AJ12=" ",'Pegar ML'!AJ11,'Pegar ML'!AJ12)</f>
        <v>0</v>
      </c>
      <c r="X16" s="55">
        <f>IF('Pegar ML'!AL12=" ",'Pegar ML'!AL11,'Pegar ML'!AL12)</f>
        <v>0</v>
      </c>
      <c r="Y16" s="27"/>
      <c r="Z16" s="27"/>
      <c r="AA16" s="27"/>
      <c r="AB16" s="27"/>
      <c r="AC16" s="27"/>
      <c r="AD16" s="27"/>
      <c r="AF16" s="8"/>
      <c r="AG16" s="27"/>
      <c r="AH16" s="14">
        <f>+'Pegar ML'!Y12</f>
        <v>0</v>
      </c>
      <c r="AI16" s="13">
        <f t="shared" si="1"/>
        <v>1</v>
      </c>
      <c r="AJ16" s="7">
        <f>+'Pegar ML'!T12</f>
        <v>0</v>
      </c>
      <c r="AK16" s="27"/>
      <c r="AL16" s="27"/>
      <c r="AM16" s="27"/>
      <c r="AN16" s="27"/>
      <c r="AO16" s="27"/>
      <c r="AP16" s="27"/>
      <c r="AQ16" s="27"/>
      <c r="AR16" s="27"/>
      <c r="AS16" s="27">
        <v>17</v>
      </c>
    </row>
    <row r="17" spans="1:45" x14ac:dyDescent="0.25">
      <c r="A17" s="27">
        <f>IF('Pegar ML'!C12="Paquete de 2 productos",'Pegar ML'!A12,IF('Pegar ML'!C11="Paquete de 2 productos",'Pegar ML'!A11,'Pegar ML'!A13))</f>
        <v>0</v>
      </c>
      <c r="B17" s="27"/>
      <c r="C17" s="30" t="e">
        <f>IF(AjusteFecha!I13=0,"",AjusteFecha!I13)</f>
        <v>#N/A</v>
      </c>
      <c r="D17" s="27"/>
      <c r="E17" s="27"/>
      <c r="F17" s="27" t="str">
        <f>IF('Pegar ML'!C13="","",'Pegar ML'!C13)</f>
        <v/>
      </c>
      <c r="G17" s="27" t="str">
        <f>IF('Pegar ML'!G8="ARS","PS","PS")</f>
        <v>PS</v>
      </c>
      <c r="H17" s="14">
        <f>IF('Pegar ML'!C12="Paquete de 2 productos",IF('Pegar ML'!H12="",0,'Pegar ML'!H12),IF('Pegar ML'!H13="",0,'Pegar ML'!H13))</f>
        <v>0</v>
      </c>
      <c r="I17" s="14">
        <f>IF('Pegar ML'!C12="Paquete de 2 productos",IF('Pegar ML'!O12="",0,'Pegar ML'!O12),IF('Pegar ML'!O13="",0,'Pegar ML'!O13))</f>
        <v>0</v>
      </c>
      <c r="J17" s="14">
        <f>IF('Pegar ML'!C12="Paquete de 2 productos",IF('Pegar ML'!O12="",0,'Pegar ML'!O12),IF('Pegar ML'!O13="",0,'Pegar ML'!O13))</f>
        <v>0</v>
      </c>
      <c r="K17" s="14">
        <f t="shared" si="2"/>
        <v>0</v>
      </c>
      <c r="L17" s="27">
        <f>IF('Pegar ML'!AB13=" ",'Pegar ML'!AB12,'Pegar ML'!AB13)</f>
        <v>0</v>
      </c>
      <c r="M17" s="27" t="str">
        <f>IF('Pegar ML'!AC13=" ",RIGHT('Pegar ML'!AC12,8),RIGHT('Pegar ML'!AC13,8))</f>
        <v/>
      </c>
      <c r="N17" s="27" t="s">
        <v>80</v>
      </c>
      <c r="O17" s="27">
        <f t="shared" si="0"/>
        <v>0</v>
      </c>
      <c r="P17" s="27" t="s">
        <v>80</v>
      </c>
      <c r="Q17" s="55">
        <f>IF('Pegar ML'!AD13=" ",'Pegar ML'!AD12,'Pegar ML'!AD13)</f>
        <v>0</v>
      </c>
      <c r="R17" s="27" t="s">
        <v>80</v>
      </c>
      <c r="S17" s="27" t="s">
        <v>80</v>
      </c>
      <c r="T17" s="27" t="s">
        <v>80</v>
      </c>
      <c r="U17" s="55">
        <f>IF('Pegar ML'!AI13=" ",'Pegar ML'!AI12,'Pegar ML'!AI13)</f>
        <v>0</v>
      </c>
      <c r="V17" s="55">
        <f>IF('Pegar ML'!AK13=" ",'Pegar ML'!AK12,'Pegar ML'!AK13)</f>
        <v>0</v>
      </c>
      <c r="W17" s="55">
        <f>IF('Pegar ML'!AJ13=" ",'Pegar ML'!AJ12,'Pegar ML'!AJ13)</f>
        <v>0</v>
      </c>
      <c r="X17" s="55">
        <f>IF('Pegar ML'!AL13=" ",'Pegar ML'!AL12,'Pegar ML'!AL13)</f>
        <v>0</v>
      </c>
      <c r="Y17" s="27"/>
      <c r="Z17" s="27"/>
      <c r="AA17" s="27"/>
      <c r="AB17" s="27"/>
      <c r="AC17" s="27"/>
      <c r="AD17" s="27"/>
      <c r="AF17" s="8"/>
      <c r="AG17" s="27"/>
      <c r="AH17" s="14">
        <f>+'Pegar ML'!Y13</f>
        <v>0</v>
      </c>
      <c r="AI17" s="13">
        <f t="shared" si="1"/>
        <v>1</v>
      </c>
      <c r="AJ17" s="7">
        <f>+'Pegar ML'!T13</f>
        <v>0</v>
      </c>
      <c r="AK17" s="27"/>
      <c r="AL17" s="27"/>
      <c r="AM17" s="27"/>
      <c r="AN17" s="27"/>
      <c r="AO17" s="27"/>
      <c r="AP17" s="27"/>
      <c r="AQ17" s="27"/>
      <c r="AR17" s="27"/>
      <c r="AS17" s="27">
        <v>17</v>
      </c>
    </row>
    <row r="18" spans="1:45" x14ac:dyDescent="0.25">
      <c r="A18" s="27">
        <f>IF('Pegar ML'!C13="Paquete de 2 productos",'Pegar ML'!A13,IF('Pegar ML'!C12="Paquete de 2 productos",'Pegar ML'!A12,'Pegar ML'!A14))</f>
        <v>0</v>
      </c>
      <c r="B18" s="27"/>
      <c r="C18" s="30" t="e">
        <f>IF(AjusteFecha!I14=0,"",AjusteFecha!I14)</f>
        <v>#N/A</v>
      </c>
      <c r="D18" s="27"/>
      <c r="E18" s="27"/>
      <c r="F18" s="27" t="str">
        <f>IF('Pegar ML'!C14="","",'Pegar ML'!C14)</f>
        <v/>
      </c>
      <c r="G18" s="27" t="str">
        <f>IF('Pegar ML'!G9="ARS","PS","PS")</f>
        <v>PS</v>
      </c>
      <c r="H18" s="14">
        <f>IF('Pegar ML'!C13="Paquete de 2 productos",IF('Pegar ML'!H13="",0,'Pegar ML'!H13),IF('Pegar ML'!H14="",0,'Pegar ML'!H14))</f>
        <v>0</v>
      </c>
      <c r="I18" s="14">
        <f>IF('Pegar ML'!C13="Paquete de 2 productos",IF('Pegar ML'!O13="",0,'Pegar ML'!O13),IF('Pegar ML'!O14="",0,'Pegar ML'!O14))</f>
        <v>0</v>
      </c>
      <c r="J18" s="14">
        <f>IF('Pegar ML'!C13="Paquete de 2 productos",IF('Pegar ML'!O13="",0,'Pegar ML'!O13),IF('Pegar ML'!O14="",0,'Pegar ML'!O14))</f>
        <v>0</v>
      </c>
      <c r="K18" s="14">
        <f t="shared" si="2"/>
        <v>0</v>
      </c>
      <c r="L18" s="27">
        <f>IF('Pegar ML'!AB14=" ",'Pegar ML'!AB13,'Pegar ML'!AB14)</f>
        <v>0</v>
      </c>
      <c r="M18" s="27" t="str">
        <f>IF('Pegar ML'!AC14=" ",RIGHT('Pegar ML'!AC13,8),RIGHT('Pegar ML'!AC14,8))</f>
        <v/>
      </c>
      <c r="N18" s="27" t="s">
        <v>80</v>
      </c>
      <c r="O18" s="27">
        <f t="shared" si="0"/>
        <v>0</v>
      </c>
      <c r="P18" s="27" t="s">
        <v>80</v>
      </c>
      <c r="Q18" s="55">
        <f>IF('Pegar ML'!AD14=" ",'Pegar ML'!AD13,'Pegar ML'!AD14)</f>
        <v>0</v>
      </c>
      <c r="R18" s="27" t="s">
        <v>80</v>
      </c>
      <c r="S18" s="27" t="s">
        <v>80</v>
      </c>
      <c r="T18" s="27" t="s">
        <v>80</v>
      </c>
      <c r="U18" s="55">
        <f>IF('Pegar ML'!AI14=" ",'Pegar ML'!AI13,'Pegar ML'!AI14)</f>
        <v>0</v>
      </c>
      <c r="V18" s="55">
        <f>IF('Pegar ML'!AK14=" ",'Pegar ML'!AK13,'Pegar ML'!AK14)</f>
        <v>0</v>
      </c>
      <c r="W18" s="55">
        <f>IF('Pegar ML'!AJ14=" ",'Pegar ML'!AJ13,'Pegar ML'!AJ14)</f>
        <v>0</v>
      </c>
      <c r="X18" s="55">
        <f>IF('Pegar ML'!AL14=" ",'Pegar ML'!AL13,'Pegar ML'!AL14)</f>
        <v>0</v>
      </c>
      <c r="Y18" s="27"/>
      <c r="Z18" s="27"/>
      <c r="AA18" s="27"/>
      <c r="AB18" s="27"/>
      <c r="AC18" s="27"/>
      <c r="AD18" s="27"/>
      <c r="AF18" s="8"/>
      <c r="AG18" s="27"/>
      <c r="AH18" s="14">
        <f>+'Pegar ML'!Y14</f>
        <v>0</v>
      </c>
      <c r="AI18" s="13">
        <f t="shared" si="1"/>
        <v>1</v>
      </c>
      <c r="AJ18" s="7">
        <f>+'Pegar ML'!T14</f>
        <v>0</v>
      </c>
      <c r="AK18" s="27"/>
      <c r="AL18" s="27"/>
      <c r="AM18" s="27"/>
      <c r="AN18" s="27"/>
      <c r="AO18" s="27"/>
      <c r="AP18" s="27"/>
      <c r="AQ18" s="27"/>
      <c r="AR18" s="27"/>
      <c r="AS18" s="27">
        <v>17</v>
      </c>
    </row>
    <row r="19" spans="1:45" x14ac:dyDescent="0.25">
      <c r="A19" s="27">
        <f>IF('Pegar ML'!C14="Paquete de 2 productos",'Pegar ML'!A14,IF('Pegar ML'!C13="Paquete de 2 productos",'Pegar ML'!A13,'Pegar ML'!A15))</f>
        <v>0</v>
      </c>
      <c r="B19" s="27"/>
      <c r="C19" s="30" t="e">
        <f>IF(AjusteFecha!I15=0,"",AjusteFecha!I15)</f>
        <v>#N/A</v>
      </c>
      <c r="D19" s="27"/>
      <c r="E19" s="27"/>
      <c r="F19" s="27" t="str">
        <f>IF('Pegar ML'!C15="","",'Pegar ML'!C15)</f>
        <v/>
      </c>
      <c r="G19" s="27" t="str">
        <f>IF('Pegar ML'!G10="ARS","PS","PS")</f>
        <v>PS</v>
      </c>
      <c r="H19" s="14">
        <f>IF('Pegar ML'!C14="Paquete de 2 productos",IF('Pegar ML'!H14="",0,'Pegar ML'!H14),IF('Pegar ML'!H15="",0,'Pegar ML'!H15))</f>
        <v>0</v>
      </c>
      <c r="I19" s="14">
        <f>IF('Pegar ML'!C14="Paquete de 2 productos",IF('Pegar ML'!O14="",0,'Pegar ML'!O14),IF('Pegar ML'!O15="",0,'Pegar ML'!O15))</f>
        <v>0</v>
      </c>
      <c r="J19" s="14">
        <f>IF('Pegar ML'!C14="Paquete de 2 productos",IF('Pegar ML'!O14="",0,'Pegar ML'!O14),IF('Pegar ML'!O15="",0,'Pegar ML'!O15))</f>
        <v>0</v>
      </c>
      <c r="K19" s="14">
        <f t="shared" si="2"/>
        <v>0</v>
      </c>
      <c r="L19" s="27">
        <f>IF('Pegar ML'!AB15=" ",'Pegar ML'!AB14,'Pegar ML'!AB15)</f>
        <v>0</v>
      </c>
      <c r="M19" s="27" t="str">
        <f>IF('Pegar ML'!AC15=" ",RIGHT('Pegar ML'!AC14,8),RIGHT('Pegar ML'!AC15,8))</f>
        <v/>
      </c>
      <c r="N19" s="27" t="s">
        <v>80</v>
      </c>
      <c r="O19" s="27">
        <f t="shared" si="0"/>
        <v>0</v>
      </c>
      <c r="P19" s="27" t="s">
        <v>80</v>
      </c>
      <c r="Q19" s="55">
        <f>IF('Pegar ML'!AD15=" ",'Pegar ML'!AD14,'Pegar ML'!AD15)</f>
        <v>0</v>
      </c>
      <c r="R19" s="27" t="s">
        <v>80</v>
      </c>
      <c r="S19" s="27" t="s">
        <v>80</v>
      </c>
      <c r="T19" s="27" t="s">
        <v>80</v>
      </c>
      <c r="U19" s="55">
        <f>IF('Pegar ML'!AI15=" ",'Pegar ML'!AI14,'Pegar ML'!AI15)</f>
        <v>0</v>
      </c>
      <c r="V19" s="55">
        <f>IF('Pegar ML'!AK15=" ",'Pegar ML'!AK14,'Pegar ML'!AK15)</f>
        <v>0</v>
      </c>
      <c r="W19" s="55">
        <f>IF('Pegar ML'!AJ15=" ",'Pegar ML'!AJ14,'Pegar ML'!AJ15)</f>
        <v>0</v>
      </c>
      <c r="X19" s="55">
        <f>IF('Pegar ML'!AL15=" ",'Pegar ML'!AL14,'Pegar ML'!AL15)</f>
        <v>0</v>
      </c>
      <c r="Y19" s="27"/>
      <c r="Z19" s="27"/>
      <c r="AA19" s="27"/>
      <c r="AB19" s="27"/>
      <c r="AC19" s="27"/>
      <c r="AD19" s="27"/>
      <c r="AF19" s="8"/>
      <c r="AG19" s="27"/>
      <c r="AH19" s="14">
        <f>+'Pegar ML'!Y15</f>
        <v>0</v>
      </c>
      <c r="AI19" s="13">
        <f t="shared" si="1"/>
        <v>1</v>
      </c>
      <c r="AJ19" s="7">
        <f>+'Pegar ML'!T15</f>
        <v>0</v>
      </c>
      <c r="AK19" s="27"/>
      <c r="AL19" s="27"/>
      <c r="AM19" s="27"/>
      <c r="AN19" s="27"/>
      <c r="AO19" s="27"/>
      <c r="AP19" s="27"/>
      <c r="AQ19" s="27"/>
      <c r="AR19" s="27"/>
      <c r="AS19" s="27">
        <v>17</v>
      </c>
    </row>
    <row r="20" spans="1:45" x14ac:dyDescent="0.25">
      <c r="A20" s="27">
        <f>IF('Pegar ML'!C15="Paquete de 2 productos",'Pegar ML'!A15,IF('Pegar ML'!C14="Paquete de 2 productos",'Pegar ML'!A14,'Pegar ML'!A16))</f>
        <v>0</v>
      </c>
      <c r="B20" s="27"/>
      <c r="C20" s="30" t="e">
        <f>IF(AjusteFecha!I16=0,"",AjusteFecha!I16)</f>
        <v>#N/A</v>
      </c>
      <c r="D20" s="27"/>
      <c r="E20" s="27"/>
      <c r="F20" s="27" t="str">
        <f>IF('Pegar ML'!C16="","",'Pegar ML'!C16)</f>
        <v/>
      </c>
      <c r="G20" s="27" t="str">
        <f>IF('Pegar ML'!G11="ARS","PS","PS")</f>
        <v>PS</v>
      </c>
      <c r="H20" s="14">
        <f>IF('Pegar ML'!C15="Paquete de 2 productos",IF('Pegar ML'!H15="",0,'Pegar ML'!H15),IF('Pegar ML'!H16="",0,'Pegar ML'!H16))</f>
        <v>0</v>
      </c>
      <c r="I20" s="14">
        <f>IF('Pegar ML'!C15="Paquete de 2 productos",IF('Pegar ML'!O15="",0,'Pegar ML'!O15),IF('Pegar ML'!O16="",0,'Pegar ML'!O16))</f>
        <v>0</v>
      </c>
      <c r="J20" s="14">
        <f>IF('Pegar ML'!C15="Paquete de 2 productos",IF('Pegar ML'!O15="",0,'Pegar ML'!O15),IF('Pegar ML'!O16="",0,'Pegar ML'!O16))</f>
        <v>0</v>
      </c>
      <c r="K20" s="14">
        <f t="shared" si="2"/>
        <v>0</v>
      </c>
      <c r="L20" s="27">
        <f>IF('Pegar ML'!AB16=" ",'Pegar ML'!AB15,'Pegar ML'!AB16)</f>
        <v>0</v>
      </c>
      <c r="M20" s="27" t="str">
        <f>IF('Pegar ML'!AC16=" ",RIGHT('Pegar ML'!AC15,8),RIGHT('Pegar ML'!AC16,8))</f>
        <v/>
      </c>
      <c r="N20" s="27" t="s">
        <v>80</v>
      </c>
      <c r="O20" s="27">
        <f t="shared" si="0"/>
        <v>0</v>
      </c>
      <c r="P20" s="27" t="s">
        <v>80</v>
      </c>
      <c r="Q20" s="55">
        <f>IF('Pegar ML'!AD16=" ",'Pegar ML'!AD15,'Pegar ML'!AD16)</f>
        <v>0</v>
      </c>
      <c r="R20" s="27" t="s">
        <v>80</v>
      </c>
      <c r="S20" s="27" t="s">
        <v>80</v>
      </c>
      <c r="T20" s="27" t="s">
        <v>80</v>
      </c>
      <c r="U20" s="55">
        <f>IF('Pegar ML'!AI16=" ",'Pegar ML'!AI15,'Pegar ML'!AI16)</f>
        <v>0</v>
      </c>
      <c r="V20" s="55">
        <f>IF('Pegar ML'!AK16=" ",'Pegar ML'!AK15,'Pegar ML'!AK16)</f>
        <v>0</v>
      </c>
      <c r="W20" s="55">
        <f>IF('Pegar ML'!AJ16=" ",'Pegar ML'!AJ15,'Pegar ML'!AJ16)</f>
        <v>0</v>
      </c>
      <c r="X20" s="55">
        <f>IF('Pegar ML'!AL16=" ",'Pegar ML'!AL15,'Pegar ML'!AL16)</f>
        <v>0</v>
      </c>
      <c r="Y20" s="27"/>
      <c r="Z20" s="27"/>
      <c r="AA20" s="27"/>
      <c r="AB20" s="27"/>
      <c r="AC20" s="27"/>
      <c r="AD20" s="27"/>
      <c r="AF20" s="8"/>
      <c r="AG20" s="27"/>
      <c r="AH20" s="14">
        <f>+'Pegar ML'!Y16</f>
        <v>0</v>
      </c>
      <c r="AI20" s="13">
        <f t="shared" si="1"/>
        <v>1</v>
      </c>
      <c r="AJ20" s="7">
        <f>+'Pegar ML'!T16</f>
        <v>0</v>
      </c>
      <c r="AK20" s="27"/>
      <c r="AL20" s="27"/>
      <c r="AM20" s="27"/>
      <c r="AN20" s="27"/>
      <c r="AO20" s="27"/>
      <c r="AP20" s="27"/>
      <c r="AQ20" s="27"/>
      <c r="AR20" s="27"/>
      <c r="AS20" s="27">
        <v>17</v>
      </c>
    </row>
    <row r="21" spans="1:45" x14ac:dyDescent="0.25">
      <c r="A21" s="27">
        <f>IF('Pegar ML'!C16="Paquete de 2 productos",'Pegar ML'!A16,IF('Pegar ML'!C15="Paquete de 2 productos",'Pegar ML'!A15,'Pegar ML'!A17))</f>
        <v>0</v>
      </c>
      <c r="B21" s="27"/>
      <c r="C21" s="30" t="e">
        <f>IF(AjusteFecha!I17=0,"",AjusteFecha!I17)</f>
        <v>#N/A</v>
      </c>
      <c r="D21" s="27"/>
      <c r="E21" s="27"/>
      <c r="F21" s="27" t="str">
        <f>IF('Pegar ML'!C17="","",'Pegar ML'!C17)</f>
        <v/>
      </c>
      <c r="G21" s="27" t="str">
        <f>IF('Pegar ML'!G12="ARS","PS","PS")</f>
        <v>PS</v>
      </c>
      <c r="H21" s="14">
        <f>IF('Pegar ML'!C16="Paquete de 2 productos",IF('Pegar ML'!H16="",0,'Pegar ML'!H16),IF('Pegar ML'!H17="",0,'Pegar ML'!H17))</f>
        <v>0</v>
      </c>
      <c r="I21" s="14">
        <f>IF('Pegar ML'!C16="Paquete de 2 productos",IF('Pegar ML'!O16="",0,'Pegar ML'!O16),IF('Pegar ML'!O17="",0,'Pegar ML'!O17))</f>
        <v>0</v>
      </c>
      <c r="J21" s="14">
        <f>IF('Pegar ML'!C16="Paquete de 2 productos",IF('Pegar ML'!O16="",0,'Pegar ML'!O16),IF('Pegar ML'!O17="",0,'Pegar ML'!O17))</f>
        <v>0</v>
      </c>
      <c r="K21" s="14">
        <f t="shared" si="2"/>
        <v>0</v>
      </c>
      <c r="L21" s="27">
        <f>IF('Pegar ML'!AB17=" ",'Pegar ML'!AB16,'Pegar ML'!AB17)</f>
        <v>0</v>
      </c>
      <c r="M21" s="27" t="str">
        <f>IF('Pegar ML'!AC17=" ",RIGHT('Pegar ML'!AC16,8),RIGHT('Pegar ML'!AC17,8))</f>
        <v/>
      </c>
      <c r="N21" s="27" t="s">
        <v>80</v>
      </c>
      <c r="O21" s="27">
        <f t="shared" si="0"/>
        <v>0</v>
      </c>
      <c r="P21" s="27" t="s">
        <v>80</v>
      </c>
      <c r="Q21" s="55">
        <f>IF('Pegar ML'!AD17=" ",'Pegar ML'!AD16,'Pegar ML'!AD17)</f>
        <v>0</v>
      </c>
      <c r="R21" s="27" t="s">
        <v>80</v>
      </c>
      <c r="S21" s="27" t="s">
        <v>80</v>
      </c>
      <c r="T21" s="27" t="s">
        <v>80</v>
      </c>
      <c r="U21" s="55">
        <f>IF('Pegar ML'!AI17=" ",'Pegar ML'!AI16,'Pegar ML'!AI17)</f>
        <v>0</v>
      </c>
      <c r="V21" s="55">
        <f>IF('Pegar ML'!AK17=" ",'Pegar ML'!AK16,'Pegar ML'!AK17)</f>
        <v>0</v>
      </c>
      <c r="W21" s="55">
        <f>IF('Pegar ML'!AJ17=" ",'Pegar ML'!AJ16,'Pegar ML'!AJ17)</f>
        <v>0</v>
      </c>
      <c r="X21" s="55">
        <f>IF('Pegar ML'!AL17=" ",'Pegar ML'!AL16,'Pegar ML'!AL17)</f>
        <v>0</v>
      </c>
      <c r="Y21" s="27"/>
      <c r="Z21" s="27"/>
      <c r="AA21" s="27"/>
      <c r="AB21" s="27"/>
      <c r="AC21" s="27"/>
      <c r="AD21" s="27"/>
      <c r="AF21" s="8"/>
      <c r="AG21" s="27"/>
      <c r="AH21" s="14">
        <f>+'Pegar ML'!Y17</f>
        <v>0</v>
      </c>
      <c r="AI21" s="13">
        <f t="shared" si="1"/>
        <v>1</v>
      </c>
      <c r="AJ21" s="7">
        <f>+'Pegar ML'!T17</f>
        <v>0</v>
      </c>
      <c r="AK21" s="27"/>
      <c r="AL21" s="27"/>
      <c r="AM21" s="27"/>
      <c r="AN21" s="27"/>
      <c r="AO21" s="27"/>
      <c r="AP21" s="27"/>
      <c r="AQ21" s="27"/>
      <c r="AR21" s="27"/>
      <c r="AS21" s="27">
        <v>17</v>
      </c>
    </row>
    <row r="22" spans="1:45" x14ac:dyDescent="0.25">
      <c r="A22" s="27">
        <f>IF('Pegar ML'!C17="Paquete de 2 productos",'Pegar ML'!A17,IF('Pegar ML'!C16="Paquete de 2 productos",'Pegar ML'!A16,'Pegar ML'!A18))</f>
        <v>0</v>
      </c>
      <c r="B22" s="27"/>
      <c r="C22" s="30" t="e">
        <f>IF(AjusteFecha!I18=0,"",AjusteFecha!I18)</f>
        <v>#N/A</v>
      </c>
      <c r="D22" s="27"/>
      <c r="E22" s="27"/>
      <c r="F22" s="27" t="str">
        <f>IF('Pegar ML'!C18="","",'Pegar ML'!C18)</f>
        <v/>
      </c>
      <c r="G22" s="27" t="str">
        <f>IF('Pegar ML'!G13="ARS","PS","PS")</f>
        <v>PS</v>
      </c>
      <c r="H22" s="14">
        <f>IF('Pegar ML'!C17="Paquete de 2 productos",IF('Pegar ML'!H17="",0,'Pegar ML'!H17),IF('Pegar ML'!H18="",0,'Pegar ML'!H18))</f>
        <v>0</v>
      </c>
      <c r="I22" s="14">
        <f>IF('Pegar ML'!C17="Paquete de 2 productos",IF('Pegar ML'!O17="",0,'Pegar ML'!O17),IF('Pegar ML'!O18="",0,'Pegar ML'!O18))</f>
        <v>0</v>
      </c>
      <c r="J22" s="14">
        <f>IF('Pegar ML'!C17="Paquete de 2 productos",IF('Pegar ML'!O17="",0,'Pegar ML'!O17),IF('Pegar ML'!O18="",0,'Pegar ML'!O18))</f>
        <v>0</v>
      </c>
      <c r="K22" s="14">
        <f t="shared" si="2"/>
        <v>0</v>
      </c>
      <c r="L22" s="27">
        <f>IF('Pegar ML'!AB18=" ",'Pegar ML'!AB17,'Pegar ML'!AB18)</f>
        <v>0</v>
      </c>
      <c r="M22" s="27" t="str">
        <f>IF('Pegar ML'!AC18=" ",RIGHT('Pegar ML'!AC17,8),RIGHT('Pegar ML'!AC18,8))</f>
        <v/>
      </c>
      <c r="N22" s="27" t="s">
        <v>80</v>
      </c>
      <c r="O22" s="27">
        <f t="shared" si="0"/>
        <v>0</v>
      </c>
      <c r="P22" s="27" t="s">
        <v>80</v>
      </c>
      <c r="Q22" s="55">
        <f>IF('Pegar ML'!AD18=" ",'Pegar ML'!AD17,'Pegar ML'!AD18)</f>
        <v>0</v>
      </c>
      <c r="R22" s="27" t="s">
        <v>80</v>
      </c>
      <c r="S22" s="27" t="s">
        <v>80</v>
      </c>
      <c r="T22" s="27" t="s">
        <v>80</v>
      </c>
      <c r="U22" s="55">
        <f>IF('Pegar ML'!AI18=" ",'Pegar ML'!AI17,'Pegar ML'!AI18)</f>
        <v>0</v>
      </c>
      <c r="V22" s="55">
        <f>IF('Pegar ML'!AK18=" ",'Pegar ML'!AK17,'Pegar ML'!AK18)</f>
        <v>0</v>
      </c>
      <c r="W22" s="55">
        <f>IF('Pegar ML'!AJ18=" ",'Pegar ML'!AJ17,'Pegar ML'!AJ18)</f>
        <v>0</v>
      </c>
      <c r="X22" s="55">
        <f>IF('Pegar ML'!AL18=" ",'Pegar ML'!AL17,'Pegar ML'!AL18)</f>
        <v>0</v>
      </c>
      <c r="Y22" s="27"/>
      <c r="Z22" s="27"/>
      <c r="AA22" s="27"/>
      <c r="AB22" s="27"/>
      <c r="AC22" s="27"/>
      <c r="AD22" s="27"/>
      <c r="AF22" s="8"/>
      <c r="AG22" s="27"/>
      <c r="AH22" s="14">
        <f>+'Pegar ML'!Y18</f>
        <v>0</v>
      </c>
      <c r="AI22" s="13">
        <f t="shared" si="1"/>
        <v>1</v>
      </c>
      <c r="AJ22" s="7">
        <f>+'Pegar ML'!T18</f>
        <v>0</v>
      </c>
      <c r="AK22" s="27"/>
      <c r="AL22" s="27"/>
      <c r="AM22" s="27"/>
      <c r="AN22" s="27"/>
      <c r="AO22" s="27"/>
      <c r="AP22" s="27"/>
      <c r="AQ22" s="27"/>
      <c r="AR22" s="27"/>
      <c r="AS22" s="27">
        <v>17</v>
      </c>
    </row>
    <row r="23" spans="1:45" x14ac:dyDescent="0.25">
      <c r="A23" s="27">
        <f>IF('Pegar ML'!C18="Paquete de 2 productos",'Pegar ML'!A18,IF('Pegar ML'!C17="Paquete de 2 productos",'Pegar ML'!A17,'Pegar ML'!A19))</f>
        <v>0</v>
      </c>
      <c r="B23" s="27"/>
      <c r="C23" s="30" t="e">
        <f>IF(AjusteFecha!I19=0,"",AjusteFecha!I19)</f>
        <v>#N/A</v>
      </c>
      <c r="D23" s="27"/>
      <c r="E23" s="27"/>
      <c r="F23" s="27" t="str">
        <f>IF('Pegar ML'!C19="","",'Pegar ML'!C19)</f>
        <v/>
      </c>
      <c r="G23" s="27" t="str">
        <f>IF('Pegar ML'!G14="ARS","PS","PS")</f>
        <v>PS</v>
      </c>
      <c r="H23" s="14">
        <f>IF('Pegar ML'!C18="Paquete de 2 productos",IF('Pegar ML'!H18="",0,'Pegar ML'!H18),IF('Pegar ML'!H19="",0,'Pegar ML'!H19))</f>
        <v>0</v>
      </c>
      <c r="I23" s="14">
        <f>IF('Pegar ML'!C18="Paquete de 2 productos",IF('Pegar ML'!O18="",0,'Pegar ML'!O18),IF('Pegar ML'!O19="",0,'Pegar ML'!O19))</f>
        <v>0</v>
      </c>
      <c r="J23" s="14">
        <f>IF('Pegar ML'!C18="Paquete de 2 productos",IF('Pegar ML'!O18="",0,'Pegar ML'!O18),IF('Pegar ML'!O19="",0,'Pegar ML'!O19))</f>
        <v>0</v>
      </c>
      <c r="K23" s="14">
        <f t="shared" si="2"/>
        <v>0</v>
      </c>
      <c r="L23" s="27">
        <f>IF('Pegar ML'!AB19=" ",'Pegar ML'!AB18,'Pegar ML'!AB19)</f>
        <v>0</v>
      </c>
      <c r="M23" s="27" t="str">
        <f>IF('Pegar ML'!AC19=" ",RIGHT('Pegar ML'!AC18,8),RIGHT('Pegar ML'!AC19,8))</f>
        <v/>
      </c>
      <c r="N23" s="27" t="s">
        <v>80</v>
      </c>
      <c r="O23" s="27">
        <f t="shared" si="0"/>
        <v>0</v>
      </c>
      <c r="P23" s="27" t="s">
        <v>80</v>
      </c>
      <c r="Q23" s="55">
        <f>IF('Pegar ML'!AD19=" ",'Pegar ML'!AD18,'Pegar ML'!AD19)</f>
        <v>0</v>
      </c>
      <c r="R23" s="27" t="s">
        <v>80</v>
      </c>
      <c r="S23" s="27" t="s">
        <v>80</v>
      </c>
      <c r="T23" s="27" t="s">
        <v>80</v>
      </c>
      <c r="U23" s="55">
        <f>IF('Pegar ML'!AI19=" ",'Pegar ML'!AI18,'Pegar ML'!AI19)</f>
        <v>0</v>
      </c>
      <c r="V23" s="55">
        <f>IF('Pegar ML'!AK19=" ",'Pegar ML'!AK18,'Pegar ML'!AK19)</f>
        <v>0</v>
      </c>
      <c r="W23" s="55">
        <f>IF('Pegar ML'!AJ19=" ",'Pegar ML'!AJ18,'Pegar ML'!AJ19)</f>
        <v>0</v>
      </c>
      <c r="X23" s="55">
        <f>IF('Pegar ML'!AL19=" ",'Pegar ML'!AL18,'Pegar ML'!AL19)</f>
        <v>0</v>
      </c>
      <c r="Y23" s="27"/>
      <c r="Z23" s="27"/>
      <c r="AA23" s="27"/>
      <c r="AB23" s="27"/>
      <c r="AC23" s="27"/>
      <c r="AD23" s="27"/>
      <c r="AF23" s="8"/>
      <c r="AG23" s="27"/>
      <c r="AH23" s="14">
        <f>+'Pegar ML'!Y19</f>
        <v>0</v>
      </c>
      <c r="AI23" s="13">
        <f t="shared" si="1"/>
        <v>1</v>
      </c>
      <c r="AJ23" s="7">
        <f>+'Pegar ML'!T19</f>
        <v>0</v>
      </c>
      <c r="AK23" s="27"/>
      <c r="AL23" s="27"/>
      <c r="AM23" s="27"/>
      <c r="AN23" s="27"/>
      <c r="AO23" s="27"/>
      <c r="AP23" s="27"/>
      <c r="AQ23" s="27"/>
      <c r="AR23" s="27"/>
      <c r="AS23" s="27">
        <v>17</v>
      </c>
    </row>
    <row r="24" spans="1:45" x14ac:dyDescent="0.25">
      <c r="A24" s="27">
        <f>IF('Pegar ML'!C19="Paquete de 2 productos",'Pegar ML'!A19,IF('Pegar ML'!C18="Paquete de 2 productos",'Pegar ML'!A18,'Pegar ML'!A20))</f>
        <v>0</v>
      </c>
      <c r="B24" s="27"/>
      <c r="C24" s="30" t="e">
        <f>IF(AjusteFecha!I20=0,"",AjusteFecha!I20)</f>
        <v>#N/A</v>
      </c>
      <c r="D24" s="27"/>
      <c r="E24" s="27"/>
      <c r="F24" s="27" t="str">
        <f>IF('Pegar ML'!C20="","",'Pegar ML'!C20)</f>
        <v/>
      </c>
      <c r="G24" s="27" t="str">
        <f>IF('Pegar ML'!G15="ARS","PS","PS")</f>
        <v>PS</v>
      </c>
      <c r="H24" s="14">
        <f>IF('Pegar ML'!C19="Paquete de 2 productos",IF('Pegar ML'!H19="",0,'Pegar ML'!H19),IF('Pegar ML'!H20="",0,'Pegar ML'!H20))</f>
        <v>0</v>
      </c>
      <c r="I24" s="14">
        <f>IF('Pegar ML'!C19="Paquete de 2 productos",IF('Pegar ML'!O19="",0,'Pegar ML'!O19),IF('Pegar ML'!O20="",0,'Pegar ML'!O20))</f>
        <v>0</v>
      </c>
      <c r="J24" s="14">
        <f>IF('Pegar ML'!C19="Paquete de 2 productos",IF('Pegar ML'!O19="",0,'Pegar ML'!O19),IF('Pegar ML'!O20="",0,'Pegar ML'!O20))</f>
        <v>0</v>
      </c>
      <c r="K24" s="14">
        <f t="shared" si="2"/>
        <v>0</v>
      </c>
      <c r="L24" s="27">
        <f>IF('Pegar ML'!AB20=" ",'Pegar ML'!AB19,'Pegar ML'!AB20)</f>
        <v>0</v>
      </c>
      <c r="M24" s="27" t="str">
        <f>IF('Pegar ML'!AC20=" ",RIGHT('Pegar ML'!AC19,8),RIGHT('Pegar ML'!AC20,8))</f>
        <v/>
      </c>
      <c r="N24" s="27" t="s">
        <v>80</v>
      </c>
      <c r="O24" s="27">
        <f t="shared" si="0"/>
        <v>0</v>
      </c>
      <c r="P24" s="27" t="s">
        <v>80</v>
      </c>
      <c r="Q24" s="55">
        <f>IF('Pegar ML'!AD20=" ",'Pegar ML'!AD19,'Pegar ML'!AD20)</f>
        <v>0</v>
      </c>
      <c r="R24" s="27" t="s">
        <v>80</v>
      </c>
      <c r="S24" s="27" t="s">
        <v>80</v>
      </c>
      <c r="T24" s="27" t="s">
        <v>80</v>
      </c>
      <c r="U24" s="55">
        <f>IF('Pegar ML'!AI20=" ",'Pegar ML'!AI19,'Pegar ML'!AI20)</f>
        <v>0</v>
      </c>
      <c r="V24" s="55">
        <f>IF('Pegar ML'!AK20=" ",'Pegar ML'!AK19,'Pegar ML'!AK20)</f>
        <v>0</v>
      </c>
      <c r="W24" s="55">
        <f>IF('Pegar ML'!AJ20=" ",'Pegar ML'!AJ19,'Pegar ML'!AJ20)</f>
        <v>0</v>
      </c>
      <c r="X24" s="55">
        <f>IF('Pegar ML'!AL20=" ",'Pegar ML'!AL19,'Pegar ML'!AL20)</f>
        <v>0</v>
      </c>
      <c r="Y24" s="27"/>
      <c r="Z24" s="27"/>
      <c r="AA24" s="27"/>
      <c r="AB24" s="27"/>
      <c r="AC24" s="27"/>
      <c r="AD24" s="27"/>
      <c r="AF24" s="8"/>
      <c r="AG24" s="27"/>
      <c r="AH24" s="14">
        <f>+'Pegar ML'!Y20</f>
        <v>0</v>
      </c>
      <c r="AI24" s="13">
        <f t="shared" si="1"/>
        <v>1</v>
      </c>
      <c r="AJ24" s="7">
        <f>+'Pegar ML'!T20</f>
        <v>0</v>
      </c>
      <c r="AK24" s="27"/>
      <c r="AL24" s="27"/>
      <c r="AM24" s="27"/>
      <c r="AN24" s="27"/>
      <c r="AO24" s="27"/>
      <c r="AP24" s="27"/>
      <c r="AQ24" s="27"/>
      <c r="AR24" s="27"/>
      <c r="AS24" s="27">
        <v>17</v>
      </c>
    </row>
    <row r="25" spans="1:45" x14ac:dyDescent="0.25">
      <c r="A25" s="27">
        <f>IF('Pegar ML'!C20="Paquete de 2 productos",'Pegar ML'!A20,IF('Pegar ML'!C19="Paquete de 2 productos",'Pegar ML'!A19,'Pegar ML'!A21))</f>
        <v>0</v>
      </c>
      <c r="B25" s="27"/>
      <c r="C25" s="30" t="e">
        <f>IF(AjusteFecha!I21=0,"",AjusteFecha!I21)</f>
        <v>#N/A</v>
      </c>
      <c r="D25" s="27"/>
      <c r="E25" s="27"/>
      <c r="F25" s="27" t="str">
        <f>IF('Pegar ML'!C21="","",'Pegar ML'!C21)</f>
        <v/>
      </c>
      <c r="G25" s="27" t="str">
        <f>IF('Pegar ML'!G16="ARS","PS","PS")</f>
        <v>PS</v>
      </c>
      <c r="H25" s="14">
        <f>IF('Pegar ML'!C20="Paquete de 2 productos",IF('Pegar ML'!H20="",0,'Pegar ML'!H20),IF('Pegar ML'!H21="",0,'Pegar ML'!H21))</f>
        <v>0</v>
      </c>
      <c r="I25" s="14">
        <f>IF('Pegar ML'!C20="Paquete de 2 productos",IF('Pegar ML'!O20="",0,'Pegar ML'!O20),IF('Pegar ML'!O21="",0,'Pegar ML'!O21))</f>
        <v>0</v>
      </c>
      <c r="J25" s="14">
        <f>IF('Pegar ML'!C20="Paquete de 2 productos",IF('Pegar ML'!O20="",0,'Pegar ML'!O20),IF('Pegar ML'!O21="",0,'Pegar ML'!O21))</f>
        <v>0</v>
      </c>
      <c r="K25" s="14">
        <f t="shared" si="2"/>
        <v>0</v>
      </c>
      <c r="L25" s="27">
        <f>IF('Pegar ML'!AB21=" ",'Pegar ML'!AB20,'Pegar ML'!AB21)</f>
        <v>0</v>
      </c>
      <c r="M25" s="27" t="str">
        <f>IF('Pegar ML'!AC21=" ",RIGHT('Pegar ML'!AC20,8),RIGHT('Pegar ML'!AC21,8))</f>
        <v/>
      </c>
      <c r="N25" s="27" t="s">
        <v>80</v>
      </c>
      <c r="O25" s="27">
        <f t="shared" si="0"/>
        <v>0</v>
      </c>
      <c r="P25" s="27" t="s">
        <v>80</v>
      </c>
      <c r="Q25" s="55">
        <f>IF('Pegar ML'!AD21=" ",'Pegar ML'!AD20,'Pegar ML'!AD21)</f>
        <v>0</v>
      </c>
      <c r="R25" s="27" t="s">
        <v>80</v>
      </c>
      <c r="S25" s="27" t="s">
        <v>80</v>
      </c>
      <c r="T25" s="27" t="s">
        <v>80</v>
      </c>
      <c r="U25" s="55">
        <f>IF('Pegar ML'!AI21=" ",'Pegar ML'!AI20,'Pegar ML'!AI21)</f>
        <v>0</v>
      </c>
      <c r="V25" s="55">
        <f>IF('Pegar ML'!AK21=" ",'Pegar ML'!AK20,'Pegar ML'!AK21)</f>
        <v>0</v>
      </c>
      <c r="W25" s="55">
        <f>IF('Pegar ML'!AJ21=" ",'Pegar ML'!AJ20,'Pegar ML'!AJ21)</f>
        <v>0</v>
      </c>
      <c r="X25" s="55">
        <f>IF('Pegar ML'!AL21=" ",'Pegar ML'!AL20,'Pegar ML'!AL21)</f>
        <v>0</v>
      </c>
      <c r="Y25" s="27"/>
      <c r="Z25" s="27"/>
      <c r="AA25" s="27"/>
      <c r="AB25" s="27"/>
      <c r="AC25" s="27"/>
      <c r="AD25" s="27"/>
      <c r="AF25" s="8"/>
      <c r="AG25" s="27"/>
      <c r="AH25" s="14">
        <f>+'Pegar ML'!Y21</f>
        <v>0</v>
      </c>
      <c r="AI25" s="13">
        <f t="shared" si="1"/>
        <v>1</v>
      </c>
      <c r="AJ25" s="7">
        <f>+'Pegar ML'!T21</f>
        <v>0</v>
      </c>
      <c r="AK25" s="27"/>
      <c r="AL25" s="27"/>
      <c r="AM25" s="27"/>
      <c r="AN25" s="27"/>
      <c r="AO25" s="27"/>
      <c r="AP25" s="27"/>
      <c r="AQ25" s="27"/>
      <c r="AR25" s="27"/>
      <c r="AS25" s="27">
        <v>17</v>
      </c>
    </row>
    <row r="26" spans="1:45" x14ac:dyDescent="0.25">
      <c r="A26" s="27">
        <f>IF('Pegar ML'!C21="Paquete de 2 productos",'Pegar ML'!A21,IF('Pegar ML'!C20="Paquete de 2 productos",'Pegar ML'!A20,'Pegar ML'!A22))</f>
        <v>0</v>
      </c>
      <c r="B26" s="27"/>
      <c r="C26" s="30" t="e">
        <f>IF(AjusteFecha!I22=0,"",AjusteFecha!I22)</f>
        <v>#N/A</v>
      </c>
      <c r="D26" s="27"/>
      <c r="E26" s="27"/>
      <c r="F26" s="27" t="str">
        <f>IF('Pegar ML'!C22="","",'Pegar ML'!C22)</f>
        <v/>
      </c>
      <c r="G26" s="27" t="str">
        <f>IF('Pegar ML'!G17="ARS","PS","PS")</f>
        <v>PS</v>
      </c>
      <c r="H26" s="14">
        <f>IF('Pegar ML'!C21="Paquete de 2 productos",IF('Pegar ML'!H21="",0,'Pegar ML'!H21),IF('Pegar ML'!H22="",0,'Pegar ML'!H22))</f>
        <v>0</v>
      </c>
      <c r="I26" s="14">
        <f>IF('Pegar ML'!C21="Paquete de 2 productos",IF('Pegar ML'!O21="",0,'Pegar ML'!O21),IF('Pegar ML'!O22="",0,'Pegar ML'!O22))</f>
        <v>0</v>
      </c>
      <c r="J26" s="14">
        <f>IF('Pegar ML'!C21="Paquete de 2 productos",IF('Pegar ML'!O21="",0,'Pegar ML'!O21),IF('Pegar ML'!O22="",0,'Pegar ML'!O22))</f>
        <v>0</v>
      </c>
      <c r="K26" s="14">
        <f t="shared" si="2"/>
        <v>0</v>
      </c>
      <c r="L26" s="27">
        <f>IF('Pegar ML'!AB22=" ",'Pegar ML'!AB21,'Pegar ML'!AB22)</f>
        <v>0</v>
      </c>
      <c r="M26" s="27" t="str">
        <f>IF('Pegar ML'!AC22=" ",RIGHT('Pegar ML'!AC21,8),RIGHT('Pegar ML'!AC22,8))</f>
        <v/>
      </c>
      <c r="N26" s="27" t="s">
        <v>80</v>
      </c>
      <c r="O26" s="27">
        <f t="shared" si="0"/>
        <v>0</v>
      </c>
      <c r="P26" s="27" t="s">
        <v>80</v>
      </c>
      <c r="Q26" s="55">
        <f>IF('Pegar ML'!AD22=" ",'Pegar ML'!AD21,'Pegar ML'!AD22)</f>
        <v>0</v>
      </c>
      <c r="R26" s="27" t="s">
        <v>80</v>
      </c>
      <c r="S26" s="27" t="s">
        <v>80</v>
      </c>
      <c r="T26" s="27" t="s">
        <v>80</v>
      </c>
      <c r="U26" s="55">
        <f>IF('Pegar ML'!AI22=" ",'Pegar ML'!AI21,'Pegar ML'!AI22)</f>
        <v>0</v>
      </c>
      <c r="V26" s="55">
        <f>IF('Pegar ML'!AK22=" ",'Pegar ML'!AK21,'Pegar ML'!AK22)</f>
        <v>0</v>
      </c>
      <c r="W26" s="55">
        <f>IF('Pegar ML'!AJ22=" ",'Pegar ML'!AJ21,'Pegar ML'!AJ22)</f>
        <v>0</v>
      </c>
      <c r="X26" s="55">
        <f>IF('Pegar ML'!AL22=" ",'Pegar ML'!AL21,'Pegar ML'!AL22)</f>
        <v>0</v>
      </c>
      <c r="Y26" s="27"/>
      <c r="Z26" s="27"/>
      <c r="AA26" s="27"/>
      <c r="AB26" s="27"/>
      <c r="AC26" s="27"/>
      <c r="AD26" s="27"/>
      <c r="AF26" s="8"/>
      <c r="AG26" s="27"/>
      <c r="AH26" s="14">
        <f>+'Pegar ML'!Y22</f>
        <v>0</v>
      </c>
      <c r="AI26" s="13">
        <f t="shared" si="1"/>
        <v>1</v>
      </c>
      <c r="AJ26" s="7">
        <f>+'Pegar ML'!T22</f>
        <v>0</v>
      </c>
      <c r="AK26" s="27"/>
      <c r="AL26" s="27"/>
      <c r="AM26" s="27"/>
      <c r="AN26" s="27"/>
      <c r="AO26" s="27"/>
      <c r="AP26" s="27"/>
      <c r="AQ26" s="27"/>
      <c r="AR26" s="27"/>
      <c r="AS26" s="27">
        <v>17</v>
      </c>
    </row>
    <row r="27" spans="1:45" x14ac:dyDescent="0.25">
      <c r="A27" s="27">
        <f>IF('Pegar ML'!C22="Paquete de 2 productos",'Pegar ML'!A22,IF('Pegar ML'!C21="Paquete de 2 productos",'Pegar ML'!A21,'Pegar ML'!A23))</f>
        <v>0</v>
      </c>
      <c r="B27" s="27"/>
      <c r="C27" s="30" t="e">
        <f>IF(AjusteFecha!I23=0,"",AjusteFecha!I23)</f>
        <v>#N/A</v>
      </c>
      <c r="D27" s="27"/>
      <c r="E27" s="27"/>
      <c r="F27" s="27" t="str">
        <f>IF('Pegar ML'!C23="","",'Pegar ML'!C23)</f>
        <v/>
      </c>
      <c r="G27" s="27" t="str">
        <f>IF('Pegar ML'!G18="ARS","PS","PS")</f>
        <v>PS</v>
      </c>
      <c r="H27" s="14">
        <f>IF('Pegar ML'!C22="Paquete de 2 productos",IF('Pegar ML'!H22="",0,'Pegar ML'!H22),IF('Pegar ML'!H23="",0,'Pegar ML'!H23))</f>
        <v>0</v>
      </c>
      <c r="I27" s="14">
        <f>IF('Pegar ML'!C22="Paquete de 2 productos",IF('Pegar ML'!O22="",0,'Pegar ML'!O22),IF('Pegar ML'!O23="",0,'Pegar ML'!O23))</f>
        <v>0</v>
      </c>
      <c r="J27" s="14">
        <f>IF('Pegar ML'!C22="Paquete de 2 productos",IF('Pegar ML'!O22="",0,'Pegar ML'!O22),IF('Pegar ML'!O23="",0,'Pegar ML'!O23))</f>
        <v>0</v>
      </c>
      <c r="K27" s="14">
        <f t="shared" si="2"/>
        <v>0</v>
      </c>
      <c r="L27" s="27">
        <f>IF('Pegar ML'!AB23=" ",'Pegar ML'!AB22,'Pegar ML'!AB23)</f>
        <v>0</v>
      </c>
      <c r="M27" s="27" t="str">
        <f>IF('Pegar ML'!AC23=" ",RIGHT('Pegar ML'!AC22,8),RIGHT('Pegar ML'!AC23,8))</f>
        <v/>
      </c>
      <c r="N27" s="27" t="s">
        <v>80</v>
      </c>
      <c r="O27" s="27">
        <f t="shared" si="0"/>
        <v>0</v>
      </c>
      <c r="P27" s="27" t="s">
        <v>80</v>
      </c>
      <c r="Q27" s="55">
        <f>IF('Pegar ML'!AD23=" ",'Pegar ML'!AD22,'Pegar ML'!AD23)</f>
        <v>0</v>
      </c>
      <c r="R27" s="27" t="s">
        <v>80</v>
      </c>
      <c r="S27" s="27" t="s">
        <v>80</v>
      </c>
      <c r="T27" s="27" t="s">
        <v>80</v>
      </c>
      <c r="U27" s="55">
        <f>IF('Pegar ML'!AI23=" ",'Pegar ML'!AI22,'Pegar ML'!AI23)</f>
        <v>0</v>
      </c>
      <c r="V27" s="55">
        <f>IF('Pegar ML'!AK23=" ",'Pegar ML'!AK22,'Pegar ML'!AK23)</f>
        <v>0</v>
      </c>
      <c r="W27" s="55">
        <f>IF('Pegar ML'!AJ23=" ",'Pegar ML'!AJ22,'Pegar ML'!AJ23)</f>
        <v>0</v>
      </c>
      <c r="X27" s="55">
        <f>IF('Pegar ML'!AL23=" ",'Pegar ML'!AL22,'Pegar ML'!AL23)</f>
        <v>0</v>
      </c>
      <c r="Y27" s="27"/>
      <c r="Z27" s="27"/>
      <c r="AA27" s="27"/>
      <c r="AB27" s="27"/>
      <c r="AC27" s="27"/>
      <c r="AD27" s="27"/>
      <c r="AF27" s="8"/>
      <c r="AG27" s="27"/>
      <c r="AH27" s="14">
        <f>+'Pegar ML'!Y23</f>
        <v>0</v>
      </c>
      <c r="AI27" s="13">
        <f t="shared" si="1"/>
        <v>1</v>
      </c>
      <c r="AJ27" s="7">
        <f>+'Pegar ML'!T23</f>
        <v>0</v>
      </c>
      <c r="AK27" s="27"/>
      <c r="AL27" s="27"/>
      <c r="AM27" s="27"/>
      <c r="AN27" s="27"/>
      <c r="AO27" s="27"/>
      <c r="AP27" s="27"/>
      <c r="AQ27" s="27"/>
      <c r="AR27" s="27"/>
      <c r="AS27" s="27">
        <v>17</v>
      </c>
    </row>
    <row r="28" spans="1:45" x14ac:dyDescent="0.25">
      <c r="A28" s="27">
        <f>IF('Pegar ML'!C23="Paquete de 2 productos",'Pegar ML'!A23,IF('Pegar ML'!C22="Paquete de 2 productos",'Pegar ML'!A22,'Pegar ML'!A24))</f>
        <v>0</v>
      </c>
      <c r="B28" s="27"/>
      <c r="C28" s="30" t="e">
        <f>IF(AjusteFecha!I24=0,"",AjusteFecha!I24)</f>
        <v>#N/A</v>
      </c>
      <c r="D28" s="27"/>
      <c r="E28" s="27"/>
      <c r="F28" s="27" t="str">
        <f>IF('Pegar ML'!C24="","",'Pegar ML'!C24)</f>
        <v/>
      </c>
      <c r="G28" s="27" t="str">
        <f>IF('Pegar ML'!G19="ARS","PS","PS")</f>
        <v>PS</v>
      </c>
      <c r="H28" s="14">
        <f>IF('Pegar ML'!C23="Paquete de 2 productos",IF('Pegar ML'!H23="",0,'Pegar ML'!H23),IF('Pegar ML'!H24="",0,'Pegar ML'!H24))</f>
        <v>0</v>
      </c>
      <c r="I28" s="14">
        <f>IF('Pegar ML'!C23="Paquete de 2 productos",IF('Pegar ML'!O23="",0,'Pegar ML'!O23),IF('Pegar ML'!O24="",0,'Pegar ML'!O24))</f>
        <v>0</v>
      </c>
      <c r="J28" s="14">
        <f>IF('Pegar ML'!C23="Paquete de 2 productos",IF('Pegar ML'!O23="",0,'Pegar ML'!O23),IF('Pegar ML'!O24="",0,'Pegar ML'!O24))</f>
        <v>0</v>
      </c>
      <c r="K28" s="14">
        <f t="shared" si="2"/>
        <v>0</v>
      </c>
      <c r="L28" s="27">
        <f>IF('Pegar ML'!AB24=" ",'Pegar ML'!AB23,'Pegar ML'!AB24)</f>
        <v>0</v>
      </c>
      <c r="M28" s="27" t="str">
        <f>IF('Pegar ML'!AC24=" ",RIGHT('Pegar ML'!AC23,8),RIGHT('Pegar ML'!AC24,8))</f>
        <v/>
      </c>
      <c r="N28" s="27" t="s">
        <v>80</v>
      </c>
      <c r="O28" s="27">
        <f t="shared" si="0"/>
        <v>0</v>
      </c>
      <c r="P28" s="27" t="s">
        <v>80</v>
      </c>
      <c r="Q28" s="55">
        <f>IF('Pegar ML'!AD24=" ",'Pegar ML'!AD23,'Pegar ML'!AD24)</f>
        <v>0</v>
      </c>
      <c r="R28" s="27" t="s">
        <v>80</v>
      </c>
      <c r="S28" s="27" t="s">
        <v>80</v>
      </c>
      <c r="T28" s="27" t="s">
        <v>80</v>
      </c>
      <c r="U28" s="55">
        <f>IF('Pegar ML'!AI24=" ",'Pegar ML'!AI23,'Pegar ML'!AI24)</f>
        <v>0</v>
      </c>
      <c r="V28" s="55">
        <f>IF('Pegar ML'!AK24=" ",'Pegar ML'!AK23,'Pegar ML'!AK24)</f>
        <v>0</v>
      </c>
      <c r="W28" s="55">
        <f>IF('Pegar ML'!AJ24=" ",'Pegar ML'!AJ23,'Pegar ML'!AJ24)</f>
        <v>0</v>
      </c>
      <c r="X28" s="55">
        <f>IF('Pegar ML'!AL24=" ",'Pegar ML'!AL23,'Pegar ML'!AL24)</f>
        <v>0</v>
      </c>
      <c r="Y28" s="27"/>
      <c r="Z28" s="27"/>
      <c r="AA28" s="27"/>
      <c r="AB28" s="27"/>
      <c r="AC28" s="27"/>
      <c r="AD28" s="27"/>
      <c r="AF28" s="8"/>
      <c r="AG28" s="27"/>
      <c r="AH28" s="14">
        <f>+'Pegar ML'!Y24</f>
        <v>0</v>
      </c>
      <c r="AI28" s="13">
        <f t="shared" si="1"/>
        <v>1</v>
      </c>
      <c r="AJ28" s="7">
        <f>+'Pegar ML'!T24</f>
        <v>0</v>
      </c>
      <c r="AK28" s="27"/>
      <c r="AL28" s="27"/>
      <c r="AM28" s="27"/>
      <c r="AN28" s="27"/>
      <c r="AO28" s="27"/>
      <c r="AP28" s="27"/>
      <c r="AQ28" s="27"/>
      <c r="AR28" s="27"/>
      <c r="AS28" s="27">
        <v>17</v>
      </c>
    </row>
    <row r="29" spans="1:45" x14ac:dyDescent="0.25">
      <c r="A29" s="27">
        <f>IF('Pegar ML'!C24="Paquete de 2 productos",'Pegar ML'!A24,IF('Pegar ML'!C23="Paquete de 2 productos",'Pegar ML'!A23,'Pegar ML'!A25))</f>
        <v>0</v>
      </c>
      <c r="B29" s="27"/>
      <c r="C29" s="30" t="e">
        <f>IF(AjusteFecha!I25=0,"",AjusteFecha!I25)</f>
        <v>#N/A</v>
      </c>
      <c r="D29" s="27"/>
      <c r="E29" s="27"/>
      <c r="F29" s="27" t="str">
        <f>IF('Pegar ML'!C25="","",'Pegar ML'!C25)</f>
        <v/>
      </c>
      <c r="G29" s="27" t="str">
        <f>IF('Pegar ML'!G20="ARS","PS","PS")</f>
        <v>PS</v>
      </c>
      <c r="H29" s="14">
        <f>IF('Pegar ML'!C24="Paquete de 2 productos",IF('Pegar ML'!H24="",0,'Pegar ML'!H24),IF('Pegar ML'!H25="",0,'Pegar ML'!H25))</f>
        <v>0</v>
      </c>
      <c r="I29" s="14">
        <f>IF('Pegar ML'!C24="Paquete de 2 productos",IF('Pegar ML'!O24="",0,'Pegar ML'!O24),IF('Pegar ML'!O25="",0,'Pegar ML'!O25))</f>
        <v>0</v>
      </c>
      <c r="J29" s="14">
        <f>IF('Pegar ML'!C24="Paquete de 2 productos",IF('Pegar ML'!O24="",0,'Pegar ML'!O24),IF('Pegar ML'!O25="",0,'Pegar ML'!O25))</f>
        <v>0</v>
      </c>
      <c r="K29" s="14">
        <f t="shared" si="2"/>
        <v>0</v>
      </c>
      <c r="L29" s="27">
        <f>IF('Pegar ML'!AB25=" ",'Pegar ML'!AB24,'Pegar ML'!AB25)</f>
        <v>0</v>
      </c>
      <c r="M29" s="27" t="str">
        <f>IF('Pegar ML'!AC25=" ",RIGHT('Pegar ML'!AC24,8),RIGHT('Pegar ML'!AC25,8))</f>
        <v/>
      </c>
      <c r="N29" s="27" t="s">
        <v>80</v>
      </c>
      <c r="O29" s="27">
        <f t="shared" si="0"/>
        <v>0</v>
      </c>
      <c r="P29" s="27" t="s">
        <v>80</v>
      </c>
      <c r="Q29" s="55">
        <f>IF('Pegar ML'!AD25=" ",'Pegar ML'!AD24,'Pegar ML'!AD25)</f>
        <v>0</v>
      </c>
      <c r="R29" s="27" t="s">
        <v>80</v>
      </c>
      <c r="S29" s="27" t="s">
        <v>80</v>
      </c>
      <c r="T29" s="27" t="s">
        <v>80</v>
      </c>
      <c r="U29" s="55">
        <f>IF('Pegar ML'!AI25=" ",'Pegar ML'!AI24,'Pegar ML'!AI25)</f>
        <v>0</v>
      </c>
      <c r="V29" s="55">
        <f>IF('Pegar ML'!AK25=" ",'Pegar ML'!AK24,'Pegar ML'!AK25)</f>
        <v>0</v>
      </c>
      <c r="W29" s="55">
        <f>IF('Pegar ML'!AJ25=" ",'Pegar ML'!AJ24,'Pegar ML'!AJ25)</f>
        <v>0</v>
      </c>
      <c r="X29" s="55">
        <f>IF('Pegar ML'!AL25=" ",'Pegar ML'!AL24,'Pegar ML'!AL25)</f>
        <v>0</v>
      </c>
      <c r="Y29" s="27"/>
      <c r="Z29" s="27"/>
      <c r="AA29" s="27"/>
      <c r="AB29" s="27"/>
      <c r="AC29" s="27"/>
      <c r="AD29" s="27"/>
      <c r="AF29" s="8"/>
      <c r="AG29" s="27"/>
      <c r="AH29" s="14">
        <f>+'Pegar ML'!Y25</f>
        <v>0</v>
      </c>
      <c r="AI29" s="13">
        <f t="shared" si="1"/>
        <v>1</v>
      </c>
      <c r="AJ29" s="7">
        <f>+'Pegar ML'!T25</f>
        <v>0</v>
      </c>
      <c r="AK29" s="27"/>
      <c r="AL29" s="27"/>
      <c r="AM29" s="27"/>
      <c r="AN29" s="27"/>
      <c r="AO29" s="27"/>
      <c r="AP29" s="27"/>
      <c r="AQ29" s="27"/>
      <c r="AR29" s="27"/>
      <c r="AS29" s="27">
        <v>17</v>
      </c>
    </row>
    <row r="30" spans="1:45" x14ac:dyDescent="0.25">
      <c r="A30" s="27">
        <f>IF('Pegar ML'!C25="Paquete de 2 productos",'Pegar ML'!A25,IF('Pegar ML'!C24="Paquete de 2 productos",'Pegar ML'!A24,'Pegar ML'!A26))</f>
        <v>0</v>
      </c>
      <c r="B30" s="27"/>
      <c r="C30" s="30" t="e">
        <f>IF(AjusteFecha!I26=0,"",AjusteFecha!I26)</f>
        <v>#N/A</v>
      </c>
      <c r="D30" s="27"/>
      <c r="E30" s="27"/>
      <c r="F30" s="27" t="str">
        <f>IF('Pegar ML'!C26="","",'Pegar ML'!C26)</f>
        <v/>
      </c>
      <c r="G30" s="27" t="str">
        <f>IF('Pegar ML'!G21="ARS","PS","PS")</f>
        <v>PS</v>
      </c>
      <c r="H30" s="14">
        <f>IF('Pegar ML'!C25="Paquete de 2 productos",IF('Pegar ML'!H25="",0,'Pegar ML'!H25),IF('Pegar ML'!H26="",0,'Pegar ML'!H26))</f>
        <v>0</v>
      </c>
      <c r="I30" s="14">
        <f>IF('Pegar ML'!C25="Paquete de 2 productos",IF('Pegar ML'!O25="",0,'Pegar ML'!O25),IF('Pegar ML'!O26="",0,'Pegar ML'!O26))</f>
        <v>0</v>
      </c>
      <c r="J30" s="14">
        <f>IF('Pegar ML'!C25="Paquete de 2 productos",IF('Pegar ML'!O25="",0,'Pegar ML'!O25),IF('Pegar ML'!O26="",0,'Pegar ML'!O26))</f>
        <v>0</v>
      </c>
      <c r="K30" s="14">
        <f t="shared" si="2"/>
        <v>0</v>
      </c>
      <c r="L30" s="27">
        <f>IF('Pegar ML'!AB26=" ",'Pegar ML'!AB25,'Pegar ML'!AB26)</f>
        <v>0</v>
      </c>
      <c r="M30" s="27" t="str">
        <f>IF('Pegar ML'!AC26=" ",RIGHT('Pegar ML'!AC25,8),RIGHT('Pegar ML'!AC26,8))</f>
        <v/>
      </c>
      <c r="N30" s="27" t="s">
        <v>80</v>
      </c>
      <c r="O30" s="27">
        <f t="shared" si="0"/>
        <v>0</v>
      </c>
      <c r="P30" s="27" t="s">
        <v>80</v>
      </c>
      <c r="Q30" s="55">
        <f>IF('Pegar ML'!AD26=" ",'Pegar ML'!AD25,'Pegar ML'!AD26)</f>
        <v>0</v>
      </c>
      <c r="R30" s="27" t="s">
        <v>80</v>
      </c>
      <c r="S30" s="27" t="s">
        <v>80</v>
      </c>
      <c r="T30" s="27" t="s">
        <v>80</v>
      </c>
      <c r="U30" s="55">
        <f>IF('Pegar ML'!AI26=" ",'Pegar ML'!AI25,'Pegar ML'!AI26)</f>
        <v>0</v>
      </c>
      <c r="V30" s="55">
        <f>IF('Pegar ML'!AK26=" ",'Pegar ML'!AK25,'Pegar ML'!AK26)</f>
        <v>0</v>
      </c>
      <c r="W30" s="55">
        <f>IF('Pegar ML'!AJ26=" ",'Pegar ML'!AJ25,'Pegar ML'!AJ26)</f>
        <v>0</v>
      </c>
      <c r="X30" s="55">
        <f>IF('Pegar ML'!AL26=" ",'Pegar ML'!AL25,'Pegar ML'!AL26)</f>
        <v>0</v>
      </c>
      <c r="Y30" s="27"/>
      <c r="Z30" s="27"/>
      <c r="AA30" s="27"/>
      <c r="AB30" s="27"/>
      <c r="AC30" s="27"/>
      <c r="AD30" s="27"/>
      <c r="AF30" s="8"/>
      <c r="AG30" s="27"/>
      <c r="AH30" s="14">
        <f>+'Pegar ML'!Y26</f>
        <v>0</v>
      </c>
      <c r="AI30" s="13">
        <f t="shared" si="1"/>
        <v>1</v>
      </c>
      <c r="AJ30" s="7">
        <f>+'Pegar ML'!T26</f>
        <v>0</v>
      </c>
      <c r="AK30" s="27"/>
      <c r="AL30" s="27"/>
      <c r="AM30" s="27"/>
      <c r="AN30" s="27"/>
      <c r="AO30" s="27"/>
      <c r="AP30" s="27"/>
      <c r="AQ30" s="27"/>
      <c r="AR30" s="27"/>
      <c r="AS30" s="27">
        <v>17</v>
      </c>
    </row>
    <row r="31" spans="1:45" x14ac:dyDescent="0.25">
      <c r="A31" s="27">
        <f>IF('Pegar ML'!C26="Paquete de 2 productos",'Pegar ML'!A26,IF('Pegar ML'!C25="Paquete de 2 productos",'Pegar ML'!A25,'Pegar ML'!A27))</f>
        <v>0</v>
      </c>
      <c r="B31" s="27"/>
      <c r="C31" s="30" t="e">
        <f>IF(AjusteFecha!I27=0,"",AjusteFecha!I27)</f>
        <v>#N/A</v>
      </c>
      <c r="D31" s="27"/>
      <c r="E31" s="27"/>
      <c r="F31" s="27" t="str">
        <f>IF('Pegar ML'!C27="","",'Pegar ML'!C27)</f>
        <v/>
      </c>
      <c r="G31" s="27" t="str">
        <f>IF('Pegar ML'!G22="ARS","PS","PS")</f>
        <v>PS</v>
      </c>
      <c r="H31" s="14">
        <f>IF('Pegar ML'!C26="Paquete de 2 productos",IF('Pegar ML'!H26="",0,'Pegar ML'!H26),IF('Pegar ML'!H27="",0,'Pegar ML'!H27))</f>
        <v>0</v>
      </c>
      <c r="I31" s="14">
        <f>IF('Pegar ML'!C26="Paquete de 2 productos",IF('Pegar ML'!O26="",0,'Pegar ML'!O26),IF('Pegar ML'!O27="",0,'Pegar ML'!O27))</f>
        <v>0</v>
      </c>
      <c r="J31" s="14">
        <f>IF('Pegar ML'!C26="Paquete de 2 productos",IF('Pegar ML'!O26="",0,'Pegar ML'!O26),IF('Pegar ML'!O27="",0,'Pegar ML'!O27))</f>
        <v>0</v>
      </c>
      <c r="K31" s="14">
        <f t="shared" si="2"/>
        <v>0</v>
      </c>
      <c r="L31" s="27">
        <f>IF('Pegar ML'!AB27=" ",'Pegar ML'!AB26,'Pegar ML'!AB27)</f>
        <v>0</v>
      </c>
      <c r="M31" s="27" t="str">
        <f>IF('Pegar ML'!AC27=" ",RIGHT('Pegar ML'!AC26,8),RIGHT('Pegar ML'!AC27,8))</f>
        <v/>
      </c>
      <c r="N31" s="27" t="s">
        <v>80</v>
      </c>
      <c r="O31" s="27">
        <f t="shared" si="0"/>
        <v>0</v>
      </c>
      <c r="P31" s="27" t="s">
        <v>80</v>
      </c>
      <c r="Q31" s="55">
        <f>IF('Pegar ML'!AD27=" ",'Pegar ML'!AD26,'Pegar ML'!AD27)</f>
        <v>0</v>
      </c>
      <c r="R31" s="27" t="s">
        <v>80</v>
      </c>
      <c r="S31" s="27" t="s">
        <v>80</v>
      </c>
      <c r="T31" s="27" t="s">
        <v>80</v>
      </c>
      <c r="U31" s="55">
        <f>IF('Pegar ML'!AI27=" ",'Pegar ML'!AI26,'Pegar ML'!AI27)</f>
        <v>0</v>
      </c>
      <c r="V31" s="55">
        <f>IF('Pegar ML'!AK27=" ",'Pegar ML'!AK26,'Pegar ML'!AK27)</f>
        <v>0</v>
      </c>
      <c r="W31" s="55">
        <f>IF('Pegar ML'!AJ27=" ",'Pegar ML'!AJ26,'Pegar ML'!AJ27)</f>
        <v>0</v>
      </c>
      <c r="X31" s="55">
        <f>IF('Pegar ML'!AL27=" ",'Pegar ML'!AL26,'Pegar ML'!AL27)</f>
        <v>0</v>
      </c>
      <c r="Y31" s="27"/>
      <c r="Z31" s="27"/>
      <c r="AA31" s="27"/>
      <c r="AB31" s="27"/>
      <c r="AC31" s="27"/>
      <c r="AD31" s="27"/>
      <c r="AF31" s="8"/>
      <c r="AG31" s="27"/>
      <c r="AH31" s="14">
        <f>+'Pegar ML'!Y27</f>
        <v>0</v>
      </c>
      <c r="AI31" s="13">
        <f t="shared" si="1"/>
        <v>1</v>
      </c>
      <c r="AJ31" s="7">
        <f>+'Pegar ML'!T27</f>
        <v>0</v>
      </c>
      <c r="AK31" s="27"/>
      <c r="AL31" s="27"/>
      <c r="AM31" s="27"/>
      <c r="AN31" s="27"/>
      <c r="AO31" s="27"/>
      <c r="AP31" s="27"/>
      <c r="AQ31" s="27"/>
      <c r="AR31" s="27"/>
      <c r="AS31" s="27">
        <v>17</v>
      </c>
    </row>
    <row r="32" spans="1:45" x14ac:dyDescent="0.25">
      <c r="A32" s="27">
        <f>IF('Pegar ML'!C27="Paquete de 2 productos",'Pegar ML'!A27,IF('Pegar ML'!C26="Paquete de 2 productos",'Pegar ML'!A26,'Pegar ML'!A28))</f>
        <v>0</v>
      </c>
      <c r="B32" s="27"/>
      <c r="C32" s="30" t="e">
        <f>IF(AjusteFecha!I28=0,"",AjusteFecha!I28)</f>
        <v>#N/A</v>
      </c>
      <c r="D32" s="27"/>
      <c r="E32" s="27"/>
      <c r="F32" s="27" t="str">
        <f>IF('Pegar ML'!C28="","",'Pegar ML'!C28)</f>
        <v/>
      </c>
      <c r="G32" s="27" t="str">
        <f>IF('Pegar ML'!G23="ARS","PS","PS")</f>
        <v>PS</v>
      </c>
      <c r="H32" s="14">
        <f>IF('Pegar ML'!C27="Paquete de 2 productos",IF('Pegar ML'!H27="",0,'Pegar ML'!H27),IF('Pegar ML'!H28="",0,'Pegar ML'!H28))</f>
        <v>0</v>
      </c>
      <c r="I32" s="14">
        <f>IF('Pegar ML'!C27="Paquete de 2 productos",IF('Pegar ML'!O27="",0,'Pegar ML'!O27),IF('Pegar ML'!O28="",0,'Pegar ML'!O28))</f>
        <v>0</v>
      </c>
      <c r="J32" s="14">
        <f>IF('Pegar ML'!C27="Paquete de 2 productos",IF('Pegar ML'!O27="",0,'Pegar ML'!O27),IF('Pegar ML'!O28="",0,'Pegar ML'!O28))</f>
        <v>0</v>
      </c>
      <c r="K32" s="14">
        <f t="shared" si="2"/>
        <v>0</v>
      </c>
      <c r="L32" s="27">
        <f>IF('Pegar ML'!AB28=" ",'Pegar ML'!AB27,'Pegar ML'!AB28)</f>
        <v>0</v>
      </c>
      <c r="M32" s="27" t="str">
        <f>IF('Pegar ML'!AC28=" ",RIGHT('Pegar ML'!AC27,8),RIGHT('Pegar ML'!AC28,8))</f>
        <v/>
      </c>
      <c r="N32" s="27" t="s">
        <v>80</v>
      </c>
      <c r="O32" s="27">
        <f t="shared" si="0"/>
        <v>0</v>
      </c>
      <c r="P32" s="27" t="s">
        <v>80</v>
      </c>
      <c r="Q32" s="55">
        <f>IF('Pegar ML'!AD28=" ",'Pegar ML'!AD27,'Pegar ML'!AD28)</f>
        <v>0</v>
      </c>
      <c r="R32" s="27" t="s">
        <v>80</v>
      </c>
      <c r="S32" s="27" t="s">
        <v>80</v>
      </c>
      <c r="T32" s="27" t="s">
        <v>80</v>
      </c>
      <c r="U32" s="55">
        <f>IF('Pegar ML'!AI28=" ",'Pegar ML'!AI27,'Pegar ML'!AI28)</f>
        <v>0</v>
      </c>
      <c r="V32" s="55">
        <f>IF('Pegar ML'!AK28=" ",'Pegar ML'!AK27,'Pegar ML'!AK28)</f>
        <v>0</v>
      </c>
      <c r="W32" s="55">
        <f>IF('Pegar ML'!AJ28=" ",'Pegar ML'!AJ27,'Pegar ML'!AJ28)</f>
        <v>0</v>
      </c>
      <c r="X32" s="55">
        <f>IF('Pegar ML'!AL28=" ",'Pegar ML'!AL27,'Pegar ML'!AL28)</f>
        <v>0</v>
      </c>
      <c r="Y32" s="27"/>
      <c r="Z32" s="27"/>
      <c r="AA32" s="27"/>
      <c r="AB32" s="27"/>
      <c r="AC32" s="27"/>
      <c r="AD32" s="27"/>
      <c r="AF32" s="8"/>
      <c r="AG32" s="27"/>
      <c r="AH32" s="14">
        <f>+'Pegar ML'!Y28</f>
        <v>0</v>
      </c>
      <c r="AI32" s="13">
        <f t="shared" si="1"/>
        <v>1</v>
      </c>
      <c r="AJ32" s="7">
        <f>+'Pegar ML'!T28</f>
        <v>0</v>
      </c>
      <c r="AK32" s="27"/>
      <c r="AL32" s="27"/>
      <c r="AM32" s="27"/>
      <c r="AN32" s="27"/>
      <c r="AO32" s="27"/>
      <c r="AP32" s="27"/>
      <c r="AQ32" s="27"/>
      <c r="AR32" s="27"/>
      <c r="AS32" s="27">
        <v>17</v>
      </c>
    </row>
    <row r="33" spans="1:45" x14ac:dyDescent="0.25">
      <c r="A33" s="27">
        <f>IF('Pegar ML'!C28="Paquete de 2 productos",'Pegar ML'!A28,IF('Pegar ML'!C27="Paquete de 2 productos",'Pegar ML'!A27,'Pegar ML'!A29))</f>
        <v>0</v>
      </c>
      <c r="B33" s="27"/>
      <c r="C33" s="30" t="e">
        <f>IF(AjusteFecha!I29=0,"",AjusteFecha!I29)</f>
        <v>#N/A</v>
      </c>
      <c r="D33" s="27"/>
      <c r="E33" s="27"/>
      <c r="F33" s="27" t="str">
        <f>IF('Pegar ML'!C29="","",'Pegar ML'!C29)</f>
        <v/>
      </c>
      <c r="G33" s="27" t="str">
        <f>IF('Pegar ML'!G24="ARS","PS","PS")</f>
        <v>PS</v>
      </c>
      <c r="H33" s="14">
        <f>IF('Pegar ML'!C28="Paquete de 2 productos",IF('Pegar ML'!H28="",0,'Pegar ML'!H28),IF('Pegar ML'!H29="",0,'Pegar ML'!H29))</f>
        <v>0</v>
      </c>
      <c r="I33" s="14">
        <f>IF('Pegar ML'!C28="Paquete de 2 productos",IF('Pegar ML'!O28="",0,'Pegar ML'!O28),IF('Pegar ML'!O29="",0,'Pegar ML'!O29))</f>
        <v>0</v>
      </c>
      <c r="J33" s="14">
        <f>IF('Pegar ML'!C28="Paquete de 2 productos",IF('Pegar ML'!O28="",0,'Pegar ML'!O28),IF('Pegar ML'!O29="",0,'Pegar ML'!O29))</f>
        <v>0</v>
      </c>
      <c r="K33" s="14">
        <f t="shared" si="2"/>
        <v>0</v>
      </c>
      <c r="L33" s="27">
        <f>IF('Pegar ML'!AB29=" ",'Pegar ML'!AB28,'Pegar ML'!AB29)</f>
        <v>0</v>
      </c>
      <c r="M33" s="27" t="str">
        <f>IF('Pegar ML'!AC29=" ",RIGHT('Pegar ML'!AC28,8),RIGHT('Pegar ML'!AC29,8))</f>
        <v/>
      </c>
      <c r="N33" s="27" t="s">
        <v>80</v>
      </c>
      <c r="O33" s="27">
        <f t="shared" si="0"/>
        <v>0</v>
      </c>
      <c r="P33" s="27" t="s">
        <v>80</v>
      </c>
      <c r="Q33" s="55">
        <f>IF('Pegar ML'!AD29=" ",'Pegar ML'!AD28,'Pegar ML'!AD29)</f>
        <v>0</v>
      </c>
      <c r="R33" s="27" t="s">
        <v>80</v>
      </c>
      <c r="S33" s="27" t="s">
        <v>80</v>
      </c>
      <c r="T33" s="27" t="s">
        <v>80</v>
      </c>
      <c r="U33" s="55">
        <f>IF('Pegar ML'!AI29=" ",'Pegar ML'!AI28,'Pegar ML'!AI29)</f>
        <v>0</v>
      </c>
      <c r="V33" s="55">
        <f>IF('Pegar ML'!AK29=" ",'Pegar ML'!AK28,'Pegar ML'!AK29)</f>
        <v>0</v>
      </c>
      <c r="W33" s="55">
        <f>IF('Pegar ML'!AJ29=" ",'Pegar ML'!AJ28,'Pegar ML'!AJ29)</f>
        <v>0</v>
      </c>
      <c r="X33" s="55">
        <f>IF('Pegar ML'!AL29=" ",'Pegar ML'!AL28,'Pegar ML'!AL29)</f>
        <v>0</v>
      </c>
      <c r="Y33" s="27"/>
      <c r="Z33" s="27"/>
      <c r="AA33" s="27"/>
      <c r="AB33" s="27"/>
      <c r="AC33" s="27"/>
      <c r="AD33" s="27"/>
      <c r="AF33" s="8"/>
      <c r="AG33" s="27"/>
      <c r="AH33" s="14">
        <f>+'Pegar ML'!Y29</f>
        <v>0</v>
      </c>
      <c r="AI33" s="13">
        <f t="shared" si="1"/>
        <v>1</v>
      </c>
      <c r="AJ33" s="7">
        <f>+'Pegar ML'!T29</f>
        <v>0</v>
      </c>
      <c r="AK33" s="27"/>
      <c r="AL33" s="27"/>
      <c r="AM33" s="27"/>
      <c r="AN33" s="27"/>
      <c r="AO33" s="27"/>
      <c r="AP33" s="27"/>
      <c r="AQ33" s="27"/>
      <c r="AR33" s="27"/>
      <c r="AS33" s="27">
        <v>17</v>
      </c>
    </row>
    <row r="34" spans="1:45" x14ac:dyDescent="0.25">
      <c r="A34" s="27">
        <f>IF('Pegar ML'!C29="Paquete de 2 productos",'Pegar ML'!A29,IF('Pegar ML'!C28="Paquete de 2 productos",'Pegar ML'!A28,'Pegar ML'!A30))</f>
        <v>0</v>
      </c>
      <c r="B34" s="27"/>
      <c r="C34" s="30" t="e">
        <f>IF(AjusteFecha!I30=0,"",AjusteFecha!I30)</f>
        <v>#N/A</v>
      </c>
      <c r="D34" s="27"/>
      <c r="E34" s="27"/>
      <c r="F34" s="27" t="str">
        <f>IF('Pegar ML'!C30="","",'Pegar ML'!C30)</f>
        <v/>
      </c>
      <c r="G34" s="27" t="str">
        <f>IF('Pegar ML'!G25="ARS","PS","PS")</f>
        <v>PS</v>
      </c>
      <c r="H34" s="14">
        <f>IF('Pegar ML'!C29="Paquete de 2 productos",IF('Pegar ML'!H29="",0,'Pegar ML'!H29),IF('Pegar ML'!H30="",0,'Pegar ML'!H30))</f>
        <v>0</v>
      </c>
      <c r="I34" s="14">
        <f>IF('Pegar ML'!C29="Paquete de 2 productos",IF('Pegar ML'!O29="",0,'Pegar ML'!O29),IF('Pegar ML'!O30="",0,'Pegar ML'!O30))</f>
        <v>0</v>
      </c>
      <c r="J34" s="14">
        <f>IF('Pegar ML'!C29="Paquete de 2 productos",IF('Pegar ML'!O29="",0,'Pegar ML'!O29),IF('Pegar ML'!O30="",0,'Pegar ML'!O30))</f>
        <v>0</v>
      </c>
      <c r="K34" s="14">
        <f t="shared" si="2"/>
        <v>0</v>
      </c>
      <c r="L34" s="27">
        <f>IF('Pegar ML'!AB30=" ",'Pegar ML'!AB29,'Pegar ML'!AB30)</f>
        <v>0</v>
      </c>
      <c r="M34" s="27" t="str">
        <f>IF('Pegar ML'!AC30=" ",RIGHT('Pegar ML'!AC29,8),RIGHT('Pegar ML'!AC30,8))</f>
        <v/>
      </c>
      <c r="N34" s="27" t="s">
        <v>80</v>
      </c>
      <c r="O34" s="27">
        <f t="shared" si="0"/>
        <v>0</v>
      </c>
      <c r="P34" s="27" t="s">
        <v>80</v>
      </c>
      <c r="Q34" s="55">
        <f>IF('Pegar ML'!AD30=" ",'Pegar ML'!AD29,'Pegar ML'!AD30)</f>
        <v>0</v>
      </c>
      <c r="R34" s="27" t="s">
        <v>80</v>
      </c>
      <c r="S34" s="27" t="s">
        <v>80</v>
      </c>
      <c r="T34" s="27" t="s">
        <v>80</v>
      </c>
      <c r="U34" s="55">
        <f>IF('Pegar ML'!AI30=" ",'Pegar ML'!AI29,'Pegar ML'!AI30)</f>
        <v>0</v>
      </c>
      <c r="V34" s="55">
        <f>IF('Pegar ML'!AK30=" ",'Pegar ML'!AK29,'Pegar ML'!AK30)</f>
        <v>0</v>
      </c>
      <c r="W34" s="55">
        <f>IF('Pegar ML'!AJ30=" ",'Pegar ML'!AJ29,'Pegar ML'!AJ30)</f>
        <v>0</v>
      </c>
      <c r="X34" s="55">
        <f>IF('Pegar ML'!AL30=" ",'Pegar ML'!AL29,'Pegar ML'!AL30)</f>
        <v>0</v>
      </c>
      <c r="Y34" s="27"/>
      <c r="Z34" s="27"/>
      <c r="AA34" s="27"/>
      <c r="AB34" s="27"/>
      <c r="AC34" s="27"/>
      <c r="AD34" s="27"/>
      <c r="AF34" s="8"/>
      <c r="AG34" s="27"/>
      <c r="AH34" s="14">
        <f>+'Pegar ML'!Y30</f>
        <v>0</v>
      </c>
      <c r="AI34" s="13">
        <f t="shared" si="1"/>
        <v>1</v>
      </c>
      <c r="AJ34" s="7">
        <f>+'Pegar ML'!T30</f>
        <v>0</v>
      </c>
      <c r="AK34" s="27"/>
      <c r="AL34" s="27"/>
      <c r="AM34" s="27"/>
      <c r="AN34" s="27"/>
      <c r="AO34" s="27"/>
      <c r="AP34" s="27"/>
      <c r="AQ34" s="27"/>
      <c r="AR34" s="27"/>
      <c r="AS34" s="27">
        <v>17</v>
      </c>
    </row>
    <row r="35" spans="1:45" ht="15" customHeight="1" x14ac:dyDescent="0.25">
      <c r="A35" s="27">
        <f>IF('Pegar ML'!C30="Paquete de 2 productos",'Pegar ML'!A30,IF('Pegar ML'!C29="Paquete de 2 productos",'Pegar ML'!A29,'Pegar ML'!A31))</f>
        <v>0</v>
      </c>
      <c r="B35" s="27"/>
      <c r="C35" s="30" t="e">
        <f>IF(AjusteFecha!I31=0,"",AjusteFecha!I31)</f>
        <v>#N/A</v>
      </c>
      <c r="D35" s="27"/>
      <c r="E35" s="27"/>
      <c r="F35" s="27" t="str">
        <f>IF('Pegar ML'!C31="","",'Pegar ML'!C31)</f>
        <v/>
      </c>
      <c r="G35" s="27" t="str">
        <f>IF('Pegar ML'!G26="ARS","PS","PS")</f>
        <v>PS</v>
      </c>
      <c r="H35" s="14">
        <f>IF('Pegar ML'!C30="Paquete de 2 productos",IF('Pegar ML'!H30="",0,'Pegar ML'!H30),IF('Pegar ML'!H31="",0,'Pegar ML'!H31))</f>
        <v>0</v>
      </c>
      <c r="I35" s="14">
        <f>IF('Pegar ML'!C30="Paquete de 2 productos",IF('Pegar ML'!O30="",0,'Pegar ML'!O30),IF('Pegar ML'!O31="",0,'Pegar ML'!O31))</f>
        <v>0</v>
      </c>
      <c r="J35" s="14">
        <f>IF('Pegar ML'!C30="Paquete de 2 productos",IF('Pegar ML'!O30="",0,'Pegar ML'!O30),IF('Pegar ML'!O31="",0,'Pegar ML'!O31))</f>
        <v>0</v>
      </c>
      <c r="K35" s="14">
        <f t="shared" si="2"/>
        <v>0</v>
      </c>
      <c r="L35" s="27">
        <f>IF('Pegar ML'!AB31=" ",'Pegar ML'!AB30,'Pegar ML'!AB31)</f>
        <v>0</v>
      </c>
      <c r="M35" s="27" t="str">
        <f>IF('Pegar ML'!AC31=" ",RIGHT('Pegar ML'!AC30,8),RIGHT('Pegar ML'!AC31,8))</f>
        <v/>
      </c>
      <c r="N35" s="27" t="s">
        <v>80</v>
      </c>
      <c r="O35" s="27">
        <f t="shared" si="0"/>
        <v>0</v>
      </c>
      <c r="P35" s="27" t="s">
        <v>80</v>
      </c>
      <c r="Q35" s="55">
        <f>IF('Pegar ML'!AD31=" ",'Pegar ML'!AD30,'Pegar ML'!AD31)</f>
        <v>0</v>
      </c>
      <c r="R35" s="27" t="s">
        <v>80</v>
      </c>
      <c r="S35" s="27" t="s">
        <v>80</v>
      </c>
      <c r="T35" s="27" t="s">
        <v>80</v>
      </c>
      <c r="U35" s="55">
        <f>IF('Pegar ML'!AI31=" ",'Pegar ML'!AI30,'Pegar ML'!AI31)</f>
        <v>0</v>
      </c>
      <c r="V35" s="55">
        <f>IF('Pegar ML'!AK31=" ",'Pegar ML'!AK30,'Pegar ML'!AK31)</f>
        <v>0</v>
      </c>
      <c r="W35" s="55">
        <f>IF('Pegar ML'!AJ31=" ",'Pegar ML'!AJ30,'Pegar ML'!AJ31)</f>
        <v>0</v>
      </c>
      <c r="X35" s="55">
        <f>IF('Pegar ML'!AL31=" ",'Pegar ML'!AL30,'Pegar ML'!AL31)</f>
        <v>0</v>
      </c>
      <c r="Y35" s="27"/>
      <c r="Z35" s="27"/>
      <c r="AA35" s="27"/>
      <c r="AB35" s="27"/>
      <c r="AC35" s="27"/>
      <c r="AD35" s="27"/>
      <c r="AF35" s="8"/>
      <c r="AG35" s="27"/>
      <c r="AH35" s="14">
        <f>+'Pegar ML'!Y31</f>
        <v>0</v>
      </c>
      <c r="AI35" s="13">
        <f t="shared" si="1"/>
        <v>1</v>
      </c>
      <c r="AJ35" s="7">
        <f>+'Pegar ML'!T31</f>
        <v>0</v>
      </c>
      <c r="AK35" s="27"/>
      <c r="AL35" s="27"/>
      <c r="AM35" s="27"/>
      <c r="AN35" s="27"/>
      <c r="AO35" s="27"/>
      <c r="AP35" s="27"/>
      <c r="AQ35" s="27"/>
      <c r="AR35" s="27"/>
      <c r="AS35" s="27">
        <v>17</v>
      </c>
    </row>
    <row r="36" spans="1:45" x14ac:dyDescent="0.25">
      <c r="A36" s="27">
        <f>IF('Pegar ML'!C31="Paquete de 2 productos",'Pegar ML'!A31,IF('Pegar ML'!C30="Paquete de 2 productos",'Pegar ML'!A30,'Pegar ML'!A32))</f>
        <v>0</v>
      </c>
      <c r="B36" s="27"/>
      <c r="C36" s="30" t="e">
        <f>IF(AjusteFecha!I32=0,"",AjusteFecha!I32)</f>
        <v>#N/A</v>
      </c>
      <c r="D36" s="27"/>
      <c r="E36" s="27"/>
      <c r="F36" s="27" t="str">
        <f>IF('Pegar ML'!C32="","",'Pegar ML'!C32)</f>
        <v/>
      </c>
      <c r="G36" s="27" t="str">
        <f>IF('Pegar ML'!G27="ARS","PS","PS")</f>
        <v>PS</v>
      </c>
      <c r="H36" s="14">
        <f>IF('Pegar ML'!C31="Paquete de 2 productos",IF('Pegar ML'!H31="",0,'Pegar ML'!H31),IF('Pegar ML'!H32="",0,'Pegar ML'!H32))</f>
        <v>0</v>
      </c>
      <c r="I36" s="14">
        <f>IF('Pegar ML'!C31="Paquete de 2 productos",IF('Pegar ML'!O31="",0,'Pegar ML'!O31),IF('Pegar ML'!O32="",0,'Pegar ML'!O32))</f>
        <v>0</v>
      </c>
      <c r="J36" s="14">
        <f>IF('Pegar ML'!C31="Paquete de 2 productos",IF('Pegar ML'!O31="",0,'Pegar ML'!O31),IF('Pegar ML'!O32="",0,'Pegar ML'!O32))</f>
        <v>0</v>
      </c>
      <c r="K36" s="14">
        <f t="shared" si="2"/>
        <v>0</v>
      </c>
      <c r="L36" s="27">
        <f>IF('Pegar ML'!AB32=" ",'Pegar ML'!AB31,'Pegar ML'!AB32)</f>
        <v>0</v>
      </c>
      <c r="M36" s="27" t="str">
        <f>IF('Pegar ML'!AC32=" ",RIGHT('Pegar ML'!AC31,8),RIGHT('Pegar ML'!AC32,8))</f>
        <v/>
      </c>
      <c r="N36" s="27" t="s">
        <v>80</v>
      </c>
      <c r="O36" s="27">
        <f t="shared" si="0"/>
        <v>0</v>
      </c>
      <c r="P36" s="27" t="s">
        <v>80</v>
      </c>
      <c r="Q36" s="55">
        <f>IF('Pegar ML'!AD32=" ",'Pegar ML'!AD31,'Pegar ML'!AD32)</f>
        <v>0</v>
      </c>
      <c r="R36" s="27" t="s">
        <v>80</v>
      </c>
      <c r="S36" s="27" t="s">
        <v>80</v>
      </c>
      <c r="T36" s="27" t="s">
        <v>80</v>
      </c>
      <c r="U36" s="55">
        <f>IF('Pegar ML'!AI32=" ",'Pegar ML'!AI31,'Pegar ML'!AI32)</f>
        <v>0</v>
      </c>
      <c r="V36" s="55">
        <f>IF('Pegar ML'!AK32=" ",'Pegar ML'!AK31,'Pegar ML'!AK32)</f>
        <v>0</v>
      </c>
      <c r="W36" s="55">
        <f>IF('Pegar ML'!AJ32=" ",'Pegar ML'!AJ31,'Pegar ML'!AJ32)</f>
        <v>0</v>
      </c>
      <c r="X36" s="55">
        <f>IF('Pegar ML'!AL32=" ",'Pegar ML'!AL31,'Pegar ML'!AL32)</f>
        <v>0</v>
      </c>
      <c r="Y36" s="27"/>
      <c r="Z36" s="27"/>
      <c r="AA36" s="27"/>
      <c r="AB36" s="27"/>
      <c r="AC36" s="27"/>
      <c r="AD36" s="27"/>
      <c r="AF36" s="8"/>
      <c r="AG36" s="27"/>
      <c r="AH36" s="14">
        <f>+'Pegar ML'!Y32</f>
        <v>0</v>
      </c>
      <c r="AI36" s="13">
        <f t="shared" si="1"/>
        <v>1</v>
      </c>
      <c r="AJ36" s="7">
        <f>+'Pegar ML'!T32</f>
        <v>0</v>
      </c>
      <c r="AK36" s="27"/>
      <c r="AL36" s="27"/>
      <c r="AM36" s="27"/>
      <c r="AN36" s="27"/>
      <c r="AO36" s="27"/>
      <c r="AP36" s="27"/>
      <c r="AQ36" s="27"/>
      <c r="AR36" s="27"/>
      <c r="AS36" s="27">
        <v>17</v>
      </c>
    </row>
    <row r="37" spans="1:45" x14ac:dyDescent="0.25">
      <c r="A37" s="27">
        <f>IF('Pegar ML'!C32="Paquete de 2 productos",'Pegar ML'!A32,IF('Pegar ML'!C31="Paquete de 2 productos",'Pegar ML'!A31,'Pegar ML'!A33))</f>
        <v>0</v>
      </c>
      <c r="B37" s="27"/>
      <c r="C37" s="30" t="e">
        <f>IF(AjusteFecha!I33=0,"",AjusteFecha!I33)</f>
        <v>#N/A</v>
      </c>
      <c r="D37" s="27"/>
      <c r="E37" s="27"/>
      <c r="F37" s="27" t="str">
        <f>IF('Pegar ML'!C33="","",'Pegar ML'!C33)</f>
        <v/>
      </c>
      <c r="G37" s="27" t="str">
        <f>IF('Pegar ML'!G28="ARS","PS","PS")</f>
        <v>PS</v>
      </c>
      <c r="H37" s="14">
        <f>IF('Pegar ML'!C32="Paquete de 2 productos",IF('Pegar ML'!H32="",0,'Pegar ML'!H32),IF('Pegar ML'!H33="",0,'Pegar ML'!H33))</f>
        <v>0</v>
      </c>
      <c r="I37" s="14">
        <f>IF('Pegar ML'!C32="Paquete de 2 productos",IF('Pegar ML'!O32="",0,'Pegar ML'!O32),IF('Pegar ML'!O33="",0,'Pegar ML'!O33))</f>
        <v>0</v>
      </c>
      <c r="J37" s="14">
        <f>IF('Pegar ML'!C32="Paquete de 2 productos",IF('Pegar ML'!O32="",0,'Pegar ML'!O32),IF('Pegar ML'!O33="",0,'Pegar ML'!O33))</f>
        <v>0</v>
      </c>
      <c r="K37" s="14">
        <f t="shared" si="2"/>
        <v>0</v>
      </c>
      <c r="L37" s="27">
        <f>IF('Pegar ML'!AB33=" ",'Pegar ML'!AB32,'Pegar ML'!AB33)</f>
        <v>0</v>
      </c>
      <c r="M37" s="27" t="str">
        <f>IF('Pegar ML'!AC33=" ",RIGHT('Pegar ML'!AC32,8),RIGHT('Pegar ML'!AC33,8))</f>
        <v/>
      </c>
      <c r="N37" s="27" t="s">
        <v>80</v>
      </c>
      <c r="O37" s="27">
        <f t="shared" si="0"/>
        <v>0</v>
      </c>
      <c r="P37" s="27" t="s">
        <v>80</v>
      </c>
      <c r="Q37" s="55">
        <f>IF('Pegar ML'!AD33=" ",'Pegar ML'!AD32,'Pegar ML'!AD33)</f>
        <v>0</v>
      </c>
      <c r="R37" s="27" t="s">
        <v>80</v>
      </c>
      <c r="S37" s="27" t="s">
        <v>80</v>
      </c>
      <c r="T37" s="27" t="s">
        <v>80</v>
      </c>
      <c r="U37" s="55">
        <f>IF('Pegar ML'!AI33=" ",'Pegar ML'!AI32,'Pegar ML'!AI33)</f>
        <v>0</v>
      </c>
      <c r="V37" s="55">
        <f>IF('Pegar ML'!AK33=" ",'Pegar ML'!AK32,'Pegar ML'!AK33)</f>
        <v>0</v>
      </c>
      <c r="W37" s="55">
        <f>IF('Pegar ML'!AJ33=" ",'Pegar ML'!AJ32,'Pegar ML'!AJ33)</f>
        <v>0</v>
      </c>
      <c r="X37" s="55">
        <f>IF('Pegar ML'!AL33=" ",'Pegar ML'!AL32,'Pegar ML'!AL33)</f>
        <v>0</v>
      </c>
      <c r="Y37" s="27"/>
      <c r="Z37" s="27"/>
      <c r="AA37" s="27"/>
      <c r="AB37" s="27"/>
      <c r="AC37" s="27"/>
      <c r="AD37" s="27"/>
      <c r="AF37" s="8"/>
      <c r="AG37" s="27"/>
      <c r="AH37" s="14">
        <f>+'Pegar ML'!Y33</f>
        <v>0</v>
      </c>
      <c r="AI37" s="13">
        <f t="shared" si="1"/>
        <v>1</v>
      </c>
      <c r="AJ37" s="7">
        <f>+'Pegar ML'!T33</f>
        <v>0</v>
      </c>
      <c r="AK37" s="27"/>
      <c r="AL37" s="27"/>
      <c r="AM37" s="27"/>
      <c r="AN37" s="27"/>
      <c r="AO37" s="27"/>
      <c r="AP37" s="27"/>
      <c r="AQ37" s="27"/>
      <c r="AR37" s="27"/>
      <c r="AS37" s="27">
        <v>17</v>
      </c>
    </row>
    <row r="38" spans="1:45" x14ac:dyDescent="0.25">
      <c r="A38" s="27">
        <f>IF('Pegar ML'!C33="Paquete de 2 productos",'Pegar ML'!A33,IF('Pegar ML'!C32="Paquete de 2 productos",'Pegar ML'!A32,'Pegar ML'!A34))</f>
        <v>0</v>
      </c>
      <c r="B38" s="27"/>
      <c r="C38" s="30" t="e">
        <f>IF(AjusteFecha!I34=0,"",AjusteFecha!I34)</f>
        <v>#N/A</v>
      </c>
      <c r="D38" s="27"/>
      <c r="E38" s="27"/>
      <c r="F38" s="27" t="str">
        <f>IF('Pegar ML'!C34="","",'Pegar ML'!C34)</f>
        <v/>
      </c>
      <c r="G38" s="27" t="str">
        <f>IF('Pegar ML'!G29="ARS","PS","PS")</f>
        <v>PS</v>
      </c>
      <c r="H38" s="14">
        <f>IF('Pegar ML'!C33="Paquete de 2 productos",IF('Pegar ML'!H33="",0,'Pegar ML'!H33),IF('Pegar ML'!H34="",0,'Pegar ML'!H34))</f>
        <v>0</v>
      </c>
      <c r="I38" s="14">
        <f>IF('Pegar ML'!C33="Paquete de 2 productos",IF('Pegar ML'!O33="",0,'Pegar ML'!O33),IF('Pegar ML'!O34="",0,'Pegar ML'!O34))</f>
        <v>0</v>
      </c>
      <c r="J38" s="14">
        <f>IF('Pegar ML'!C33="Paquete de 2 productos",IF('Pegar ML'!O33="",0,'Pegar ML'!O33),IF('Pegar ML'!O34="",0,'Pegar ML'!O34))</f>
        <v>0</v>
      </c>
      <c r="K38" s="14">
        <f t="shared" si="2"/>
        <v>0</v>
      </c>
      <c r="L38" s="27">
        <f>IF('Pegar ML'!AB34=" ",'Pegar ML'!AB33,'Pegar ML'!AB34)</f>
        <v>0</v>
      </c>
      <c r="M38" s="27" t="str">
        <f>IF('Pegar ML'!AC34=" ",RIGHT('Pegar ML'!AC33,8),RIGHT('Pegar ML'!AC34,8))</f>
        <v/>
      </c>
      <c r="N38" s="27" t="s">
        <v>80</v>
      </c>
      <c r="O38" s="27">
        <f t="shared" si="0"/>
        <v>0</v>
      </c>
      <c r="P38" s="27" t="s">
        <v>80</v>
      </c>
      <c r="Q38" s="55">
        <f>IF('Pegar ML'!AD34=" ",'Pegar ML'!AD33,'Pegar ML'!AD34)</f>
        <v>0</v>
      </c>
      <c r="R38" s="27" t="s">
        <v>80</v>
      </c>
      <c r="S38" s="27" t="s">
        <v>80</v>
      </c>
      <c r="T38" s="27" t="s">
        <v>80</v>
      </c>
      <c r="U38" s="55">
        <f>IF('Pegar ML'!AI34=" ",'Pegar ML'!AI33,'Pegar ML'!AI34)</f>
        <v>0</v>
      </c>
      <c r="V38" s="55">
        <f>IF('Pegar ML'!AK34=" ",'Pegar ML'!AK33,'Pegar ML'!AK34)</f>
        <v>0</v>
      </c>
      <c r="W38" s="55">
        <f>IF('Pegar ML'!AJ34=" ",'Pegar ML'!AJ33,'Pegar ML'!AJ34)</f>
        <v>0</v>
      </c>
      <c r="X38" s="55">
        <f>IF('Pegar ML'!AL34=" ",'Pegar ML'!AL33,'Pegar ML'!AL34)</f>
        <v>0</v>
      </c>
      <c r="Y38" s="27"/>
      <c r="Z38" s="27"/>
      <c r="AA38" s="27"/>
      <c r="AB38" s="27"/>
      <c r="AC38" s="27"/>
      <c r="AD38" s="27"/>
      <c r="AF38" s="8"/>
      <c r="AG38" s="27"/>
      <c r="AH38" s="14">
        <f>+'Pegar ML'!Y34</f>
        <v>0</v>
      </c>
      <c r="AI38" s="13">
        <f t="shared" si="1"/>
        <v>1</v>
      </c>
      <c r="AJ38" s="7">
        <f>+'Pegar ML'!T34</f>
        <v>0</v>
      </c>
      <c r="AK38" s="27"/>
      <c r="AL38" s="27"/>
      <c r="AM38" s="27"/>
      <c r="AN38" s="27"/>
      <c r="AO38" s="27"/>
      <c r="AP38" s="27"/>
      <c r="AQ38" s="27"/>
      <c r="AR38" s="27"/>
      <c r="AS38" s="27">
        <v>17</v>
      </c>
    </row>
    <row r="39" spans="1:45" x14ac:dyDescent="0.25">
      <c r="A39" s="27">
        <f>IF('Pegar ML'!C34="Paquete de 2 productos",'Pegar ML'!A34,IF('Pegar ML'!C33="Paquete de 2 productos",'Pegar ML'!A33,'Pegar ML'!A35))</f>
        <v>0</v>
      </c>
      <c r="B39" s="27"/>
      <c r="C39" s="30" t="e">
        <f>IF(AjusteFecha!I35=0,"",AjusteFecha!I35)</f>
        <v>#N/A</v>
      </c>
      <c r="D39" s="27"/>
      <c r="E39" s="27"/>
      <c r="F39" s="27" t="str">
        <f>IF('Pegar ML'!C35="","",'Pegar ML'!C35)</f>
        <v/>
      </c>
      <c r="G39" s="27" t="str">
        <f>IF('Pegar ML'!G30="ARS","PS","PS")</f>
        <v>PS</v>
      </c>
      <c r="H39" s="14">
        <f>IF('Pegar ML'!C34="Paquete de 2 productos",IF('Pegar ML'!H34="",0,'Pegar ML'!H34),IF('Pegar ML'!H35="",0,'Pegar ML'!H35))</f>
        <v>0</v>
      </c>
      <c r="I39" s="14">
        <f>IF('Pegar ML'!C34="Paquete de 2 productos",IF('Pegar ML'!O34="",0,'Pegar ML'!O34),IF('Pegar ML'!O35="",0,'Pegar ML'!O35))</f>
        <v>0</v>
      </c>
      <c r="J39" s="14">
        <f>IF('Pegar ML'!C34="Paquete de 2 productos",IF('Pegar ML'!O34="",0,'Pegar ML'!O34),IF('Pegar ML'!O35="",0,'Pegar ML'!O35))</f>
        <v>0</v>
      </c>
      <c r="K39" s="14">
        <f t="shared" si="2"/>
        <v>0</v>
      </c>
      <c r="L39" s="27">
        <f>IF('Pegar ML'!AB35=" ",'Pegar ML'!AB34,'Pegar ML'!AB35)</f>
        <v>0</v>
      </c>
      <c r="M39" s="27" t="str">
        <f>IF('Pegar ML'!AC35=" ",RIGHT('Pegar ML'!AC34,8),RIGHT('Pegar ML'!AC35,8))</f>
        <v/>
      </c>
      <c r="N39" s="27" t="s">
        <v>80</v>
      </c>
      <c r="O39" s="27">
        <f t="shared" si="0"/>
        <v>0</v>
      </c>
      <c r="P39" s="27" t="s">
        <v>80</v>
      </c>
      <c r="Q39" s="55">
        <f>IF('Pegar ML'!AD35=" ",'Pegar ML'!AD34,'Pegar ML'!AD35)</f>
        <v>0</v>
      </c>
      <c r="R39" s="27" t="s">
        <v>80</v>
      </c>
      <c r="S39" s="27" t="s">
        <v>80</v>
      </c>
      <c r="T39" s="27" t="s">
        <v>80</v>
      </c>
      <c r="U39" s="55">
        <f>IF('Pegar ML'!AI35=" ",'Pegar ML'!AI34,'Pegar ML'!AI35)</f>
        <v>0</v>
      </c>
      <c r="V39" s="55">
        <f>IF('Pegar ML'!AK35=" ",'Pegar ML'!AK34,'Pegar ML'!AK35)</f>
        <v>0</v>
      </c>
      <c r="W39" s="55">
        <f>IF('Pegar ML'!AJ35=" ",'Pegar ML'!AJ34,'Pegar ML'!AJ35)</f>
        <v>0</v>
      </c>
      <c r="X39" s="55">
        <f>IF('Pegar ML'!AL35=" ",'Pegar ML'!AL34,'Pegar ML'!AL35)</f>
        <v>0</v>
      </c>
      <c r="Y39" s="27"/>
      <c r="Z39" s="27"/>
      <c r="AA39" s="27"/>
      <c r="AB39" s="27"/>
      <c r="AC39" s="27"/>
      <c r="AD39" s="27"/>
      <c r="AF39" s="8"/>
      <c r="AG39" s="27"/>
      <c r="AH39" s="14">
        <f>+'Pegar ML'!Y35</f>
        <v>0</v>
      </c>
      <c r="AI39" s="13">
        <f t="shared" si="1"/>
        <v>1</v>
      </c>
      <c r="AJ39" s="7">
        <f>+'Pegar ML'!T35</f>
        <v>0</v>
      </c>
      <c r="AK39" s="27"/>
      <c r="AL39" s="27"/>
      <c r="AM39" s="27"/>
      <c r="AN39" s="27"/>
      <c r="AO39" s="27"/>
      <c r="AP39" s="27"/>
      <c r="AQ39" s="27"/>
      <c r="AR39" s="27"/>
      <c r="AS39" s="27">
        <v>17</v>
      </c>
    </row>
    <row r="40" spans="1:45" x14ac:dyDescent="0.25">
      <c r="A40" s="27">
        <f>IF('Pegar ML'!C35="Paquete de 2 productos",'Pegar ML'!A35,IF('Pegar ML'!C34="Paquete de 2 productos",'Pegar ML'!A34,'Pegar ML'!A36))</f>
        <v>0</v>
      </c>
      <c r="B40" s="27"/>
      <c r="C40" s="30" t="e">
        <f>IF(AjusteFecha!I36=0,"",AjusteFecha!I36)</f>
        <v>#N/A</v>
      </c>
      <c r="D40" s="27"/>
      <c r="E40" s="27"/>
      <c r="F40" s="27" t="str">
        <f>IF('Pegar ML'!C36="","",'Pegar ML'!C36)</f>
        <v/>
      </c>
      <c r="G40" s="27" t="str">
        <f>IF('Pegar ML'!G31="ARS","PS","PS")</f>
        <v>PS</v>
      </c>
      <c r="H40" s="14">
        <f>IF('Pegar ML'!C35="Paquete de 2 productos",IF('Pegar ML'!H35="",0,'Pegar ML'!H35),IF('Pegar ML'!H36="",0,'Pegar ML'!H36))</f>
        <v>0</v>
      </c>
      <c r="I40" s="14">
        <f>IF('Pegar ML'!C35="Paquete de 2 productos",IF('Pegar ML'!O35="",0,'Pegar ML'!O35),IF('Pegar ML'!O36="",0,'Pegar ML'!O36))</f>
        <v>0</v>
      </c>
      <c r="J40" s="14">
        <f>IF('Pegar ML'!C35="Paquete de 2 productos",IF('Pegar ML'!O35="",0,'Pegar ML'!O35),IF('Pegar ML'!O36="",0,'Pegar ML'!O36))</f>
        <v>0</v>
      </c>
      <c r="K40" s="14">
        <f t="shared" si="2"/>
        <v>0</v>
      </c>
      <c r="L40" s="27">
        <f>IF('Pegar ML'!AB36=" ",'Pegar ML'!AB35,'Pegar ML'!AB36)</f>
        <v>0</v>
      </c>
      <c r="M40" s="27" t="str">
        <f>IF('Pegar ML'!AC36=" ",RIGHT('Pegar ML'!AC35,8),RIGHT('Pegar ML'!AC36,8))</f>
        <v/>
      </c>
      <c r="N40" s="27" t="s">
        <v>80</v>
      </c>
      <c r="O40" s="27">
        <f t="shared" si="0"/>
        <v>0</v>
      </c>
      <c r="P40" s="27" t="s">
        <v>80</v>
      </c>
      <c r="Q40" s="55">
        <f>IF('Pegar ML'!AD36=" ",'Pegar ML'!AD35,'Pegar ML'!AD36)</f>
        <v>0</v>
      </c>
      <c r="R40" s="27" t="s">
        <v>80</v>
      </c>
      <c r="S40" s="27" t="s">
        <v>80</v>
      </c>
      <c r="T40" s="27" t="s">
        <v>80</v>
      </c>
      <c r="U40" s="55">
        <f>IF('Pegar ML'!AI36=" ",'Pegar ML'!AI35,'Pegar ML'!AI36)</f>
        <v>0</v>
      </c>
      <c r="V40" s="55">
        <f>IF('Pegar ML'!AK36=" ",'Pegar ML'!AK35,'Pegar ML'!AK36)</f>
        <v>0</v>
      </c>
      <c r="W40" s="55">
        <f>IF('Pegar ML'!AJ36=" ",'Pegar ML'!AJ35,'Pegar ML'!AJ36)</f>
        <v>0</v>
      </c>
      <c r="X40" s="55">
        <f>IF('Pegar ML'!AL36=" ",'Pegar ML'!AL35,'Pegar ML'!AL36)</f>
        <v>0</v>
      </c>
      <c r="Y40" s="27"/>
      <c r="Z40" s="27"/>
      <c r="AA40" s="27"/>
      <c r="AB40" s="27"/>
      <c r="AC40" s="27"/>
      <c r="AD40" s="27"/>
      <c r="AF40" s="8"/>
      <c r="AG40" s="27"/>
      <c r="AH40" s="14">
        <f>+'Pegar ML'!Y36</f>
        <v>0</v>
      </c>
      <c r="AI40" s="13">
        <f t="shared" si="1"/>
        <v>1</v>
      </c>
      <c r="AJ40" s="7">
        <f>+'Pegar ML'!T36</f>
        <v>0</v>
      </c>
      <c r="AK40" s="27"/>
      <c r="AL40" s="27"/>
      <c r="AM40" s="27"/>
      <c r="AN40" s="27"/>
      <c r="AO40" s="27"/>
      <c r="AP40" s="27"/>
      <c r="AQ40" s="27"/>
      <c r="AR40" s="27"/>
      <c r="AS40" s="27">
        <v>17</v>
      </c>
    </row>
    <row r="41" spans="1:45" x14ac:dyDescent="0.25">
      <c r="A41" s="27">
        <f>IF('Pegar ML'!C36="Paquete de 2 productos",'Pegar ML'!A36,IF('Pegar ML'!C35="Paquete de 2 productos",'Pegar ML'!A35,'Pegar ML'!A37))</f>
        <v>0</v>
      </c>
      <c r="B41" s="27"/>
      <c r="C41" s="30" t="e">
        <f>IF(AjusteFecha!I37=0,"",AjusteFecha!I37)</f>
        <v>#N/A</v>
      </c>
      <c r="D41" s="27"/>
      <c r="E41" s="27"/>
      <c r="F41" s="27" t="str">
        <f>IF('Pegar ML'!C37="","",'Pegar ML'!C37)</f>
        <v/>
      </c>
      <c r="G41" s="27" t="str">
        <f>IF('Pegar ML'!G32="ARS","PS","PS")</f>
        <v>PS</v>
      </c>
      <c r="H41" s="14">
        <f>IF('Pegar ML'!C36="Paquete de 2 productos",IF('Pegar ML'!H36="",0,'Pegar ML'!H36),IF('Pegar ML'!H37="",0,'Pegar ML'!H37))</f>
        <v>0</v>
      </c>
      <c r="I41" s="14">
        <f>IF('Pegar ML'!C36="Paquete de 2 productos",IF('Pegar ML'!O36="",0,'Pegar ML'!O36),IF('Pegar ML'!O37="",0,'Pegar ML'!O37))</f>
        <v>0</v>
      </c>
      <c r="J41" s="14">
        <f>IF('Pegar ML'!C36="Paquete de 2 productos",IF('Pegar ML'!O36="",0,'Pegar ML'!O36),IF('Pegar ML'!O37="",0,'Pegar ML'!O37))</f>
        <v>0</v>
      </c>
      <c r="K41" s="14">
        <f t="shared" si="2"/>
        <v>0</v>
      </c>
      <c r="L41" s="27">
        <f>IF('Pegar ML'!AB37=" ",'Pegar ML'!AB36,'Pegar ML'!AB37)</f>
        <v>0</v>
      </c>
      <c r="M41" s="27" t="str">
        <f>IF('Pegar ML'!AC37=" ",RIGHT('Pegar ML'!AC36,8),RIGHT('Pegar ML'!AC37,8))</f>
        <v/>
      </c>
      <c r="N41" s="27" t="s">
        <v>80</v>
      </c>
      <c r="O41" s="27">
        <f t="shared" si="0"/>
        <v>0</v>
      </c>
      <c r="P41" s="27" t="s">
        <v>80</v>
      </c>
      <c r="Q41" s="55">
        <f>IF('Pegar ML'!AD37=" ",'Pegar ML'!AD36,'Pegar ML'!AD37)</f>
        <v>0</v>
      </c>
      <c r="R41" s="27" t="s">
        <v>80</v>
      </c>
      <c r="S41" s="27" t="s">
        <v>80</v>
      </c>
      <c r="T41" s="27" t="s">
        <v>80</v>
      </c>
      <c r="U41" s="55">
        <f>IF('Pegar ML'!AI37=" ",'Pegar ML'!AI36,'Pegar ML'!AI37)</f>
        <v>0</v>
      </c>
      <c r="V41" s="55">
        <f>IF('Pegar ML'!AK37=" ",'Pegar ML'!AK36,'Pegar ML'!AK37)</f>
        <v>0</v>
      </c>
      <c r="W41" s="55">
        <f>IF('Pegar ML'!AJ37=" ",'Pegar ML'!AJ36,'Pegar ML'!AJ37)</f>
        <v>0</v>
      </c>
      <c r="X41" s="55">
        <f>IF('Pegar ML'!AL37=" ",'Pegar ML'!AL36,'Pegar ML'!AL37)</f>
        <v>0</v>
      </c>
      <c r="Y41" s="27"/>
      <c r="Z41" s="27"/>
      <c r="AA41" s="27"/>
      <c r="AB41" s="27"/>
      <c r="AC41" s="27"/>
      <c r="AD41" s="27"/>
      <c r="AF41" s="8"/>
      <c r="AG41" s="27"/>
      <c r="AH41" s="14">
        <f>+'Pegar ML'!Y37</f>
        <v>0</v>
      </c>
      <c r="AI41" s="13">
        <f t="shared" si="1"/>
        <v>1</v>
      </c>
      <c r="AJ41" s="7">
        <f>+'Pegar ML'!T37</f>
        <v>0</v>
      </c>
      <c r="AK41" s="27"/>
      <c r="AL41" s="27"/>
      <c r="AM41" s="27"/>
      <c r="AN41" s="27"/>
      <c r="AO41" s="27"/>
      <c r="AP41" s="27"/>
      <c r="AQ41" s="27"/>
      <c r="AR41" s="27"/>
      <c r="AS41" s="27">
        <v>17</v>
      </c>
    </row>
    <row r="42" spans="1:45" ht="15" customHeight="1" x14ac:dyDescent="0.25">
      <c r="A42" s="27">
        <f>IF('Pegar ML'!C37="Paquete de 2 productos",'Pegar ML'!A37,IF('Pegar ML'!C36="Paquete de 2 productos",'Pegar ML'!A36,'Pegar ML'!A38))</f>
        <v>0</v>
      </c>
      <c r="B42" s="27"/>
      <c r="C42" s="30" t="e">
        <f>IF(AjusteFecha!I38=0,"",AjusteFecha!I38)</f>
        <v>#N/A</v>
      </c>
      <c r="D42" s="27"/>
      <c r="E42" s="27"/>
      <c r="F42" s="27" t="str">
        <f>IF('Pegar ML'!C38="","",'Pegar ML'!C38)</f>
        <v/>
      </c>
      <c r="G42" s="27" t="str">
        <f>IF('Pegar ML'!G33="ARS","PS","PS")</f>
        <v>PS</v>
      </c>
      <c r="H42" s="14">
        <f>IF('Pegar ML'!C37="Paquete de 2 productos",IF('Pegar ML'!H37="",0,'Pegar ML'!H37),IF('Pegar ML'!H38="",0,'Pegar ML'!H38))</f>
        <v>0</v>
      </c>
      <c r="I42" s="14">
        <f>IF('Pegar ML'!C37="Paquete de 2 productos",IF('Pegar ML'!O37="",0,'Pegar ML'!O37),IF('Pegar ML'!O38="",0,'Pegar ML'!O38))</f>
        <v>0</v>
      </c>
      <c r="J42" s="14">
        <f>IF('Pegar ML'!C37="Paquete de 2 productos",IF('Pegar ML'!O37="",0,'Pegar ML'!O37),IF('Pegar ML'!O38="",0,'Pegar ML'!O38))</f>
        <v>0</v>
      </c>
      <c r="K42" s="14">
        <f t="shared" si="2"/>
        <v>0</v>
      </c>
      <c r="L42" s="27">
        <f>IF('Pegar ML'!AB38=" ",'Pegar ML'!AB37,'Pegar ML'!AB38)</f>
        <v>0</v>
      </c>
      <c r="M42" s="27" t="str">
        <f>IF('Pegar ML'!AC38=" ",RIGHT('Pegar ML'!AC37,8),RIGHT('Pegar ML'!AC38,8))</f>
        <v/>
      </c>
      <c r="N42" s="27" t="s">
        <v>80</v>
      </c>
      <c r="O42" s="27">
        <f t="shared" si="0"/>
        <v>0</v>
      </c>
      <c r="P42" s="27" t="s">
        <v>80</v>
      </c>
      <c r="Q42" s="55">
        <f>IF('Pegar ML'!AD38=" ",'Pegar ML'!AD37,'Pegar ML'!AD38)</f>
        <v>0</v>
      </c>
      <c r="R42" s="27" t="s">
        <v>80</v>
      </c>
      <c r="S42" s="27" t="s">
        <v>80</v>
      </c>
      <c r="T42" s="27" t="s">
        <v>80</v>
      </c>
      <c r="U42" s="55">
        <f>IF('Pegar ML'!AI38=" ",'Pegar ML'!AI37,'Pegar ML'!AI38)</f>
        <v>0</v>
      </c>
      <c r="V42" s="55">
        <f>IF('Pegar ML'!AK38=" ",'Pegar ML'!AK37,'Pegar ML'!AK38)</f>
        <v>0</v>
      </c>
      <c r="W42" s="55">
        <f>IF('Pegar ML'!AJ38=" ",'Pegar ML'!AJ37,'Pegar ML'!AJ38)</f>
        <v>0</v>
      </c>
      <c r="X42" s="55">
        <f>IF('Pegar ML'!AL38=" ",'Pegar ML'!AL37,'Pegar ML'!AL38)</f>
        <v>0</v>
      </c>
      <c r="Y42" s="27"/>
      <c r="Z42" s="27"/>
      <c r="AA42" s="27"/>
      <c r="AB42" s="27"/>
      <c r="AC42" s="27"/>
      <c r="AD42" s="27"/>
      <c r="AF42" s="8"/>
      <c r="AG42" s="27"/>
      <c r="AH42" s="14">
        <f>+'Pegar ML'!Y38</f>
        <v>0</v>
      </c>
      <c r="AI42" s="13">
        <f t="shared" si="1"/>
        <v>1</v>
      </c>
      <c r="AJ42" s="7">
        <f>+'Pegar ML'!T38</f>
        <v>0</v>
      </c>
      <c r="AK42" s="27"/>
      <c r="AL42" s="27"/>
      <c r="AM42" s="27"/>
      <c r="AN42" s="27"/>
      <c r="AO42" s="27"/>
      <c r="AP42" s="27"/>
      <c r="AQ42" s="27"/>
      <c r="AR42" s="27"/>
      <c r="AS42" s="27">
        <v>17</v>
      </c>
    </row>
    <row r="43" spans="1:45" x14ac:dyDescent="0.25">
      <c r="A43" s="27">
        <f>IF('Pegar ML'!C38="Paquete de 2 productos",'Pegar ML'!A38,IF('Pegar ML'!C37="Paquete de 2 productos",'Pegar ML'!A37,'Pegar ML'!A39))</f>
        <v>0</v>
      </c>
      <c r="B43" s="27"/>
      <c r="C43" s="30" t="e">
        <f>IF(AjusteFecha!I39=0,"",AjusteFecha!I39)</f>
        <v>#N/A</v>
      </c>
      <c r="D43" s="27"/>
      <c r="E43" s="27"/>
      <c r="F43" s="27" t="str">
        <f>IF('Pegar ML'!C39="","",'Pegar ML'!C39)</f>
        <v/>
      </c>
      <c r="G43" s="27" t="str">
        <f>IF('Pegar ML'!G34="ARS","PS","PS")</f>
        <v>PS</v>
      </c>
      <c r="H43" s="14">
        <f>IF('Pegar ML'!C38="Paquete de 2 productos",IF('Pegar ML'!H38="",0,'Pegar ML'!H38),IF('Pegar ML'!H39="",0,'Pegar ML'!H39))</f>
        <v>0</v>
      </c>
      <c r="I43" s="14">
        <f>IF('Pegar ML'!C38="Paquete de 2 productos",IF('Pegar ML'!O38="",0,'Pegar ML'!O38),IF('Pegar ML'!O39="",0,'Pegar ML'!O39))</f>
        <v>0</v>
      </c>
      <c r="J43" s="14">
        <f>IF('Pegar ML'!C38="Paquete de 2 productos",IF('Pegar ML'!O38="",0,'Pegar ML'!O38),IF('Pegar ML'!O39="",0,'Pegar ML'!O39))</f>
        <v>0</v>
      </c>
      <c r="K43" s="14">
        <f t="shared" si="2"/>
        <v>0</v>
      </c>
      <c r="L43" s="27">
        <f>IF('Pegar ML'!AB39=" ",'Pegar ML'!AB38,'Pegar ML'!AB39)</f>
        <v>0</v>
      </c>
      <c r="M43" s="27" t="str">
        <f>IF('Pegar ML'!AC39=" ",RIGHT('Pegar ML'!AC38,8),RIGHT('Pegar ML'!AC39,8))</f>
        <v/>
      </c>
      <c r="N43" s="27" t="s">
        <v>80</v>
      </c>
      <c r="O43" s="27">
        <f t="shared" si="0"/>
        <v>0</v>
      </c>
      <c r="P43" s="27" t="s">
        <v>80</v>
      </c>
      <c r="Q43" s="55">
        <f>IF('Pegar ML'!AD39=" ",'Pegar ML'!AD38,'Pegar ML'!AD39)</f>
        <v>0</v>
      </c>
      <c r="R43" s="27" t="s">
        <v>80</v>
      </c>
      <c r="S43" s="27" t="s">
        <v>80</v>
      </c>
      <c r="T43" s="27" t="s">
        <v>80</v>
      </c>
      <c r="U43" s="55">
        <f>IF('Pegar ML'!AI39=" ",'Pegar ML'!AI38,'Pegar ML'!AI39)</f>
        <v>0</v>
      </c>
      <c r="V43" s="55">
        <f>IF('Pegar ML'!AK39=" ",'Pegar ML'!AK38,'Pegar ML'!AK39)</f>
        <v>0</v>
      </c>
      <c r="W43" s="55">
        <f>IF('Pegar ML'!AJ39=" ",'Pegar ML'!AJ38,'Pegar ML'!AJ39)</f>
        <v>0</v>
      </c>
      <c r="X43" s="55">
        <f>IF('Pegar ML'!AL39=" ",'Pegar ML'!AL38,'Pegar ML'!AL39)</f>
        <v>0</v>
      </c>
      <c r="Y43" s="27"/>
      <c r="Z43" s="27"/>
      <c r="AA43" s="27"/>
      <c r="AB43" s="27"/>
      <c r="AC43" s="27"/>
      <c r="AD43" s="27"/>
      <c r="AF43" s="8"/>
      <c r="AG43" s="27"/>
      <c r="AH43" s="14">
        <f>+'Pegar ML'!Y39</f>
        <v>0</v>
      </c>
      <c r="AI43" s="13">
        <f t="shared" si="1"/>
        <v>1</v>
      </c>
      <c r="AJ43" s="7">
        <f>+'Pegar ML'!T39</f>
        <v>0</v>
      </c>
      <c r="AK43" s="27"/>
      <c r="AL43" s="27"/>
      <c r="AM43" s="27"/>
      <c r="AN43" s="27"/>
      <c r="AO43" s="27"/>
      <c r="AP43" s="27"/>
      <c r="AQ43" s="27"/>
      <c r="AR43" s="27"/>
      <c r="AS43" s="27">
        <v>17</v>
      </c>
    </row>
    <row r="44" spans="1:45" x14ac:dyDescent="0.25">
      <c r="A44" s="27">
        <f>IF('Pegar ML'!C39="Paquete de 2 productos",'Pegar ML'!A39,IF('Pegar ML'!C38="Paquete de 2 productos",'Pegar ML'!A38,'Pegar ML'!A40))</f>
        <v>0</v>
      </c>
      <c r="B44" s="27"/>
      <c r="C44" s="30" t="e">
        <f>IF(AjusteFecha!I40=0,"",AjusteFecha!I40)</f>
        <v>#N/A</v>
      </c>
      <c r="D44" s="27"/>
      <c r="E44" s="27"/>
      <c r="F44" s="27" t="str">
        <f>IF('Pegar ML'!C40="","",'Pegar ML'!C40)</f>
        <v/>
      </c>
      <c r="G44" s="27" t="str">
        <f>IF('Pegar ML'!G35="ARS","PS","PS")</f>
        <v>PS</v>
      </c>
      <c r="H44" s="14">
        <f>IF('Pegar ML'!C39="Paquete de 2 productos",IF('Pegar ML'!H39="",0,'Pegar ML'!H39),IF('Pegar ML'!H40="",0,'Pegar ML'!H40))</f>
        <v>0</v>
      </c>
      <c r="I44" s="14">
        <f>IF('Pegar ML'!C39="Paquete de 2 productos",IF('Pegar ML'!O39="",0,'Pegar ML'!O39),IF('Pegar ML'!O40="",0,'Pegar ML'!O40))</f>
        <v>0</v>
      </c>
      <c r="J44" s="14">
        <f>IF('Pegar ML'!C39="Paquete de 2 productos",IF('Pegar ML'!O39="",0,'Pegar ML'!O39),IF('Pegar ML'!O40="",0,'Pegar ML'!O40))</f>
        <v>0</v>
      </c>
      <c r="K44" s="14">
        <f t="shared" si="2"/>
        <v>0</v>
      </c>
      <c r="L44" s="27">
        <f>IF('Pegar ML'!AB40=" ",'Pegar ML'!AB39,'Pegar ML'!AB40)</f>
        <v>0</v>
      </c>
      <c r="M44" s="27" t="str">
        <f>IF('Pegar ML'!AC40=" ",RIGHT('Pegar ML'!AC39,8),RIGHT('Pegar ML'!AC40,8))</f>
        <v/>
      </c>
      <c r="N44" s="27" t="s">
        <v>80</v>
      </c>
      <c r="O44" s="27">
        <f t="shared" si="0"/>
        <v>0</v>
      </c>
      <c r="P44" s="27" t="s">
        <v>80</v>
      </c>
      <c r="Q44" s="55">
        <f>IF('Pegar ML'!AD40=" ",'Pegar ML'!AD39,'Pegar ML'!AD40)</f>
        <v>0</v>
      </c>
      <c r="R44" s="27" t="s">
        <v>80</v>
      </c>
      <c r="S44" s="27" t="s">
        <v>80</v>
      </c>
      <c r="T44" s="27" t="s">
        <v>80</v>
      </c>
      <c r="U44" s="55">
        <f>IF('Pegar ML'!AI40=" ",'Pegar ML'!AI39,'Pegar ML'!AI40)</f>
        <v>0</v>
      </c>
      <c r="V44" s="55">
        <f>IF('Pegar ML'!AK40=" ",'Pegar ML'!AK39,'Pegar ML'!AK40)</f>
        <v>0</v>
      </c>
      <c r="W44" s="55">
        <f>IF('Pegar ML'!AJ40=" ",'Pegar ML'!AJ39,'Pegar ML'!AJ40)</f>
        <v>0</v>
      </c>
      <c r="X44" s="55">
        <f>IF('Pegar ML'!AL40=" ",'Pegar ML'!AL39,'Pegar ML'!AL40)</f>
        <v>0</v>
      </c>
      <c r="Y44" s="27"/>
      <c r="Z44" s="27"/>
      <c r="AA44" s="27"/>
      <c r="AB44" s="27"/>
      <c r="AC44" s="27"/>
      <c r="AD44" s="27"/>
      <c r="AF44" s="8"/>
      <c r="AG44" s="27"/>
      <c r="AH44" s="14">
        <f>+'Pegar ML'!Y40</f>
        <v>0</v>
      </c>
      <c r="AI44" s="13">
        <f t="shared" si="1"/>
        <v>1</v>
      </c>
      <c r="AJ44" s="7">
        <f>+'Pegar ML'!T40</f>
        <v>0</v>
      </c>
      <c r="AK44" s="27"/>
      <c r="AL44" s="27"/>
      <c r="AM44" s="27"/>
      <c r="AN44" s="27"/>
      <c r="AO44" s="27"/>
      <c r="AP44" s="27"/>
      <c r="AQ44" s="27"/>
      <c r="AR44" s="27"/>
      <c r="AS44" s="27">
        <v>17</v>
      </c>
    </row>
    <row r="45" spans="1:45" x14ac:dyDescent="0.25">
      <c r="A45" s="27">
        <f>IF('Pegar ML'!C40="Paquete de 2 productos",'Pegar ML'!A40,IF('Pegar ML'!C39="Paquete de 2 productos",'Pegar ML'!A39,'Pegar ML'!A41))</f>
        <v>0</v>
      </c>
      <c r="B45" s="27"/>
      <c r="C45" s="30" t="e">
        <f>IF(AjusteFecha!I41=0,"",AjusteFecha!I41)</f>
        <v>#N/A</v>
      </c>
      <c r="D45" s="27"/>
      <c r="E45" s="27"/>
      <c r="F45" s="27" t="str">
        <f>IF('Pegar ML'!C41="","",'Pegar ML'!C41)</f>
        <v/>
      </c>
      <c r="G45" s="27" t="str">
        <f>IF('Pegar ML'!G36="ARS","PS","PS")</f>
        <v>PS</v>
      </c>
      <c r="H45" s="14">
        <f>IF('Pegar ML'!C40="Paquete de 2 productos",IF('Pegar ML'!H40="",0,'Pegar ML'!H40),IF('Pegar ML'!H41="",0,'Pegar ML'!H41))</f>
        <v>0</v>
      </c>
      <c r="I45" s="14">
        <f>IF('Pegar ML'!C40="Paquete de 2 productos",IF('Pegar ML'!O40="",0,'Pegar ML'!O40),IF('Pegar ML'!O41="",0,'Pegar ML'!O41))</f>
        <v>0</v>
      </c>
      <c r="J45" s="14">
        <f>IF('Pegar ML'!C40="Paquete de 2 productos",IF('Pegar ML'!O40="",0,'Pegar ML'!O40),IF('Pegar ML'!O41="",0,'Pegar ML'!O41))</f>
        <v>0</v>
      </c>
      <c r="K45" s="14">
        <f t="shared" si="2"/>
        <v>0</v>
      </c>
      <c r="L45" s="27">
        <f>IF('Pegar ML'!AB41=" ",'Pegar ML'!AB40,'Pegar ML'!AB41)</f>
        <v>0</v>
      </c>
      <c r="M45" s="27" t="str">
        <f>IF('Pegar ML'!AC41=" ",RIGHT('Pegar ML'!AC40,8),RIGHT('Pegar ML'!AC41,8))</f>
        <v/>
      </c>
      <c r="N45" s="27" t="s">
        <v>80</v>
      </c>
      <c r="O45" s="27">
        <f t="shared" si="0"/>
        <v>0</v>
      </c>
      <c r="P45" s="27" t="s">
        <v>80</v>
      </c>
      <c r="Q45" s="55">
        <f>IF('Pegar ML'!AD41=" ",'Pegar ML'!AD40,'Pegar ML'!AD41)</f>
        <v>0</v>
      </c>
      <c r="R45" s="27" t="s">
        <v>80</v>
      </c>
      <c r="S45" s="27" t="s">
        <v>80</v>
      </c>
      <c r="T45" s="27" t="s">
        <v>80</v>
      </c>
      <c r="U45" s="55">
        <f>IF('Pegar ML'!AI41=" ",'Pegar ML'!AI40,'Pegar ML'!AI41)</f>
        <v>0</v>
      </c>
      <c r="V45" s="55">
        <f>IF('Pegar ML'!AK41=" ",'Pegar ML'!AK40,'Pegar ML'!AK41)</f>
        <v>0</v>
      </c>
      <c r="W45" s="55">
        <f>IF('Pegar ML'!AJ41=" ",'Pegar ML'!AJ40,'Pegar ML'!AJ41)</f>
        <v>0</v>
      </c>
      <c r="X45" s="55">
        <f>IF('Pegar ML'!AL41=" ",'Pegar ML'!AL40,'Pegar ML'!AL41)</f>
        <v>0</v>
      </c>
      <c r="Y45" s="27"/>
      <c r="Z45" s="27"/>
      <c r="AA45" s="27"/>
      <c r="AB45" s="27"/>
      <c r="AC45" s="27"/>
      <c r="AD45" s="27"/>
      <c r="AF45" s="8"/>
      <c r="AG45" s="27"/>
      <c r="AH45" s="14">
        <f>+'Pegar ML'!Y41</f>
        <v>0</v>
      </c>
      <c r="AI45" s="13">
        <f t="shared" si="1"/>
        <v>1</v>
      </c>
      <c r="AJ45" s="7">
        <f>+'Pegar ML'!T41</f>
        <v>0</v>
      </c>
      <c r="AK45" s="27"/>
      <c r="AL45" s="27"/>
      <c r="AM45" s="27"/>
      <c r="AN45" s="27"/>
      <c r="AO45" s="27"/>
      <c r="AP45" s="27"/>
      <c r="AQ45" s="27"/>
      <c r="AR45" s="27"/>
      <c r="AS45" s="27">
        <v>17</v>
      </c>
    </row>
    <row r="46" spans="1:45" x14ac:dyDescent="0.25">
      <c r="A46" s="27">
        <f>IF('Pegar ML'!C41="Paquete de 2 productos",'Pegar ML'!A41,IF('Pegar ML'!C40="Paquete de 2 productos",'Pegar ML'!A40,'Pegar ML'!A42))</f>
        <v>0</v>
      </c>
      <c r="B46" s="27"/>
      <c r="C46" s="30" t="e">
        <f>IF(AjusteFecha!I42=0,"",AjusteFecha!I42)</f>
        <v>#N/A</v>
      </c>
      <c r="D46" s="27"/>
      <c r="E46" s="27"/>
      <c r="F46" s="27" t="str">
        <f>IF('Pegar ML'!C42="","",'Pegar ML'!C42)</f>
        <v/>
      </c>
      <c r="G46" s="27" t="str">
        <f>IF('Pegar ML'!G37="ARS","PS","PS")</f>
        <v>PS</v>
      </c>
      <c r="H46" s="14">
        <f>IF('Pegar ML'!C41="Paquete de 2 productos",IF('Pegar ML'!H41="",0,'Pegar ML'!H41),IF('Pegar ML'!H42="",0,'Pegar ML'!H42))</f>
        <v>0</v>
      </c>
      <c r="I46" s="14">
        <f>IF('Pegar ML'!C41="Paquete de 2 productos",IF('Pegar ML'!O41="",0,'Pegar ML'!O41),IF('Pegar ML'!O42="",0,'Pegar ML'!O42))</f>
        <v>0</v>
      </c>
      <c r="J46" s="14">
        <f>IF('Pegar ML'!C41="Paquete de 2 productos",IF('Pegar ML'!O41="",0,'Pegar ML'!O41),IF('Pegar ML'!O42="",0,'Pegar ML'!O42))</f>
        <v>0</v>
      </c>
      <c r="K46" s="14">
        <f t="shared" si="2"/>
        <v>0</v>
      </c>
      <c r="L46" s="27">
        <f>IF('Pegar ML'!AB42=" ",'Pegar ML'!AB41,'Pegar ML'!AB42)</f>
        <v>0</v>
      </c>
      <c r="M46" s="27" t="str">
        <f>IF('Pegar ML'!AC42=" ",RIGHT('Pegar ML'!AC41,8),RIGHT('Pegar ML'!AC42,8))</f>
        <v/>
      </c>
      <c r="N46" s="27" t="s">
        <v>80</v>
      </c>
      <c r="O46" s="27">
        <f t="shared" si="0"/>
        <v>0</v>
      </c>
      <c r="P46" s="27" t="s">
        <v>80</v>
      </c>
      <c r="Q46" s="55">
        <f>IF('Pegar ML'!AD42=" ",'Pegar ML'!AD41,'Pegar ML'!AD42)</f>
        <v>0</v>
      </c>
      <c r="R46" s="27" t="s">
        <v>80</v>
      </c>
      <c r="S46" s="27" t="s">
        <v>80</v>
      </c>
      <c r="T46" s="27" t="s">
        <v>80</v>
      </c>
      <c r="U46" s="55">
        <f>IF('Pegar ML'!AI42=" ",'Pegar ML'!AI41,'Pegar ML'!AI42)</f>
        <v>0</v>
      </c>
      <c r="V46" s="55">
        <f>IF('Pegar ML'!AK42=" ",'Pegar ML'!AK41,'Pegar ML'!AK42)</f>
        <v>0</v>
      </c>
      <c r="W46" s="55">
        <f>IF('Pegar ML'!AJ42=" ",'Pegar ML'!AJ41,'Pegar ML'!AJ42)</f>
        <v>0</v>
      </c>
      <c r="X46" s="55">
        <f>IF('Pegar ML'!AL42=" ",'Pegar ML'!AL41,'Pegar ML'!AL42)</f>
        <v>0</v>
      </c>
      <c r="Y46" s="27"/>
      <c r="Z46" s="27"/>
      <c r="AA46" s="27"/>
      <c r="AB46" s="27"/>
      <c r="AC46" s="27"/>
      <c r="AD46" s="27"/>
      <c r="AF46" s="8"/>
      <c r="AG46" s="27"/>
      <c r="AH46" s="14">
        <f>+'Pegar ML'!Y42</f>
        <v>0</v>
      </c>
      <c r="AI46" s="13">
        <f t="shared" si="1"/>
        <v>1</v>
      </c>
      <c r="AJ46" s="7">
        <f>+'Pegar ML'!T42</f>
        <v>0</v>
      </c>
      <c r="AK46" s="27"/>
      <c r="AL46" s="27"/>
      <c r="AM46" s="27"/>
      <c r="AN46" s="27"/>
      <c r="AO46" s="27"/>
      <c r="AP46" s="27"/>
      <c r="AQ46" s="27"/>
      <c r="AR46" s="27"/>
      <c r="AS46" s="27">
        <v>17</v>
      </c>
    </row>
    <row r="47" spans="1:45" x14ac:dyDescent="0.25">
      <c r="A47" s="27">
        <f>IF('Pegar ML'!C42="Paquete de 2 productos",'Pegar ML'!A42,IF('Pegar ML'!C41="Paquete de 2 productos",'Pegar ML'!A41,'Pegar ML'!A43))</f>
        <v>0</v>
      </c>
      <c r="B47" s="27"/>
      <c r="C47" s="30" t="e">
        <f>IF(AjusteFecha!I43=0,"",AjusteFecha!I43)</f>
        <v>#N/A</v>
      </c>
      <c r="D47" s="27"/>
      <c r="E47" s="27"/>
      <c r="F47" s="27" t="str">
        <f>IF('Pegar ML'!C43="","",'Pegar ML'!C43)</f>
        <v/>
      </c>
      <c r="G47" s="27" t="str">
        <f>IF('Pegar ML'!G38="ARS","PS","PS")</f>
        <v>PS</v>
      </c>
      <c r="H47" s="14">
        <f>IF('Pegar ML'!C42="Paquete de 2 productos",IF('Pegar ML'!H42="",0,'Pegar ML'!H42),IF('Pegar ML'!H43="",0,'Pegar ML'!H43))</f>
        <v>0</v>
      </c>
      <c r="I47" s="14">
        <f>IF('Pegar ML'!C42="Paquete de 2 productos",IF('Pegar ML'!O42="",0,'Pegar ML'!O42),IF('Pegar ML'!O43="",0,'Pegar ML'!O43))</f>
        <v>0</v>
      </c>
      <c r="J47" s="14">
        <f>IF('Pegar ML'!C42="Paquete de 2 productos",IF('Pegar ML'!O42="",0,'Pegar ML'!O42),IF('Pegar ML'!O43="",0,'Pegar ML'!O43))</f>
        <v>0</v>
      </c>
      <c r="K47" s="14">
        <f t="shared" si="2"/>
        <v>0</v>
      </c>
      <c r="L47" s="27">
        <f>IF('Pegar ML'!AB43=" ",'Pegar ML'!AB42,'Pegar ML'!AB43)</f>
        <v>0</v>
      </c>
      <c r="M47" s="27" t="str">
        <f>IF('Pegar ML'!AC43=" ",RIGHT('Pegar ML'!AC42,8),RIGHT('Pegar ML'!AC43,8))</f>
        <v/>
      </c>
      <c r="N47" s="27" t="s">
        <v>80</v>
      </c>
      <c r="O47" s="27">
        <f t="shared" si="0"/>
        <v>0</v>
      </c>
      <c r="P47" s="27" t="s">
        <v>80</v>
      </c>
      <c r="Q47" s="55">
        <f>IF('Pegar ML'!AD43=" ",'Pegar ML'!AD42,'Pegar ML'!AD43)</f>
        <v>0</v>
      </c>
      <c r="R47" s="27" t="s">
        <v>80</v>
      </c>
      <c r="S47" s="27" t="s">
        <v>80</v>
      </c>
      <c r="T47" s="27" t="s">
        <v>80</v>
      </c>
      <c r="U47" s="55">
        <f>IF('Pegar ML'!AI43=" ",'Pegar ML'!AI42,'Pegar ML'!AI43)</f>
        <v>0</v>
      </c>
      <c r="V47" s="55">
        <f>IF('Pegar ML'!AK43=" ",'Pegar ML'!AK42,'Pegar ML'!AK43)</f>
        <v>0</v>
      </c>
      <c r="W47" s="55">
        <f>IF('Pegar ML'!AJ43=" ",'Pegar ML'!AJ42,'Pegar ML'!AJ43)</f>
        <v>0</v>
      </c>
      <c r="X47" s="55">
        <f>IF('Pegar ML'!AL43=" ",'Pegar ML'!AL42,'Pegar ML'!AL43)</f>
        <v>0</v>
      </c>
      <c r="Y47" s="27"/>
      <c r="Z47" s="27"/>
      <c r="AA47" s="27"/>
      <c r="AB47" s="27"/>
      <c r="AC47" s="27"/>
      <c r="AD47" s="27"/>
      <c r="AF47" s="8"/>
      <c r="AG47" s="27"/>
      <c r="AH47" s="14">
        <f>+'Pegar ML'!Y43</f>
        <v>0</v>
      </c>
      <c r="AI47" s="13">
        <f t="shared" si="1"/>
        <v>1</v>
      </c>
      <c r="AJ47" s="7">
        <f>+'Pegar ML'!T43</f>
        <v>0</v>
      </c>
      <c r="AK47" s="27"/>
      <c r="AL47" s="27"/>
      <c r="AM47" s="27"/>
      <c r="AN47" s="27"/>
      <c r="AO47" s="27"/>
      <c r="AP47" s="27"/>
      <c r="AQ47" s="27"/>
      <c r="AR47" s="27"/>
      <c r="AS47" s="27">
        <v>17</v>
      </c>
    </row>
    <row r="48" spans="1:45" x14ac:dyDescent="0.25">
      <c r="A48" s="27">
        <f>IF('Pegar ML'!C43="Paquete de 2 productos",'Pegar ML'!A43,IF('Pegar ML'!C42="Paquete de 2 productos",'Pegar ML'!A42,'Pegar ML'!A44))</f>
        <v>0</v>
      </c>
      <c r="B48" s="27"/>
      <c r="C48" s="30" t="e">
        <f>IF(AjusteFecha!I44=0,"",AjusteFecha!I44)</f>
        <v>#N/A</v>
      </c>
      <c r="D48" s="27"/>
      <c r="E48" s="27"/>
      <c r="F48" s="27" t="str">
        <f>IF('Pegar ML'!C44="","",'Pegar ML'!C44)</f>
        <v/>
      </c>
      <c r="G48" s="27" t="str">
        <f>IF('Pegar ML'!G39="ARS","PS","PS")</f>
        <v>PS</v>
      </c>
      <c r="H48" s="14">
        <f>IF('Pegar ML'!C43="Paquete de 2 productos",IF('Pegar ML'!H43="",0,'Pegar ML'!H43),IF('Pegar ML'!H44="",0,'Pegar ML'!H44))</f>
        <v>0</v>
      </c>
      <c r="I48" s="14">
        <f>IF('Pegar ML'!C43="Paquete de 2 productos",IF('Pegar ML'!O43="",0,'Pegar ML'!O43),IF('Pegar ML'!O44="",0,'Pegar ML'!O44))</f>
        <v>0</v>
      </c>
      <c r="J48" s="14">
        <f>IF('Pegar ML'!C43="Paquete de 2 productos",IF('Pegar ML'!O43="",0,'Pegar ML'!O43),IF('Pegar ML'!O44="",0,'Pegar ML'!O44))</f>
        <v>0</v>
      </c>
      <c r="K48" s="14">
        <f t="shared" si="2"/>
        <v>0</v>
      </c>
      <c r="L48" s="27">
        <f>IF('Pegar ML'!AB44=" ",'Pegar ML'!AB43,'Pegar ML'!AB44)</f>
        <v>0</v>
      </c>
      <c r="M48" s="27" t="str">
        <f>IF('Pegar ML'!AC44=" ",RIGHT('Pegar ML'!AC43,8),RIGHT('Pegar ML'!AC44,8))</f>
        <v/>
      </c>
      <c r="N48" s="27" t="s">
        <v>80</v>
      </c>
      <c r="O48" s="27">
        <f t="shared" si="0"/>
        <v>0</v>
      </c>
      <c r="P48" s="27" t="s">
        <v>80</v>
      </c>
      <c r="Q48" s="55">
        <f>IF('Pegar ML'!AD44=" ",'Pegar ML'!AD43,'Pegar ML'!AD44)</f>
        <v>0</v>
      </c>
      <c r="R48" s="27" t="s">
        <v>80</v>
      </c>
      <c r="S48" s="27" t="s">
        <v>80</v>
      </c>
      <c r="T48" s="27" t="s">
        <v>80</v>
      </c>
      <c r="U48" s="55">
        <f>IF('Pegar ML'!AI44=" ",'Pegar ML'!AI43,'Pegar ML'!AI44)</f>
        <v>0</v>
      </c>
      <c r="V48" s="55">
        <f>IF('Pegar ML'!AK44=" ",'Pegar ML'!AK43,'Pegar ML'!AK44)</f>
        <v>0</v>
      </c>
      <c r="W48" s="55">
        <f>IF('Pegar ML'!AJ44=" ",'Pegar ML'!AJ43,'Pegar ML'!AJ44)</f>
        <v>0</v>
      </c>
      <c r="X48" s="55">
        <f>IF('Pegar ML'!AL44=" ",'Pegar ML'!AL43,'Pegar ML'!AL44)</f>
        <v>0</v>
      </c>
      <c r="Y48" s="27"/>
      <c r="Z48" s="27"/>
      <c r="AA48" s="27"/>
      <c r="AB48" s="27"/>
      <c r="AC48" s="27"/>
      <c r="AD48" s="27"/>
      <c r="AF48" s="8"/>
      <c r="AG48" s="27"/>
      <c r="AH48" s="14">
        <f>+'Pegar ML'!Y44</f>
        <v>0</v>
      </c>
      <c r="AI48" s="13">
        <f t="shared" si="1"/>
        <v>1</v>
      </c>
      <c r="AJ48" s="7">
        <f>+'Pegar ML'!T44</f>
        <v>0</v>
      </c>
      <c r="AK48" s="27"/>
      <c r="AL48" s="27"/>
      <c r="AM48" s="27"/>
      <c r="AN48" s="27"/>
      <c r="AO48" s="27"/>
      <c r="AP48" s="27"/>
      <c r="AQ48" s="27"/>
      <c r="AR48" s="27"/>
      <c r="AS48" s="27">
        <v>17</v>
      </c>
    </row>
    <row r="49" spans="1:45" x14ac:dyDescent="0.25">
      <c r="A49" s="27">
        <f>IF('Pegar ML'!C44="Paquete de 2 productos",'Pegar ML'!A44,IF('Pegar ML'!C43="Paquete de 2 productos",'Pegar ML'!A43,'Pegar ML'!A45))</f>
        <v>0</v>
      </c>
      <c r="B49" s="27"/>
      <c r="C49" s="30" t="e">
        <f>IF(AjusteFecha!I45=0,"",AjusteFecha!I45)</f>
        <v>#N/A</v>
      </c>
      <c r="D49" s="27"/>
      <c r="E49" s="27"/>
      <c r="F49" s="27" t="str">
        <f>IF('Pegar ML'!C45="","",'Pegar ML'!C45)</f>
        <v/>
      </c>
      <c r="G49" s="27" t="str">
        <f>IF('Pegar ML'!G40="ARS","PS","PS")</f>
        <v>PS</v>
      </c>
      <c r="H49" s="14">
        <f>IF('Pegar ML'!C44="Paquete de 2 productos",IF('Pegar ML'!H44="",0,'Pegar ML'!H44),IF('Pegar ML'!H45="",0,'Pegar ML'!H45))</f>
        <v>0</v>
      </c>
      <c r="I49" s="14">
        <f>IF('Pegar ML'!C44="Paquete de 2 productos",IF('Pegar ML'!O44="",0,'Pegar ML'!O44),IF('Pegar ML'!O45="",0,'Pegar ML'!O45))</f>
        <v>0</v>
      </c>
      <c r="J49" s="14">
        <f>IF('Pegar ML'!C44="Paquete de 2 productos",IF('Pegar ML'!O44="",0,'Pegar ML'!O44),IF('Pegar ML'!O45="",0,'Pegar ML'!O45))</f>
        <v>0</v>
      </c>
      <c r="K49" s="14">
        <f t="shared" si="2"/>
        <v>0</v>
      </c>
      <c r="L49" s="27">
        <f>IF('Pegar ML'!AB45=" ",'Pegar ML'!AB44,'Pegar ML'!AB45)</f>
        <v>0</v>
      </c>
      <c r="M49" s="27" t="str">
        <f>IF('Pegar ML'!AC45=" ",RIGHT('Pegar ML'!AC44,8),RIGHT('Pegar ML'!AC45,8))</f>
        <v/>
      </c>
      <c r="N49" s="27" t="s">
        <v>80</v>
      </c>
      <c r="O49" s="27">
        <f t="shared" si="0"/>
        <v>0</v>
      </c>
      <c r="P49" s="27" t="s">
        <v>80</v>
      </c>
      <c r="Q49" s="55">
        <f>IF('Pegar ML'!AD45=" ",'Pegar ML'!AD44,'Pegar ML'!AD45)</f>
        <v>0</v>
      </c>
      <c r="R49" s="27" t="s">
        <v>80</v>
      </c>
      <c r="S49" s="27" t="s">
        <v>80</v>
      </c>
      <c r="T49" s="27" t="s">
        <v>80</v>
      </c>
      <c r="U49" s="55">
        <f>IF('Pegar ML'!AI45=" ",'Pegar ML'!AI44,'Pegar ML'!AI45)</f>
        <v>0</v>
      </c>
      <c r="V49" s="55">
        <f>IF('Pegar ML'!AK45=" ",'Pegar ML'!AK44,'Pegar ML'!AK45)</f>
        <v>0</v>
      </c>
      <c r="W49" s="55">
        <f>IF('Pegar ML'!AJ45=" ",'Pegar ML'!AJ44,'Pegar ML'!AJ45)</f>
        <v>0</v>
      </c>
      <c r="X49" s="55">
        <f>IF('Pegar ML'!AL45=" ",'Pegar ML'!AL44,'Pegar ML'!AL45)</f>
        <v>0</v>
      </c>
      <c r="Y49" s="27"/>
      <c r="Z49" s="27"/>
      <c r="AA49" s="27"/>
      <c r="AB49" s="27"/>
      <c r="AC49" s="27"/>
      <c r="AD49" s="27"/>
      <c r="AF49" s="8"/>
      <c r="AG49" s="27"/>
      <c r="AH49" s="14">
        <f>+'Pegar ML'!Y45</f>
        <v>0</v>
      </c>
      <c r="AI49" s="13">
        <f t="shared" si="1"/>
        <v>1</v>
      </c>
      <c r="AJ49" s="7">
        <f>+'Pegar ML'!T45</f>
        <v>0</v>
      </c>
      <c r="AK49" s="27"/>
      <c r="AL49" s="27"/>
      <c r="AM49" s="27"/>
      <c r="AN49" s="27"/>
      <c r="AO49" s="27"/>
      <c r="AP49" s="27"/>
      <c r="AQ49" s="27"/>
      <c r="AR49" s="27"/>
      <c r="AS49" s="27">
        <v>17</v>
      </c>
    </row>
    <row r="50" spans="1:45" x14ac:dyDescent="0.25">
      <c r="A50" s="27">
        <f>IF('Pegar ML'!C45="Paquete de 2 productos",'Pegar ML'!A45,IF('Pegar ML'!C44="Paquete de 2 productos",'Pegar ML'!A44,'Pegar ML'!A46))</f>
        <v>0</v>
      </c>
      <c r="B50" s="27"/>
      <c r="C50" s="30" t="e">
        <f>IF(AjusteFecha!I46=0,"",AjusteFecha!I46)</f>
        <v>#N/A</v>
      </c>
      <c r="D50" s="27"/>
      <c r="E50" s="27"/>
      <c r="F50" s="27" t="str">
        <f>IF('Pegar ML'!C46="","",'Pegar ML'!C46)</f>
        <v/>
      </c>
      <c r="G50" s="27" t="str">
        <f>IF('Pegar ML'!G41="ARS","PS","PS")</f>
        <v>PS</v>
      </c>
      <c r="H50" s="14">
        <f>IF('Pegar ML'!C45="Paquete de 2 productos",IF('Pegar ML'!H45="",0,'Pegar ML'!H45),IF('Pegar ML'!H46="",0,'Pegar ML'!H46))</f>
        <v>0</v>
      </c>
      <c r="I50" s="14">
        <f>IF('Pegar ML'!C45="Paquete de 2 productos",IF('Pegar ML'!O45="",0,'Pegar ML'!O45),IF('Pegar ML'!O46="",0,'Pegar ML'!O46))</f>
        <v>0</v>
      </c>
      <c r="J50" s="14">
        <f>IF('Pegar ML'!C45="Paquete de 2 productos",IF('Pegar ML'!O45="",0,'Pegar ML'!O45),IF('Pegar ML'!O46="",0,'Pegar ML'!O46))</f>
        <v>0</v>
      </c>
      <c r="K50" s="14">
        <f t="shared" si="2"/>
        <v>0</v>
      </c>
      <c r="L50" s="27">
        <f>IF('Pegar ML'!AB46=" ",'Pegar ML'!AB45,'Pegar ML'!AB46)</f>
        <v>0</v>
      </c>
      <c r="M50" s="27" t="str">
        <f>IF('Pegar ML'!AC46=" ",RIGHT('Pegar ML'!AC45,8),RIGHT('Pegar ML'!AC46,8))</f>
        <v/>
      </c>
      <c r="N50" s="27" t="s">
        <v>80</v>
      </c>
      <c r="O50" s="27">
        <f t="shared" si="0"/>
        <v>0</v>
      </c>
      <c r="P50" s="27" t="s">
        <v>80</v>
      </c>
      <c r="Q50" s="55">
        <f>IF('Pegar ML'!AD46=" ",'Pegar ML'!AD45,'Pegar ML'!AD46)</f>
        <v>0</v>
      </c>
      <c r="R50" s="27" t="s">
        <v>80</v>
      </c>
      <c r="S50" s="27" t="s">
        <v>80</v>
      </c>
      <c r="T50" s="27" t="s">
        <v>80</v>
      </c>
      <c r="U50" s="55">
        <f>IF('Pegar ML'!AI46=" ",'Pegar ML'!AI45,'Pegar ML'!AI46)</f>
        <v>0</v>
      </c>
      <c r="V50" s="55">
        <f>IF('Pegar ML'!AK46=" ",'Pegar ML'!AK45,'Pegar ML'!AK46)</f>
        <v>0</v>
      </c>
      <c r="W50" s="55">
        <f>IF('Pegar ML'!AJ46=" ",'Pegar ML'!AJ45,'Pegar ML'!AJ46)</f>
        <v>0</v>
      </c>
      <c r="X50" s="55">
        <f>IF('Pegar ML'!AL46=" ",'Pegar ML'!AL45,'Pegar ML'!AL46)</f>
        <v>0</v>
      </c>
      <c r="Y50" s="27"/>
      <c r="Z50" s="27"/>
      <c r="AA50" s="27"/>
      <c r="AB50" s="27"/>
      <c r="AC50" s="27"/>
      <c r="AD50" s="27"/>
      <c r="AF50" s="8"/>
      <c r="AG50" s="27"/>
      <c r="AH50" s="14">
        <f>+'Pegar ML'!Y46</f>
        <v>0</v>
      </c>
      <c r="AI50" s="13">
        <f t="shared" si="1"/>
        <v>1</v>
      </c>
      <c r="AJ50" s="7">
        <f>+'Pegar ML'!T46</f>
        <v>0</v>
      </c>
      <c r="AK50" s="27"/>
      <c r="AL50" s="27"/>
      <c r="AM50" s="27"/>
      <c r="AN50" s="27"/>
      <c r="AO50" s="27"/>
      <c r="AP50" s="27"/>
      <c r="AQ50" s="27"/>
      <c r="AR50" s="27"/>
      <c r="AS50" s="27">
        <v>17</v>
      </c>
    </row>
    <row r="51" spans="1:45" x14ac:dyDescent="0.25">
      <c r="A51" s="27">
        <f>IF('Pegar ML'!C46="Paquete de 2 productos",'Pegar ML'!A46,IF('Pegar ML'!C45="Paquete de 2 productos",'Pegar ML'!A45,'Pegar ML'!A47))</f>
        <v>0</v>
      </c>
      <c r="B51" s="27"/>
      <c r="C51" s="30" t="e">
        <f>IF(AjusteFecha!I47=0,"",AjusteFecha!I47)</f>
        <v>#N/A</v>
      </c>
      <c r="D51" s="27"/>
      <c r="E51" s="27"/>
      <c r="F51" s="27" t="str">
        <f>IF('Pegar ML'!C47="","",'Pegar ML'!C47)</f>
        <v/>
      </c>
      <c r="G51" s="27" t="str">
        <f>IF('Pegar ML'!G42="ARS","PS","PS")</f>
        <v>PS</v>
      </c>
      <c r="H51" s="14">
        <f>IF('Pegar ML'!C46="Paquete de 2 productos",IF('Pegar ML'!H46="",0,'Pegar ML'!H46),IF('Pegar ML'!H47="",0,'Pegar ML'!H47))</f>
        <v>0</v>
      </c>
      <c r="I51" s="14">
        <f>IF('Pegar ML'!C46="Paquete de 2 productos",IF('Pegar ML'!O46="",0,'Pegar ML'!O46),IF('Pegar ML'!O47="",0,'Pegar ML'!O47))</f>
        <v>0</v>
      </c>
      <c r="J51" s="14">
        <f>IF('Pegar ML'!C46="Paquete de 2 productos",IF('Pegar ML'!O46="",0,'Pegar ML'!O46),IF('Pegar ML'!O47="",0,'Pegar ML'!O47))</f>
        <v>0</v>
      </c>
      <c r="K51" s="14">
        <f t="shared" si="2"/>
        <v>0</v>
      </c>
      <c r="L51" s="27">
        <f>IF('Pegar ML'!AB47=" ",'Pegar ML'!AB46,'Pegar ML'!AB47)</f>
        <v>0</v>
      </c>
      <c r="M51" s="27" t="str">
        <f>IF('Pegar ML'!AC47=" ",RIGHT('Pegar ML'!AC46,8),RIGHT('Pegar ML'!AC47,8))</f>
        <v/>
      </c>
      <c r="N51" s="27" t="s">
        <v>80</v>
      </c>
      <c r="O51" s="27">
        <f t="shared" si="0"/>
        <v>0</v>
      </c>
      <c r="P51" s="27" t="s">
        <v>80</v>
      </c>
      <c r="Q51" s="55">
        <f>IF('Pegar ML'!AD47=" ",'Pegar ML'!AD46,'Pegar ML'!AD47)</f>
        <v>0</v>
      </c>
      <c r="R51" s="27" t="s">
        <v>80</v>
      </c>
      <c r="S51" s="27" t="s">
        <v>80</v>
      </c>
      <c r="T51" s="27" t="s">
        <v>80</v>
      </c>
      <c r="U51" s="55">
        <f>IF('Pegar ML'!AI47=" ",'Pegar ML'!AI46,'Pegar ML'!AI47)</f>
        <v>0</v>
      </c>
      <c r="V51" s="55">
        <f>IF('Pegar ML'!AK47=" ",'Pegar ML'!AK46,'Pegar ML'!AK47)</f>
        <v>0</v>
      </c>
      <c r="W51" s="55">
        <f>IF('Pegar ML'!AJ47=" ",'Pegar ML'!AJ46,'Pegar ML'!AJ47)</f>
        <v>0</v>
      </c>
      <c r="X51" s="55">
        <f>IF('Pegar ML'!AL47=" ",'Pegar ML'!AL46,'Pegar ML'!AL47)</f>
        <v>0</v>
      </c>
      <c r="Y51" s="27"/>
      <c r="Z51" s="27"/>
      <c r="AA51" s="27"/>
      <c r="AB51" s="27"/>
      <c r="AC51" s="27"/>
      <c r="AD51" s="27"/>
      <c r="AF51" s="8"/>
      <c r="AG51" s="27"/>
      <c r="AH51" s="14">
        <f>+'Pegar ML'!Y47</f>
        <v>0</v>
      </c>
      <c r="AI51" s="13">
        <f t="shared" si="1"/>
        <v>1</v>
      </c>
      <c r="AJ51" s="7">
        <f>+'Pegar ML'!T47</f>
        <v>0</v>
      </c>
      <c r="AK51" s="27"/>
      <c r="AL51" s="27"/>
      <c r="AM51" s="27"/>
      <c r="AN51" s="27"/>
      <c r="AO51" s="27"/>
      <c r="AP51" s="27"/>
      <c r="AQ51" s="27"/>
      <c r="AR51" s="27"/>
      <c r="AS51" s="27">
        <v>17</v>
      </c>
    </row>
    <row r="52" spans="1:45" x14ac:dyDescent="0.25">
      <c r="A52" s="27">
        <f>IF('Pegar ML'!C47="Paquete de 2 productos",'Pegar ML'!A47,IF('Pegar ML'!C46="Paquete de 2 productos",'Pegar ML'!A46,'Pegar ML'!A48))</f>
        <v>0</v>
      </c>
      <c r="B52" s="27"/>
      <c r="C52" s="30" t="e">
        <f>IF(AjusteFecha!I48=0,"",AjusteFecha!I48)</f>
        <v>#N/A</v>
      </c>
      <c r="D52" s="27"/>
      <c r="E52" s="27"/>
      <c r="F52" s="27" t="str">
        <f>IF('Pegar ML'!C48="","",'Pegar ML'!C48)</f>
        <v/>
      </c>
      <c r="G52" s="27" t="str">
        <f>IF('Pegar ML'!G43="ARS","PS","PS")</f>
        <v>PS</v>
      </c>
      <c r="H52" s="14">
        <f>IF('Pegar ML'!C47="Paquete de 2 productos",IF('Pegar ML'!H47="",0,'Pegar ML'!H47),IF('Pegar ML'!H48="",0,'Pegar ML'!H48))</f>
        <v>0</v>
      </c>
      <c r="I52" s="14">
        <f>IF('Pegar ML'!C47="Paquete de 2 productos",IF('Pegar ML'!O47="",0,'Pegar ML'!O47),IF('Pegar ML'!O48="",0,'Pegar ML'!O48))</f>
        <v>0</v>
      </c>
      <c r="J52" s="14">
        <f>IF('Pegar ML'!C47="Paquete de 2 productos",IF('Pegar ML'!O47="",0,'Pegar ML'!O47),IF('Pegar ML'!O48="",0,'Pegar ML'!O48))</f>
        <v>0</v>
      </c>
      <c r="K52" s="14">
        <f t="shared" si="2"/>
        <v>0</v>
      </c>
      <c r="L52" s="27">
        <f>IF('Pegar ML'!AB48=" ",'Pegar ML'!AB47,'Pegar ML'!AB48)</f>
        <v>0</v>
      </c>
      <c r="M52" s="27" t="str">
        <f>IF('Pegar ML'!AC48=" ",RIGHT('Pegar ML'!AC47,8),RIGHT('Pegar ML'!AC48,8))</f>
        <v/>
      </c>
      <c r="N52" s="27" t="s">
        <v>80</v>
      </c>
      <c r="O52" s="27">
        <f t="shared" si="0"/>
        <v>0</v>
      </c>
      <c r="P52" s="27" t="s">
        <v>80</v>
      </c>
      <c r="Q52" s="55">
        <f>IF('Pegar ML'!AD48=" ",'Pegar ML'!AD47,'Pegar ML'!AD48)</f>
        <v>0</v>
      </c>
      <c r="R52" s="27" t="s">
        <v>80</v>
      </c>
      <c r="S52" s="27" t="s">
        <v>80</v>
      </c>
      <c r="T52" s="27" t="s">
        <v>80</v>
      </c>
      <c r="U52" s="55">
        <f>IF('Pegar ML'!AI48=" ",'Pegar ML'!AI47,'Pegar ML'!AI48)</f>
        <v>0</v>
      </c>
      <c r="V52" s="55">
        <f>IF('Pegar ML'!AK48=" ",'Pegar ML'!AK47,'Pegar ML'!AK48)</f>
        <v>0</v>
      </c>
      <c r="W52" s="55">
        <f>IF('Pegar ML'!AJ48=" ",'Pegar ML'!AJ47,'Pegar ML'!AJ48)</f>
        <v>0</v>
      </c>
      <c r="X52" s="55">
        <f>IF('Pegar ML'!AL48=" ",'Pegar ML'!AL47,'Pegar ML'!AL48)</f>
        <v>0</v>
      </c>
      <c r="Y52" s="27"/>
      <c r="Z52" s="27"/>
      <c r="AA52" s="27"/>
      <c r="AB52" s="27"/>
      <c r="AC52" s="27"/>
      <c r="AD52" s="27"/>
      <c r="AF52" s="8"/>
      <c r="AG52" s="27"/>
      <c r="AH52" s="14">
        <f>+'Pegar ML'!Y48</f>
        <v>0</v>
      </c>
      <c r="AI52" s="13">
        <f t="shared" si="1"/>
        <v>1</v>
      </c>
      <c r="AJ52" s="7">
        <f>+'Pegar ML'!T48</f>
        <v>0</v>
      </c>
      <c r="AK52" s="27"/>
      <c r="AL52" s="27"/>
      <c r="AM52" s="27"/>
      <c r="AN52" s="27"/>
      <c r="AO52" s="27"/>
      <c r="AP52" s="27"/>
      <c r="AQ52" s="27"/>
      <c r="AR52" s="27"/>
      <c r="AS52" s="27">
        <v>17</v>
      </c>
    </row>
    <row r="53" spans="1:45" x14ac:dyDescent="0.25">
      <c r="A53" s="27">
        <f>IF('Pegar ML'!C48="Paquete de 2 productos",'Pegar ML'!A48,IF('Pegar ML'!C47="Paquete de 2 productos",'Pegar ML'!A47,'Pegar ML'!A49))</f>
        <v>0</v>
      </c>
      <c r="B53" s="27"/>
      <c r="C53" s="30" t="e">
        <f>IF(AjusteFecha!I49=0,"",AjusteFecha!I49)</f>
        <v>#N/A</v>
      </c>
      <c r="D53" s="27"/>
      <c r="E53" s="27"/>
      <c r="F53" s="27" t="str">
        <f>IF('Pegar ML'!C49="","",'Pegar ML'!C49)</f>
        <v/>
      </c>
      <c r="G53" s="27" t="str">
        <f>IF('Pegar ML'!G44="ARS","PS","PS")</f>
        <v>PS</v>
      </c>
      <c r="H53" s="14">
        <f>IF('Pegar ML'!C48="Paquete de 2 productos",IF('Pegar ML'!H48="",0,'Pegar ML'!H48),IF('Pegar ML'!H49="",0,'Pegar ML'!H49))</f>
        <v>0</v>
      </c>
      <c r="I53" s="14">
        <f>IF('Pegar ML'!C48="Paquete de 2 productos",IF('Pegar ML'!O48="",0,'Pegar ML'!O48),IF('Pegar ML'!O49="",0,'Pegar ML'!O49))</f>
        <v>0</v>
      </c>
      <c r="J53" s="14">
        <f>IF('Pegar ML'!C48="Paquete de 2 productos",IF('Pegar ML'!O48="",0,'Pegar ML'!O48),IF('Pegar ML'!O49="",0,'Pegar ML'!O49))</f>
        <v>0</v>
      </c>
      <c r="K53" s="14">
        <f t="shared" si="2"/>
        <v>0</v>
      </c>
      <c r="L53" s="27">
        <f>IF('Pegar ML'!AB49=" ",'Pegar ML'!AB48,'Pegar ML'!AB49)</f>
        <v>0</v>
      </c>
      <c r="M53" s="27" t="str">
        <f>IF('Pegar ML'!AC49=" ",RIGHT('Pegar ML'!AC48,8),RIGHT('Pegar ML'!AC49,8))</f>
        <v/>
      </c>
      <c r="N53" s="27" t="s">
        <v>80</v>
      </c>
      <c r="O53" s="27">
        <f t="shared" si="0"/>
        <v>0</v>
      </c>
      <c r="P53" s="27" t="s">
        <v>80</v>
      </c>
      <c r="Q53" s="55">
        <f>IF('Pegar ML'!AD49=" ",'Pegar ML'!AD48,'Pegar ML'!AD49)</f>
        <v>0</v>
      </c>
      <c r="R53" s="27" t="s">
        <v>80</v>
      </c>
      <c r="S53" s="27" t="s">
        <v>80</v>
      </c>
      <c r="T53" s="27" t="s">
        <v>80</v>
      </c>
      <c r="U53" s="55">
        <f>IF('Pegar ML'!AI49=" ",'Pegar ML'!AI48,'Pegar ML'!AI49)</f>
        <v>0</v>
      </c>
      <c r="V53" s="55">
        <f>IF('Pegar ML'!AK49=" ",'Pegar ML'!AK48,'Pegar ML'!AK49)</f>
        <v>0</v>
      </c>
      <c r="W53" s="55">
        <f>IF('Pegar ML'!AJ49=" ",'Pegar ML'!AJ48,'Pegar ML'!AJ49)</f>
        <v>0</v>
      </c>
      <c r="X53" s="55">
        <f>IF('Pegar ML'!AL49=" ",'Pegar ML'!AL48,'Pegar ML'!AL49)</f>
        <v>0</v>
      </c>
      <c r="Y53" s="27"/>
      <c r="Z53" s="27"/>
      <c r="AA53" s="27"/>
      <c r="AB53" s="27"/>
      <c r="AC53" s="27"/>
      <c r="AD53" s="27"/>
      <c r="AF53" s="8"/>
      <c r="AG53" s="27"/>
      <c r="AH53" s="14">
        <f>+'Pegar ML'!Y49</f>
        <v>0</v>
      </c>
      <c r="AI53" s="13">
        <f t="shared" si="1"/>
        <v>1</v>
      </c>
      <c r="AJ53" s="7">
        <f>+'Pegar ML'!T49</f>
        <v>0</v>
      </c>
      <c r="AK53" s="27"/>
      <c r="AL53" s="27"/>
      <c r="AM53" s="27"/>
      <c r="AN53" s="27"/>
      <c r="AO53" s="27"/>
      <c r="AP53" s="27"/>
      <c r="AQ53" s="27"/>
      <c r="AR53" s="27"/>
      <c r="AS53" s="27">
        <v>17</v>
      </c>
    </row>
    <row r="54" spans="1:45" x14ac:dyDescent="0.25">
      <c r="A54" s="27">
        <f>IF('Pegar ML'!C49="Paquete de 2 productos",'Pegar ML'!A49,IF('Pegar ML'!C48="Paquete de 2 productos",'Pegar ML'!A48,'Pegar ML'!A50))</f>
        <v>0</v>
      </c>
      <c r="B54" s="27"/>
      <c r="C54" s="30" t="e">
        <f>IF(AjusteFecha!I50=0,"",AjusteFecha!I50)</f>
        <v>#N/A</v>
      </c>
      <c r="D54" s="27"/>
      <c r="E54" s="27"/>
      <c r="F54" s="27" t="str">
        <f>IF('Pegar ML'!C50="","",'Pegar ML'!C50)</f>
        <v/>
      </c>
      <c r="G54" s="27" t="str">
        <f>IF('Pegar ML'!G45="ARS","PS","PS")</f>
        <v>PS</v>
      </c>
      <c r="H54" s="14">
        <f>IF('Pegar ML'!C49="Paquete de 2 productos",IF('Pegar ML'!H49="",0,'Pegar ML'!H49),IF('Pegar ML'!H50="",0,'Pegar ML'!H50))</f>
        <v>0</v>
      </c>
      <c r="I54" s="14">
        <f>IF('Pegar ML'!C49="Paquete de 2 productos",IF('Pegar ML'!O49="",0,'Pegar ML'!O49),IF('Pegar ML'!O50="",0,'Pegar ML'!O50))</f>
        <v>0</v>
      </c>
      <c r="J54" s="14">
        <f>IF('Pegar ML'!C49="Paquete de 2 productos",IF('Pegar ML'!O49="",0,'Pegar ML'!O49),IF('Pegar ML'!O50="",0,'Pegar ML'!O50))</f>
        <v>0</v>
      </c>
      <c r="K54" s="14">
        <f t="shared" si="2"/>
        <v>0</v>
      </c>
      <c r="L54" s="27">
        <f>IF('Pegar ML'!AB50=" ",'Pegar ML'!AB49,'Pegar ML'!AB50)</f>
        <v>0</v>
      </c>
      <c r="M54" s="27" t="str">
        <f>IF('Pegar ML'!AC50=" ",RIGHT('Pegar ML'!AC49,8),RIGHT('Pegar ML'!AC50,8))</f>
        <v/>
      </c>
      <c r="N54" s="27" t="s">
        <v>80</v>
      </c>
      <c r="O54" s="27">
        <f t="shared" si="0"/>
        <v>0</v>
      </c>
      <c r="P54" s="27" t="s">
        <v>80</v>
      </c>
      <c r="Q54" s="55">
        <f>IF('Pegar ML'!AD50=" ",'Pegar ML'!AD49,'Pegar ML'!AD50)</f>
        <v>0</v>
      </c>
      <c r="R54" s="27" t="s">
        <v>80</v>
      </c>
      <c r="S54" s="27" t="s">
        <v>80</v>
      </c>
      <c r="T54" s="27" t="s">
        <v>80</v>
      </c>
      <c r="U54" s="55">
        <f>IF('Pegar ML'!AI50=" ",'Pegar ML'!AI49,'Pegar ML'!AI50)</f>
        <v>0</v>
      </c>
      <c r="V54" s="55">
        <f>IF('Pegar ML'!AK50=" ",'Pegar ML'!AK49,'Pegar ML'!AK50)</f>
        <v>0</v>
      </c>
      <c r="W54" s="55">
        <f>IF('Pegar ML'!AJ50=" ",'Pegar ML'!AJ49,'Pegar ML'!AJ50)</f>
        <v>0</v>
      </c>
      <c r="X54" s="55">
        <f>IF('Pegar ML'!AL50=" ",'Pegar ML'!AL49,'Pegar ML'!AL50)</f>
        <v>0</v>
      </c>
      <c r="Y54" s="27"/>
      <c r="Z54" s="27"/>
      <c r="AA54" s="27"/>
      <c r="AB54" s="27"/>
      <c r="AC54" s="27"/>
      <c r="AD54" s="27"/>
      <c r="AF54" s="8"/>
      <c r="AG54" s="27"/>
      <c r="AH54" s="14">
        <f>+'Pegar ML'!Y50</f>
        <v>0</v>
      </c>
      <c r="AI54" s="13">
        <f t="shared" si="1"/>
        <v>1</v>
      </c>
      <c r="AJ54" s="7">
        <f>+'Pegar ML'!T50</f>
        <v>0</v>
      </c>
      <c r="AK54" s="27"/>
      <c r="AL54" s="27"/>
      <c r="AM54" s="27"/>
      <c r="AN54" s="27"/>
      <c r="AO54" s="27"/>
      <c r="AP54" s="27"/>
      <c r="AQ54" s="27"/>
      <c r="AR54" s="27"/>
      <c r="AS54" s="27">
        <v>17</v>
      </c>
    </row>
    <row r="55" spans="1:45" x14ac:dyDescent="0.25">
      <c r="A55" s="27">
        <f>IF('Pegar ML'!C50="Paquete de 2 productos",'Pegar ML'!A50,IF('Pegar ML'!C49="Paquete de 2 productos",'Pegar ML'!A49,'Pegar ML'!A51))</f>
        <v>0</v>
      </c>
      <c r="B55" s="27"/>
      <c r="C55" s="30" t="e">
        <f>IF(AjusteFecha!I51=0,"",AjusteFecha!I51)</f>
        <v>#N/A</v>
      </c>
      <c r="D55" s="27"/>
      <c r="E55" s="27"/>
      <c r="F55" s="27" t="str">
        <f>IF('Pegar ML'!C51="","",'Pegar ML'!C51)</f>
        <v/>
      </c>
      <c r="G55" s="27" t="str">
        <f>IF('Pegar ML'!G46="ARS","PS","PS")</f>
        <v>PS</v>
      </c>
      <c r="H55" s="14">
        <f>IF('Pegar ML'!C50="Paquete de 2 productos",IF('Pegar ML'!H50="",0,'Pegar ML'!H50),IF('Pegar ML'!H51="",0,'Pegar ML'!H51))</f>
        <v>0</v>
      </c>
      <c r="I55" s="14">
        <f>IF('Pegar ML'!C50="Paquete de 2 productos",IF('Pegar ML'!O50="",0,'Pegar ML'!O50),IF('Pegar ML'!O51="",0,'Pegar ML'!O51))</f>
        <v>0</v>
      </c>
      <c r="J55" s="14">
        <f>IF('Pegar ML'!C50="Paquete de 2 productos",IF('Pegar ML'!O50="",0,'Pegar ML'!O50),IF('Pegar ML'!O51="",0,'Pegar ML'!O51))</f>
        <v>0</v>
      </c>
      <c r="K55" s="14">
        <f t="shared" si="2"/>
        <v>0</v>
      </c>
      <c r="L55" s="27">
        <f>IF('Pegar ML'!AB51=" ",'Pegar ML'!AB50,'Pegar ML'!AB51)</f>
        <v>0</v>
      </c>
      <c r="M55" s="27" t="str">
        <f>IF('Pegar ML'!AC51=" ",RIGHT('Pegar ML'!AC50,8),RIGHT('Pegar ML'!AC51,8))</f>
        <v/>
      </c>
      <c r="N55" s="27" t="s">
        <v>80</v>
      </c>
      <c r="O55" s="27">
        <f t="shared" si="0"/>
        <v>0</v>
      </c>
      <c r="P55" s="27" t="s">
        <v>80</v>
      </c>
      <c r="Q55" s="55">
        <f>IF('Pegar ML'!AD51=" ",'Pegar ML'!AD50,'Pegar ML'!AD51)</f>
        <v>0</v>
      </c>
      <c r="R55" s="27" t="s">
        <v>80</v>
      </c>
      <c r="S55" s="27" t="s">
        <v>80</v>
      </c>
      <c r="T55" s="27" t="s">
        <v>80</v>
      </c>
      <c r="U55" s="55">
        <f>IF('Pegar ML'!AI51=" ",'Pegar ML'!AI50,'Pegar ML'!AI51)</f>
        <v>0</v>
      </c>
      <c r="V55" s="55">
        <f>IF('Pegar ML'!AK51=" ",'Pegar ML'!AK50,'Pegar ML'!AK51)</f>
        <v>0</v>
      </c>
      <c r="W55" s="55">
        <f>IF('Pegar ML'!AJ51=" ",'Pegar ML'!AJ50,'Pegar ML'!AJ51)</f>
        <v>0</v>
      </c>
      <c r="X55" s="55">
        <f>IF('Pegar ML'!AL51=" ",'Pegar ML'!AL50,'Pegar ML'!AL51)</f>
        <v>0</v>
      </c>
      <c r="Y55" s="27"/>
      <c r="Z55" s="27"/>
      <c r="AA55" s="27"/>
      <c r="AB55" s="27"/>
      <c r="AC55" s="27"/>
      <c r="AD55" s="27"/>
      <c r="AF55" s="8"/>
      <c r="AG55" s="27"/>
      <c r="AH55" s="14">
        <f>+'Pegar ML'!Y51</f>
        <v>0</v>
      </c>
      <c r="AI55" s="13">
        <f t="shared" si="1"/>
        <v>1</v>
      </c>
      <c r="AJ55" s="7">
        <f>+'Pegar ML'!T51</f>
        <v>0</v>
      </c>
      <c r="AK55" s="27"/>
      <c r="AL55" s="27"/>
      <c r="AM55" s="27"/>
      <c r="AN55" s="27"/>
      <c r="AO55" s="27"/>
      <c r="AP55" s="27"/>
      <c r="AQ55" s="27"/>
      <c r="AR55" s="27"/>
      <c r="AS55" s="27">
        <v>17</v>
      </c>
    </row>
    <row r="56" spans="1:45" x14ac:dyDescent="0.25">
      <c r="A56" s="27">
        <f>IF('Pegar ML'!C51="Paquete de 2 productos",'Pegar ML'!A51,IF('Pegar ML'!C50="Paquete de 2 productos",'Pegar ML'!A50,'Pegar ML'!A52))</f>
        <v>0</v>
      </c>
      <c r="B56" s="27"/>
      <c r="C56" s="30" t="e">
        <f>IF(AjusteFecha!I52=0,"",AjusteFecha!I52)</f>
        <v>#N/A</v>
      </c>
      <c r="D56" s="27"/>
      <c r="E56" s="27"/>
      <c r="F56" s="27" t="str">
        <f>IF('Pegar ML'!C52="","",'Pegar ML'!C52)</f>
        <v/>
      </c>
      <c r="G56" s="27" t="str">
        <f>IF('Pegar ML'!G47="ARS","PS","PS")</f>
        <v>PS</v>
      </c>
      <c r="H56" s="14">
        <f>IF('Pegar ML'!C51="Paquete de 2 productos",IF('Pegar ML'!H51="",0,'Pegar ML'!H51),IF('Pegar ML'!H52="",0,'Pegar ML'!H52))</f>
        <v>0</v>
      </c>
      <c r="I56" s="14">
        <f>IF('Pegar ML'!C51="Paquete de 2 productos",IF('Pegar ML'!O51="",0,'Pegar ML'!O51),IF('Pegar ML'!O52="",0,'Pegar ML'!O52))</f>
        <v>0</v>
      </c>
      <c r="J56" s="14">
        <f>IF('Pegar ML'!C51="Paquete de 2 productos",IF('Pegar ML'!O51="",0,'Pegar ML'!O51),IF('Pegar ML'!O52="",0,'Pegar ML'!O52))</f>
        <v>0</v>
      </c>
      <c r="K56" s="14">
        <f t="shared" si="2"/>
        <v>0</v>
      </c>
      <c r="L56" s="27">
        <f>IF('Pegar ML'!AB52=" ",'Pegar ML'!AB51,'Pegar ML'!AB52)</f>
        <v>0</v>
      </c>
      <c r="M56" s="27" t="str">
        <f>IF('Pegar ML'!AC52=" ",RIGHT('Pegar ML'!AC51,8),RIGHT('Pegar ML'!AC52,8))</f>
        <v/>
      </c>
      <c r="N56" s="27" t="s">
        <v>80</v>
      </c>
      <c r="O56" s="27">
        <f t="shared" si="0"/>
        <v>0</v>
      </c>
      <c r="P56" s="27" t="s">
        <v>80</v>
      </c>
      <c r="Q56" s="55">
        <f>IF('Pegar ML'!AD52=" ",'Pegar ML'!AD51,'Pegar ML'!AD52)</f>
        <v>0</v>
      </c>
      <c r="R56" s="27" t="s">
        <v>80</v>
      </c>
      <c r="S56" s="27" t="s">
        <v>80</v>
      </c>
      <c r="T56" s="27" t="s">
        <v>80</v>
      </c>
      <c r="U56" s="55">
        <f>IF('Pegar ML'!AI52=" ",'Pegar ML'!AI51,'Pegar ML'!AI52)</f>
        <v>0</v>
      </c>
      <c r="V56" s="55">
        <f>IF('Pegar ML'!AK52=" ",'Pegar ML'!AK51,'Pegar ML'!AK52)</f>
        <v>0</v>
      </c>
      <c r="W56" s="55">
        <f>IF('Pegar ML'!AJ52=" ",'Pegar ML'!AJ51,'Pegar ML'!AJ52)</f>
        <v>0</v>
      </c>
      <c r="X56" s="55">
        <f>IF('Pegar ML'!AL52=" ",'Pegar ML'!AL51,'Pegar ML'!AL52)</f>
        <v>0</v>
      </c>
      <c r="Y56" s="27"/>
      <c r="Z56" s="27"/>
      <c r="AA56" s="27"/>
      <c r="AB56" s="27"/>
      <c r="AC56" s="27"/>
      <c r="AD56" s="27"/>
      <c r="AF56" s="8"/>
      <c r="AG56" s="27"/>
      <c r="AH56" s="14">
        <f>+'Pegar ML'!Y52</f>
        <v>0</v>
      </c>
      <c r="AI56" s="13">
        <f t="shared" si="1"/>
        <v>1</v>
      </c>
      <c r="AJ56" s="7">
        <f>+'Pegar ML'!T52</f>
        <v>0</v>
      </c>
      <c r="AK56" s="27"/>
      <c r="AL56" s="27"/>
      <c r="AM56" s="27"/>
      <c r="AN56" s="27"/>
      <c r="AO56" s="27"/>
      <c r="AP56" s="27"/>
      <c r="AQ56" s="27"/>
      <c r="AR56" s="27"/>
      <c r="AS56" s="27">
        <v>17</v>
      </c>
    </row>
    <row r="57" spans="1:45" x14ac:dyDescent="0.25">
      <c r="A57" s="27">
        <f>IF('Pegar ML'!C52="Paquete de 2 productos",'Pegar ML'!A52,IF('Pegar ML'!C51="Paquete de 2 productos",'Pegar ML'!A51,'Pegar ML'!A53))</f>
        <v>0</v>
      </c>
      <c r="B57" s="27"/>
      <c r="C57" s="30" t="e">
        <f>IF(AjusteFecha!I53=0,"",AjusteFecha!I53)</f>
        <v>#N/A</v>
      </c>
      <c r="D57" s="27"/>
      <c r="E57" s="27"/>
      <c r="F57" s="27" t="str">
        <f>IF('Pegar ML'!C53="","",'Pegar ML'!C53)</f>
        <v/>
      </c>
      <c r="G57" s="27" t="str">
        <f>IF('Pegar ML'!G48="ARS","PS","PS")</f>
        <v>PS</v>
      </c>
      <c r="H57" s="14">
        <f>IF('Pegar ML'!C52="Paquete de 2 productos",IF('Pegar ML'!H52="",0,'Pegar ML'!H52),IF('Pegar ML'!H53="",0,'Pegar ML'!H53))</f>
        <v>0</v>
      </c>
      <c r="I57" s="14">
        <f>IF('Pegar ML'!C52="Paquete de 2 productos",IF('Pegar ML'!O52="",0,'Pegar ML'!O52),IF('Pegar ML'!O53="",0,'Pegar ML'!O53))</f>
        <v>0</v>
      </c>
      <c r="J57" s="14">
        <f>IF('Pegar ML'!C52="Paquete de 2 productos",IF('Pegar ML'!O52="",0,'Pegar ML'!O52),IF('Pegar ML'!O53="",0,'Pegar ML'!O53))</f>
        <v>0</v>
      </c>
      <c r="K57" s="14">
        <f t="shared" si="2"/>
        <v>0</v>
      </c>
      <c r="L57" s="27">
        <f>IF('Pegar ML'!AB53=" ",'Pegar ML'!AB52,'Pegar ML'!AB53)</f>
        <v>0</v>
      </c>
      <c r="M57" s="27" t="str">
        <f>IF('Pegar ML'!AC53=" ",RIGHT('Pegar ML'!AC52,8),RIGHT('Pegar ML'!AC53,8))</f>
        <v/>
      </c>
      <c r="N57" s="27" t="s">
        <v>80</v>
      </c>
      <c r="O57" s="27">
        <f t="shared" si="0"/>
        <v>0</v>
      </c>
      <c r="P57" s="27" t="s">
        <v>80</v>
      </c>
      <c r="Q57" s="55">
        <f>IF('Pegar ML'!AD53=" ",'Pegar ML'!AD52,'Pegar ML'!AD53)</f>
        <v>0</v>
      </c>
      <c r="R57" s="27" t="s">
        <v>80</v>
      </c>
      <c r="S57" s="27" t="s">
        <v>80</v>
      </c>
      <c r="T57" s="27" t="s">
        <v>80</v>
      </c>
      <c r="U57" s="55">
        <f>IF('Pegar ML'!AI53=" ",'Pegar ML'!AI52,'Pegar ML'!AI53)</f>
        <v>0</v>
      </c>
      <c r="V57" s="55">
        <f>IF('Pegar ML'!AK53=" ",'Pegar ML'!AK52,'Pegar ML'!AK53)</f>
        <v>0</v>
      </c>
      <c r="W57" s="55">
        <f>IF('Pegar ML'!AJ53=" ",'Pegar ML'!AJ52,'Pegar ML'!AJ53)</f>
        <v>0</v>
      </c>
      <c r="X57" s="55">
        <f>IF('Pegar ML'!AL53=" ",'Pegar ML'!AL52,'Pegar ML'!AL53)</f>
        <v>0</v>
      </c>
      <c r="Y57" s="27"/>
      <c r="Z57" s="27"/>
      <c r="AA57" s="27"/>
      <c r="AB57" s="27"/>
      <c r="AC57" s="27"/>
      <c r="AD57" s="27"/>
      <c r="AF57" s="8"/>
      <c r="AG57" s="27"/>
      <c r="AH57" s="14">
        <f>+'Pegar ML'!Y53</f>
        <v>0</v>
      </c>
      <c r="AI57" s="13">
        <f t="shared" si="1"/>
        <v>1</v>
      </c>
      <c r="AJ57" s="7">
        <f>+'Pegar ML'!T53</f>
        <v>0</v>
      </c>
      <c r="AK57" s="27"/>
      <c r="AL57" s="27"/>
      <c r="AM57" s="27"/>
      <c r="AN57" s="27"/>
      <c r="AO57" s="27"/>
      <c r="AP57" s="27"/>
      <c r="AQ57" s="27"/>
      <c r="AR57" s="27"/>
      <c r="AS57" s="27">
        <v>17</v>
      </c>
    </row>
    <row r="58" spans="1:45" x14ac:dyDescent="0.25">
      <c r="A58" s="27">
        <f>IF('Pegar ML'!C53="Paquete de 2 productos",'Pegar ML'!A53,IF('Pegar ML'!C52="Paquete de 2 productos",'Pegar ML'!A52,'Pegar ML'!A54))</f>
        <v>0</v>
      </c>
      <c r="B58" s="27"/>
      <c r="C58" s="30" t="e">
        <f>IF(AjusteFecha!I54=0,"",AjusteFecha!I54)</f>
        <v>#N/A</v>
      </c>
      <c r="D58" s="27"/>
      <c r="E58" s="27"/>
      <c r="F58" s="27" t="str">
        <f>IF('Pegar ML'!C54="","",'Pegar ML'!C54)</f>
        <v/>
      </c>
      <c r="G58" s="27" t="str">
        <f>IF('Pegar ML'!G49="ARS","PS","PS")</f>
        <v>PS</v>
      </c>
      <c r="H58" s="14">
        <f>IF('Pegar ML'!C53="Paquete de 2 productos",IF('Pegar ML'!H53="",0,'Pegar ML'!H53),IF('Pegar ML'!H54="",0,'Pegar ML'!H54))</f>
        <v>0</v>
      </c>
      <c r="I58" s="14">
        <f>IF('Pegar ML'!C53="Paquete de 2 productos",IF('Pegar ML'!O53="",0,'Pegar ML'!O53),IF('Pegar ML'!O54="",0,'Pegar ML'!O54))</f>
        <v>0</v>
      </c>
      <c r="J58" s="14">
        <f>IF('Pegar ML'!C53="Paquete de 2 productos",IF('Pegar ML'!O53="",0,'Pegar ML'!O53),IF('Pegar ML'!O54="",0,'Pegar ML'!O54))</f>
        <v>0</v>
      </c>
      <c r="K58" s="14">
        <f t="shared" si="2"/>
        <v>0</v>
      </c>
      <c r="L58" s="27">
        <f>IF('Pegar ML'!AB54=" ",'Pegar ML'!AB53,'Pegar ML'!AB54)</f>
        <v>0</v>
      </c>
      <c r="M58" s="27" t="str">
        <f>IF('Pegar ML'!AC54=" ",RIGHT('Pegar ML'!AC53,8),RIGHT('Pegar ML'!AC54,8))</f>
        <v/>
      </c>
      <c r="N58" s="27" t="s">
        <v>80</v>
      </c>
      <c r="O58" s="27">
        <f t="shared" si="0"/>
        <v>0</v>
      </c>
      <c r="P58" s="27" t="s">
        <v>80</v>
      </c>
      <c r="Q58" s="55">
        <f>IF('Pegar ML'!AD54=" ",'Pegar ML'!AD53,'Pegar ML'!AD54)</f>
        <v>0</v>
      </c>
      <c r="R58" s="27" t="s">
        <v>80</v>
      </c>
      <c r="S58" s="27" t="s">
        <v>80</v>
      </c>
      <c r="T58" s="27" t="s">
        <v>80</v>
      </c>
      <c r="U58" s="55">
        <f>IF('Pegar ML'!AI54=" ",'Pegar ML'!AI53,'Pegar ML'!AI54)</f>
        <v>0</v>
      </c>
      <c r="V58" s="55">
        <f>IF('Pegar ML'!AK54=" ",'Pegar ML'!AK53,'Pegar ML'!AK54)</f>
        <v>0</v>
      </c>
      <c r="W58" s="55">
        <f>IF('Pegar ML'!AJ54=" ",'Pegar ML'!AJ53,'Pegar ML'!AJ54)</f>
        <v>0</v>
      </c>
      <c r="X58" s="55">
        <f>IF('Pegar ML'!AL54=" ",'Pegar ML'!AL53,'Pegar ML'!AL54)</f>
        <v>0</v>
      </c>
      <c r="Y58" s="27"/>
      <c r="Z58" s="27"/>
      <c r="AA58" s="27"/>
      <c r="AB58" s="27"/>
      <c r="AC58" s="27"/>
      <c r="AD58" s="27"/>
      <c r="AF58" s="8"/>
      <c r="AG58" s="27"/>
      <c r="AH58" s="14">
        <f>+'Pegar ML'!Y54</f>
        <v>0</v>
      </c>
      <c r="AI58" s="13">
        <f t="shared" si="1"/>
        <v>1</v>
      </c>
      <c r="AJ58" s="7">
        <f>+'Pegar ML'!T54</f>
        <v>0</v>
      </c>
      <c r="AK58" s="27"/>
      <c r="AL58" s="27"/>
      <c r="AM58" s="27"/>
      <c r="AN58" s="27"/>
      <c r="AO58" s="27"/>
      <c r="AP58" s="27"/>
      <c r="AQ58" s="27"/>
      <c r="AR58" s="27"/>
      <c r="AS58" s="27">
        <v>17</v>
      </c>
    </row>
    <row r="59" spans="1:45" x14ac:dyDescent="0.25">
      <c r="A59" s="27">
        <f>IF('Pegar ML'!C54="Paquete de 2 productos",'Pegar ML'!A54,IF('Pegar ML'!C53="Paquete de 2 productos",'Pegar ML'!A53,'Pegar ML'!A55))</f>
        <v>0</v>
      </c>
      <c r="B59" s="27"/>
      <c r="C59" s="30" t="e">
        <f>IF(AjusteFecha!I55=0,"",AjusteFecha!I55)</f>
        <v>#N/A</v>
      </c>
      <c r="D59" s="27"/>
      <c r="E59" s="27"/>
      <c r="F59" s="27" t="str">
        <f>IF('Pegar ML'!C55="","",'Pegar ML'!C55)</f>
        <v/>
      </c>
      <c r="G59" s="27" t="str">
        <f>IF('Pegar ML'!G50="ARS","PS","PS")</f>
        <v>PS</v>
      </c>
      <c r="H59" s="14">
        <f>IF('Pegar ML'!C54="Paquete de 2 productos",IF('Pegar ML'!H54="",0,'Pegar ML'!H54),IF('Pegar ML'!H55="",0,'Pegar ML'!H55))</f>
        <v>0</v>
      </c>
      <c r="I59" s="14">
        <f>IF('Pegar ML'!C54="Paquete de 2 productos",IF('Pegar ML'!O54="",0,'Pegar ML'!O54),IF('Pegar ML'!O55="",0,'Pegar ML'!O55))</f>
        <v>0</v>
      </c>
      <c r="J59" s="14">
        <f>IF('Pegar ML'!C54="Paquete de 2 productos",IF('Pegar ML'!O54="",0,'Pegar ML'!O54),IF('Pegar ML'!O55="",0,'Pegar ML'!O55))</f>
        <v>0</v>
      </c>
      <c r="K59" s="14">
        <f t="shared" si="2"/>
        <v>0</v>
      </c>
      <c r="L59" s="27">
        <f>IF('Pegar ML'!AB55=" ",'Pegar ML'!AB54,'Pegar ML'!AB55)</f>
        <v>0</v>
      </c>
      <c r="M59" s="27" t="str">
        <f>IF('Pegar ML'!AC55=" ",RIGHT('Pegar ML'!AC54,8),RIGHT('Pegar ML'!AC55,8))</f>
        <v/>
      </c>
      <c r="N59" s="27" t="s">
        <v>80</v>
      </c>
      <c r="O59" s="27">
        <f t="shared" si="0"/>
        <v>0</v>
      </c>
      <c r="P59" s="27" t="s">
        <v>80</v>
      </c>
      <c r="Q59" s="55">
        <f>IF('Pegar ML'!AD55=" ",'Pegar ML'!AD54,'Pegar ML'!AD55)</f>
        <v>0</v>
      </c>
      <c r="R59" s="27" t="s">
        <v>80</v>
      </c>
      <c r="S59" s="27" t="s">
        <v>80</v>
      </c>
      <c r="T59" s="27" t="s">
        <v>80</v>
      </c>
      <c r="U59" s="55">
        <f>IF('Pegar ML'!AI55=" ",'Pegar ML'!AI54,'Pegar ML'!AI55)</f>
        <v>0</v>
      </c>
      <c r="V59" s="55">
        <f>IF('Pegar ML'!AK55=" ",'Pegar ML'!AK54,'Pegar ML'!AK55)</f>
        <v>0</v>
      </c>
      <c r="W59" s="55">
        <f>IF('Pegar ML'!AJ55=" ",'Pegar ML'!AJ54,'Pegar ML'!AJ55)</f>
        <v>0</v>
      </c>
      <c r="X59" s="55">
        <f>IF('Pegar ML'!AL55=" ",'Pegar ML'!AL54,'Pegar ML'!AL55)</f>
        <v>0</v>
      </c>
      <c r="Y59" s="27"/>
      <c r="Z59" s="27"/>
      <c r="AA59" s="27"/>
      <c r="AB59" s="27"/>
      <c r="AC59" s="27"/>
      <c r="AD59" s="27"/>
      <c r="AF59" s="8"/>
      <c r="AG59" s="27"/>
      <c r="AH59" s="14">
        <f>+'Pegar ML'!Y55</f>
        <v>0</v>
      </c>
      <c r="AI59" s="13">
        <f t="shared" si="1"/>
        <v>1</v>
      </c>
      <c r="AJ59" s="7">
        <f>+'Pegar ML'!T55</f>
        <v>0</v>
      </c>
      <c r="AK59" s="27"/>
      <c r="AL59" s="27"/>
      <c r="AM59" s="27"/>
      <c r="AN59" s="27"/>
      <c r="AO59" s="27"/>
      <c r="AP59" s="27"/>
      <c r="AQ59" s="27"/>
      <c r="AR59" s="27"/>
      <c r="AS59" s="27">
        <v>17</v>
      </c>
    </row>
    <row r="60" spans="1:45" ht="15" customHeight="1" x14ac:dyDescent="0.25">
      <c r="A60" s="27">
        <f>IF('Pegar ML'!C55="Paquete de 2 productos",'Pegar ML'!A55,IF('Pegar ML'!C54="Paquete de 2 productos",'Pegar ML'!A54,'Pegar ML'!A56))</f>
        <v>0</v>
      </c>
      <c r="B60" s="27"/>
      <c r="C60" s="30" t="e">
        <f>IF(AjusteFecha!I56=0,"",AjusteFecha!I56)</f>
        <v>#N/A</v>
      </c>
      <c r="D60" s="27"/>
      <c r="E60" s="27"/>
      <c r="F60" s="27" t="str">
        <f>IF('Pegar ML'!C56="","",'Pegar ML'!C56)</f>
        <v/>
      </c>
      <c r="G60" s="27" t="str">
        <f>IF('Pegar ML'!G51="ARS","PS","PS")</f>
        <v>PS</v>
      </c>
      <c r="H60" s="14">
        <f>IF('Pegar ML'!C55="Paquete de 2 productos",IF('Pegar ML'!H55="",0,'Pegar ML'!H55),IF('Pegar ML'!H56="",0,'Pegar ML'!H56))</f>
        <v>0</v>
      </c>
      <c r="I60" s="14">
        <f>IF('Pegar ML'!C55="Paquete de 2 productos",IF('Pegar ML'!O55="",0,'Pegar ML'!O55),IF('Pegar ML'!O56="",0,'Pegar ML'!O56))</f>
        <v>0</v>
      </c>
      <c r="J60" s="14">
        <f>IF('Pegar ML'!C55="Paquete de 2 productos",IF('Pegar ML'!O55="",0,'Pegar ML'!O55),IF('Pegar ML'!O56="",0,'Pegar ML'!O56))</f>
        <v>0</v>
      </c>
      <c r="K60" s="14">
        <f t="shared" si="2"/>
        <v>0</v>
      </c>
      <c r="L60" s="27">
        <f>IF('Pegar ML'!AB56=" ",'Pegar ML'!AB55,'Pegar ML'!AB56)</f>
        <v>0</v>
      </c>
      <c r="M60" s="27" t="str">
        <f>IF('Pegar ML'!AC56=" ",RIGHT('Pegar ML'!AC55,8),RIGHT('Pegar ML'!AC56,8))</f>
        <v/>
      </c>
      <c r="N60" s="27" t="s">
        <v>80</v>
      </c>
      <c r="O60" s="27">
        <f t="shared" si="0"/>
        <v>0</v>
      </c>
      <c r="P60" s="27" t="s">
        <v>80</v>
      </c>
      <c r="Q60" s="55">
        <f>IF('Pegar ML'!AD56=" ",'Pegar ML'!AD55,'Pegar ML'!AD56)</f>
        <v>0</v>
      </c>
      <c r="R60" s="27" t="s">
        <v>80</v>
      </c>
      <c r="S60" s="27" t="s">
        <v>80</v>
      </c>
      <c r="T60" s="27" t="s">
        <v>80</v>
      </c>
      <c r="U60" s="55">
        <f>IF('Pegar ML'!AI56=" ",'Pegar ML'!AI55,'Pegar ML'!AI56)</f>
        <v>0</v>
      </c>
      <c r="V60" s="55">
        <f>IF('Pegar ML'!AK56=" ",'Pegar ML'!AK55,'Pegar ML'!AK56)</f>
        <v>0</v>
      </c>
      <c r="W60" s="55">
        <f>IF('Pegar ML'!AJ56=" ",'Pegar ML'!AJ55,'Pegar ML'!AJ56)</f>
        <v>0</v>
      </c>
      <c r="X60" s="55">
        <f>IF('Pegar ML'!AL56=" ",'Pegar ML'!AL55,'Pegar ML'!AL56)</f>
        <v>0</v>
      </c>
      <c r="Y60" s="27"/>
      <c r="Z60" s="27"/>
      <c r="AA60" s="27"/>
      <c r="AB60" s="27"/>
      <c r="AC60" s="27"/>
      <c r="AD60" s="27"/>
      <c r="AF60" s="8"/>
      <c r="AG60" s="27"/>
      <c r="AH60" s="14">
        <f>+'Pegar ML'!Y56</f>
        <v>0</v>
      </c>
      <c r="AI60" s="13">
        <f t="shared" si="1"/>
        <v>1</v>
      </c>
      <c r="AJ60" s="7">
        <f>+'Pegar ML'!T56</f>
        <v>0</v>
      </c>
      <c r="AK60" s="27"/>
      <c r="AL60" s="27"/>
      <c r="AM60" s="27"/>
      <c r="AN60" s="27"/>
      <c r="AO60" s="27"/>
      <c r="AP60" s="27"/>
      <c r="AQ60" s="27"/>
      <c r="AR60" s="27"/>
      <c r="AS60" s="27">
        <v>17</v>
      </c>
    </row>
    <row r="61" spans="1:45" x14ac:dyDescent="0.25">
      <c r="A61" s="27">
        <f>IF('Pegar ML'!C56="Paquete de 2 productos",'Pegar ML'!A56,IF('Pegar ML'!C55="Paquete de 2 productos",'Pegar ML'!A55,'Pegar ML'!A57))</f>
        <v>0</v>
      </c>
      <c r="B61" s="27"/>
      <c r="C61" s="30" t="e">
        <f>IF(AjusteFecha!I57=0,"",AjusteFecha!I57)</f>
        <v>#N/A</v>
      </c>
      <c r="D61" s="27"/>
      <c r="E61" s="27"/>
      <c r="F61" s="27" t="str">
        <f>IF('Pegar ML'!C57="","",'Pegar ML'!C57)</f>
        <v/>
      </c>
      <c r="G61" s="27" t="str">
        <f>IF('Pegar ML'!G52="ARS","PS","PS")</f>
        <v>PS</v>
      </c>
      <c r="H61" s="14">
        <f>IF('Pegar ML'!C56="Paquete de 2 productos",IF('Pegar ML'!H56="",0,'Pegar ML'!H56),IF('Pegar ML'!H57="",0,'Pegar ML'!H57))</f>
        <v>0</v>
      </c>
      <c r="I61" s="14">
        <f>IF('Pegar ML'!C56="Paquete de 2 productos",IF('Pegar ML'!O56="",0,'Pegar ML'!O56),IF('Pegar ML'!O57="",0,'Pegar ML'!O57))</f>
        <v>0</v>
      </c>
      <c r="J61" s="14">
        <f>IF('Pegar ML'!C56="Paquete de 2 productos",IF('Pegar ML'!O56="",0,'Pegar ML'!O56),IF('Pegar ML'!O57="",0,'Pegar ML'!O57))</f>
        <v>0</v>
      </c>
      <c r="K61" s="14">
        <f t="shared" si="2"/>
        <v>0</v>
      </c>
      <c r="L61" s="27">
        <f>IF('Pegar ML'!AB57=" ",'Pegar ML'!AB56,'Pegar ML'!AB57)</f>
        <v>0</v>
      </c>
      <c r="M61" s="27" t="str">
        <f>IF('Pegar ML'!AC57=" ",RIGHT('Pegar ML'!AC56,8),RIGHT('Pegar ML'!AC57,8))</f>
        <v/>
      </c>
      <c r="N61" s="27" t="s">
        <v>80</v>
      </c>
      <c r="O61" s="27">
        <f t="shared" si="0"/>
        <v>0</v>
      </c>
      <c r="P61" s="27" t="s">
        <v>80</v>
      </c>
      <c r="Q61" s="55">
        <f>IF('Pegar ML'!AD57=" ",'Pegar ML'!AD56,'Pegar ML'!AD57)</f>
        <v>0</v>
      </c>
      <c r="R61" s="27" t="s">
        <v>80</v>
      </c>
      <c r="S61" s="27" t="s">
        <v>80</v>
      </c>
      <c r="T61" s="27" t="s">
        <v>80</v>
      </c>
      <c r="U61" s="55">
        <f>IF('Pegar ML'!AI57=" ",'Pegar ML'!AI56,'Pegar ML'!AI57)</f>
        <v>0</v>
      </c>
      <c r="V61" s="55">
        <f>IF('Pegar ML'!AK57=" ",'Pegar ML'!AK56,'Pegar ML'!AK57)</f>
        <v>0</v>
      </c>
      <c r="W61" s="55">
        <f>IF('Pegar ML'!AJ57=" ",'Pegar ML'!AJ56,'Pegar ML'!AJ57)</f>
        <v>0</v>
      </c>
      <c r="X61" s="55">
        <f>IF('Pegar ML'!AL57=" ",'Pegar ML'!AL56,'Pegar ML'!AL57)</f>
        <v>0</v>
      </c>
      <c r="Y61" s="27"/>
      <c r="Z61" s="27"/>
      <c r="AA61" s="27"/>
      <c r="AB61" s="27"/>
      <c r="AC61" s="27"/>
      <c r="AD61" s="27"/>
      <c r="AF61" s="8"/>
      <c r="AG61" s="27"/>
      <c r="AH61" s="14">
        <f>+'Pegar ML'!Y57</f>
        <v>0</v>
      </c>
      <c r="AI61" s="13">
        <f t="shared" si="1"/>
        <v>1</v>
      </c>
      <c r="AJ61" s="7">
        <f>+'Pegar ML'!T57</f>
        <v>0</v>
      </c>
      <c r="AK61" s="27"/>
      <c r="AL61" s="27"/>
      <c r="AM61" s="27"/>
      <c r="AN61" s="27"/>
      <c r="AO61" s="27"/>
      <c r="AP61" s="27"/>
      <c r="AQ61" s="27"/>
      <c r="AR61" s="27"/>
      <c r="AS61" s="27">
        <v>17</v>
      </c>
    </row>
    <row r="62" spans="1:45" x14ac:dyDescent="0.25">
      <c r="A62" s="27">
        <f>IF('Pegar ML'!C57="Paquete de 2 productos",'Pegar ML'!A57,IF('Pegar ML'!C56="Paquete de 2 productos",'Pegar ML'!A56,'Pegar ML'!A58))</f>
        <v>0</v>
      </c>
      <c r="B62" s="27"/>
      <c r="C62" s="30" t="e">
        <f>IF(AjusteFecha!I58=0,"",AjusteFecha!I58)</f>
        <v>#N/A</v>
      </c>
      <c r="D62" s="27"/>
      <c r="E62" s="27"/>
      <c r="F62" s="27" t="str">
        <f>IF('Pegar ML'!C58="","",'Pegar ML'!C58)</f>
        <v/>
      </c>
      <c r="G62" s="27" t="str">
        <f>IF('Pegar ML'!G53="ARS","PS","PS")</f>
        <v>PS</v>
      </c>
      <c r="H62" s="14">
        <f>IF('Pegar ML'!C57="Paquete de 2 productos",IF('Pegar ML'!H57="",0,'Pegar ML'!H57),IF('Pegar ML'!H58="",0,'Pegar ML'!H58))</f>
        <v>0</v>
      </c>
      <c r="I62" s="14">
        <f>IF('Pegar ML'!C57="Paquete de 2 productos",IF('Pegar ML'!O57="",0,'Pegar ML'!O57),IF('Pegar ML'!O58="",0,'Pegar ML'!O58))</f>
        <v>0</v>
      </c>
      <c r="J62" s="14">
        <f>IF('Pegar ML'!C57="Paquete de 2 productos",IF('Pegar ML'!O57="",0,'Pegar ML'!O57),IF('Pegar ML'!O58="",0,'Pegar ML'!O58))</f>
        <v>0</v>
      </c>
      <c r="K62" s="14">
        <f t="shared" si="2"/>
        <v>0</v>
      </c>
      <c r="L62" s="27">
        <f>IF('Pegar ML'!AB58=" ",'Pegar ML'!AB57,'Pegar ML'!AB58)</f>
        <v>0</v>
      </c>
      <c r="M62" s="27" t="str">
        <f>IF('Pegar ML'!AC58=" ",RIGHT('Pegar ML'!AC57,8),RIGHT('Pegar ML'!AC58,8))</f>
        <v/>
      </c>
      <c r="N62" s="27" t="s">
        <v>80</v>
      </c>
      <c r="O62" s="27">
        <f t="shared" si="0"/>
        <v>0</v>
      </c>
      <c r="P62" s="27" t="s">
        <v>80</v>
      </c>
      <c r="Q62" s="55">
        <f>IF('Pegar ML'!AD58=" ",'Pegar ML'!AD57,'Pegar ML'!AD58)</f>
        <v>0</v>
      </c>
      <c r="R62" s="27" t="s">
        <v>80</v>
      </c>
      <c r="S62" s="27" t="s">
        <v>80</v>
      </c>
      <c r="T62" s="27" t="s">
        <v>80</v>
      </c>
      <c r="U62" s="55">
        <f>IF('Pegar ML'!AI58=" ",'Pegar ML'!AI57,'Pegar ML'!AI58)</f>
        <v>0</v>
      </c>
      <c r="V62" s="55">
        <f>IF('Pegar ML'!AK58=" ",'Pegar ML'!AK57,'Pegar ML'!AK58)</f>
        <v>0</v>
      </c>
      <c r="W62" s="55">
        <f>IF('Pegar ML'!AJ58=" ",'Pegar ML'!AJ57,'Pegar ML'!AJ58)</f>
        <v>0</v>
      </c>
      <c r="X62" s="55">
        <f>IF('Pegar ML'!AL58=" ",'Pegar ML'!AL57,'Pegar ML'!AL58)</f>
        <v>0</v>
      </c>
      <c r="Y62" s="27"/>
      <c r="Z62" s="27"/>
      <c r="AA62" s="27"/>
      <c r="AB62" s="27"/>
      <c r="AC62" s="27"/>
      <c r="AD62" s="27"/>
      <c r="AF62" s="8"/>
      <c r="AG62" s="27"/>
      <c r="AH62" s="14">
        <f>+'Pegar ML'!Y58</f>
        <v>0</v>
      </c>
      <c r="AI62" s="13">
        <f t="shared" si="1"/>
        <v>1</v>
      </c>
      <c r="AJ62" s="7">
        <f>+'Pegar ML'!T58</f>
        <v>0</v>
      </c>
      <c r="AK62" s="27"/>
      <c r="AL62" s="27"/>
      <c r="AM62" s="27"/>
      <c r="AN62" s="27"/>
      <c r="AO62" s="27"/>
      <c r="AP62" s="27"/>
      <c r="AQ62" s="27"/>
      <c r="AR62" s="27"/>
      <c r="AS62" s="27">
        <v>17</v>
      </c>
    </row>
    <row r="63" spans="1:45" ht="15" customHeight="1" x14ac:dyDescent="0.25">
      <c r="A63" s="27">
        <f>IF('Pegar ML'!C58="Paquete de 2 productos",'Pegar ML'!A58,IF('Pegar ML'!C57="Paquete de 2 productos",'Pegar ML'!A57,'Pegar ML'!A59))</f>
        <v>0</v>
      </c>
      <c r="B63" s="27"/>
      <c r="C63" s="30" t="e">
        <f>IF(AjusteFecha!I59=0,"",AjusteFecha!I59)</f>
        <v>#N/A</v>
      </c>
      <c r="D63" s="27"/>
      <c r="E63" s="27"/>
      <c r="F63" s="27" t="str">
        <f>IF('Pegar ML'!C59="","",'Pegar ML'!C59)</f>
        <v/>
      </c>
      <c r="G63" s="27" t="str">
        <f>IF('Pegar ML'!G54="ARS","PS","PS")</f>
        <v>PS</v>
      </c>
      <c r="H63" s="14">
        <f>IF('Pegar ML'!C58="Paquete de 2 productos",IF('Pegar ML'!H58="",0,'Pegar ML'!H58),IF('Pegar ML'!H59="",0,'Pegar ML'!H59))</f>
        <v>0</v>
      </c>
      <c r="I63" s="14">
        <f>IF('Pegar ML'!C58="Paquete de 2 productos",IF('Pegar ML'!O58="",0,'Pegar ML'!O58),IF('Pegar ML'!O59="",0,'Pegar ML'!O59))</f>
        <v>0</v>
      </c>
      <c r="J63" s="14">
        <f>IF('Pegar ML'!C58="Paquete de 2 productos",IF('Pegar ML'!O58="",0,'Pegar ML'!O58),IF('Pegar ML'!O59="",0,'Pegar ML'!O59))</f>
        <v>0</v>
      </c>
      <c r="K63" s="14">
        <f t="shared" si="2"/>
        <v>0</v>
      </c>
      <c r="L63" s="27">
        <f>IF('Pegar ML'!AB59=" ",'Pegar ML'!AB58,'Pegar ML'!AB59)</f>
        <v>0</v>
      </c>
      <c r="M63" s="27" t="str">
        <f>IF('Pegar ML'!AC59=" ",RIGHT('Pegar ML'!AC58,8),RIGHT('Pegar ML'!AC59,8))</f>
        <v/>
      </c>
      <c r="N63" s="27" t="s">
        <v>80</v>
      </c>
      <c r="O63" s="27">
        <f t="shared" si="0"/>
        <v>0</v>
      </c>
      <c r="P63" s="27" t="s">
        <v>80</v>
      </c>
      <c r="Q63" s="55">
        <f>IF('Pegar ML'!AD59=" ",'Pegar ML'!AD58,'Pegar ML'!AD59)</f>
        <v>0</v>
      </c>
      <c r="R63" s="27" t="s">
        <v>80</v>
      </c>
      <c r="S63" s="27" t="s">
        <v>80</v>
      </c>
      <c r="T63" s="27" t="s">
        <v>80</v>
      </c>
      <c r="U63" s="55">
        <f>IF('Pegar ML'!AI59=" ",'Pegar ML'!AI58,'Pegar ML'!AI59)</f>
        <v>0</v>
      </c>
      <c r="V63" s="55">
        <f>IF('Pegar ML'!AK59=" ",'Pegar ML'!AK58,'Pegar ML'!AK59)</f>
        <v>0</v>
      </c>
      <c r="W63" s="55">
        <f>IF('Pegar ML'!AJ59=" ",'Pegar ML'!AJ58,'Pegar ML'!AJ59)</f>
        <v>0</v>
      </c>
      <c r="X63" s="55">
        <f>IF('Pegar ML'!AL59=" ",'Pegar ML'!AL58,'Pegar ML'!AL59)</f>
        <v>0</v>
      </c>
      <c r="Y63" s="27"/>
      <c r="Z63" s="27"/>
      <c r="AA63" s="27"/>
      <c r="AB63" s="27"/>
      <c r="AC63" s="27"/>
      <c r="AD63" s="27"/>
      <c r="AF63" s="8"/>
      <c r="AG63" s="27"/>
      <c r="AH63" s="14">
        <f>+'Pegar ML'!Y59</f>
        <v>0</v>
      </c>
      <c r="AI63" s="13">
        <f t="shared" si="1"/>
        <v>1</v>
      </c>
      <c r="AJ63" s="7">
        <f>+'Pegar ML'!T59</f>
        <v>0</v>
      </c>
      <c r="AK63" s="27"/>
      <c r="AL63" s="27"/>
      <c r="AM63" s="27"/>
      <c r="AN63" s="27"/>
      <c r="AO63" s="27"/>
      <c r="AP63" s="27"/>
      <c r="AQ63" s="27"/>
      <c r="AR63" s="27"/>
      <c r="AS63" s="27">
        <v>17</v>
      </c>
    </row>
    <row r="64" spans="1:45" x14ac:dyDescent="0.25">
      <c r="A64" s="27">
        <f>IF('Pegar ML'!C59="Paquete de 2 productos",'Pegar ML'!A59,IF('Pegar ML'!C58="Paquete de 2 productos",'Pegar ML'!A58,'Pegar ML'!A60))</f>
        <v>0</v>
      </c>
      <c r="B64" s="27"/>
      <c r="C64" s="30" t="e">
        <f>IF(AjusteFecha!I60=0,"",AjusteFecha!I60)</f>
        <v>#N/A</v>
      </c>
      <c r="D64" s="27"/>
      <c r="E64" s="27"/>
      <c r="F64" s="27" t="str">
        <f>IF('Pegar ML'!C60="","",'Pegar ML'!C60)</f>
        <v/>
      </c>
      <c r="G64" s="27" t="str">
        <f>IF('Pegar ML'!G55="ARS","PS","PS")</f>
        <v>PS</v>
      </c>
      <c r="H64" s="14">
        <f>IF('Pegar ML'!C59="Paquete de 2 productos",IF('Pegar ML'!H59="",0,'Pegar ML'!H59),IF('Pegar ML'!H60="",0,'Pegar ML'!H60))</f>
        <v>0</v>
      </c>
      <c r="I64" s="14">
        <f>IF('Pegar ML'!C59="Paquete de 2 productos",IF('Pegar ML'!O59="",0,'Pegar ML'!O59),IF('Pegar ML'!O60="",0,'Pegar ML'!O60))</f>
        <v>0</v>
      </c>
      <c r="J64" s="14">
        <f>IF('Pegar ML'!C59="Paquete de 2 productos",IF('Pegar ML'!O59="",0,'Pegar ML'!O59),IF('Pegar ML'!O60="",0,'Pegar ML'!O60))</f>
        <v>0</v>
      </c>
      <c r="K64" s="14">
        <f t="shared" si="2"/>
        <v>0</v>
      </c>
      <c r="L64" s="27">
        <f>IF('Pegar ML'!AB60=" ",'Pegar ML'!AB59,'Pegar ML'!AB60)</f>
        <v>0</v>
      </c>
      <c r="M64" s="27" t="str">
        <f>IF('Pegar ML'!AC60=" ",RIGHT('Pegar ML'!AC59,8),RIGHT('Pegar ML'!AC60,8))</f>
        <v/>
      </c>
      <c r="N64" s="27" t="s">
        <v>80</v>
      </c>
      <c r="O64" s="27">
        <f t="shared" si="0"/>
        <v>0</v>
      </c>
      <c r="P64" s="27" t="s">
        <v>80</v>
      </c>
      <c r="Q64" s="55">
        <f>IF('Pegar ML'!AD60=" ",'Pegar ML'!AD59,'Pegar ML'!AD60)</f>
        <v>0</v>
      </c>
      <c r="R64" s="27" t="s">
        <v>80</v>
      </c>
      <c r="S64" s="27" t="s">
        <v>80</v>
      </c>
      <c r="T64" s="27" t="s">
        <v>80</v>
      </c>
      <c r="U64" s="55">
        <f>IF('Pegar ML'!AI60=" ",'Pegar ML'!AI59,'Pegar ML'!AI60)</f>
        <v>0</v>
      </c>
      <c r="V64" s="55">
        <f>IF('Pegar ML'!AK60=" ",'Pegar ML'!AK59,'Pegar ML'!AK60)</f>
        <v>0</v>
      </c>
      <c r="W64" s="55">
        <f>IF('Pegar ML'!AJ60=" ",'Pegar ML'!AJ59,'Pegar ML'!AJ60)</f>
        <v>0</v>
      </c>
      <c r="X64" s="55">
        <f>IF('Pegar ML'!AL60=" ",'Pegar ML'!AL59,'Pegar ML'!AL60)</f>
        <v>0</v>
      </c>
      <c r="Y64" s="27"/>
      <c r="Z64" s="27"/>
      <c r="AA64" s="27"/>
      <c r="AB64" s="27"/>
      <c r="AC64" s="27"/>
      <c r="AD64" s="27"/>
      <c r="AF64" s="8"/>
      <c r="AG64" s="27"/>
      <c r="AH64" s="14">
        <f>+'Pegar ML'!Y60</f>
        <v>0</v>
      </c>
      <c r="AI64" s="13">
        <f t="shared" si="1"/>
        <v>1</v>
      </c>
      <c r="AJ64" s="7">
        <f>+'Pegar ML'!T60</f>
        <v>0</v>
      </c>
      <c r="AK64" s="27"/>
      <c r="AL64" s="27"/>
      <c r="AM64" s="27"/>
      <c r="AN64" s="27"/>
      <c r="AO64" s="27"/>
      <c r="AP64" s="27"/>
      <c r="AQ64" s="27"/>
      <c r="AR64" s="27"/>
      <c r="AS64" s="27">
        <v>17</v>
      </c>
    </row>
    <row r="65" spans="1:45" x14ac:dyDescent="0.25">
      <c r="A65" s="27">
        <f>IF('Pegar ML'!C60="Paquete de 2 productos",'Pegar ML'!A60,IF('Pegar ML'!C59="Paquete de 2 productos",'Pegar ML'!A59,'Pegar ML'!A61))</f>
        <v>0</v>
      </c>
      <c r="B65" s="27"/>
      <c r="C65" s="30" t="e">
        <f>IF(AjusteFecha!I61=0,"",AjusteFecha!I61)</f>
        <v>#N/A</v>
      </c>
      <c r="D65" s="27"/>
      <c r="E65" s="27"/>
      <c r="F65" s="27" t="str">
        <f>IF('Pegar ML'!C61="","",'Pegar ML'!C61)</f>
        <v/>
      </c>
      <c r="G65" s="27" t="str">
        <f>IF('Pegar ML'!G56="ARS","PS","PS")</f>
        <v>PS</v>
      </c>
      <c r="H65" s="14">
        <f>IF('Pegar ML'!C60="Paquete de 2 productos",IF('Pegar ML'!H60="",0,'Pegar ML'!H60),IF('Pegar ML'!H61="",0,'Pegar ML'!H61))</f>
        <v>0</v>
      </c>
      <c r="I65" s="14">
        <f>IF('Pegar ML'!C60="Paquete de 2 productos",IF('Pegar ML'!O60="",0,'Pegar ML'!O60),IF('Pegar ML'!O61="",0,'Pegar ML'!O61))</f>
        <v>0</v>
      </c>
      <c r="J65" s="14">
        <f>IF('Pegar ML'!C60="Paquete de 2 productos",IF('Pegar ML'!O60="",0,'Pegar ML'!O60),IF('Pegar ML'!O61="",0,'Pegar ML'!O61))</f>
        <v>0</v>
      </c>
      <c r="K65" s="14">
        <f t="shared" si="2"/>
        <v>0</v>
      </c>
      <c r="L65" s="27">
        <f>IF('Pegar ML'!AB61=" ",'Pegar ML'!AB60,'Pegar ML'!AB61)</f>
        <v>0</v>
      </c>
      <c r="M65" s="27" t="str">
        <f>IF('Pegar ML'!AC61=" ",RIGHT('Pegar ML'!AC60,8),RIGHT('Pegar ML'!AC61,8))</f>
        <v/>
      </c>
      <c r="N65" s="27" t="s">
        <v>80</v>
      </c>
      <c r="O65" s="27">
        <f t="shared" si="0"/>
        <v>0</v>
      </c>
      <c r="P65" s="27" t="s">
        <v>80</v>
      </c>
      <c r="Q65" s="55">
        <f>IF('Pegar ML'!AD61=" ",'Pegar ML'!AD60,'Pegar ML'!AD61)</f>
        <v>0</v>
      </c>
      <c r="R65" s="27" t="s">
        <v>80</v>
      </c>
      <c r="S65" s="27" t="s">
        <v>80</v>
      </c>
      <c r="T65" s="27" t="s">
        <v>80</v>
      </c>
      <c r="U65" s="55">
        <f>IF('Pegar ML'!AI61=" ",'Pegar ML'!AI60,'Pegar ML'!AI61)</f>
        <v>0</v>
      </c>
      <c r="V65" s="55">
        <f>IF('Pegar ML'!AK61=" ",'Pegar ML'!AK60,'Pegar ML'!AK61)</f>
        <v>0</v>
      </c>
      <c r="W65" s="55">
        <f>IF('Pegar ML'!AJ61=" ",'Pegar ML'!AJ60,'Pegar ML'!AJ61)</f>
        <v>0</v>
      </c>
      <c r="X65" s="55">
        <f>IF('Pegar ML'!AL61=" ",'Pegar ML'!AL60,'Pegar ML'!AL61)</f>
        <v>0</v>
      </c>
      <c r="Y65" s="27"/>
      <c r="Z65" s="27"/>
      <c r="AA65" s="27"/>
      <c r="AB65" s="27"/>
      <c r="AC65" s="27"/>
      <c r="AD65" s="27"/>
      <c r="AF65" s="8"/>
      <c r="AG65" s="27"/>
      <c r="AH65" s="14">
        <f>+'Pegar ML'!Y61</f>
        <v>0</v>
      </c>
      <c r="AI65" s="13">
        <f t="shared" si="1"/>
        <v>1</v>
      </c>
      <c r="AJ65" s="7">
        <f>+'Pegar ML'!T61</f>
        <v>0</v>
      </c>
      <c r="AK65" s="27"/>
      <c r="AL65" s="27"/>
      <c r="AM65" s="27"/>
      <c r="AN65" s="27"/>
      <c r="AO65" s="27"/>
      <c r="AP65" s="27"/>
      <c r="AQ65" s="27"/>
      <c r="AR65" s="27"/>
      <c r="AS65" s="27">
        <v>17</v>
      </c>
    </row>
    <row r="66" spans="1:45" x14ac:dyDescent="0.25">
      <c r="A66" s="27">
        <f>IF('Pegar ML'!C61="Paquete de 2 productos",'Pegar ML'!A61,IF('Pegar ML'!C60="Paquete de 2 productos",'Pegar ML'!A60,'Pegar ML'!A62))</f>
        <v>0</v>
      </c>
      <c r="B66" s="27"/>
      <c r="C66" s="30" t="e">
        <f>IF(AjusteFecha!I62=0,"",AjusteFecha!I62)</f>
        <v>#N/A</v>
      </c>
      <c r="D66" s="27"/>
      <c r="E66" s="27"/>
      <c r="F66" s="27" t="str">
        <f>IF('Pegar ML'!C62="","",'Pegar ML'!C62)</f>
        <v/>
      </c>
      <c r="G66" s="27" t="str">
        <f>IF('Pegar ML'!G57="ARS","PS","PS")</f>
        <v>PS</v>
      </c>
      <c r="H66" s="14">
        <f>IF('Pegar ML'!C61="Paquete de 2 productos",IF('Pegar ML'!H61="",0,'Pegar ML'!H61),IF('Pegar ML'!H62="",0,'Pegar ML'!H62))</f>
        <v>0</v>
      </c>
      <c r="I66" s="14">
        <f>IF('Pegar ML'!C61="Paquete de 2 productos",IF('Pegar ML'!O61="",0,'Pegar ML'!O61),IF('Pegar ML'!O62="",0,'Pegar ML'!O62))</f>
        <v>0</v>
      </c>
      <c r="J66" s="14">
        <f>IF('Pegar ML'!C61="Paquete de 2 productos",IF('Pegar ML'!O61="",0,'Pegar ML'!O61),IF('Pegar ML'!O62="",0,'Pegar ML'!O62))</f>
        <v>0</v>
      </c>
      <c r="K66" s="14">
        <f t="shared" si="2"/>
        <v>0</v>
      </c>
      <c r="L66" s="27">
        <f>IF('Pegar ML'!AB62=" ",'Pegar ML'!AB61,'Pegar ML'!AB62)</f>
        <v>0</v>
      </c>
      <c r="M66" s="27" t="str">
        <f>IF('Pegar ML'!AC62=" ",RIGHT('Pegar ML'!AC61,8),RIGHT('Pegar ML'!AC62,8))</f>
        <v/>
      </c>
      <c r="N66" s="27" t="s">
        <v>80</v>
      </c>
      <c r="O66" s="27">
        <f t="shared" si="0"/>
        <v>0</v>
      </c>
      <c r="P66" s="27" t="s">
        <v>80</v>
      </c>
      <c r="Q66" s="55">
        <f>IF('Pegar ML'!AD62=" ",'Pegar ML'!AD61,'Pegar ML'!AD62)</f>
        <v>0</v>
      </c>
      <c r="R66" s="27" t="s">
        <v>80</v>
      </c>
      <c r="S66" s="27" t="s">
        <v>80</v>
      </c>
      <c r="T66" s="27" t="s">
        <v>80</v>
      </c>
      <c r="U66" s="55">
        <f>IF('Pegar ML'!AI62=" ",'Pegar ML'!AI61,'Pegar ML'!AI62)</f>
        <v>0</v>
      </c>
      <c r="V66" s="55">
        <f>IF('Pegar ML'!AK62=" ",'Pegar ML'!AK61,'Pegar ML'!AK62)</f>
        <v>0</v>
      </c>
      <c r="W66" s="55">
        <f>IF('Pegar ML'!AJ62=" ",'Pegar ML'!AJ61,'Pegar ML'!AJ62)</f>
        <v>0</v>
      </c>
      <c r="X66" s="55">
        <f>IF('Pegar ML'!AL62=" ",'Pegar ML'!AL61,'Pegar ML'!AL62)</f>
        <v>0</v>
      </c>
      <c r="Y66" s="27"/>
      <c r="Z66" s="27"/>
      <c r="AA66" s="27"/>
      <c r="AB66" s="27"/>
      <c r="AC66" s="27"/>
      <c r="AD66" s="27"/>
      <c r="AF66" s="8"/>
      <c r="AG66" s="27"/>
      <c r="AH66" s="14">
        <f>+'Pegar ML'!Y62</f>
        <v>0</v>
      </c>
      <c r="AI66" s="13">
        <f t="shared" si="1"/>
        <v>1</v>
      </c>
      <c r="AJ66" s="7">
        <f>+'Pegar ML'!T62</f>
        <v>0</v>
      </c>
      <c r="AK66" s="27"/>
      <c r="AL66" s="27"/>
      <c r="AM66" s="27"/>
      <c r="AN66" s="27"/>
      <c r="AO66" s="27"/>
      <c r="AP66" s="27"/>
      <c r="AQ66" s="27"/>
      <c r="AR66" s="27"/>
      <c r="AS66" s="27">
        <v>17</v>
      </c>
    </row>
    <row r="67" spans="1:45" x14ac:dyDescent="0.25">
      <c r="A67" s="27">
        <f>IF('Pegar ML'!C62="Paquete de 2 productos",'Pegar ML'!A62,IF('Pegar ML'!C61="Paquete de 2 productos",'Pegar ML'!A61,'Pegar ML'!A63))</f>
        <v>0</v>
      </c>
      <c r="B67" s="27"/>
      <c r="C67" s="30" t="e">
        <f>IF(AjusteFecha!I63=0,"",AjusteFecha!I63)</f>
        <v>#N/A</v>
      </c>
      <c r="D67" s="27"/>
      <c r="E67" s="27"/>
      <c r="F67" s="27" t="str">
        <f>IF('Pegar ML'!C63="","",'Pegar ML'!C63)</f>
        <v/>
      </c>
      <c r="G67" s="27" t="str">
        <f>IF('Pegar ML'!G58="ARS","PS","PS")</f>
        <v>PS</v>
      </c>
      <c r="H67" s="14">
        <f>IF('Pegar ML'!C62="Paquete de 2 productos",IF('Pegar ML'!H62="",0,'Pegar ML'!H62),IF('Pegar ML'!H63="",0,'Pegar ML'!H63))</f>
        <v>0</v>
      </c>
      <c r="I67" s="14">
        <f>IF('Pegar ML'!C62="Paquete de 2 productos",IF('Pegar ML'!O62="",0,'Pegar ML'!O62),IF('Pegar ML'!O63="",0,'Pegar ML'!O63))</f>
        <v>0</v>
      </c>
      <c r="J67" s="14">
        <f>IF('Pegar ML'!C62="Paquete de 2 productos",IF('Pegar ML'!O62="",0,'Pegar ML'!O62),IF('Pegar ML'!O63="",0,'Pegar ML'!O63))</f>
        <v>0</v>
      </c>
      <c r="K67" s="14">
        <f t="shared" si="2"/>
        <v>0</v>
      </c>
      <c r="L67" s="27">
        <f>IF('Pegar ML'!AB63=" ",'Pegar ML'!AB62,'Pegar ML'!AB63)</f>
        <v>0</v>
      </c>
      <c r="M67" s="27" t="str">
        <f>IF('Pegar ML'!AC63=" ",RIGHT('Pegar ML'!AC62,8),RIGHT('Pegar ML'!AC63,8))</f>
        <v/>
      </c>
      <c r="N67" s="27" t="s">
        <v>80</v>
      </c>
      <c r="O67" s="27">
        <f t="shared" si="0"/>
        <v>0</v>
      </c>
      <c r="P67" s="27" t="s">
        <v>80</v>
      </c>
      <c r="Q67" s="55">
        <f>IF('Pegar ML'!AD63=" ",'Pegar ML'!AD62,'Pegar ML'!AD63)</f>
        <v>0</v>
      </c>
      <c r="R67" s="27" t="s">
        <v>80</v>
      </c>
      <c r="S67" s="27" t="s">
        <v>80</v>
      </c>
      <c r="T67" s="27" t="s">
        <v>80</v>
      </c>
      <c r="U67" s="55">
        <f>IF('Pegar ML'!AI63=" ",'Pegar ML'!AI62,'Pegar ML'!AI63)</f>
        <v>0</v>
      </c>
      <c r="V67" s="55">
        <f>IF('Pegar ML'!AK63=" ",'Pegar ML'!AK62,'Pegar ML'!AK63)</f>
        <v>0</v>
      </c>
      <c r="W67" s="55">
        <f>IF('Pegar ML'!AJ63=" ",'Pegar ML'!AJ62,'Pegar ML'!AJ63)</f>
        <v>0</v>
      </c>
      <c r="X67" s="55">
        <f>IF('Pegar ML'!AL63=" ",'Pegar ML'!AL62,'Pegar ML'!AL63)</f>
        <v>0</v>
      </c>
      <c r="Y67" s="27"/>
      <c r="Z67" s="27"/>
      <c r="AA67" s="27"/>
      <c r="AB67" s="27"/>
      <c r="AC67" s="27"/>
      <c r="AD67" s="27"/>
      <c r="AF67" s="8"/>
      <c r="AG67" s="27"/>
      <c r="AH67" s="14">
        <f>+'Pegar ML'!Y63</f>
        <v>0</v>
      </c>
      <c r="AI67" s="13">
        <f t="shared" si="1"/>
        <v>1</v>
      </c>
      <c r="AJ67" s="7">
        <f>+'Pegar ML'!T63</f>
        <v>0</v>
      </c>
      <c r="AK67" s="27"/>
      <c r="AL67" s="27"/>
      <c r="AM67" s="27"/>
      <c r="AN67" s="27"/>
      <c r="AO67" s="27"/>
      <c r="AP67" s="27"/>
      <c r="AQ67" s="27"/>
      <c r="AR67" s="27"/>
      <c r="AS67" s="27">
        <v>17</v>
      </c>
    </row>
    <row r="68" spans="1:45" x14ac:dyDescent="0.25">
      <c r="A68" s="27">
        <f>IF('Pegar ML'!C63="Paquete de 2 productos",'Pegar ML'!A63,IF('Pegar ML'!C62="Paquete de 2 productos",'Pegar ML'!A62,'Pegar ML'!A64))</f>
        <v>0</v>
      </c>
      <c r="B68" s="27"/>
      <c r="C68" s="30" t="e">
        <f>IF(AjusteFecha!I64=0,"",AjusteFecha!I64)</f>
        <v>#N/A</v>
      </c>
      <c r="D68" s="27"/>
      <c r="E68" s="27"/>
      <c r="F68" s="27" t="str">
        <f>IF('Pegar ML'!C64="","",'Pegar ML'!C64)</f>
        <v/>
      </c>
      <c r="G68" s="27" t="str">
        <f>IF('Pegar ML'!G59="ARS","PS","PS")</f>
        <v>PS</v>
      </c>
      <c r="H68" s="14">
        <f>IF('Pegar ML'!C63="Paquete de 2 productos",IF('Pegar ML'!H63="",0,'Pegar ML'!H63),IF('Pegar ML'!H64="",0,'Pegar ML'!H64))</f>
        <v>0</v>
      </c>
      <c r="I68" s="14">
        <f>IF('Pegar ML'!C63="Paquete de 2 productos",IF('Pegar ML'!O63="",0,'Pegar ML'!O63),IF('Pegar ML'!O64="",0,'Pegar ML'!O64))</f>
        <v>0</v>
      </c>
      <c r="J68" s="14">
        <f>IF('Pegar ML'!C63="Paquete de 2 productos",IF('Pegar ML'!O63="",0,'Pegar ML'!O63),IF('Pegar ML'!O64="",0,'Pegar ML'!O64))</f>
        <v>0</v>
      </c>
      <c r="K68" s="14">
        <f t="shared" si="2"/>
        <v>0</v>
      </c>
      <c r="L68" s="27">
        <f>IF('Pegar ML'!AB64=" ",'Pegar ML'!AB63,'Pegar ML'!AB64)</f>
        <v>0</v>
      </c>
      <c r="M68" s="27" t="str">
        <f>IF('Pegar ML'!AC64=" ",RIGHT('Pegar ML'!AC63,8),RIGHT('Pegar ML'!AC64,8))</f>
        <v/>
      </c>
      <c r="N68" s="27" t="s">
        <v>80</v>
      </c>
      <c r="O68" s="27">
        <f t="shared" si="0"/>
        <v>0</v>
      </c>
      <c r="P68" s="27" t="s">
        <v>80</v>
      </c>
      <c r="Q68" s="55">
        <f>IF('Pegar ML'!AD64=" ",'Pegar ML'!AD63,'Pegar ML'!AD64)</f>
        <v>0</v>
      </c>
      <c r="R68" s="27" t="s">
        <v>80</v>
      </c>
      <c r="S68" s="27" t="s">
        <v>80</v>
      </c>
      <c r="T68" s="27" t="s">
        <v>80</v>
      </c>
      <c r="U68" s="55">
        <f>IF('Pegar ML'!AI64=" ",'Pegar ML'!AI63,'Pegar ML'!AI64)</f>
        <v>0</v>
      </c>
      <c r="V68" s="55">
        <f>IF('Pegar ML'!AK64=" ",'Pegar ML'!AK63,'Pegar ML'!AK64)</f>
        <v>0</v>
      </c>
      <c r="W68" s="55">
        <f>IF('Pegar ML'!AJ64=" ",'Pegar ML'!AJ63,'Pegar ML'!AJ64)</f>
        <v>0</v>
      </c>
      <c r="X68" s="55">
        <f>IF('Pegar ML'!AL64=" ",'Pegar ML'!AL63,'Pegar ML'!AL64)</f>
        <v>0</v>
      </c>
      <c r="Y68" s="27"/>
      <c r="Z68" s="27"/>
      <c r="AA68" s="27"/>
      <c r="AB68" s="27"/>
      <c r="AC68" s="27"/>
      <c r="AD68" s="27"/>
      <c r="AF68" s="8"/>
      <c r="AG68" s="27"/>
      <c r="AH68" s="14">
        <f>+'Pegar ML'!Y64</f>
        <v>0</v>
      </c>
      <c r="AI68" s="13">
        <f t="shared" si="1"/>
        <v>1</v>
      </c>
      <c r="AJ68" s="7">
        <f>+'Pegar ML'!T64</f>
        <v>0</v>
      </c>
      <c r="AK68" s="27"/>
      <c r="AL68" s="27"/>
      <c r="AM68" s="27"/>
      <c r="AN68" s="27"/>
      <c r="AO68" s="27"/>
      <c r="AP68" s="27"/>
      <c r="AQ68" s="27"/>
      <c r="AR68" s="27"/>
      <c r="AS68" s="27">
        <v>17</v>
      </c>
    </row>
    <row r="69" spans="1:45" x14ac:dyDescent="0.25">
      <c r="A69" s="27">
        <f>IF('Pegar ML'!C64="Paquete de 2 productos",'Pegar ML'!A64,IF('Pegar ML'!C63="Paquete de 2 productos",'Pegar ML'!A63,'Pegar ML'!A65))</f>
        <v>0</v>
      </c>
      <c r="B69" s="27"/>
      <c r="C69" s="30" t="e">
        <f>IF(AjusteFecha!I65=0,"",AjusteFecha!I65)</f>
        <v>#N/A</v>
      </c>
      <c r="D69" s="27"/>
      <c r="E69" s="27"/>
      <c r="F69" s="27" t="str">
        <f>IF('Pegar ML'!C65="","",'Pegar ML'!C65)</f>
        <v/>
      </c>
      <c r="G69" s="27" t="str">
        <f>IF('Pegar ML'!G60="ARS","PS","PS")</f>
        <v>PS</v>
      </c>
      <c r="H69" s="14">
        <f>IF('Pegar ML'!C64="Paquete de 2 productos",IF('Pegar ML'!H64="",0,'Pegar ML'!H64),IF('Pegar ML'!H65="",0,'Pegar ML'!H65))</f>
        <v>0</v>
      </c>
      <c r="I69" s="14">
        <f>IF('Pegar ML'!C64="Paquete de 2 productos",IF('Pegar ML'!O64="",0,'Pegar ML'!O64),IF('Pegar ML'!O65="",0,'Pegar ML'!O65))</f>
        <v>0</v>
      </c>
      <c r="J69" s="14">
        <f>IF('Pegar ML'!C64="Paquete de 2 productos",IF('Pegar ML'!O64="",0,'Pegar ML'!O64),IF('Pegar ML'!O65="",0,'Pegar ML'!O65))</f>
        <v>0</v>
      </c>
      <c r="K69" s="14">
        <f t="shared" si="2"/>
        <v>0</v>
      </c>
      <c r="L69" s="27">
        <f>IF('Pegar ML'!AB65=" ",'Pegar ML'!AB64,'Pegar ML'!AB65)</f>
        <v>0</v>
      </c>
      <c r="M69" s="27" t="str">
        <f>IF('Pegar ML'!AC65=" ",RIGHT('Pegar ML'!AC64,8),RIGHT('Pegar ML'!AC65,8))</f>
        <v/>
      </c>
      <c r="N69" s="27" t="s">
        <v>80</v>
      </c>
      <c r="O69" s="27">
        <f t="shared" si="0"/>
        <v>0</v>
      </c>
      <c r="P69" s="27" t="s">
        <v>80</v>
      </c>
      <c r="Q69" s="55">
        <f>IF('Pegar ML'!AD65=" ",'Pegar ML'!AD64,'Pegar ML'!AD65)</f>
        <v>0</v>
      </c>
      <c r="R69" s="27" t="s">
        <v>80</v>
      </c>
      <c r="S69" s="27" t="s">
        <v>80</v>
      </c>
      <c r="T69" s="27" t="s">
        <v>80</v>
      </c>
      <c r="U69" s="55">
        <f>IF('Pegar ML'!AI65=" ",'Pegar ML'!AI64,'Pegar ML'!AI65)</f>
        <v>0</v>
      </c>
      <c r="V69" s="55">
        <f>IF('Pegar ML'!AK65=" ",'Pegar ML'!AK64,'Pegar ML'!AK65)</f>
        <v>0</v>
      </c>
      <c r="W69" s="55">
        <f>IF('Pegar ML'!AJ65=" ",'Pegar ML'!AJ64,'Pegar ML'!AJ65)</f>
        <v>0</v>
      </c>
      <c r="X69" s="55">
        <f>IF('Pegar ML'!AL65=" ",'Pegar ML'!AL64,'Pegar ML'!AL65)</f>
        <v>0</v>
      </c>
      <c r="Y69" s="27"/>
      <c r="Z69" s="27"/>
      <c r="AA69" s="27"/>
      <c r="AB69" s="27"/>
      <c r="AC69" s="27"/>
      <c r="AD69" s="27"/>
      <c r="AF69" s="8"/>
      <c r="AG69" s="27"/>
      <c r="AH69" s="14">
        <f>+'Pegar ML'!Y65</f>
        <v>0</v>
      </c>
      <c r="AI69" s="13">
        <f t="shared" si="1"/>
        <v>1</v>
      </c>
      <c r="AJ69" s="7">
        <f>+'Pegar ML'!T65</f>
        <v>0</v>
      </c>
      <c r="AK69" s="27"/>
      <c r="AL69" s="27"/>
      <c r="AM69" s="27"/>
      <c r="AN69" s="27"/>
      <c r="AO69" s="27"/>
      <c r="AP69" s="27"/>
      <c r="AQ69" s="27"/>
      <c r="AR69" s="27"/>
      <c r="AS69" s="27">
        <v>17</v>
      </c>
    </row>
    <row r="70" spans="1:45" x14ac:dyDescent="0.25">
      <c r="A70" s="27">
        <f>IF('Pegar ML'!C65="Paquete de 2 productos",'Pegar ML'!A65,IF('Pegar ML'!C64="Paquete de 2 productos",'Pegar ML'!A64,'Pegar ML'!A66))</f>
        <v>0</v>
      </c>
      <c r="B70" s="27"/>
      <c r="C70" s="30" t="e">
        <f>IF(AjusteFecha!I66=0,"",AjusteFecha!I66)</f>
        <v>#N/A</v>
      </c>
      <c r="D70" s="27"/>
      <c r="E70" s="27"/>
      <c r="F70" s="27" t="str">
        <f>IF('Pegar ML'!C66="","",'Pegar ML'!C66)</f>
        <v/>
      </c>
      <c r="G70" s="27" t="str">
        <f>IF('Pegar ML'!G61="ARS","PS","PS")</f>
        <v>PS</v>
      </c>
      <c r="H70" s="14">
        <f>IF('Pegar ML'!C65="Paquete de 2 productos",IF('Pegar ML'!H65="",0,'Pegar ML'!H65),IF('Pegar ML'!H66="",0,'Pegar ML'!H66))</f>
        <v>0</v>
      </c>
      <c r="I70" s="14">
        <f>IF('Pegar ML'!C65="Paquete de 2 productos",IF('Pegar ML'!O65="",0,'Pegar ML'!O65),IF('Pegar ML'!O66="",0,'Pegar ML'!O66))</f>
        <v>0</v>
      </c>
      <c r="J70" s="14">
        <f>IF('Pegar ML'!C65="Paquete de 2 productos",IF('Pegar ML'!O65="",0,'Pegar ML'!O65),IF('Pegar ML'!O66="",0,'Pegar ML'!O66))</f>
        <v>0</v>
      </c>
      <c r="K70" s="14">
        <f t="shared" si="2"/>
        <v>0</v>
      </c>
      <c r="L70" s="27">
        <f>IF('Pegar ML'!AB66=" ",'Pegar ML'!AB65,'Pegar ML'!AB66)</f>
        <v>0</v>
      </c>
      <c r="M70" s="27" t="str">
        <f>IF('Pegar ML'!AC66=" ",RIGHT('Pegar ML'!AC65,8),RIGHT('Pegar ML'!AC66,8))</f>
        <v/>
      </c>
      <c r="N70" s="27" t="s">
        <v>80</v>
      </c>
      <c r="O70" s="27">
        <f t="shared" si="0"/>
        <v>0</v>
      </c>
      <c r="P70" s="27" t="s">
        <v>80</v>
      </c>
      <c r="Q70" s="55">
        <f>IF('Pegar ML'!AD66=" ",'Pegar ML'!AD65,'Pegar ML'!AD66)</f>
        <v>0</v>
      </c>
      <c r="R70" s="27" t="s">
        <v>80</v>
      </c>
      <c r="S70" s="27" t="s">
        <v>80</v>
      </c>
      <c r="T70" s="27" t="s">
        <v>80</v>
      </c>
      <c r="U70" s="55">
        <f>IF('Pegar ML'!AI66=" ",'Pegar ML'!AI65,'Pegar ML'!AI66)</f>
        <v>0</v>
      </c>
      <c r="V70" s="55">
        <f>IF('Pegar ML'!AK66=" ",'Pegar ML'!AK65,'Pegar ML'!AK66)</f>
        <v>0</v>
      </c>
      <c r="W70" s="55">
        <f>IF('Pegar ML'!AJ66=" ",'Pegar ML'!AJ65,'Pegar ML'!AJ66)</f>
        <v>0</v>
      </c>
      <c r="X70" s="55">
        <f>IF('Pegar ML'!AL66=" ",'Pegar ML'!AL65,'Pegar ML'!AL66)</f>
        <v>0</v>
      </c>
      <c r="Y70" s="27"/>
      <c r="Z70" s="27"/>
      <c r="AA70" s="27"/>
      <c r="AB70" s="27"/>
      <c r="AC70" s="27"/>
      <c r="AD70" s="27"/>
      <c r="AF70" s="8"/>
      <c r="AG70" s="27"/>
      <c r="AH70" s="14">
        <f>+'Pegar ML'!Y66</f>
        <v>0</v>
      </c>
      <c r="AI70" s="13">
        <f t="shared" si="1"/>
        <v>1</v>
      </c>
      <c r="AJ70" s="7">
        <f>+'Pegar ML'!T66</f>
        <v>0</v>
      </c>
      <c r="AK70" s="27"/>
      <c r="AL70" s="27"/>
      <c r="AM70" s="27"/>
      <c r="AN70" s="27"/>
      <c r="AO70" s="27"/>
      <c r="AP70" s="27"/>
      <c r="AQ70" s="27"/>
      <c r="AR70" s="27"/>
      <c r="AS70" s="27">
        <v>17</v>
      </c>
    </row>
    <row r="71" spans="1:45" x14ac:dyDescent="0.25">
      <c r="A71" s="27">
        <f>IF('Pegar ML'!C66="Paquete de 2 productos",'Pegar ML'!A66,IF('Pegar ML'!C65="Paquete de 2 productos",'Pegar ML'!A65,'Pegar ML'!A67))</f>
        <v>0</v>
      </c>
      <c r="B71" s="27"/>
      <c r="C71" s="30" t="e">
        <f>IF(AjusteFecha!I67=0,"",AjusteFecha!I67)</f>
        <v>#N/A</v>
      </c>
      <c r="D71" s="27"/>
      <c r="E71" s="27"/>
      <c r="F71" s="27" t="str">
        <f>IF('Pegar ML'!C67="","",'Pegar ML'!C67)</f>
        <v/>
      </c>
      <c r="G71" s="27" t="str">
        <f>IF('Pegar ML'!G62="ARS","PS","PS")</f>
        <v>PS</v>
      </c>
      <c r="H71" s="14">
        <f>IF('Pegar ML'!C66="Paquete de 2 productos",IF('Pegar ML'!H66="",0,'Pegar ML'!H66),IF('Pegar ML'!H67="",0,'Pegar ML'!H67))</f>
        <v>0</v>
      </c>
      <c r="I71" s="14">
        <f>IF('Pegar ML'!C66="Paquete de 2 productos",IF('Pegar ML'!O66="",0,'Pegar ML'!O66),IF('Pegar ML'!O67="",0,'Pegar ML'!O67))</f>
        <v>0</v>
      </c>
      <c r="J71" s="14">
        <f>IF('Pegar ML'!C66="Paquete de 2 productos",IF('Pegar ML'!O66="",0,'Pegar ML'!O66),IF('Pegar ML'!O67="",0,'Pegar ML'!O67))</f>
        <v>0</v>
      </c>
      <c r="K71" s="14">
        <f t="shared" si="2"/>
        <v>0</v>
      </c>
      <c r="L71" s="27">
        <f>IF('Pegar ML'!AB67=" ",'Pegar ML'!AB66,'Pegar ML'!AB67)</f>
        <v>0</v>
      </c>
      <c r="M71" s="27" t="str">
        <f>IF('Pegar ML'!AC67=" ",RIGHT('Pegar ML'!AC66,8),RIGHT('Pegar ML'!AC67,8))</f>
        <v/>
      </c>
      <c r="N71" s="27" t="s">
        <v>80</v>
      </c>
      <c r="O71" s="27">
        <f t="shared" si="0"/>
        <v>0</v>
      </c>
      <c r="P71" s="27" t="s">
        <v>80</v>
      </c>
      <c r="Q71" s="55">
        <f>IF('Pegar ML'!AD67=" ",'Pegar ML'!AD66,'Pegar ML'!AD67)</f>
        <v>0</v>
      </c>
      <c r="R71" s="27" t="s">
        <v>80</v>
      </c>
      <c r="S71" s="27" t="s">
        <v>80</v>
      </c>
      <c r="T71" s="27" t="s">
        <v>80</v>
      </c>
      <c r="U71" s="55">
        <f>IF('Pegar ML'!AI67=" ",'Pegar ML'!AI66,'Pegar ML'!AI67)</f>
        <v>0</v>
      </c>
      <c r="V71" s="55">
        <f>IF('Pegar ML'!AK67=" ",'Pegar ML'!AK66,'Pegar ML'!AK67)</f>
        <v>0</v>
      </c>
      <c r="W71" s="55">
        <f>IF('Pegar ML'!AJ67=" ",'Pegar ML'!AJ66,'Pegar ML'!AJ67)</f>
        <v>0</v>
      </c>
      <c r="X71" s="55">
        <f>IF('Pegar ML'!AL67=" ",'Pegar ML'!AL66,'Pegar ML'!AL67)</f>
        <v>0</v>
      </c>
      <c r="Y71" s="27"/>
      <c r="Z71" s="27"/>
      <c r="AA71" s="27"/>
      <c r="AB71" s="27"/>
      <c r="AC71" s="27"/>
      <c r="AD71" s="27"/>
      <c r="AF71" s="8"/>
      <c r="AG71" s="27"/>
      <c r="AH71" s="14">
        <f>+'Pegar ML'!Y67</f>
        <v>0</v>
      </c>
      <c r="AI71" s="13">
        <f t="shared" si="1"/>
        <v>1</v>
      </c>
      <c r="AJ71" s="7">
        <f>+'Pegar ML'!T67</f>
        <v>0</v>
      </c>
      <c r="AK71" s="27"/>
      <c r="AL71" s="27"/>
      <c r="AM71" s="27"/>
      <c r="AN71" s="27"/>
      <c r="AO71" s="27"/>
      <c r="AP71" s="27"/>
      <c r="AQ71" s="27"/>
      <c r="AR71" s="27"/>
      <c r="AS71" s="27">
        <v>17</v>
      </c>
    </row>
    <row r="72" spans="1:45" x14ac:dyDescent="0.25">
      <c r="A72" s="27">
        <f>IF('Pegar ML'!C67="Paquete de 2 productos",'Pegar ML'!A67,IF('Pegar ML'!C66="Paquete de 2 productos",'Pegar ML'!A66,'Pegar ML'!A68))</f>
        <v>0</v>
      </c>
      <c r="B72" s="27"/>
      <c r="C72" s="30" t="e">
        <f>IF(AjusteFecha!I68=0,"",AjusteFecha!I68)</f>
        <v>#N/A</v>
      </c>
      <c r="D72" s="27"/>
      <c r="E72" s="27"/>
      <c r="F72" s="27" t="str">
        <f>IF('Pegar ML'!C68="","",'Pegar ML'!C68)</f>
        <v/>
      </c>
      <c r="G72" s="27" t="str">
        <f>IF('Pegar ML'!G63="ARS","PS","PS")</f>
        <v>PS</v>
      </c>
      <c r="H72" s="14">
        <f>IF('Pegar ML'!C67="Paquete de 2 productos",IF('Pegar ML'!H67="",0,'Pegar ML'!H67),IF('Pegar ML'!H68="",0,'Pegar ML'!H68))</f>
        <v>0</v>
      </c>
      <c r="I72" s="14">
        <f>IF('Pegar ML'!C67="Paquete de 2 productos",IF('Pegar ML'!O67="",0,'Pegar ML'!O67),IF('Pegar ML'!O68="",0,'Pegar ML'!O68))</f>
        <v>0</v>
      </c>
      <c r="J72" s="14">
        <f>IF('Pegar ML'!C67="Paquete de 2 productos",IF('Pegar ML'!O67="",0,'Pegar ML'!O67),IF('Pegar ML'!O68="",0,'Pegar ML'!O68))</f>
        <v>0</v>
      </c>
      <c r="K72" s="14">
        <f t="shared" si="2"/>
        <v>0</v>
      </c>
      <c r="L72" s="27">
        <f>IF('Pegar ML'!AB68=" ",'Pegar ML'!AB67,'Pegar ML'!AB68)</f>
        <v>0</v>
      </c>
      <c r="M72" s="27" t="str">
        <f>IF('Pegar ML'!AC68=" ",RIGHT('Pegar ML'!AC67,8),RIGHT('Pegar ML'!AC68,8))</f>
        <v/>
      </c>
      <c r="N72" s="27" t="s">
        <v>80</v>
      </c>
      <c r="O72" s="27">
        <f t="shared" si="0"/>
        <v>0</v>
      </c>
      <c r="P72" s="27" t="s">
        <v>80</v>
      </c>
      <c r="Q72" s="55">
        <f>IF('Pegar ML'!AD68=" ",'Pegar ML'!AD67,'Pegar ML'!AD68)</f>
        <v>0</v>
      </c>
      <c r="R72" s="27" t="s">
        <v>80</v>
      </c>
      <c r="S72" s="27" t="s">
        <v>80</v>
      </c>
      <c r="T72" s="27" t="s">
        <v>80</v>
      </c>
      <c r="U72" s="55">
        <f>IF('Pegar ML'!AI68=" ",'Pegar ML'!AI67,'Pegar ML'!AI68)</f>
        <v>0</v>
      </c>
      <c r="V72" s="55">
        <f>IF('Pegar ML'!AK68=" ",'Pegar ML'!AK67,'Pegar ML'!AK68)</f>
        <v>0</v>
      </c>
      <c r="W72" s="55">
        <f>IF('Pegar ML'!AJ68=" ",'Pegar ML'!AJ67,'Pegar ML'!AJ68)</f>
        <v>0</v>
      </c>
      <c r="X72" s="55">
        <f>IF('Pegar ML'!AL68=" ",'Pegar ML'!AL67,'Pegar ML'!AL68)</f>
        <v>0</v>
      </c>
      <c r="Y72" s="27"/>
      <c r="Z72" s="27"/>
      <c r="AA72" s="27"/>
      <c r="AB72" s="27"/>
      <c r="AC72" s="27"/>
      <c r="AD72" s="27"/>
      <c r="AF72" s="8"/>
      <c r="AG72" s="27"/>
      <c r="AH72" s="14">
        <f>+'Pegar ML'!Y68</f>
        <v>0</v>
      </c>
      <c r="AI72" s="13">
        <f t="shared" si="1"/>
        <v>1</v>
      </c>
      <c r="AJ72" s="7">
        <f>+'Pegar ML'!T68</f>
        <v>0</v>
      </c>
      <c r="AK72" s="27"/>
      <c r="AL72" s="27"/>
      <c r="AM72" s="27"/>
      <c r="AN72" s="27"/>
      <c r="AO72" s="27"/>
      <c r="AP72" s="27"/>
      <c r="AQ72" s="27"/>
      <c r="AR72" s="27"/>
      <c r="AS72" s="27">
        <v>17</v>
      </c>
    </row>
    <row r="73" spans="1:45" x14ac:dyDescent="0.25">
      <c r="A73" s="27">
        <f>IF('Pegar ML'!C68="Paquete de 2 productos",'Pegar ML'!A68,IF('Pegar ML'!C67="Paquete de 2 productos",'Pegar ML'!A67,'Pegar ML'!A69))</f>
        <v>0</v>
      </c>
      <c r="B73" s="27"/>
      <c r="C73" s="30" t="e">
        <f>IF(AjusteFecha!I69=0,"",AjusteFecha!I69)</f>
        <v>#N/A</v>
      </c>
      <c r="D73" s="27"/>
      <c r="E73" s="27"/>
      <c r="F73" s="27" t="str">
        <f>IF('Pegar ML'!C69="","",'Pegar ML'!C69)</f>
        <v/>
      </c>
      <c r="G73" s="27" t="str">
        <f>IF('Pegar ML'!G64="ARS","PS","PS")</f>
        <v>PS</v>
      </c>
      <c r="H73" s="14">
        <f>IF('Pegar ML'!C68="Paquete de 2 productos",IF('Pegar ML'!H68="",0,'Pegar ML'!H68),IF('Pegar ML'!H69="",0,'Pegar ML'!H69))</f>
        <v>0</v>
      </c>
      <c r="I73" s="14">
        <f>IF('Pegar ML'!C68="Paquete de 2 productos",IF('Pegar ML'!O68="",0,'Pegar ML'!O68),IF('Pegar ML'!O69="",0,'Pegar ML'!O69))</f>
        <v>0</v>
      </c>
      <c r="J73" s="14">
        <f>IF('Pegar ML'!C68="Paquete de 2 productos",IF('Pegar ML'!O68="",0,'Pegar ML'!O68),IF('Pegar ML'!O69="",0,'Pegar ML'!O69))</f>
        <v>0</v>
      </c>
      <c r="K73" s="14">
        <f t="shared" si="2"/>
        <v>0</v>
      </c>
      <c r="L73" s="27">
        <f>IF('Pegar ML'!AB69=" ",'Pegar ML'!AB68,'Pegar ML'!AB69)</f>
        <v>0</v>
      </c>
      <c r="M73" s="27" t="str">
        <f>IF('Pegar ML'!AC69=" ",RIGHT('Pegar ML'!AC68,8),RIGHT('Pegar ML'!AC69,8))</f>
        <v/>
      </c>
      <c r="N73" s="27" t="s">
        <v>80</v>
      </c>
      <c r="O73" s="27">
        <f t="shared" si="0"/>
        <v>0</v>
      </c>
      <c r="P73" s="27" t="s">
        <v>80</v>
      </c>
      <c r="Q73" s="55">
        <f>IF('Pegar ML'!AD69=" ",'Pegar ML'!AD68,'Pegar ML'!AD69)</f>
        <v>0</v>
      </c>
      <c r="R73" s="27" t="s">
        <v>80</v>
      </c>
      <c r="S73" s="27" t="s">
        <v>80</v>
      </c>
      <c r="T73" s="27" t="s">
        <v>80</v>
      </c>
      <c r="U73" s="55">
        <f>IF('Pegar ML'!AI69=" ",'Pegar ML'!AI68,'Pegar ML'!AI69)</f>
        <v>0</v>
      </c>
      <c r="V73" s="55">
        <f>IF('Pegar ML'!AK69=" ",'Pegar ML'!AK68,'Pegar ML'!AK69)</f>
        <v>0</v>
      </c>
      <c r="W73" s="55">
        <f>IF('Pegar ML'!AJ69=" ",'Pegar ML'!AJ68,'Pegar ML'!AJ69)</f>
        <v>0</v>
      </c>
      <c r="X73" s="55">
        <f>IF('Pegar ML'!AL69=" ",'Pegar ML'!AL68,'Pegar ML'!AL69)</f>
        <v>0</v>
      </c>
      <c r="Y73" s="27"/>
      <c r="Z73" s="27"/>
      <c r="AA73" s="27"/>
      <c r="AB73" s="27"/>
      <c r="AC73" s="27"/>
      <c r="AD73" s="27"/>
      <c r="AF73" s="8"/>
      <c r="AG73" s="27"/>
      <c r="AH73" s="14">
        <f>+'Pegar ML'!Y69</f>
        <v>0</v>
      </c>
      <c r="AI73" s="13">
        <f t="shared" si="1"/>
        <v>1</v>
      </c>
      <c r="AJ73" s="7">
        <f>+'Pegar ML'!T69</f>
        <v>0</v>
      </c>
      <c r="AK73" s="27"/>
      <c r="AL73" s="27"/>
      <c r="AM73" s="27"/>
      <c r="AN73" s="27"/>
      <c r="AO73" s="27"/>
      <c r="AP73" s="27"/>
      <c r="AQ73" s="27"/>
      <c r="AR73" s="27"/>
      <c r="AS73" s="27">
        <v>17</v>
      </c>
    </row>
    <row r="74" spans="1:45" x14ac:dyDescent="0.25">
      <c r="A74" s="27">
        <f>IF('Pegar ML'!C69="Paquete de 2 productos",'Pegar ML'!A69,IF('Pegar ML'!C68="Paquete de 2 productos",'Pegar ML'!A68,'Pegar ML'!A70))</f>
        <v>0</v>
      </c>
      <c r="B74" s="27"/>
      <c r="C74" s="30" t="e">
        <f>IF(AjusteFecha!I70=0,"",AjusteFecha!I70)</f>
        <v>#N/A</v>
      </c>
      <c r="D74" s="27"/>
      <c r="E74" s="27"/>
      <c r="F74" s="27" t="str">
        <f>IF('Pegar ML'!C70="","",'Pegar ML'!C70)</f>
        <v/>
      </c>
      <c r="G74" s="27" t="str">
        <f>IF('Pegar ML'!G65="ARS","PS","PS")</f>
        <v>PS</v>
      </c>
      <c r="H74" s="14">
        <f>IF('Pegar ML'!C69="Paquete de 2 productos",IF('Pegar ML'!H69="",0,'Pegar ML'!H69),IF('Pegar ML'!H70="",0,'Pegar ML'!H70))</f>
        <v>0</v>
      </c>
      <c r="I74" s="14">
        <f>IF('Pegar ML'!C69="Paquete de 2 productos",IF('Pegar ML'!O69="",0,'Pegar ML'!O69),IF('Pegar ML'!O70="",0,'Pegar ML'!O70))</f>
        <v>0</v>
      </c>
      <c r="J74" s="14">
        <f>IF('Pegar ML'!C69="Paquete de 2 productos",IF('Pegar ML'!O69="",0,'Pegar ML'!O69),IF('Pegar ML'!O70="",0,'Pegar ML'!O70))</f>
        <v>0</v>
      </c>
      <c r="K74" s="14">
        <f t="shared" si="2"/>
        <v>0</v>
      </c>
      <c r="L74" s="27">
        <f>IF('Pegar ML'!AB70=" ",'Pegar ML'!AB69,'Pegar ML'!AB70)</f>
        <v>0</v>
      </c>
      <c r="M74" s="27" t="str">
        <f>IF('Pegar ML'!AC70=" ",RIGHT('Pegar ML'!AC69,8),RIGHT('Pegar ML'!AC70,8))</f>
        <v/>
      </c>
      <c r="N74" s="27" t="s">
        <v>80</v>
      </c>
      <c r="O74" s="27">
        <f t="shared" si="0"/>
        <v>0</v>
      </c>
      <c r="P74" s="27" t="s">
        <v>80</v>
      </c>
      <c r="Q74" s="55">
        <f>IF('Pegar ML'!AD70=" ",'Pegar ML'!AD69,'Pegar ML'!AD70)</f>
        <v>0</v>
      </c>
      <c r="R74" s="27" t="s">
        <v>80</v>
      </c>
      <c r="S74" s="27" t="s">
        <v>80</v>
      </c>
      <c r="T74" s="27" t="s">
        <v>80</v>
      </c>
      <c r="U74" s="55">
        <f>IF('Pegar ML'!AI70=" ",'Pegar ML'!AI69,'Pegar ML'!AI70)</f>
        <v>0</v>
      </c>
      <c r="V74" s="55">
        <f>IF('Pegar ML'!AK70=" ",'Pegar ML'!AK69,'Pegar ML'!AK70)</f>
        <v>0</v>
      </c>
      <c r="W74" s="55">
        <f>IF('Pegar ML'!AJ70=" ",'Pegar ML'!AJ69,'Pegar ML'!AJ70)</f>
        <v>0</v>
      </c>
      <c r="X74" s="55">
        <f>IF('Pegar ML'!AL70=" ",'Pegar ML'!AL69,'Pegar ML'!AL70)</f>
        <v>0</v>
      </c>
      <c r="Y74" s="27"/>
      <c r="Z74" s="27"/>
      <c r="AA74" s="27"/>
      <c r="AB74" s="27"/>
      <c r="AC74" s="27"/>
      <c r="AD74" s="27"/>
      <c r="AF74" s="8"/>
      <c r="AG74" s="27"/>
      <c r="AH74" s="14">
        <f>+'Pegar ML'!Y70</f>
        <v>0</v>
      </c>
      <c r="AI74" s="13">
        <f t="shared" si="1"/>
        <v>1</v>
      </c>
      <c r="AJ74" s="7">
        <f>+'Pegar ML'!T70</f>
        <v>0</v>
      </c>
      <c r="AK74" s="27"/>
      <c r="AL74" s="27"/>
      <c r="AM74" s="27"/>
      <c r="AN74" s="27"/>
      <c r="AO74" s="27"/>
      <c r="AP74" s="27"/>
      <c r="AQ74" s="27"/>
      <c r="AR74" s="27"/>
      <c r="AS74" s="27">
        <v>17</v>
      </c>
    </row>
    <row r="75" spans="1:45" x14ac:dyDescent="0.25">
      <c r="A75" s="27">
        <f>IF('Pegar ML'!C70="Paquete de 2 productos",'Pegar ML'!A70,IF('Pegar ML'!C69="Paquete de 2 productos",'Pegar ML'!A69,'Pegar ML'!A71))</f>
        <v>0</v>
      </c>
      <c r="B75" s="27"/>
      <c r="C75" s="30" t="e">
        <f>IF(AjusteFecha!I71=0,"",AjusteFecha!I71)</f>
        <v>#N/A</v>
      </c>
      <c r="D75" s="27"/>
      <c r="E75" s="27"/>
      <c r="F75" s="27" t="str">
        <f>IF('Pegar ML'!C71="","",'Pegar ML'!C71)</f>
        <v/>
      </c>
      <c r="G75" s="27" t="str">
        <f>IF('Pegar ML'!G66="ARS","PS","PS")</f>
        <v>PS</v>
      </c>
      <c r="H75" s="14">
        <f>IF('Pegar ML'!C70="Paquete de 2 productos",IF('Pegar ML'!H70="",0,'Pegar ML'!H70),IF('Pegar ML'!H71="",0,'Pegar ML'!H71))</f>
        <v>0</v>
      </c>
      <c r="I75" s="14">
        <f>IF('Pegar ML'!C70="Paquete de 2 productos",IF('Pegar ML'!O70="",0,'Pegar ML'!O70),IF('Pegar ML'!O71="",0,'Pegar ML'!O71))</f>
        <v>0</v>
      </c>
      <c r="J75" s="14">
        <f>IF('Pegar ML'!C70="Paquete de 2 productos",IF('Pegar ML'!O70="",0,'Pegar ML'!O70),IF('Pegar ML'!O71="",0,'Pegar ML'!O71))</f>
        <v>0</v>
      </c>
      <c r="K75" s="14">
        <f t="shared" si="2"/>
        <v>0</v>
      </c>
      <c r="L75" s="27">
        <f>IF('Pegar ML'!AB71=" ",'Pegar ML'!AB70,'Pegar ML'!AB71)</f>
        <v>0</v>
      </c>
      <c r="M75" s="27" t="str">
        <f>IF('Pegar ML'!AC71=" ",RIGHT('Pegar ML'!AC70,8),RIGHT('Pegar ML'!AC71,8))</f>
        <v/>
      </c>
      <c r="N75" s="27" t="s">
        <v>80</v>
      </c>
      <c r="O75" s="27">
        <f t="shared" ref="O75:O138" si="3">+L75</f>
        <v>0</v>
      </c>
      <c r="P75" s="27" t="s">
        <v>80</v>
      </c>
      <c r="Q75" s="55">
        <f>IF('Pegar ML'!AD71=" ",'Pegar ML'!AD70,'Pegar ML'!AD71)</f>
        <v>0</v>
      </c>
      <c r="R75" s="27" t="s">
        <v>80</v>
      </c>
      <c r="S75" s="27" t="s">
        <v>80</v>
      </c>
      <c r="T75" s="27" t="s">
        <v>80</v>
      </c>
      <c r="U75" s="55">
        <f>IF('Pegar ML'!AI71=" ",'Pegar ML'!AI70,'Pegar ML'!AI71)</f>
        <v>0</v>
      </c>
      <c r="V75" s="55">
        <f>IF('Pegar ML'!AK71=" ",'Pegar ML'!AK70,'Pegar ML'!AK71)</f>
        <v>0</v>
      </c>
      <c r="W75" s="55">
        <f>IF('Pegar ML'!AJ71=" ",'Pegar ML'!AJ70,'Pegar ML'!AJ71)</f>
        <v>0</v>
      </c>
      <c r="X75" s="55">
        <f>IF('Pegar ML'!AL71=" ",'Pegar ML'!AL70,'Pegar ML'!AL71)</f>
        <v>0</v>
      </c>
      <c r="Y75" s="27"/>
      <c r="Z75" s="27"/>
      <c r="AA75" s="27"/>
      <c r="AB75" s="27"/>
      <c r="AC75" s="27"/>
      <c r="AD75" s="27"/>
      <c r="AF75" s="8"/>
      <c r="AG75" s="27"/>
      <c r="AH75" s="14">
        <f>+'Pegar ML'!Y71</f>
        <v>0</v>
      </c>
      <c r="AI75" s="13">
        <f t="shared" ref="AI75:AI138" si="4">IF(F75="Paquete de 2 productos","",1)</f>
        <v>1</v>
      </c>
      <c r="AJ75" s="7">
        <f>+'Pegar ML'!T71</f>
        <v>0</v>
      </c>
      <c r="AK75" s="27"/>
      <c r="AL75" s="27"/>
      <c r="AM75" s="27"/>
      <c r="AN75" s="27"/>
      <c r="AO75" s="27"/>
      <c r="AP75" s="27"/>
      <c r="AQ75" s="27"/>
      <c r="AR75" s="27"/>
      <c r="AS75" s="27">
        <v>17</v>
      </c>
    </row>
    <row r="76" spans="1:45" x14ac:dyDescent="0.25">
      <c r="A76" s="27">
        <f>IF('Pegar ML'!C71="Paquete de 2 productos",'Pegar ML'!A71,IF('Pegar ML'!C70="Paquete de 2 productos",'Pegar ML'!A70,'Pegar ML'!A72))</f>
        <v>0</v>
      </c>
      <c r="B76" s="27"/>
      <c r="C76" s="30" t="e">
        <f>IF(AjusteFecha!I72=0,"",AjusteFecha!I72)</f>
        <v>#N/A</v>
      </c>
      <c r="D76" s="27"/>
      <c r="E76" s="27"/>
      <c r="F76" s="27" t="str">
        <f>IF('Pegar ML'!C72="","",'Pegar ML'!C72)</f>
        <v/>
      </c>
      <c r="G76" s="27" t="str">
        <f>IF('Pegar ML'!G67="ARS","PS","PS")</f>
        <v>PS</v>
      </c>
      <c r="H76" s="14">
        <f>IF('Pegar ML'!C71="Paquete de 2 productos",IF('Pegar ML'!H71="",0,'Pegar ML'!H71),IF('Pegar ML'!H72="",0,'Pegar ML'!H72))</f>
        <v>0</v>
      </c>
      <c r="I76" s="14">
        <f>IF('Pegar ML'!C71="Paquete de 2 productos",IF('Pegar ML'!O71="",0,'Pegar ML'!O71),IF('Pegar ML'!O72="",0,'Pegar ML'!O72))</f>
        <v>0</v>
      </c>
      <c r="J76" s="14">
        <f>IF('Pegar ML'!C71="Paquete de 2 productos",IF('Pegar ML'!O71="",0,'Pegar ML'!O71),IF('Pegar ML'!O72="",0,'Pegar ML'!O72))</f>
        <v>0</v>
      </c>
      <c r="K76" s="14">
        <f t="shared" ref="K76:K139" si="5">+H76-I76+J76</f>
        <v>0</v>
      </c>
      <c r="L76" s="27">
        <f>IF('Pegar ML'!AB72=" ",'Pegar ML'!AB71,'Pegar ML'!AB72)</f>
        <v>0</v>
      </c>
      <c r="M76" s="27" t="str">
        <f>IF('Pegar ML'!AC72=" ",RIGHT('Pegar ML'!AC71,8),RIGHT('Pegar ML'!AC72,8))</f>
        <v/>
      </c>
      <c r="N76" s="27" t="s">
        <v>80</v>
      </c>
      <c r="O76" s="27">
        <f t="shared" si="3"/>
        <v>0</v>
      </c>
      <c r="P76" s="27" t="s">
        <v>80</v>
      </c>
      <c r="Q76" s="55">
        <f>IF('Pegar ML'!AD72=" ",'Pegar ML'!AD71,'Pegar ML'!AD72)</f>
        <v>0</v>
      </c>
      <c r="R76" s="27" t="s">
        <v>80</v>
      </c>
      <c r="S76" s="27" t="s">
        <v>80</v>
      </c>
      <c r="T76" s="27" t="s">
        <v>80</v>
      </c>
      <c r="U76" s="55">
        <f>IF('Pegar ML'!AI72=" ",'Pegar ML'!AI71,'Pegar ML'!AI72)</f>
        <v>0</v>
      </c>
      <c r="V76" s="55">
        <f>IF('Pegar ML'!AK72=" ",'Pegar ML'!AK71,'Pegar ML'!AK72)</f>
        <v>0</v>
      </c>
      <c r="W76" s="55">
        <f>IF('Pegar ML'!AJ72=" ",'Pegar ML'!AJ71,'Pegar ML'!AJ72)</f>
        <v>0</v>
      </c>
      <c r="X76" s="55">
        <f>IF('Pegar ML'!AL72=" ",'Pegar ML'!AL71,'Pegar ML'!AL72)</f>
        <v>0</v>
      </c>
      <c r="Y76" s="27"/>
      <c r="Z76" s="27"/>
      <c r="AA76" s="27"/>
      <c r="AB76" s="27"/>
      <c r="AC76" s="27"/>
      <c r="AD76" s="27"/>
      <c r="AF76" s="8"/>
      <c r="AG76" s="27"/>
      <c r="AH76" s="14">
        <f>+'Pegar ML'!Y72</f>
        <v>0</v>
      </c>
      <c r="AI76" s="13">
        <f t="shared" si="4"/>
        <v>1</v>
      </c>
      <c r="AJ76" s="7">
        <f>+'Pegar ML'!T72</f>
        <v>0</v>
      </c>
      <c r="AK76" s="27"/>
      <c r="AL76" s="27"/>
      <c r="AM76" s="27"/>
      <c r="AN76" s="27"/>
      <c r="AO76" s="27"/>
      <c r="AP76" s="27"/>
      <c r="AQ76" s="27"/>
      <c r="AR76" s="27"/>
      <c r="AS76" s="27">
        <v>17</v>
      </c>
    </row>
    <row r="77" spans="1:45" x14ac:dyDescent="0.25">
      <c r="A77" s="27">
        <f>IF('Pegar ML'!C72="Paquete de 2 productos",'Pegar ML'!A72,IF('Pegar ML'!C71="Paquete de 2 productos",'Pegar ML'!A71,'Pegar ML'!A73))</f>
        <v>0</v>
      </c>
      <c r="B77" s="27"/>
      <c r="C77" s="30" t="e">
        <f>IF(AjusteFecha!I73=0,"",AjusteFecha!I73)</f>
        <v>#N/A</v>
      </c>
      <c r="D77" s="27"/>
      <c r="E77" s="27"/>
      <c r="F77" s="27" t="str">
        <f>IF('Pegar ML'!C73="","",'Pegar ML'!C73)</f>
        <v/>
      </c>
      <c r="G77" s="27" t="str">
        <f>IF('Pegar ML'!G68="ARS","PS","PS")</f>
        <v>PS</v>
      </c>
      <c r="H77" s="14">
        <f>IF('Pegar ML'!C72="Paquete de 2 productos",IF('Pegar ML'!H72="",0,'Pegar ML'!H72),IF('Pegar ML'!H73="",0,'Pegar ML'!H73))</f>
        <v>0</v>
      </c>
      <c r="I77" s="14">
        <f>IF('Pegar ML'!C72="Paquete de 2 productos",IF('Pegar ML'!O72="",0,'Pegar ML'!O72),IF('Pegar ML'!O73="",0,'Pegar ML'!O73))</f>
        <v>0</v>
      </c>
      <c r="J77" s="14">
        <f>IF('Pegar ML'!C72="Paquete de 2 productos",IF('Pegar ML'!O72="",0,'Pegar ML'!O72),IF('Pegar ML'!O73="",0,'Pegar ML'!O73))</f>
        <v>0</v>
      </c>
      <c r="K77" s="14">
        <f t="shared" si="5"/>
        <v>0</v>
      </c>
      <c r="L77" s="27">
        <f>IF('Pegar ML'!AB73=" ",'Pegar ML'!AB72,'Pegar ML'!AB73)</f>
        <v>0</v>
      </c>
      <c r="M77" s="27" t="str">
        <f>IF('Pegar ML'!AC73=" ",RIGHT('Pegar ML'!AC72,8),RIGHT('Pegar ML'!AC73,8))</f>
        <v/>
      </c>
      <c r="N77" s="27" t="s">
        <v>80</v>
      </c>
      <c r="O77" s="27">
        <f t="shared" si="3"/>
        <v>0</v>
      </c>
      <c r="P77" s="27" t="s">
        <v>80</v>
      </c>
      <c r="Q77" s="55">
        <f>IF('Pegar ML'!AD73=" ",'Pegar ML'!AD72,'Pegar ML'!AD73)</f>
        <v>0</v>
      </c>
      <c r="R77" s="27" t="s">
        <v>80</v>
      </c>
      <c r="S77" s="27" t="s">
        <v>80</v>
      </c>
      <c r="T77" s="27" t="s">
        <v>80</v>
      </c>
      <c r="U77" s="55">
        <f>IF('Pegar ML'!AI73=" ",'Pegar ML'!AI72,'Pegar ML'!AI73)</f>
        <v>0</v>
      </c>
      <c r="V77" s="55">
        <f>IF('Pegar ML'!AK73=" ",'Pegar ML'!AK72,'Pegar ML'!AK73)</f>
        <v>0</v>
      </c>
      <c r="W77" s="55">
        <f>IF('Pegar ML'!AJ73=" ",'Pegar ML'!AJ72,'Pegar ML'!AJ73)</f>
        <v>0</v>
      </c>
      <c r="X77" s="55">
        <f>IF('Pegar ML'!AL73=" ",'Pegar ML'!AL72,'Pegar ML'!AL73)</f>
        <v>0</v>
      </c>
      <c r="Y77" s="27"/>
      <c r="Z77" s="27"/>
      <c r="AA77" s="27"/>
      <c r="AB77" s="27"/>
      <c r="AC77" s="27"/>
      <c r="AD77" s="27"/>
      <c r="AF77" s="8"/>
      <c r="AG77" s="27"/>
      <c r="AH77" s="14">
        <f>+'Pegar ML'!Y73</f>
        <v>0</v>
      </c>
      <c r="AI77" s="13">
        <f t="shared" si="4"/>
        <v>1</v>
      </c>
      <c r="AJ77" s="7">
        <f>+'Pegar ML'!T73</f>
        <v>0</v>
      </c>
      <c r="AK77" s="27"/>
      <c r="AL77" s="27"/>
      <c r="AM77" s="27"/>
      <c r="AN77" s="27"/>
      <c r="AO77" s="27"/>
      <c r="AP77" s="27"/>
      <c r="AQ77" s="27"/>
      <c r="AR77" s="27"/>
      <c r="AS77" s="27">
        <v>17</v>
      </c>
    </row>
    <row r="78" spans="1:45" x14ac:dyDescent="0.25">
      <c r="A78" s="27">
        <f>IF('Pegar ML'!C73="Paquete de 2 productos",'Pegar ML'!A73,IF('Pegar ML'!C72="Paquete de 2 productos",'Pegar ML'!A72,'Pegar ML'!A74))</f>
        <v>0</v>
      </c>
      <c r="B78" s="27"/>
      <c r="C78" s="30" t="e">
        <f>IF(AjusteFecha!I74=0,"",AjusteFecha!I74)</f>
        <v>#N/A</v>
      </c>
      <c r="D78" s="27"/>
      <c r="E78" s="27"/>
      <c r="F78" s="27" t="str">
        <f>IF('Pegar ML'!C74="","",'Pegar ML'!C74)</f>
        <v/>
      </c>
      <c r="G78" s="27" t="str">
        <f>IF('Pegar ML'!G69="ARS","PS","PS")</f>
        <v>PS</v>
      </c>
      <c r="H78" s="14">
        <f>IF('Pegar ML'!C73="Paquete de 2 productos",IF('Pegar ML'!H73="",0,'Pegar ML'!H73),IF('Pegar ML'!H74="",0,'Pegar ML'!H74))</f>
        <v>0</v>
      </c>
      <c r="I78" s="14">
        <f>IF('Pegar ML'!C73="Paquete de 2 productos",IF('Pegar ML'!O73="",0,'Pegar ML'!O73),IF('Pegar ML'!O74="",0,'Pegar ML'!O74))</f>
        <v>0</v>
      </c>
      <c r="J78" s="14">
        <f>IF('Pegar ML'!C73="Paquete de 2 productos",IF('Pegar ML'!O73="",0,'Pegar ML'!O73),IF('Pegar ML'!O74="",0,'Pegar ML'!O74))</f>
        <v>0</v>
      </c>
      <c r="K78" s="14">
        <f t="shared" si="5"/>
        <v>0</v>
      </c>
      <c r="L78" s="27">
        <f>IF('Pegar ML'!AB74=" ",'Pegar ML'!AB73,'Pegar ML'!AB74)</f>
        <v>0</v>
      </c>
      <c r="M78" s="27" t="str">
        <f>IF('Pegar ML'!AC74=" ",RIGHT('Pegar ML'!AC73,8),RIGHT('Pegar ML'!AC74,8))</f>
        <v/>
      </c>
      <c r="N78" s="27" t="s">
        <v>80</v>
      </c>
      <c r="O78" s="27">
        <f t="shared" si="3"/>
        <v>0</v>
      </c>
      <c r="P78" s="27" t="s">
        <v>80</v>
      </c>
      <c r="Q78" s="55">
        <f>IF('Pegar ML'!AD74=" ",'Pegar ML'!AD73,'Pegar ML'!AD74)</f>
        <v>0</v>
      </c>
      <c r="R78" s="27" t="s">
        <v>80</v>
      </c>
      <c r="S78" s="27" t="s">
        <v>80</v>
      </c>
      <c r="T78" s="27" t="s">
        <v>80</v>
      </c>
      <c r="U78" s="55">
        <f>IF('Pegar ML'!AI74=" ",'Pegar ML'!AI73,'Pegar ML'!AI74)</f>
        <v>0</v>
      </c>
      <c r="V78" s="55">
        <f>IF('Pegar ML'!AK74=" ",'Pegar ML'!AK73,'Pegar ML'!AK74)</f>
        <v>0</v>
      </c>
      <c r="W78" s="55">
        <f>IF('Pegar ML'!AJ74=" ",'Pegar ML'!AJ73,'Pegar ML'!AJ74)</f>
        <v>0</v>
      </c>
      <c r="X78" s="55">
        <f>IF('Pegar ML'!AL74=" ",'Pegar ML'!AL73,'Pegar ML'!AL74)</f>
        <v>0</v>
      </c>
      <c r="Y78" s="27"/>
      <c r="Z78" s="27"/>
      <c r="AA78" s="27"/>
      <c r="AB78" s="27"/>
      <c r="AC78" s="27"/>
      <c r="AD78" s="27"/>
      <c r="AF78" s="8"/>
      <c r="AG78" s="27"/>
      <c r="AH78" s="14">
        <f>+'Pegar ML'!Y74</f>
        <v>0</v>
      </c>
      <c r="AI78" s="13">
        <f t="shared" si="4"/>
        <v>1</v>
      </c>
      <c r="AJ78" s="7">
        <f>+'Pegar ML'!T74</f>
        <v>0</v>
      </c>
      <c r="AK78" s="27"/>
      <c r="AL78" s="27"/>
      <c r="AM78" s="27"/>
      <c r="AN78" s="27"/>
      <c r="AO78" s="27"/>
      <c r="AP78" s="27"/>
      <c r="AQ78" s="27"/>
      <c r="AR78" s="27"/>
      <c r="AS78" s="27">
        <v>17</v>
      </c>
    </row>
    <row r="79" spans="1:45" x14ac:dyDescent="0.25">
      <c r="A79" s="27">
        <f>IF('Pegar ML'!C74="Paquete de 2 productos",'Pegar ML'!A74,IF('Pegar ML'!C73="Paquete de 2 productos",'Pegar ML'!A73,'Pegar ML'!A75))</f>
        <v>0</v>
      </c>
      <c r="B79" s="27"/>
      <c r="C79" s="30" t="e">
        <f>IF(AjusteFecha!I75=0,"",AjusteFecha!I75)</f>
        <v>#N/A</v>
      </c>
      <c r="D79" s="27"/>
      <c r="E79" s="27"/>
      <c r="F79" s="27" t="str">
        <f>IF('Pegar ML'!C75="","",'Pegar ML'!C75)</f>
        <v/>
      </c>
      <c r="G79" s="27" t="str">
        <f>IF('Pegar ML'!G70="ARS","PS","PS")</f>
        <v>PS</v>
      </c>
      <c r="H79" s="14">
        <f>IF('Pegar ML'!C74="Paquete de 2 productos",IF('Pegar ML'!H74="",0,'Pegar ML'!H74),IF('Pegar ML'!H75="",0,'Pegar ML'!H75))</f>
        <v>0</v>
      </c>
      <c r="I79" s="14">
        <f>IF('Pegar ML'!C74="Paquete de 2 productos",IF('Pegar ML'!O74="",0,'Pegar ML'!O74),IF('Pegar ML'!O75="",0,'Pegar ML'!O75))</f>
        <v>0</v>
      </c>
      <c r="J79" s="14">
        <f>IF('Pegar ML'!C74="Paquete de 2 productos",IF('Pegar ML'!O74="",0,'Pegar ML'!O74),IF('Pegar ML'!O75="",0,'Pegar ML'!O75))</f>
        <v>0</v>
      </c>
      <c r="K79" s="14">
        <f t="shared" si="5"/>
        <v>0</v>
      </c>
      <c r="L79" s="27">
        <f>IF('Pegar ML'!AB75=" ",'Pegar ML'!AB74,'Pegar ML'!AB75)</f>
        <v>0</v>
      </c>
      <c r="M79" s="27" t="str">
        <f>IF('Pegar ML'!AC75=" ",RIGHT('Pegar ML'!AC74,8),RIGHT('Pegar ML'!AC75,8))</f>
        <v/>
      </c>
      <c r="N79" s="27" t="s">
        <v>80</v>
      </c>
      <c r="O79" s="27">
        <f t="shared" si="3"/>
        <v>0</v>
      </c>
      <c r="P79" s="27" t="s">
        <v>80</v>
      </c>
      <c r="Q79" s="55">
        <f>IF('Pegar ML'!AD75=" ",'Pegar ML'!AD74,'Pegar ML'!AD75)</f>
        <v>0</v>
      </c>
      <c r="R79" s="27" t="s">
        <v>80</v>
      </c>
      <c r="S79" s="27" t="s">
        <v>80</v>
      </c>
      <c r="T79" s="27" t="s">
        <v>80</v>
      </c>
      <c r="U79" s="55">
        <f>IF('Pegar ML'!AI75=" ",'Pegar ML'!AI74,'Pegar ML'!AI75)</f>
        <v>0</v>
      </c>
      <c r="V79" s="55">
        <f>IF('Pegar ML'!AK75=" ",'Pegar ML'!AK74,'Pegar ML'!AK75)</f>
        <v>0</v>
      </c>
      <c r="W79" s="55">
        <f>IF('Pegar ML'!AJ75=" ",'Pegar ML'!AJ74,'Pegar ML'!AJ75)</f>
        <v>0</v>
      </c>
      <c r="X79" s="55">
        <f>IF('Pegar ML'!AL75=" ",'Pegar ML'!AL74,'Pegar ML'!AL75)</f>
        <v>0</v>
      </c>
      <c r="Y79" s="27"/>
      <c r="Z79" s="27"/>
      <c r="AA79" s="27"/>
      <c r="AB79" s="27"/>
      <c r="AC79" s="27"/>
      <c r="AD79" s="27"/>
      <c r="AF79" s="8"/>
      <c r="AG79" s="27"/>
      <c r="AH79" s="14">
        <f>+'Pegar ML'!Y75</f>
        <v>0</v>
      </c>
      <c r="AI79" s="13">
        <f t="shared" si="4"/>
        <v>1</v>
      </c>
      <c r="AJ79" s="7">
        <f>+'Pegar ML'!T75</f>
        <v>0</v>
      </c>
      <c r="AK79" s="27"/>
      <c r="AL79" s="27"/>
      <c r="AM79" s="27"/>
      <c r="AN79" s="27"/>
      <c r="AO79" s="27"/>
      <c r="AP79" s="27"/>
      <c r="AQ79" s="27"/>
      <c r="AR79" s="27"/>
      <c r="AS79" s="27">
        <v>17</v>
      </c>
    </row>
    <row r="80" spans="1:45" x14ac:dyDescent="0.25">
      <c r="A80" s="27">
        <f>IF('Pegar ML'!C75="Paquete de 2 productos",'Pegar ML'!A75,IF('Pegar ML'!C74="Paquete de 2 productos",'Pegar ML'!A74,'Pegar ML'!A76))</f>
        <v>0</v>
      </c>
      <c r="B80" s="27"/>
      <c r="C80" s="30" t="e">
        <f>IF(AjusteFecha!I76=0,"",AjusteFecha!I76)</f>
        <v>#N/A</v>
      </c>
      <c r="D80" s="27"/>
      <c r="E80" s="27"/>
      <c r="F80" s="27" t="str">
        <f>IF('Pegar ML'!C76="","",'Pegar ML'!C76)</f>
        <v/>
      </c>
      <c r="G80" s="27" t="str">
        <f>IF('Pegar ML'!G71="ARS","PS","PS")</f>
        <v>PS</v>
      </c>
      <c r="H80" s="14">
        <f>IF('Pegar ML'!C75="Paquete de 2 productos",IF('Pegar ML'!H75="",0,'Pegar ML'!H75),IF('Pegar ML'!H76="",0,'Pegar ML'!H76))</f>
        <v>0</v>
      </c>
      <c r="I80" s="14">
        <f>IF('Pegar ML'!C75="Paquete de 2 productos",IF('Pegar ML'!O75="",0,'Pegar ML'!O75),IF('Pegar ML'!O76="",0,'Pegar ML'!O76))</f>
        <v>0</v>
      </c>
      <c r="J80" s="14">
        <f>IF('Pegar ML'!C75="Paquete de 2 productos",IF('Pegar ML'!O75="",0,'Pegar ML'!O75),IF('Pegar ML'!O76="",0,'Pegar ML'!O76))</f>
        <v>0</v>
      </c>
      <c r="K80" s="14">
        <f t="shared" si="5"/>
        <v>0</v>
      </c>
      <c r="L80" s="27">
        <f>IF('Pegar ML'!AB76=" ",'Pegar ML'!AB75,'Pegar ML'!AB76)</f>
        <v>0</v>
      </c>
      <c r="M80" s="27" t="str">
        <f>IF('Pegar ML'!AC76=" ",RIGHT('Pegar ML'!AC75,8),RIGHT('Pegar ML'!AC76,8))</f>
        <v/>
      </c>
      <c r="N80" s="27" t="s">
        <v>80</v>
      </c>
      <c r="O80" s="27">
        <f t="shared" si="3"/>
        <v>0</v>
      </c>
      <c r="P80" s="27" t="s">
        <v>80</v>
      </c>
      <c r="Q80" s="55">
        <f>IF('Pegar ML'!AD76=" ",'Pegar ML'!AD75,'Pegar ML'!AD76)</f>
        <v>0</v>
      </c>
      <c r="R80" s="27" t="s">
        <v>80</v>
      </c>
      <c r="S80" s="27" t="s">
        <v>80</v>
      </c>
      <c r="T80" s="27" t="s">
        <v>80</v>
      </c>
      <c r="U80" s="55">
        <f>IF('Pegar ML'!AI76=" ",'Pegar ML'!AI75,'Pegar ML'!AI76)</f>
        <v>0</v>
      </c>
      <c r="V80" s="55">
        <f>IF('Pegar ML'!AK76=" ",'Pegar ML'!AK75,'Pegar ML'!AK76)</f>
        <v>0</v>
      </c>
      <c r="W80" s="55">
        <f>IF('Pegar ML'!AJ76=" ",'Pegar ML'!AJ75,'Pegar ML'!AJ76)</f>
        <v>0</v>
      </c>
      <c r="X80" s="55">
        <f>IF('Pegar ML'!AL76=" ",'Pegar ML'!AL75,'Pegar ML'!AL76)</f>
        <v>0</v>
      </c>
      <c r="Y80" s="27"/>
      <c r="Z80" s="27"/>
      <c r="AA80" s="27"/>
      <c r="AB80" s="27"/>
      <c r="AC80" s="27"/>
      <c r="AD80" s="27"/>
      <c r="AF80" s="8"/>
      <c r="AG80" s="27"/>
      <c r="AH80" s="14">
        <f>+'Pegar ML'!Y76</f>
        <v>0</v>
      </c>
      <c r="AI80" s="13">
        <f t="shared" si="4"/>
        <v>1</v>
      </c>
      <c r="AJ80" s="7">
        <f>+'Pegar ML'!T76</f>
        <v>0</v>
      </c>
      <c r="AK80" s="27"/>
      <c r="AL80" s="27"/>
      <c r="AM80" s="27"/>
      <c r="AN80" s="27"/>
      <c r="AO80" s="27"/>
      <c r="AP80" s="27"/>
      <c r="AQ80" s="27"/>
      <c r="AR80" s="27"/>
      <c r="AS80" s="27">
        <v>17</v>
      </c>
    </row>
    <row r="81" spans="1:45" x14ac:dyDescent="0.25">
      <c r="A81" s="27">
        <f>IF('Pegar ML'!C76="Paquete de 2 productos",'Pegar ML'!A76,IF('Pegar ML'!C75="Paquete de 2 productos",'Pegar ML'!A75,'Pegar ML'!A77))</f>
        <v>0</v>
      </c>
      <c r="B81" s="27"/>
      <c r="C81" s="30" t="e">
        <f>IF(AjusteFecha!I77=0,"",AjusteFecha!I77)</f>
        <v>#N/A</v>
      </c>
      <c r="D81" s="27"/>
      <c r="E81" s="27"/>
      <c r="F81" s="27" t="str">
        <f>IF('Pegar ML'!C77="","",'Pegar ML'!C77)</f>
        <v/>
      </c>
      <c r="G81" s="27" t="str">
        <f>IF('Pegar ML'!G72="ARS","PS","PS")</f>
        <v>PS</v>
      </c>
      <c r="H81" s="14">
        <f>IF('Pegar ML'!C76="Paquete de 2 productos",IF('Pegar ML'!H76="",0,'Pegar ML'!H76),IF('Pegar ML'!H77="",0,'Pegar ML'!H77))</f>
        <v>0</v>
      </c>
      <c r="I81" s="14">
        <f>IF('Pegar ML'!C76="Paquete de 2 productos",IF('Pegar ML'!O76="",0,'Pegar ML'!O76),IF('Pegar ML'!O77="",0,'Pegar ML'!O77))</f>
        <v>0</v>
      </c>
      <c r="J81" s="14">
        <f>IF('Pegar ML'!C76="Paquete de 2 productos",IF('Pegar ML'!O76="",0,'Pegar ML'!O76),IF('Pegar ML'!O77="",0,'Pegar ML'!O77))</f>
        <v>0</v>
      </c>
      <c r="K81" s="14">
        <f t="shared" si="5"/>
        <v>0</v>
      </c>
      <c r="L81" s="27">
        <f>IF('Pegar ML'!AB77=" ",'Pegar ML'!AB76,'Pegar ML'!AB77)</f>
        <v>0</v>
      </c>
      <c r="M81" s="27" t="str">
        <f>IF('Pegar ML'!AC77=" ",RIGHT('Pegar ML'!AC76,8),RIGHT('Pegar ML'!AC77,8))</f>
        <v/>
      </c>
      <c r="N81" s="27" t="s">
        <v>80</v>
      </c>
      <c r="O81" s="27">
        <f t="shared" si="3"/>
        <v>0</v>
      </c>
      <c r="P81" s="27" t="s">
        <v>80</v>
      </c>
      <c r="Q81" s="55">
        <f>IF('Pegar ML'!AD77=" ",'Pegar ML'!AD76,'Pegar ML'!AD77)</f>
        <v>0</v>
      </c>
      <c r="R81" s="27" t="s">
        <v>80</v>
      </c>
      <c r="S81" s="27" t="s">
        <v>80</v>
      </c>
      <c r="T81" s="27" t="s">
        <v>80</v>
      </c>
      <c r="U81" s="55">
        <f>IF('Pegar ML'!AI77=" ",'Pegar ML'!AI76,'Pegar ML'!AI77)</f>
        <v>0</v>
      </c>
      <c r="V81" s="55">
        <f>IF('Pegar ML'!AK77=" ",'Pegar ML'!AK76,'Pegar ML'!AK77)</f>
        <v>0</v>
      </c>
      <c r="W81" s="55">
        <f>IF('Pegar ML'!AJ77=" ",'Pegar ML'!AJ76,'Pegar ML'!AJ77)</f>
        <v>0</v>
      </c>
      <c r="X81" s="55">
        <f>IF('Pegar ML'!AL77=" ",'Pegar ML'!AL76,'Pegar ML'!AL77)</f>
        <v>0</v>
      </c>
      <c r="Y81" s="27"/>
      <c r="Z81" s="27"/>
      <c r="AA81" s="27"/>
      <c r="AB81" s="27"/>
      <c r="AC81" s="27"/>
      <c r="AD81" s="27"/>
      <c r="AF81" s="8"/>
      <c r="AG81" s="27"/>
      <c r="AH81" s="14">
        <f>+'Pegar ML'!Y77</f>
        <v>0</v>
      </c>
      <c r="AI81" s="13">
        <f t="shared" si="4"/>
        <v>1</v>
      </c>
      <c r="AJ81" s="7">
        <f>+'Pegar ML'!T77</f>
        <v>0</v>
      </c>
      <c r="AK81" s="27"/>
      <c r="AL81" s="27"/>
      <c r="AM81" s="27"/>
      <c r="AN81" s="27"/>
      <c r="AO81" s="27"/>
      <c r="AP81" s="27"/>
      <c r="AQ81" s="27"/>
      <c r="AR81" s="27"/>
      <c r="AS81" s="27">
        <v>17</v>
      </c>
    </row>
    <row r="82" spans="1:45" x14ac:dyDescent="0.25">
      <c r="A82" s="27">
        <f>IF('Pegar ML'!C77="Paquete de 2 productos",'Pegar ML'!A77,IF('Pegar ML'!C76="Paquete de 2 productos",'Pegar ML'!A76,'Pegar ML'!A78))</f>
        <v>0</v>
      </c>
      <c r="B82" s="27"/>
      <c r="C82" s="30" t="e">
        <f>IF(AjusteFecha!I78=0,"",AjusteFecha!I78)</f>
        <v>#N/A</v>
      </c>
      <c r="D82" s="27"/>
      <c r="E82" s="27"/>
      <c r="F82" s="27" t="str">
        <f>IF('Pegar ML'!C78="","",'Pegar ML'!C78)</f>
        <v/>
      </c>
      <c r="G82" s="27" t="str">
        <f>IF('Pegar ML'!G73="ARS","PS","PS")</f>
        <v>PS</v>
      </c>
      <c r="H82" s="14">
        <f>IF('Pegar ML'!C77="Paquete de 2 productos",IF('Pegar ML'!H77="",0,'Pegar ML'!H77),IF('Pegar ML'!H78="",0,'Pegar ML'!H78))</f>
        <v>0</v>
      </c>
      <c r="I82" s="14">
        <f>IF('Pegar ML'!C77="Paquete de 2 productos",IF('Pegar ML'!O77="",0,'Pegar ML'!O77),IF('Pegar ML'!O78="",0,'Pegar ML'!O78))</f>
        <v>0</v>
      </c>
      <c r="J82" s="14">
        <f>IF('Pegar ML'!C77="Paquete de 2 productos",IF('Pegar ML'!O77="",0,'Pegar ML'!O77),IF('Pegar ML'!O78="",0,'Pegar ML'!O78))</f>
        <v>0</v>
      </c>
      <c r="K82" s="14">
        <f t="shared" si="5"/>
        <v>0</v>
      </c>
      <c r="L82" s="27">
        <f>IF('Pegar ML'!AB78=" ",'Pegar ML'!AB77,'Pegar ML'!AB78)</f>
        <v>0</v>
      </c>
      <c r="M82" s="27" t="str">
        <f>IF('Pegar ML'!AC78=" ",RIGHT('Pegar ML'!AC77,8),RIGHT('Pegar ML'!AC78,8))</f>
        <v/>
      </c>
      <c r="N82" s="27" t="s">
        <v>80</v>
      </c>
      <c r="O82" s="27">
        <f t="shared" si="3"/>
        <v>0</v>
      </c>
      <c r="P82" s="27" t="s">
        <v>80</v>
      </c>
      <c r="Q82" s="55">
        <f>IF('Pegar ML'!AD78=" ",'Pegar ML'!AD77,'Pegar ML'!AD78)</f>
        <v>0</v>
      </c>
      <c r="R82" s="27" t="s">
        <v>80</v>
      </c>
      <c r="S82" s="27" t="s">
        <v>80</v>
      </c>
      <c r="T82" s="27" t="s">
        <v>80</v>
      </c>
      <c r="U82" s="55">
        <f>IF('Pegar ML'!AI78=" ",'Pegar ML'!AI77,'Pegar ML'!AI78)</f>
        <v>0</v>
      </c>
      <c r="V82" s="55">
        <f>IF('Pegar ML'!AK78=" ",'Pegar ML'!AK77,'Pegar ML'!AK78)</f>
        <v>0</v>
      </c>
      <c r="W82" s="55">
        <f>IF('Pegar ML'!AJ78=" ",'Pegar ML'!AJ77,'Pegar ML'!AJ78)</f>
        <v>0</v>
      </c>
      <c r="X82" s="55">
        <f>IF('Pegar ML'!AL78=" ",'Pegar ML'!AL77,'Pegar ML'!AL78)</f>
        <v>0</v>
      </c>
      <c r="Y82" s="27"/>
      <c r="Z82" s="27"/>
      <c r="AA82" s="27"/>
      <c r="AB82" s="27"/>
      <c r="AC82" s="27"/>
      <c r="AD82" s="27"/>
      <c r="AF82" s="8"/>
      <c r="AG82" s="27"/>
      <c r="AH82" s="14">
        <f>+'Pegar ML'!Y78</f>
        <v>0</v>
      </c>
      <c r="AI82" s="13">
        <f t="shared" si="4"/>
        <v>1</v>
      </c>
      <c r="AJ82" s="7">
        <f>+'Pegar ML'!T78</f>
        <v>0</v>
      </c>
      <c r="AK82" s="27"/>
      <c r="AL82" s="27"/>
      <c r="AM82" s="27"/>
      <c r="AN82" s="27"/>
      <c r="AO82" s="27"/>
      <c r="AP82" s="27"/>
      <c r="AQ82" s="27"/>
      <c r="AR82" s="27"/>
      <c r="AS82" s="27">
        <v>17</v>
      </c>
    </row>
    <row r="83" spans="1:45" x14ac:dyDescent="0.25">
      <c r="A83" s="27">
        <f>IF('Pegar ML'!C78="Paquete de 2 productos",'Pegar ML'!A78,IF('Pegar ML'!C77="Paquete de 2 productos",'Pegar ML'!A77,'Pegar ML'!A79))</f>
        <v>0</v>
      </c>
      <c r="B83" s="27"/>
      <c r="C83" s="30" t="e">
        <f>IF(AjusteFecha!I79=0,"",AjusteFecha!I79)</f>
        <v>#N/A</v>
      </c>
      <c r="D83" s="27"/>
      <c r="E83" s="27"/>
      <c r="F83" s="27" t="str">
        <f>IF('Pegar ML'!C79="","",'Pegar ML'!C79)</f>
        <v/>
      </c>
      <c r="G83" s="27" t="str">
        <f>IF('Pegar ML'!G74="ARS","PS","PS")</f>
        <v>PS</v>
      </c>
      <c r="H83" s="14">
        <f>IF('Pegar ML'!C78="Paquete de 2 productos",IF('Pegar ML'!H78="",0,'Pegar ML'!H78),IF('Pegar ML'!H79="",0,'Pegar ML'!H79))</f>
        <v>0</v>
      </c>
      <c r="I83" s="14">
        <f>IF('Pegar ML'!C78="Paquete de 2 productos",IF('Pegar ML'!O78="",0,'Pegar ML'!O78),IF('Pegar ML'!O79="",0,'Pegar ML'!O79))</f>
        <v>0</v>
      </c>
      <c r="J83" s="14">
        <f>IF('Pegar ML'!C78="Paquete de 2 productos",IF('Pegar ML'!O78="",0,'Pegar ML'!O78),IF('Pegar ML'!O79="",0,'Pegar ML'!O79))</f>
        <v>0</v>
      </c>
      <c r="K83" s="14">
        <f t="shared" si="5"/>
        <v>0</v>
      </c>
      <c r="L83" s="27">
        <f>IF('Pegar ML'!AB79=" ",'Pegar ML'!AB78,'Pegar ML'!AB79)</f>
        <v>0</v>
      </c>
      <c r="M83" s="27" t="str">
        <f>IF('Pegar ML'!AC79=" ",RIGHT('Pegar ML'!AC78,8),RIGHT('Pegar ML'!AC79,8))</f>
        <v/>
      </c>
      <c r="N83" s="27" t="s">
        <v>80</v>
      </c>
      <c r="O83" s="27">
        <f t="shared" si="3"/>
        <v>0</v>
      </c>
      <c r="P83" s="27" t="s">
        <v>80</v>
      </c>
      <c r="Q83" s="55">
        <f>IF('Pegar ML'!AD79=" ",'Pegar ML'!AD78,'Pegar ML'!AD79)</f>
        <v>0</v>
      </c>
      <c r="R83" s="27" t="s">
        <v>80</v>
      </c>
      <c r="S83" s="27" t="s">
        <v>80</v>
      </c>
      <c r="T83" s="27" t="s">
        <v>80</v>
      </c>
      <c r="U83" s="55">
        <f>IF('Pegar ML'!AI79=" ",'Pegar ML'!AI78,'Pegar ML'!AI79)</f>
        <v>0</v>
      </c>
      <c r="V83" s="55">
        <f>IF('Pegar ML'!AK79=" ",'Pegar ML'!AK78,'Pegar ML'!AK79)</f>
        <v>0</v>
      </c>
      <c r="W83" s="55">
        <f>IF('Pegar ML'!AJ79=" ",'Pegar ML'!AJ78,'Pegar ML'!AJ79)</f>
        <v>0</v>
      </c>
      <c r="X83" s="55">
        <f>IF('Pegar ML'!AL79=" ",'Pegar ML'!AL78,'Pegar ML'!AL79)</f>
        <v>0</v>
      </c>
      <c r="Y83" s="27"/>
      <c r="Z83" s="27"/>
      <c r="AA83" s="27"/>
      <c r="AB83" s="27"/>
      <c r="AC83" s="27"/>
      <c r="AD83" s="27"/>
      <c r="AF83" s="8"/>
      <c r="AG83" s="27"/>
      <c r="AH83" s="14">
        <f>+'Pegar ML'!Y79</f>
        <v>0</v>
      </c>
      <c r="AI83" s="13">
        <f t="shared" si="4"/>
        <v>1</v>
      </c>
      <c r="AJ83" s="7">
        <f>+'Pegar ML'!T79</f>
        <v>0</v>
      </c>
      <c r="AK83" s="27"/>
      <c r="AL83" s="27"/>
      <c r="AM83" s="27"/>
      <c r="AN83" s="27"/>
      <c r="AO83" s="27"/>
      <c r="AP83" s="27"/>
      <c r="AQ83" s="27"/>
      <c r="AR83" s="27"/>
      <c r="AS83" s="27">
        <v>17</v>
      </c>
    </row>
    <row r="84" spans="1:45" x14ac:dyDescent="0.25">
      <c r="A84" s="27">
        <f>IF('Pegar ML'!C79="Paquete de 2 productos",'Pegar ML'!A79,IF('Pegar ML'!C78="Paquete de 2 productos",'Pegar ML'!A78,'Pegar ML'!A80))</f>
        <v>0</v>
      </c>
      <c r="B84" s="27"/>
      <c r="C84" s="30" t="e">
        <f>IF(AjusteFecha!I80=0,"",AjusteFecha!I80)</f>
        <v>#N/A</v>
      </c>
      <c r="D84" s="27"/>
      <c r="E84" s="27"/>
      <c r="F84" s="27" t="str">
        <f>IF('Pegar ML'!C80="","",'Pegar ML'!C80)</f>
        <v/>
      </c>
      <c r="G84" s="27" t="str">
        <f>IF('Pegar ML'!G75="ARS","PS","PS")</f>
        <v>PS</v>
      </c>
      <c r="H84" s="14">
        <f>IF('Pegar ML'!C79="Paquete de 2 productos",IF('Pegar ML'!H79="",0,'Pegar ML'!H79),IF('Pegar ML'!H80="",0,'Pegar ML'!H80))</f>
        <v>0</v>
      </c>
      <c r="I84" s="14">
        <f>IF('Pegar ML'!C79="Paquete de 2 productos",IF('Pegar ML'!O79="",0,'Pegar ML'!O79),IF('Pegar ML'!O80="",0,'Pegar ML'!O80))</f>
        <v>0</v>
      </c>
      <c r="J84" s="14">
        <f>IF('Pegar ML'!C79="Paquete de 2 productos",IF('Pegar ML'!O79="",0,'Pegar ML'!O79),IF('Pegar ML'!O80="",0,'Pegar ML'!O80))</f>
        <v>0</v>
      </c>
      <c r="K84" s="14">
        <f t="shared" si="5"/>
        <v>0</v>
      </c>
      <c r="L84" s="27">
        <f>IF('Pegar ML'!AB80=" ",'Pegar ML'!AB79,'Pegar ML'!AB80)</f>
        <v>0</v>
      </c>
      <c r="M84" s="27" t="str">
        <f>IF('Pegar ML'!AC80=" ",RIGHT('Pegar ML'!AC79,8),RIGHT('Pegar ML'!AC80,8))</f>
        <v/>
      </c>
      <c r="N84" s="27" t="s">
        <v>80</v>
      </c>
      <c r="O84" s="27">
        <f t="shared" si="3"/>
        <v>0</v>
      </c>
      <c r="P84" s="27" t="s">
        <v>80</v>
      </c>
      <c r="Q84" s="55">
        <f>IF('Pegar ML'!AD80=" ",'Pegar ML'!AD79,'Pegar ML'!AD80)</f>
        <v>0</v>
      </c>
      <c r="R84" s="27" t="s">
        <v>80</v>
      </c>
      <c r="S84" s="27" t="s">
        <v>80</v>
      </c>
      <c r="T84" s="27" t="s">
        <v>80</v>
      </c>
      <c r="U84" s="55">
        <f>IF('Pegar ML'!AI80=" ",'Pegar ML'!AI79,'Pegar ML'!AI80)</f>
        <v>0</v>
      </c>
      <c r="V84" s="55">
        <f>IF('Pegar ML'!AK80=" ",'Pegar ML'!AK79,'Pegar ML'!AK80)</f>
        <v>0</v>
      </c>
      <c r="W84" s="55">
        <f>IF('Pegar ML'!AJ80=" ",'Pegar ML'!AJ79,'Pegar ML'!AJ80)</f>
        <v>0</v>
      </c>
      <c r="X84" s="55">
        <f>IF('Pegar ML'!AL80=" ",'Pegar ML'!AL79,'Pegar ML'!AL80)</f>
        <v>0</v>
      </c>
      <c r="Y84" s="27"/>
      <c r="Z84" s="27"/>
      <c r="AA84" s="27"/>
      <c r="AB84" s="27"/>
      <c r="AC84" s="27"/>
      <c r="AD84" s="27"/>
      <c r="AF84" s="8"/>
      <c r="AG84" s="27"/>
      <c r="AH84" s="14">
        <f>+'Pegar ML'!Y80</f>
        <v>0</v>
      </c>
      <c r="AI84" s="13">
        <f t="shared" si="4"/>
        <v>1</v>
      </c>
      <c r="AJ84" s="7">
        <f>+'Pegar ML'!T80</f>
        <v>0</v>
      </c>
      <c r="AK84" s="27"/>
      <c r="AL84" s="27"/>
      <c r="AM84" s="27"/>
      <c r="AN84" s="27"/>
      <c r="AO84" s="27"/>
      <c r="AP84" s="27"/>
      <c r="AQ84" s="27"/>
      <c r="AR84" s="27"/>
      <c r="AS84" s="27">
        <v>17</v>
      </c>
    </row>
    <row r="85" spans="1:45" x14ac:dyDescent="0.25">
      <c r="A85" s="27">
        <f>IF('Pegar ML'!C80="Paquete de 2 productos",'Pegar ML'!A80,IF('Pegar ML'!C79="Paquete de 2 productos",'Pegar ML'!A79,'Pegar ML'!A81))</f>
        <v>0</v>
      </c>
      <c r="B85" s="27"/>
      <c r="C85" s="30" t="e">
        <f>IF(AjusteFecha!I81=0,"",AjusteFecha!I81)</f>
        <v>#N/A</v>
      </c>
      <c r="D85" s="27"/>
      <c r="E85" s="27"/>
      <c r="F85" s="27" t="str">
        <f>IF('Pegar ML'!C81="","",'Pegar ML'!C81)</f>
        <v/>
      </c>
      <c r="G85" s="27" t="str">
        <f>IF('Pegar ML'!G76="ARS","PS","PS")</f>
        <v>PS</v>
      </c>
      <c r="H85" s="14">
        <f>IF('Pegar ML'!C80="Paquete de 2 productos",IF('Pegar ML'!H80="",0,'Pegar ML'!H80),IF('Pegar ML'!H81="",0,'Pegar ML'!H81))</f>
        <v>0</v>
      </c>
      <c r="I85" s="14">
        <f>IF('Pegar ML'!C80="Paquete de 2 productos",IF('Pegar ML'!O80="",0,'Pegar ML'!O80),IF('Pegar ML'!O81="",0,'Pegar ML'!O81))</f>
        <v>0</v>
      </c>
      <c r="J85" s="14">
        <f>IF('Pegar ML'!C80="Paquete de 2 productos",IF('Pegar ML'!O80="",0,'Pegar ML'!O80),IF('Pegar ML'!O81="",0,'Pegar ML'!O81))</f>
        <v>0</v>
      </c>
      <c r="K85" s="14">
        <f t="shared" si="5"/>
        <v>0</v>
      </c>
      <c r="L85" s="27">
        <f>IF('Pegar ML'!AB81=" ",'Pegar ML'!AB80,'Pegar ML'!AB81)</f>
        <v>0</v>
      </c>
      <c r="M85" s="27" t="str">
        <f>IF('Pegar ML'!AC81=" ",RIGHT('Pegar ML'!AC80,8),RIGHT('Pegar ML'!AC81,8))</f>
        <v/>
      </c>
      <c r="N85" s="27" t="s">
        <v>80</v>
      </c>
      <c r="O85" s="27">
        <f t="shared" si="3"/>
        <v>0</v>
      </c>
      <c r="P85" s="27" t="s">
        <v>80</v>
      </c>
      <c r="Q85" s="55">
        <f>IF('Pegar ML'!AD81=" ",'Pegar ML'!AD80,'Pegar ML'!AD81)</f>
        <v>0</v>
      </c>
      <c r="R85" s="27" t="s">
        <v>80</v>
      </c>
      <c r="S85" s="27" t="s">
        <v>80</v>
      </c>
      <c r="T85" s="27" t="s">
        <v>80</v>
      </c>
      <c r="U85" s="55">
        <f>IF('Pegar ML'!AI81=" ",'Pegar ML'!AI80,'Pegar ML'!AI81)</f>
        <v>0</v>
      </c>
      <c r="V85" s="55">
        <f>IF('Pegar ML'!AK81=" ",'Pegar ML'!AK80,'Pegar ML'!AK81)</f>
        <v>0</v>
      </c>
      <c r="W85" s="55">
        <f>IF('Pegar ML'!AJ81=" ",'Pegar ML'!AJ80,'Pegar ML'!AJ81)</f>
        <v>0</v>
      </c>
      <c r="X85" s="55">
        <f>IF('Pegar ML'!AL81=" ",'Pegar ML'!AL80,'Pegar ML'!AL81)</f>
        <v>0</v>
      </c>
      <c r="Y85" s="27"/>
      <c r="Z85" s="27"/>
      <c r="AA85" s="27"/>
      <c r="AB85" s="27"/>
      <c r="AC85" s="27"/>
      <c r="AD85" s="27"/>
      <c r="AF85" s="8"/>
      <c r="AG85" s="27"/>
      <c r="AH85" s="14">
        <f>+'Pegar ML'!Y81</f>
        <v>0</v>
      </c>
      <c r="AI85" s="13">
        <f t="shared" si="4"/>
        <v>1</v>
      </c>
      <c r="AJ85" s="7">
        <f>+'Pegar ML'!T81</f>
        <v>0</v>
      </c>
      <c r="AK85" s="27"/>
      <c r="AL85" s="27"/>
      <c r="AM85" s="27"/>
      <c r="AN85" s="27"/>
      <c r="AO85" s="27"/>
      <c r="AP85" s="27"/>
      <c r="AQ85" s="27"/>
      <c r="AR85" s="27"/>
      <c r="AS85" s="27">
        <v>17</v>
      </c>
    </row>
    <row r="86" spans="1:45" x14ac:dyDescent="0.25">
      <c r="A86" s="27">
        <f>IF('Pegar ML'!C81="Paquete de 2 productos",'Pegar ML'!A81,IF('Pegar ML'!C80="Paquete de 2 productos",'Pegar ML'!A80,'Pegar ML'!A82))</f>
        <v>0</v>
      </c>
      <c r="B86" s="27"/>
      <c r="C86" s="30" t="e">
        <f>IF(AjusteFecha!I82=0,"",AjusteFecha!I82)</f>
        <v>#N/A</v>
      </c>
      <c r="D86" s="27"/>
      <c r="E86" s="27"/>
      <c r="F86" s="27" t="str">
        <f>IF('Pegar ML'!C82="","",'Pegar ML'!C82)</f>
        <v/>
      </c>
      <c r="G86" s="27" t="str">
        <f>IF('Pegar ML'!G77="ARS","PS","PS")</f>
        <v>PS</v>
      </c>
      <c r="H86" s="14">
        <f>IF('Pegar ML'!C81="Paquete de 2 productos",IF('Pegar ML'!H81="",0,'Pegar ML'!H81),IF('Pegar ML'!H82="",0,'Pegar ML'!H82))</f>
        <v>0</v>
      </c>
      <c r="I86" s="14">
        <f>IF('Pegar ML'!C81="Paquete de 2 productos",IF('Pegar ML'!O81="",0,'Pegar ML'!O81),IF('Pegar ML'!O82="",0,'Pegar ML'!O82))</f>
        <v>0</v>
      </c>
      <c r="J86" s="14">
        <f>IF('Pegar ML'!C81="Paquete de 2 productos",IF('Pegar ML'!O81="",0,'Pegar ML'!O81),IF('Pegar ML'!O82="",0,'Pegar ML'!O82))</f>
        <v>0</v>
      </c>
      <c r="K86" s="14">
        <f t="shared" si="5"/>
        <v>0</v>
      </c>
      <c r="L86" s="27">
        <f>IF('Pegar ML'!AB82=" ",'Pegar ML'!AB81,'Pegar ML'!AB82)</f>
        <v>0</v>
      </c>
      <c r="M86" s="27" t="str">
        <f>IF('Pegar ML'!AC82=" ",RIGHT('Pegar ML'!AC81,8),RIGHT('Pegar ML'!AC82,8))</f>
        <v/>
      </c>
      <c r="N86" s="27" t="s">
        <v>80</v>
      </c>
      <c r="O86" s="27">
        <f t="shared" si="3"/>
        <v>0</v>
      </c>
      <c r="P86" s="27" t="s">
        <v>80</v>
      </c>
      <c r="Q86" s="55">
        <f>IF('Pegar ML'!AD82=" ",'Pegar ML'!AD81,'Pegar ML'!AD82)</f>
        <v>0</v>
      </c>
      <c r="R86" s="27" t="s">
        <v>80</v>
      </c>
      <c r="S86" s="27" t="s">
        <v>80</v>
      </c>
      <c r="T86" s="27" t="s">
        <v>80</v>
      </c>
      <c r="U86" s="55">
        <f>IF('Pegar ML'!AI82=" ",'Pegar ML'!AI81,'Pegar ML'!AI82)</f>
        <v>0</v>
      </c>
      <c r="V86" s="55">
        <f>IF('Pegar ML'!AK82=" ",'Pegar ML'!AK81,'Pegar ML'!AK82)</f>
        <v>0</v>
      </c>
      <c r="W86" s="55">
        <f>IF('Pegar ML'!AJ82=" ",'Pegar ML'!AJ81,'Pegar ML'!AJ82)</f>
        <v>0</v>
      </c>
      <c r="X86" s="55">
        <f>IF('Pegar ML'!AL82=" ",'Pegar ML'!AL81,'Pegar ML'!AL82)</f>
        <v>0</v>
      </c>
      <c r="Y86" s="27"/>
      <c r="Z86" s="27"/>
      <c r="AA86" s="27"/>
      <c r="AB86" s="27"/>
      <c r="AC86" s="27"/>
      <c r="AD86" s="27"/>
      <c r="AF86" s="8"/>
      <c r="AG86" s="27"/>
      <c r="AH86" s="14">
        <f>+'Pegar ML'!Y82</f>
        <v>0</v>
      </c>
      <c r="AI86" s="13">
        <f t="shared" si="4"/>
        <v>1</v>
      </c>
      <c r="AJ86" s="7">
        <f>+'Pegar ML'!T82</f>
        <v>0</v>
      </c>
      <c r="AK86" s="27"/>
      <c r="AL86" s="27"/>
      <c r="AM86" s="27"/>
      <c r="AN86" s="27"/>
      <c r="AO86" s="27"/>
      <c r="AP86" s="27"/>
      <c r="AQ86" s="27"/>
      <c r="AR86" s="27"/>
      <c r="AS86" s="27">
        <v>17</v>
      </c>
    </row>
    <row r="87" spans="1:45" x14ac:dyDescent="0.25">
      <c r="A87" s="27">
        <f>IF('Pegar ML'!C82="Paquete de 2 productos",'Pegar ML'!A82,IF('Pegar ML'!C81="Paquete de 2 productos",'Pegar ML'!A81,'Pegar ML'!A83))</f>
        <v>0</v>
      </c>
      <c r="B87" s="27"/>
      <c r="C87" s="30" t="e">
        <f>IF(AjusteFecha!I83=0,"",AjusteFecha!I83)</f>
        <v>#N/A</v>
      </c>
      <c r="D87" s="27"/>
      <c r="E87" s="27"/>
      <c r="F87" s="27" t="str">
        <f>IF('Pegar ML'!C83="","",'Pegar ML'!C83)</f>
        <v/>
      </c>
      <c r="G87" s="27" t="str">
        <f>IF('Pegar ML'!G78="ARS","PS","PS")</f>
        <v>PS</v>
      </c>
      <c r="H87" s="14">
        <f>IF('Pegar ML'!C82="Paquete de 2 productos",IF('Pegar ML'!H82="",0,'Pegar ML'!H82),IF('Pegar ML'!H83="",0,'Pegar ML'!H83))</f>
        <v>0</v>
      </c>
      <c r="I87" s="14">
        <f>IF('Pegar ML'!C82="Paquete de 2 productos",IF('Pegar ML'!O82="",0,'Pegar ML'!O82),IF('Pegar ML'!O83="",0,'Pegar ML'!O83))</f>
        <v>0</v>
      </c>
      <c r="J87" s="14">
        <f>IF('Pegar ML'!C82="Paquete de 2 productos",IF('Pegar ML'!O82="",0,'Pegar ML'!O82),IF('Pegar ML'!O83="",0,'Pegar ML'!O83))</f>
        <v>0</v>
      </c>
      <c r="K87" s="14">
        <f t="shared" si="5"/>
        <v>0</v>
      </c>
      <c r="L87" s="27">
        <f>IF('Pegar ML'!AB83=" ",'Pegar ML'!AB82,'Pegar ML'!AB83)</f>
        <v>0</v>
      </c>
      <c r="M87" s="27" t="str">
        <f>IF('Pegar ML'!AC83=" ",RIGHT('Pegar ML'!AC82,8),RIGHT('Pegar ML'!AC83,8))</f>
        <v/>
      </c>
      <c r="N87" s="27" t="s">
        <v>80</v>
      </c>
      <c r="O87" s="27">
        <f t="shared" si="3"/>
        <v>0</v>
      </c>
      <c r="P87" s="27" t="s">
        <v>80</v>
      </c>
      <c r="Q87" s="55">
        <f>IF('Pegar ML'!AD83=" ",'Pegar ML'!AD82,'Pegar ML'!AD83)</f>
        <v>0</v>
      </c>
      <c r="R87" s="27" t="s">
        <v>80</v>
      </c>
      <c r="S87" s="27" t="s">
        <v>80</v>
      </c>
      <c r="T87" s="27" t="s">
        <v>80</v>
      </c>
      <c r="U87" s="55">
        <f>IF('Pegar ML'!AI83=" ",'Pegar ML'!AI82,'Pegar ML'!AI83)</f>
        <v>0</v>
      </c>
      <c r="V87" s="55">
        <f>IF('Pegar ML'!AK83=" ",'Pegar ML'!AK82,'Pegar ML'!AK83)</f>
        <v>0</v>
      </c>
      <c r="W87" s="55">
        <f>IF('Pegar ML'!AJ83=" ",'Pegar ML'!AJ82,'Pegar ML'!AJ83)</f>
        <v>0</v>
      </c>
      <c r="X87" s="55">
        <f>IF('Pegar ML'!AL83=" ",'Pegar ML'!AL82,'Pegar ML'!AL83)</f>
        <v>0</v>
      </c>
      <c r="Y87" s="27"/>
      <c r="Z87" s="27"/>
      <c r="AA87" s="27"/>
      <c r="AB87" s="27"/>
      <c r="AC87" s="27"/>
      <c r="AD87" s="27"/>
      <c r="AF87" s="8"/>
      <c r="AG87" s="27"/>
      <c r="AH87" s="14">
        <f>+'Pegar ML'!Y83</f>
        <v>0</v>
      </c>
      <c r="AI87" s="13">
        <f t="shared" si="4"/>
        <v>1</v>
      </c>
      <c r="AJ87" s="7">
        <f>+'Pegar ML'!T83</f>
        <v>0</v>
      </c>
      <c r="AK87" s="27"/>
      <c r="AL87" s="27"/>
      <c r="AM87" s="27"/>
      <c r="AN87" s="27"/>
      <c r="AO87" s="27"/>
      <c r="AP87" s="27"/>
      <c r="AQ87" s="27"/>
      <c r="AR87" s="27"/>
      <c r="AS87" s="27">
        <v>17</v>
      </c>
    </row>
    <row r="88" spans="1:45" x14ac:dyDescent="0.25">
      <c r="A88" s="27">
        <f>IF('Pegar ML'!C83="Paquete de 2 productos",'Pegar ML'!A83,IF('Pegar ML'!C82="Paquete de 2 productos",'Pegar ML'!A82,'Pegar ML'!A84))</f>
        <v>0</v>
      </c>
      <c r="B88" s="27"/>
      <c r="C88" s="30" t="e">
        <f>IF(AjusteFecha!I84=0,"",AjusteFecha!I84)</f>
        <v>#N/A</v>
      </c>
      <c r="D88" s="27"/>
      <c r="E88" s="27"/>
      <c r="F88" s="27" t="str">
        <f>IF('Pegar ML'!C84="","",'Pegar ML'!C84)</f>
        <v/>
      </c>
      <c r="G88" s="27" t="str">
        <f>IF('Pegar ML'!G79="ARS","PS","PS")</f>
        <v>PS</v>
      </c>
      <c r="H88" s="14">
        <f>IF('Pegar ML'!C83="Paquete de 2 productos",IF('Pegar ML'!H83="",0,'Pegar ML'!H83),IF('Pegar ML'!H84="",0,'Pegar ML'!H84))</f>
        <v>0</v>
      </c>
      <c r="I88" s="14">
        <f>IF('Pegar ML'!C83="Paquete de 2 productos",IF('Pegar ML'!O83="",0,'Pegar ML'!O83),IF('Pegar ML'!O84="",0,'Pegar ML'!O84))</f>
        <v>0</v>
      </c>
      <c r="J88" s="14">
        <f>IF('Pegar ML'!C83="Paquete de 2 productos",IF('Pegar ML'!O83="",0,'Pegar ML'!O83),IF('Pegar ML'!O84="",0,'Pegar ML'!O84))</f>
        <v>0</v>
      </c>
      <c r="K88" s="14">
        <f t="shared" si="5"/>
        <v>0</v>
      </c>
      <c r="L88" s="27">
        <f>IF('Pegar ML'!AB84=" ",'Pegar ML'!AB83,'Pegar ML'!AB84)</f>
        <v>0</v>
      </c>
      <c r="M88" s="27" t="str">
        <f>IF('Pegar ML'!AC84=" ",RIGHT('Pegar ML'!AC83,8),RIGHT('Pegar ML'!AC84,8))</f>
        <v/>
      </c>
      <c r="N88" s="27" t="s">
        <v>80</v>
      </c>
      <c r="O88" s="27">
        <f t="shared" si="3"/>
        <v>0</v>
      </c>
      <c r="P88" s="27" t="s">
        <v>80</v>
      </c>
      <c r="Q88" s="55">
        <f>IF('Pegar ML'!AD84=" ",'Pegar ML'!AD83,'Pegar ML'!AD84)</f>
        <v>0</v>
      </c>
      <c r="R88" s="27" t="s">
        <v>80</v>
      </c>
      <c r="S88" s="27" t="s">
        <v>80</v>
      </c>
      <c r="T88" s="27" t="s">
        <v>80</v>
      </c>
      <c r="U88" s="55">
        <f>IF('Pegar ML'!AI84=" ",'Pegar ML'!AI83,'Pegar ML'!AI84)</f>
        <v>0</v>
      </c>
      <c r="V88" s="55">
        <f>IF('Pegar ML'!AK84=" ",'Pegar ML'!AK83,'Pegar ML'!AK84)</f>
        <v>0</v>
      </c>
      <c r="W88" s="55">
        <f>IF('Pegar ML'!AJ84=" ",'Pegar ML'!AJ83,'Pegar ML'!AJ84)</f>
        <v>0</v>
      </c>
      <c r="X88" s="55">
        <f>IF('Pegar ML'!AL84=" ",'Pegar ML'!AL83,'Pegar ML'!AL84)</f>
        <v>0</v>
      </c>
      <c r="Y88" s="27"/>
      <c r="Z88" s="27"/>
      <c r="AA88" s="27"/>
      <c r="AB88" s="27"/>
      <c r="AC88" s="27"/>
      <c r="AD88" s="27"/>
      <c r="AF88" s="8"/>
      <c r="AG88" s="27"/>
      <c r="AH88" s="14">
        <f>+'Pegar ML'!Y84</f>
        <v>0</v>
      </c>
      <c r="AI88" s="13">
        <f t="shared" si="4"/>
        <v>1</v>
      </c>
      <c r="AJ88" s="7">
        <f>+'Pegar ML'!T84</f>
        <v>0</v>
      </c>
      <c r="AK88" s="27"/>
      <c r="AL88" s="27"/>
      <c r="AM88" s="27"/>
      <c r="AN88" s="27"/>
      <c r="AO88" s="27"/>
      <c r="AP88" s="27"/>
      <c r="AQ88" s="27"/>
      <c r="AR88" s="27"/>
      <c r="AS88" s="27">
        <v>17</v>
      </c>
    </row>
    <row r="89" spans="1:45" x14ac:dyDescent="0.25">
      <c r="A89" s="27">
        <f>IF('Pegar ML'!C84="Paquete de 2 productos",'Pegar ML'!A84,IF('Pegar ML'!C83="Paquete de 2 productos",'Pegar ML'!A83,'Pegar ML'!A85))</f>
        <v>0</v>
      </c>
      <c r="B89" s="27"/>
      <c r="C89" s="30" t="e">
        <f>IF(AjusteFecha!I85=0,"",AjusteFecha!I85)</f>
        <v>#N/A</v>
      </c>
      <c r="D89" s="27"/>
      <c r="E89" s="27"/>
      <c r="F89" s="27" t="str">
        <f>IF('Pegar ML'!C85="","",'Pegar ML'!C85)</f>
        <v/>
      </c>
      <c r="G89" s="27" t="str">
        <f>IF('Pegar ML'!G80="ARS","PS","PS")</f>
        <v>PS</v>
      </c>
      <c r="H89" s="14">
        <f>IF('Pegar ML'!C84="Paquete de 2 productos",IF('Pegar ML'!H84="",0,'Pegar ML'!H84),IF('Pegar ML'!H85="",0,'Pegar ML'!H85))</f>
        <v>0</v>
      </c>
      <c r="I89" s="14">
        <f>IF('Pegar ML'!C84="Paquete de 2 productos",IF('Pegar ML'!O84="",0,'Pegar ML'!O84),IF('Pegar ML'!O85="",0,'Pegar ML'!O85))</f>
        <v>0</v>
      </c>
      <c r="J89" s="14">
        <f>IF('Pegar ML'!C84="Paquete de 2 productos",IF('Pegar ML'!O84="",0,'Pegar ML'!O84),IF('Pegar ML'!O85="",0,'Pegar ML'!O85))</f>
        <v>0</v>
      </c>
      <c r="K89" s="14">
        <f t="shared" si="5"/>
        <v>0</v>
      </c>
      <c r="L89" s="27">
        <f>IF('Pegar ML'!AB85=" ",'Pegar ML'!AB84,'Pegar ML'!AB85)</f>
        <v>0</v>
      </c>
      <c r="M89" s="27" t="str">
        <f>IF('Pegar ML'!AC85=" ",RIGHT('Pegar ML'!AC84,8),RIGHT('Pegar ML'!AC85,8))</f>
        <v/>
      </c>
      <c r="N89" s="27" t="s">
        <v>80</v>
      </c>
      <c r="O89" s="27">
        <f t="shared" si="3"/>
        <v>0</v>
      </c>
      <c r="P89" s="27" t="s">
        <v>80</v>
      </c>
      <c r="Q89" s="55">
        <f>IF('Pegar ML'!AD85=" ",'Pegar ML'!AD84,'Pegar ML'!AD85)</f>
        <v>0</v>
      </c>
      <c r="R89" s="27" t="s">
        <v>80</v>
      </c>
      <c r="S89" s="27" t="s">
        <v>80</v>
      </c>
      <c r="T89" s="27" t="s">
        <v>80</v>
      </c>
      <c r="U89" s="55">
        <f>IF('Pegar ML'!AI85=" ",'Pegar ML'!AI84,'Pegar ML'!AI85)</f>
        <v>0</v>
      </c>
      <c r="V89" s="55">
        <f>IF('Pegar ML'!AK85=" ",'Pegar ML'!AK84,'Pegar ML'!AK85)</f>
        <v>0</v>
      </c>
      <c r="W89" s="55">
        <f>IF('Pegar ML'!AJ85=" ",'Pegar ML'!AJ84,'Pegar ML'!AJ85)</f>
        <v>0</v>
      </c>
      <c r="X89" s="55">
        <f>IF('Pegar ML'!AL85=" ",'Pegar ML'!AL84,'Pegar ML'!AL85)</f>
        <v>0</v>
      </c>
      <c r="Y89" s="27"/>
      <c r="Z89" s="27"/>
      <c r="AA89" s="27"/>
      <c r="AB89" s="27"/>
      <c r="AC89" s="27"/>
      <c r="AD89" s="27"/>
      <c r="AF89" s="8"/>
      <c r="AG89" s="27"/>
      <c r="AH89" s="14">
        <f>+'Pegar ML'!Y85</f>
        <v>0</v>
      </c>
      <c r="AI89" s="13">
        <f t="shared" si="4"/>
        <v>1</v>
      </c>
      <c r="AJ89" s="7">
        <f>+'Pegar ML'!T85</f>
        <v>0</v>
      </c>
      <c r="AK89" s="27"/>
      <c r="AL89" s="27"/>
      <c r="AM89" s="27"/>
      <c r="AN89" s="27"/>
      <c r="AO89" s="27"/>
      <c r="AP89" s="27"/>
      <c r="AQ89" s="27"/>
      <c r="AR89" s="27"/>
      <c r="AS89" s="27">
        <v>17</v>
      </c>
    </row>
    <row r="90" spans="1:45" x14ac:dyDescent="0.25">
      <c r="A90" s="27">
        <f>IF('Pegar ML'!C85="Paquete de 2 productos",'Pegar ML'!A85,IF('Pegar ML'!C84="Paquete de 2 productos",'Pegar ML'!A84,'Pegar ML'!A86))</f>
        <v>0</v>
      </c>
      <c r="B90" s="27"/>
      <c r="C90" s="30" t="e">
        <f>IF(AjusteFecha!I86=0,"",AjusteFecha!I86)</f>
        <v>#N/A</v>
      </c>
      <c r="D90" s="27"/>
      <c r="E90" s="27"/>
      <c r="F90" s="27" t="str">
        <f>IF('Pegar ML'!C86="","",'Pegar ML'!C86)</f>
        <v/>
      </c>
      <c r="G90" s="27" t="str">
        <f>IF('Pegar ML'!G81="ARS","PS","PS")</f>
        <v>PS</v>
      </c>
      <c r="H90" s="14">
        <f>IF('Pegar ML'!C85="Paquete de 2 productos",IF('Pegar ML'!H85="",0,'Pegar ML'!H85),IF('Pegar ML'!H86="",0,'Pegar ML'!H86))</f>
        <v>0</v>
      </c>
      <c r="I90" s="14">
        <f>IF('Pegar ML'!C85="Paquete de 2 productos",IF('Pegar ML'!O85="",0,'Pegar ML'!O85),IF('Pegar ML'!O86="",0,'Pegar ML'!O86))</f>
        <v>0</v>
      </c>
      <c r="J90" s="14">
        <f>IF('Pegar ML'!C85="Paquete de 2 productos",IF('Pegar ML'!O85="",0,'Pegar ML'!O85),IF('Pegar ML'!O86="",0,'Pegar ML'!O86))</f>
        <v>0</v>
      </c>
      <c r="K90" s="14">
        <f t="shared" si="5"/>
        <v>0</v>
      </c>
      <c r="L90" s="27">
        <f>IF('Pegar ML'!AB86=" ",'Pegar ML'!AB85,'Pegar ML'!AB86)</f>
        <v>0</v>
      </c>
      <c r="M90" s="27" t="str">
        <f>IF('Pegar ML'!AC86=" ",RIGHT('Pegar ML'!AC85,8),RIGHT('Pegar ML'!AC86,8))</f>
        <v/>
      </c>
      <c r="N90" s="27" t="s">
        <v>80</v>
      </c>
      <c r="O90" s="27">
        <f t="shared" si="3"/>
        <v>0</v>
      </c>
      <c r="P90" s="27" t="s">
        <v>80</v>
      </c>
      <c r="Q90" s="55">
        <f>IF('Pegar ML'!AD86=" ",'Pegar ML'!AD85,'Pegar ML'!AD86)</f>
        <v>0</v>
      </c>
      <c r="R90" s="27" t="s">
        <v>80</v>
      </c>
      <c r="S90" s="27" t="s">
        <v>80</v>
      </c>
      <c r="T90" s="27" t="s">
        <v>80</v>
      </c>
      <c r="U90" s="55">
        <f>IF('Pegar ML'!AI86=" ",'Pegar ML'!AI85,'Pegar ML'!AI86)</f>
        <v>0</v>
      </c>
      <c r="V90" s="55">
        <f>IF('Pegar ML'!AK86=" ",'Pegar ML'!AK85,'Pegar ML'!AK86)</f>
        <v>0</v>
      </c>
      <c r="W90" s="55">
        <f>IF('Pegar ML'!AJ86=" ",'Pegar ML'!AJ85,'Pegar ML'!AJ86)</f>
        <v>0</v>
      </c>
      <c r="X90" s="55">
        <f>IF('Pegar ML'!AL86=" ",'Pegar ML'!AL85,'Pegar ML'!AL86)</f>
        <v>0</v>
      </c>
      <c r="Y90" s="27"/>
      <c r="Z90" s="27"/>
      <c r="AA90" s="27"/>
      <c r="AB90" s="27"/>
      <c r="AC90" s="27"/>
      <c r="AD90" s="27"/>
      <c r="AF90" s="8"/>
      <c r="AG90" s="27"/>
      <c r="AH90" s="14">
        <f>+'Pegar ML'!Y86</f>
        <v>0</v>
      </c>
      <c r="AI90" s="13">
        <f t="shared" si="4"/>
        <v>1</v>
      </c>
      <c r="AJ90" s="7">
        <f>+'Pegar ML'!T86</f>
        <v>0</v>
      </c>
      <c r="AK90" s="27"/>
      <c r="AL90" s="27"/>
      <c r="AM90" s="27"/>
      <c r="AN90" s="27"/>
      <c r="AO90" s="27"/>
      <c r="AP90" s="27"/>
      <c r="AQ90" s="27"/>
      <c r="AR90" s="27"/>
      <c r="AS90" s="27">
        <v>17</v>
      </c>
    </row>
    <row r="91" spans="1:45" x14ac:dyDescent="0.25">
      <c r="A91" s="27">
        <f>IF('Pegar ML'!C86="Paquete de 2 productos",'Pegar ML'!A86,IF('Pegar ML'!C85="Paquete de 2 productos",'Pegar ML'!A85,'Pegar ML'!A87))</f>
        <v>0</v>
      </c>
      <c r="B91" s="27"/>
      <c r="C91" s="30" t="e">
        <f>IF(AjusteFecha!I87=0,"",AjusteFecha!I87)</f>
        <v>#N/A</v>
      </c>
      <c r="D91" s="27"/>
      <c r="E91" s="27"/>
      <c r="F91" s="27" t="str">
        <f>IF('Pegar ML'!C87="","",'Pegar ML'!C87)</f>
        <v/>
      </c>
      <c r="G91" s="27" t="str">
        <f>IF('Pegar ML'!G82="ARS","PS","PS")</f>
        <v>PS</v>
      </c>
      <c r="H91" s="14">
        <f>IF('Pegar ML'!C86="Paquete de 2 productos",IF('Pegar ML'!H86="",0,'Pegar ML'!H86),IF('Pegar ML'!H87="",0,'Pegar ML'!H87))</f>
        <v>0</v>
      </c>
      <c r="I91" s="14">
        <f>IF('Pegar ML'!C86="Paquete de 2 productos",IF('Pegar ML'!O86="",0,'Pegar ML'!O86),IF('Pegar ML'!O87="",0,'Pegar ML'!O87))</f>
        <v>0</v>
      </c>
      <c r="J91" s="14">
        <f>IF('Pegar ML'!C86="Paquete de 2 productos",IF('Pegar ML'!O86="",0,'Pegar ML'!O86),IF('Pegar ML'!O87="",0,'Pegar ML'!O87))</f>
        <v>0</v>
      </c>
      <c r="K91" s="14">
        <f t="shared" si="5"/>
        <v>0</v>
      </c>
      <c r="L91" s="27">
        <f>IF('Pegar ML'!AB87=" ",'Pegar ML'!AB86,'Pegar ML'!AB87)</f>
        <v>0</v>
      </c>
      <c r="M91" s="27" t="str">
        <f>IF('Pegar ML'!AC87=" ",RIGHT('Pegar ML'!AC86,8),RIGHT('Pegar ML'!AC87,8))</f>
        <v/>
      </c>
      <c r="N91" s="27" t="s">
        <v>80</v>
      </c>
      <c r="O91" s="27">
        <f t="shared" si="3"/>
        <v>0</v>
      </c>
      <c r="P91" s="27" t="s">
        <v>80</v>
      </c>
      <c r="Q91" s="55">
        <f>IF('Pegar ML'!AD87=" ",'Pegar ML'!AD86,'Pegar ML'!AD87)</f>
        <v>0</v>
      </c>
      <c r="R91" s="27" t="s">
        <v>80</v>
      </c>
      <c r="S91" s="27" t="s">
        <v>80</v>
      </c>
      <c r="T91" s="27" t="s">
        <v>80</v>
      </c>
      <c r="U91" s="55">
        <f>IF('Pegar ML'!AI87=" ",'Pegar ML'!AI86,'Pegar ML'!AI87)</f>
        <v>0</v>
      </c>
      <c r="V91" s="55">
        <f>IF('Pegar ML'!AK87=" ",'Pegar ML'!AK86,'Pegar ML'!AK87)</f>
        <v>0</v>
      </c>
      <c r="W91" s="55">
        <f>IF('Pegar ML'!AJ87=" ",'Pegar ML'!AJ86,'Pegar ML'!AJ87)</f>
        <v>0</v>
      </c>
      <c r="X91" s="55">
        <f>IF('Pegar ML'!AL87=" ",'Pegar ML'!AL86,'Pegar ML'!AL87)</f>
        <v>0</v>
      </c>
      <c r="Y91" s="27"/>
      <c r="Z91" s="27"/>
      <c r="AA91" s="27"/>
      <c r="AB91" s="27"/>
      <c r="AC91" s="27"/>
      <c r="AD91" s="27"/>
      <c r="AF91" s="8"/>
      <c r="AG91" s="27"/>
      <c r="AH91" s="14">
        <f>+'Pegar ML'!Y87</f>
        <v>0</v>
      </c>
      <c r="AI91" s="13">
        <f t="shared" si="4"/>
        <v>1</v>
      </c>
      <c r="AJ91" s="7">
        <f>+'Pegar ML'!T87</f>
        <v>0</v>
      </c>
      <c r="AK91" s="27"/>
      <c r="AL91" s="27"/>
      <c r="AM91" s="27"/>
      <c r="AN91" s="27"/>
      <c r="AO91" s="27"/>
      <c r="AP91" s="27"/>
      <c r="AQ91" s="27"/>
      <c r="AR91" s="27"/>
      <c r="AS91" s="27">
        <v>17</v>
      </c>
    </row>
    <row r="92" spans="1:45" x14ac:dyDescent="0.25">
      <c r="A92" s="27">
        <f>IF('Pegar ML'!C87="Paquete de 2 productos",'Pegar ML'!A87,IF('Pegar ML'!C86="Paquete de 2 productos",'Pegar ML'!A86,'Pegar ML'!A88))</f>
        <v>0</v>
      </c>
      <c r="B92" s="27"/>
      <c r="C92" s="30" t="e">
        <f>IF(AjusteFecha!I88=0,"",AjusteFecha!I88)</f>
        <v>#N/A</v>
      </c>
      <c r="D92" s="27"/>
      <c r="E92" s="27"/>
      <c r="F92" s="27" t="str">
        <f>IF('Pegar ML'!C88="","",'Pegar ML'!C88)</f>
        <v/>
      </c>
      <c r="G92" s="27" t="str">
        <f>IF('Pegar ML'!G83="ARS","PS","PS")</f>
        <v>PS</v>
      </c>
      <c r="H92" s="14">
        <f>IF('Pegar ML'!C87="Paquete de 2 productos",IF('Pegar ML'!H87="",0,'Pegar ML'!H87),IF('Pegar ML'!H88="",0,'Pegar ML'!H88))</f>
        <v>0</v>
      </c>
      <c r="I92" s="14">
        <f>IF('Pegar ML'!C87="Paquete de 2 productos",IF('Pegar ML'!O87="",0,'Pegar ML'!O87),IF('Pegar ML'!O88="",0,'Pegar ML'!O88))</f>
        <v>0</v>
      </c>
      <c r="J92" s="14">
        <f>IF('Pegar ML'!C87="Paquete de 2 productos",IF('Pegar ML'!O87="",0,'Pegar ML'!O87),IF('Pegar ML'!O88="",0,'Pegar ML'!O88))</f>
        <v>0</v>
      </c>
      <c r="K92" s="14">
        <f t="shared" si="5"/>
        <v>0</v>
      </c>
      <c r="L92" s="27">
        <f>IF('Pegar ML'!AB88=" ",'Pegar ML'!AB87,'Pegar ML'!AB88)</f>
        <v>0</v>
      </c>
      <c r="M92" s="27" t="str">
        <f>IF('Pegar ML'!AC88=" ",RIGHT('Pegar ML'!AC87,8),RIGHT('Pegar ML'!AC88,8))</f>
        <v/>
      </c>
      <c r="N92" s="27" t="s">
        <v>80</v>
      </c>
      <c r="O92" s="27">
        <f t="shared" si="3"/>
        <v>0</v>
      </c>
      <c r="P92" s="27" t="s">
        <v>80</v>
      </c>
      <c r="Q92" s="55">
        <f>IF('Pegar ML'!AD88=" ",'Pegar ML'!AD87,'Pegar ML'!AD88)</f>
        <v>0</v>
      </c>
      <c r="R92" s="27" t="s">
        <v>80</v>
      </c>
      <c r="S92" s="27" t="s">
        <v>80</v>
      </c>
      <c r="T92" s="27" t="s">
        <v>80</v>
      </c>
      <c r="U92" s="55">
        <f>IF('Pegar ML'!AI88=" ",'Pegar ML'!AI87,'Pegar ML'!AI88)</f>
        <v>0</v>
      </c>
      <c r="V92" s="55">
        <f>IF('Pegar ML'!AK88=" ",'Pegar ML'!AK87,'Pegar ML'!AK88)</f>
        <v>0</v>
      </c>
      <c r="W92" s="55">
        <f>IF('Pegar ML'!AJ88=" ",'Pegar ML'!AJ87,'Pegar ML'!AJ88)</f>
        <v>0</v>
      </c>
      <c r="X92" s="55">
        <f>IF('Pegar ML'!AL88=" ",'Pegar ML'!AL87,'Pegar ML'!AL88)</f>
        <v>0</v>
      </c>
      <c r="Y92" s="27"/>
      <c r="Z92" s="27"/>
      <c r="AA92" s="27"/>
      <c r="AB92" s="27"/>
      <c r="AC92" s="27"/>
      <c r="AD92" s="27"/>
      <c r="AF92" s="8"/>
      <c r="AG92" s="27"/>
      <c r="AH92" s="14">
        <f>+'Pegar ML'!Y88</f>
        <v>0</v>
      </c>
      <c r="AI92" s="13">
        <f t="shared" si="4"/>
        <v>1</v>
      </c>
      <c r="AJ92" s="7">
        <f>+'Pegar ML'!T88</f>
        <v>0</v>
      </c>
      <c r="AK92" s="27"/>
      <c r="AL92" s="27"/>
      <c r="AM92" s="27"/>
      <c r="AN92" s="27"/>
      <c r="AO92" s="27"/>
      <c r="AP92" s="27"/>
      <c r="AQ92" s="27"/>
      <c r="AR92" s="27"/>
      <c r="AS92" s="27">
        <v>17</v>
      </c>
    </row>
    <row r="93" spans="1:45" x14ac:dyDescent="0.25">
      <c r="A93" s="27">
        <f>IF('Pegar ML'!C88="Paquete de 2 productos",'Pegar ML'!A88,IF('Pegar ML'!C87="Paquete de 2 productos",'Pegar ML'!A87,'Pegar ML'!A89))</f>
        <v>0</v>
      </c>
      <c r="B93" s="27"/>
      <c r="C93" s="30" t="e">
        <f>IF(AjusteFecha!I89=0,"",AjusteFecha!I89)</f>
        <v>#N/A</v>
      </c>
      <c r="D93" s="27"/>
      <c r="E93" s="27"/>
      <c r="F93" s="27" t="str">
        <f>IF('Pegar ML'!C89="","",'Pegar ML'!C89)</f>
        <v/>
      </c>
      <c r="G93" s="27" t="str">
        <f>IF('Pegar ML'!G84="ARS","PS","PS")</f>
        <v>PS</v>
      </c>
      <c r="H93" s="14">
        <f>IF('Pegar ML'!C88="Paquete de 2 productos",IF('Pegar ML'!H88="",0,'Pegar ML'!H88),IF('Pegar ML'!H89="",0,'Pegar ML'!H89))</f>
        <v>0</v>
      </c>
      <c r="I93" s="14">
        <f>IF('Pegar ML'!C88="Paquete de 2 productos",IF('Pegar ML'!O88="",0,'Pegar ML'!O88),IF('Pegar ML'!O89="",0,'Pegar ML'!O89))</f>
        <v>0</v>
      </c>
      <c r="J93" s="14">
        <f>IF('Pegar ML'!C88="Paquete de 2 productos",IF('Pegar ML'!O88="",0,'Pegar ML'!O88),IF('Pegar ML'!O89="",0,'Pegar ML'!O89))</f>
        <v>0</v>
      </c>
      <c r="K93" s="14">
        <f t="shared" si="5"/>
        <v>0</v>
      </c>
      <c r="L93" s="27">
        <f>IF('Pegar ML'!AB89=" ",'Pegar ML'!AB88,'Pegar ML'!AB89)</f>
        <v>0</v>
      </c>
      <c r="M93" s="27" t="str">
        <f>IF('Pegar ML'!AC89=" ",RIGHT('Pegar ML'!AC88,8),RIGHT('Pegar ML'!AC89,8))</f>
        <v/>
      </c>
      <c r="N93" s="27" t="s">
        <v>80</v>
      </c>
      <c r="O93" s="27">
        <f t="shared" si="3"/>
        <v>0</v>
      </c>
      <c r="P93" s="27" t="s">
        <v>80</v>
      </c>
      <c r="Q93" s="55">
        <f>IF('Pegar ML'!AD89=" ",'Pegar ML'!AD88,'Pegar ML'!AD89)</f>
        <v>0</v>
      </c>
      <c r="R93" s="27" t="s">
        <v>80</v>
      </c>
      <c r="S93" s="27" t="s">
        <v>80</v>
      </c>
      <c r="T93" s="27" t="s">
        <v>80</v>
      </c>
      <c r="U93" s="55">
        <f>IF('Pegar ML'!AI89=" ",'Pegar ML'!AI88,'Pegar ML'!AI89)</f>
        <v>0</v>
      </c>
      <c r="V93" s="55">
        <f>IF('Pegar ML'!AK89=" ",'Pegar ML'!AK88,'Pegar ML'!AK89)</f>
        <v>0</v>
      </c>
      <c r="W93" s="55">
        <f>IF('Pegar ML'!AJ89=" ",'Pegar ML'!AJ88,'Pegar ML'!AJ89)</f>
        <v>0</v>
      </c>
      <c r="X93" s="55">
        <f>IF('Pegar ML'!AL89=" ",'Pegar ML'!AL88,'Pegar ML'!AL89)</f>
        <v>0</v>
      </c>
      <c r="Y93" s="27"/>
      <c r="Z93" s="27"/>
      <c r="AA93" s="27"/>
      <c r="AB93" s="27"/>
      <c r="AC93" s="27"/>
      <c r="AD93" s="27"/>
      <c r="AF93" s="8"/>
      <c r="AG93" s="27"/>
      <c r="AH93" s="14">
        <f>+'Pegar ML'!Y89</f>
        <v>0</v>
      </c>
      <c r="AI93" s="13">
        <f t="shared" si="4"/>
        <v>1</v>
      </c>
      <c r="AJ93" s="7">
        <f>+'Pegar ML'!T89</f>
        <v>0</v>
      </c>
      <c r="AK93" s="27"/>
      <c r="AL93" s="27"/>
      <c r="AM93" s="27"/>
      <c r="AN93" s="27"/>
      <c r="AO93" s="27"/>
      <c r="AP93" s="27"/>
      <c r="AQ93" s="27"/>
      <c r="AR93" s="27"/>
      <c r="AS93" s="27">
        <v>17</v>
      </c>
    </row>
    <row r="94" spans="1:45" x14ac:dyDescent="0.25">
      <c r="A94" s="27">
        <f>IF('Pegar ML'!C89="Paquete de 2 productos",'Pegar ML'!A89,IF('Pegar ML'!C88="Paquete de 2 productos",'Pegar ML'!A88,'Pegar ML'!A90))</f>
        <v>0</v>
      </c>
      <c r="B94" s="27"/>
      <c r="C94" s="30" t="e">
        <f>IF(AjusteFecha!I90=0,"",AjusteFecha!I90)</f>
        <v>#N/A</v>
      </c>
      <c r="D94" s="27"/>
      <c r="E94" s="27"/>
      <c r="F94" s="27" t="str">
        <f>IF('Pegar ML'!C90="","",'Pegar ML'!C90)</f>
        <v/>
      </c>
      <c r="G94" s="27" t="str">
        <f>IF('Pegar ML'!G85="ARS","PS","PS")</f>
        <v>PS</v>
      </c>
      <c r="H94" s="14">
        <f>IF('Pegar ML'!C89="Paquete de 2 productos",IF('Pegar ML'!H89="",0,'Pegar ML'!H89),IF('Pegar ML'!H90="",0,'Pegar ML'!H90))</f>
        <v>0</v>
      </c>
      <c r="I94" s="14">
        <f>IF('Pegar ML'!C89="Paquete de 2 productos",IF('Pegar ML'!O89="",0,'Pegar ML'!O89),IF('Pegar ML'!O90="",0,'Pegar ML'!O90))</f>
        <v>0</v>
      </c>
      <c r="J94" s="14">
        <f>IF('Pegar ML'!C89="Paquete de 2 productos",IF('Pegar ML'!O89="",0,'Pegar ML'!O89),IF('Pegar ML'!O90="",0,'Pegar ML'!O90))</f>
        <v>0</v>
      </c>
      <c r="K94" s="14">
        <f t="shared" si="5"/>
        <v>0</v>
      </c>
      <c r="L94" s="27">
        <f>IF('Pegar ML'!AB90=" ",'Pegar ML'!AB89,'Pegar ML'!AB90)</f>
        <v>0</v>
      </c>
      <c r="M94" s="27" t="str">
        <f>IF('Pegar ML'!AC90=" ",RIGHT('Pegar ML'!AC89,8),RIGHT('Pegar ML'!AC90,8))</f>
        <v/>
      </c>
      <c r="N94" s="27" t="s">
        <v>80</v>
      </c>
      <c r="O94" s="27">
        <f t="shared" si="3"/>
        <v>0</v>
      </c>
      <c r="P94" s="27" t="s">
        <v>80</v>
      </c>
      <c r="Q94" s="55">
        <f>IF('Pegar ML'!AD90=" ",'Pegar ML'!AD89,'Pegar ML'!AD90)</f>
        <v>0</v>
      </c>
      <c r="R94" s="27" t="s">
        <v>80</v>
      </c>
      <c r="S94" s="27" t="s">
        <v>80</v>
      </c>
      <c r="T94" s="27" t="s">
        <v>80</v>
      </c>
      <c r="U94" s="55">
        <f>IF('Pegar ML'!AI90=" ",'Pegar ML'!AI89,'Pegar ML'!AI90)</f>
        <v>0</v>
      </c>
      <c r="V94" s="55">
        <f>IF('Pegar ML'!AK90=" ",'Pegar ML'!AK89,'Pegar ML'!AK90)</f>
        <v>0</v>
      </c>
      <c r="W94" s="55">
        <f>IF('Pegar ML'!AJ90=" ",'Pegar ML'!AJ89,'Pegar ML'!AJ90)</f>
        <v>0</v>
      </c>
      <c r="X94" s="55">
        <f>IF('Pegar ML'!AL90=" ",'Pegar ML'!AL89,'Pegar ML'!AL90)</f>
        <v>0</v>
      </c>
      <c r="Y94" s="27"/>
      <c r="Z94" s="27"/>
      <c r="AA94" s="27"/>
      <c r="AB94" s="27"/>
      <c r="AC94" s="27"/>
      <c r="AD94" s="27"/>
      <c r="AF94" s="8"/>
      <c r="AG94" s="27"/>
      <c r="AH94" s="14">
        <f>+'Pegar ML'!Y90</f>
        <v>0</v>
      </c>
      <c r="AI94" s="13">
        <f t="shared" si="4"/>
        <v>1</v>
      </c>
      <c r="AJ94" s="7">
        <f>+'Pegar ML'!T90</f>
        <v>0</v>
      </c>
      <c r="AK94" s="27"/>
      <c r="AL94" s="27"/>
      <c r="AM94" s="27"/>
      <c r="AN94" s="27"/>
      <c r="AO94" s="27"/>
      <c r="AP94" s="27"/>
      <c r="AQ94" s="27"/>
      <c r="AR94" s="27"/>
      <c r="AS94" s="27">
        <v>17</v>
      </c>
    </row>
    <row r="95" spans="1:45" x14ac:dyDescent="0.25">
      <c r="A95" s="27">
        <f>IF('Pegar ML'!C90="Paquete de 2 productos",'Pegar ML'!A90,IF('Pegar ML'!C89="Paquete de 2 productos",'Pegar ML'!A89,'Pegar ML'!A91))</f>
        <v>0</v>
      </c>
      <c r="B95" s="27"/>
      <c r="C95" s="30" t="e">
        <f>IF(AjusteFecha!I91=0,"",AjusteFecha!I91)</f>
        <v>#N/A</v>
      </c>
      <c r="D95" s="27"/>
      <c r="E95" s="27"/>
      <c r="F95" s="27" t="str">
        <f>IF('Pegar ML'!C91="","",'Pegar ML'!C91)</f>
        <v/>
      </c>
      <c r="G95" s="27" t="str">
        <f>IF('Pegar ML'!G86="ARS","PS","PS")</f>
        <v>PS</v>
      </c>
      <c r="H95" s="14">
        <f>IF('Pegar ML'!C90="Paquete de 2 productos",IF('Pegar ML'!H90="",0,'Pegar ML'!H90),IF('Pegar ML'!H91="",0,'Pegar ML'!H91))</f>
        <v>0</v>
      </c>
      <c r="I95" s="14">
        <f>IF('Pegar ML'!C90="Paquete de 2 productos",IF('Pegar ML'!O90="",0,'Pegar ML'!O90),IF('Pegar ML'!O91="",0,'Pegar ML'!O91))</f>
        <v>0</v>
      </c>
      <c r="J95" s="14">
        <f>IF('Pegar ML'!C90="Paquete de 2 productos",IF('Pegar ML'!O90="",0,'Pegar ML'!O90),IF('Pegar ML'!O91="",0,'Pegar ML'!O91))</f>
        <v>0</v>
      </c>
      <c r="K95" s="14">
        <f t="shared" si="5"/>
        <v>0</v>
      </c>
      <c r="L95" s="27">
        <f>IF('Pegar ML'!AB91=" ",'Pegar ML'!AB90,'Pegar ML'!AB91)</f>
        <v>0</v>
      </c>
      <c r="M95" s="27" t="str">
        <f>IF('Pegar ML'!AC91=" ",RIGHT('Pegar ML'!AC90,8),RIGHT('Pegar ML'!AC91,8))</f>
        <v/>
      </c>
      <c r="N95" s="27" t="s">
        <v>80</v>
      </c>
      <c r="O95" s="27">
        <f t="shared" si="3"/>
        <v>0</v>
      </c>
      <c r="P95" s="27" t="s">
        <v>80</v>
      </c>
      <c r="Q95" s="55">
        <f>IF('Pegar ML'!AD91=" ",'Pegar ML'!AD90,'Pegar ML'!AD91)</f>
        <v>0</v>
      </c>
      <c r="R95" s="27" t="s">
        <v>80</v>
      </c>
      <c r="S95" s="27" t="s">
        <v>80</v>
      </c>
      <c r="T95" s="27" t="s">
        <v>80</v>
      </c>
      <c r="U95" s="55">
        <f>IF('Pegar ML'!AI91=" ",'Pegar ML'!AI90,'Pegar ML'!AI91)</f>
        <v>0</v>
      </c>
      <c r="V95" s="55">
        <f>IF('Pegar ML'!AK91=" ",'Pegar ML'!AK90,'Pegar ML'!AK91)</f>
        <v>0</v>
      </c>
      <c r="W95" s="55">
        <f>IF('Pegar ML'!AJ91=" ",'Pegar ML'!AJ90,'Pegar ML'!AJ91)</f>
        <v>0</v>
      </c>
      <c r="X95" s="55">
        <f>IF('Pegar ML'!AL91=" ",'Pegar ML'!AL90,'Pegar ML'!AL91)</f>
        <v>0</v>
      </c>
      <c r="Y95" s="27"/>
      <c r="Z95" s="27"/>
      <c r="AA95" s="27"/>
      <c r="AB95" s="27"/>
      <c r="AC95" s="27"/>
      <c r="AD95" s="27"/>
      <c r="AF95" s="8"/>
      <c r="AG95" s="27"/>
      <c r="AH95" s="14">
        <f>+'Pegar ML'!Y91</f>
        <v>0</v>
      </c>
      <c r="AI95" s="13">
        <f t="shared" si="4"/>
        <v>1</v>
      </c>
      <c r="AJ95" s="7">
        <f>+'Pegar ML'!T91</f>
        <v>0</v>
      </c>
      <c r="AK95" s="27"/>
      <c r="AL95" s="27"/>
      <c r="AM95" s="27"/>
      <c r="AN95" s="27"/>
      <c r="AO95" s="27"/>
      <c r="AP95" s="27"/>
      <c r="AQ95" s="27"/>
      <c r="AR95" s="27"/>
      <c r="AS95" s="27">
        <v>17</v>
      </c>
    </row>
    <row r="96" spans="1:45" x14ac:dyDescent="0.25">
      <c r="A96" s="27">
        <f>IF('Pegar ML'!C91="Paquete de 2 productos",'Pegar ML'!A91,IF('Pegar ML'!C90="Paquete de 2 productos",'Pegar ML'!A90,'Pegar ML'!A92))</f>
        <v>0</v>
      </c>
      <c r="B96" s="27"/>
      <c r="C96" s="30" t="e">
        <f>IF(AjusteFecha!I92=0,"",AjusteFecha!I92)</f>
        <v>#N/A</v>
      </c>
      <c r="D96" s="27"/>
      <c r="E96" s="27"/>
      <c r="F96" s="27" t="str">
        <f>IF('Pegar ML'!C92="","",'Pegar ML'!C92)</f>
        <v/>
      </c>
      <c r="G96" s="27" t="str">
        <f>IF('Pegar ML'!G87="ARS","PS","PS")</f>
        <v>PS</v>
      </c>
      <c r="H96" s="14">
        <f>IF('Pegar ML'!C91="Paquete de 2 productos",IF('Pegar ML'!H91="",0,'Pegar ML'!H91),IF('Pegar ML'!H92="",0,'Pegar ML'!H92))</f>
        <v>0</v>
      </c>
      <c r="I96" s="14">
        <f>IF('Pegar ML'!C91="Paquete de 2 productos",IF('Pegar ML'!O91="",0,'Pegar ML'!O91),IF('Pegar ML'!O92="",0,'Pegar ML'!O92))</f>
        <v>0</v>
      </c>
      <c r="J96" s="14">
        <f>IF('Pegar ML'!C91="Paquete de 2 productos",IF('Pegar ML'!O91="",0,'Pegar ML'!O91),IF('Pegar ML'!O92="",0,'Pegar ML'!O92))</f>
        <v>0</v>
      </c>
      <c r="K96" s="14">
        <f t="shared" si="5"/>
        <v>0</v>
      </c>
      <c r="L96" s="27">
        <f>IF('Pegar ML'!AB92=" ",'Pegar ML'!AB91,'Pegar ML'!AB92)</f>
        <v>0</v>
      </c>
      <c r="M96" s="27" t="str">
        <f>IF('Pegar ML'!AC92=" ",RIGHT('Pegar ML'!AC91,8),RIGHT('Pegar ML'!AC92,8))</f>
        <v/>
      </c>
      <c r="N96" s="27" t="s">
        <v>80</v>
      </c>
      <c r="O96" s="27">
        <f t="shared" si="3"/>
        <v>0</v>
      </c>
      <c r="P96" s="27" t="s">
        <v>80</v>
      </c>
      <c r="Q96" s="55">
        <f>IF('Pegar ML'!AD92=" ",'Pegar ML'!AD91,'Pegar ML'!AD92)</f>
        <v>0</v>
      </c>
      <c r="R96" s="27" t="s">
        <v>80</v>
      </c>
      <c r="S96" s="27" t="s">
        <v>80</v>
      </c>
      <c r="T96" s="27" t="s">
        <v>80</v>
      </c>
      <c r="U96" s="55">
        <f>IF('Pegar ML'!AI92=" ",'Pegar ML'!AI91,'Pegar ML'!AI92)</f>
        <v>0</v>
      </c>
      <c r="V96" s="55">
        <f>IF('Pegar ML'!AK92=" ",'Pegar ML'!AK91,'Pegar ML'!AK92)</f>
        <v>0</v>
      </c>
      <c r="W96" s="55">
        <f>IF('Pegar ML'!AJ92=" ",'Pegar ML'!AJ91,'Pegar ML'!AJ92)</f>
        <v>0</v>
      </c>
      <c r="X96" s="55">
        <f>IF('Pegar ML'!AL92=" ",'Pegar ML'!AL91,'Pegar ML'!AL92)</f>
        <v>0</v>
      </c>
      <c r="Y96" s="27"/>
      <c r="Z96" s="27"/>
      <c r="AA96" s="27"/>
      <c r="AB96" s="27"/>
      <c r="AC96" s="27"/>
      <c r="AD96" s="27"/>
      <c r="AF96" s="8"/>
      <c r="AG96" s="27"/>
      <c r="AH96" s="14">
        <f>+'Pegar ML'!Y92</f>
        <v>0</v>
      </c>
      <c r="AI96" s="13">
        <f t="shared" si="4"/>
        <v>1</v>
      </c>
      <c r="AJ96" s="7">
        <f>+'Pegar ML'!T92</f>
        <v>0</v>
      </c>
      <c r="AK96" s="27"/>
      <c r="AL96" s="27"/>
      <c r="AM96" s="27"/>
      <c r="AN96" s="27"/>
      <c r="AO96" s="27"/>
      <c r="AP96" s="27"/>
      <c r="AQ96" s="27"/>
      <c r="AR96" s="27"/>
      <c r="AS96" s="27">
        <v>17</v>
      </c>
    </row>
    <row r="97" spans="1:45" x14ac:dyDescent="0.25">
      <c r="A97" s="27">
        <f>IF('Pegar ML'!C92="Paquete de 2 productos",'Pegar ML'!A92,IF('Pegar ML'!C91="Paquete de 2 productos",'Pegar ML'!A91,'Pegar ML'!A93))</f>
        <v>0</v>
      </c>
      <c r="B97" s="27"/>
      <c r="C97" s="30" t="e">
        <f>IF(AjusteFecha!I93=0,"",AjusteFecha!I93)</f>
        <v>#N/A</v>
      </c>
      <c r="D97" s="27"/>
      <c r="E97" s="27"/>
      <c r="F97" s="27" t="str">
        <f>IF('Pegar ML'!C93="","",'Pegar ML'!C93)</f>
        <v/>
      </c>
      <c r="G97" s="27" t="str">
        <f>IF('Pegar ML'!G88="ARS","PS","PS")</f>
        <v>PS</v>
      </c>
      <c r="H97" s="14">
        <f>IF('Pegar ML'!C92="Paquete de 2 productos",IF('Pegar ML'!H92="",0,'Pegar ML'!H92),IF('Pegar ML'!H93="",0,'Pegar ML'!H93))</f>
        <v>0</v>
      </c>
      <c r="I97" s="14">
        <f>IF('Pegar ML'!C92="Paquete de 2 productos",IF('Pegar ML'!O92="",0,'Pegar ML'!O92),IF('Pegar ML'!O93="",0,'Pegar ML'!O93))</f>
        <v>0</v>
      </c>
      <c r="J97" s="14">
        <f>IF('Pegar ML'!C92="Paquete de 2 productos",IF('Pegar ML'!O92="",0,'Pegar ML'!O92),IF('Pegar ML'!O93="",0,'Pegar ML'!O93))</f>
        <v>0</v>
      </c>
      <c r="K97" s="14">
        <f t="shared" si="5"/>
        <v>0</v>
      </c>
      <c r="L97" s="27">
        <f>IF('Pegar ML'!AB93=" ",'Pegar ML'!AB92,'Pegar ML'!AB93)</f>
        <v>0</v>
      </c>
      <c r="M97" s="27" t="str">
        <f>IF('Pegar ML'!AC93=" ",RIGHT('Pegar ML'!AC92,8),RIGHT('Pegar ML'!AC93,8))</f>
        <v/>
      </c>
      <c r="N97" s="27" t="s">
        <v>80</v>
      </c>
      <c r="O97" s="27">
        <f t="shared" si="3"/>
        <v>0</v>
      </c>
      <c r="P97" s="27" t="s">
        <v>80</v>
      </c>
      <c r="Q97" s="55">
        <f>IF('Pegar ML'!AD93=" ",'Pegar ML'!AD92,'Pegar ML'!AD93)</f>
        <v>0</v>
      </c>
      <c r="R97" s="27" t="s">
        <v>80</v>
      </c>
      <c r="S97" s="27" t="s">
        <v>80</v>
      </c>
      <c r="T97" s="27" t="s">
        <v>80</v>
      </c>
      <c r="U97" s="55">
        <f>IF('Pegar ML'!AI93=" ",'Pegar ML'!AI92,'Pegar ML'!AI93)</f>
        <v>0</v>
      </c>
      <c r="V97" s="55">
        <f>IF('Pegar ML'!AK93=" ",'Pegar ML'!AK92,'Pegar ML'!AK93)</f>
        <v>0</v>
      </c>
      <c r="W97" s="55">
        <f>IF('Pegar ML'!AJ93=" ",'Pegar ML'!AJ92,'Pegar ML'!AJ93)</f>
        <v>0</v>
      </c>
      <c r="X97" s="55">
        <f>IF('Pegar ML'!AL93=" ",'Pegar ML'!AL92,'Pegar ML'!AL93)</f>
        <v>0</v>
      </c>
      <c r="Y97" s="27"/>
      <c r="Z97" s="27"/>
      <c r="AA97" s="27"/>
      <c r="AB97" s="27"/>
      <c r="AC97" s="27"/>
      <c r="AD97" s="27"/>
      <c r="AF97" s="8"/>
      <c r="AG97" s="27"/>
      <c r="AH97" s="14">
        <f>+'Pegar ML'!Y93</f>
        <v>0</v>
      </c>
      <c r="AI97" s="13">
        <f t="shared" si="4"/>
        <v>1</v>
      </c>
      <c r="AJ97" s="7">
        <f>+'Pegar ML'!T93</f>
        <v>0</v>
      </c>
      <c r="AK97" s="27"/>
      <c r="AL97" s="27"/>
      <c r="AM97" s="27"/>
      <c r="AN97" s="27"/>
      <c r="AO97" s="27"/>
      <c r="AP97" s="27"/>
      <c r="AQ97" s="27"/>
      <c r="AR97" s="27"/>
      <c r="AS97" s="27">
        <v>17</v>
      </c>
    </row>
    <row r="98" spans="1:45" x14ac:dyDescent="0.25">
      <c r="A98" s="27">
        <f>IF('Pegar ML'!C93="Paquete de 2 productos",'Pegar ML'!A93,IF('Pegar ML'!C92="Paquete de 2 productos",'Pegar ML'!A92,'Pegar ML'!A94))</f>
        <v>0</v>
      </c>
      <c r="B98" s="27"/>
      <c r="C98" s="30" t="e">
        <f>IF(AjusteFecha!I94=0,"",AjusteFecha!I94)</f>
        <v>#N/A</v>
      </c>
      <c r="D98" s="27"/>
      <c r="E98" s="27"/>
      <c r="F98" s="27" t="str">
        <f>IF('Pegar ML'!C94="","",'Pegar ML'!C94)</f>
        <v/>
      </c>
      <c r="G98" s="27" t="str">
        <f>IF('Pegar ML'!G89="ARS","PS","PS")</f>
        <v>PS</v>
      </c>
      <c r="H98" s="14">
        <f>IF('Pegar ML'!C93="Paquete de 2 productos",IF('Pegar ML'!H93="",0,'Pegar ML'!H93),IF('Pegar ML'!H94="",0,'Pegar ML'!H94))</f>
        <v>0</v>
      </c>
      <c r="I98" s="14">
        <f>IF('Pegar ML'!C93="Paquete de 2 productos",IF('Pegar ML'!O93="",0,'Pegar ML'!O93),IF('Pegar ML'!O94="",0,'Pegar ML'!O94))</f>
        <v>0</v>
      </c>
      <c r="J98" s="14">
        <f>IF('Pegar ML'!C93="Paquete de 2 productos",IF('Pegar ML'!O93="",0,'Pegar ML'!O93),IF('Pegar ML'!O94="",0,'Pegar ML'!O94))</f>
        <v>0</v>
      </c>
      <c r="K98" s="14">
        <f t="shared" si="5"/>
        <v>0</v>
      </c>
      <c r="L98" s="27">
        <f>IF('Pegar ML'!AB94=" ",'Pegar ML'!AB93,'Pegar ML'!AB94)</f>
        <v>0</v>
      </c>
      <c r="M98" s="27" t="str">
        <f>IF('Pegar ML'!AC94=" ",RIGHT('Pegar ML'!AC93,8),RIGHT('Pegar ML'!AC94,8))</f>
        <v/>
      </c>
      <c r="N98" s="27" t="s">
        <v>80</v>
      </c>
      <c r="O98" s="27">
        <f t="shared" si="3"/>
        <v>0</v>
      </c>
      <c r="P98" s="27" t="s">
        <v>80</v>
      </c>
      <c r="Q98" s="55">
        <f>IF('Pegar ML'!AD94=" ",'Pegar ML'!AD93,'Pegar ML'!AD94)</f>
        <v>0</v>
      </c>
      <c r="R98" s="27" t="s">
        <v>80</v>
      </c>
      <c r="S98" s="27" t="s">
        <v>80</v>
      </c>
      <c r="T98" s="27" t="s">
        <v>80</v>
      </c>
      <c r="U98" s="55">
        <f>IF('Pegar ML'!AI94=" ",'Pegar ML'!AI93,'Pegar ML'!AI94)</f>
        <v>0</v>
      </c>
      <c r="V98" s="55">
        <f>IF('Pegar ML'!AK94=" ",'Pegar ML'!AK93,'Pegar ML'!AK94)</f>
        <v>0</v>
      </c>
      <c r="W98" s="55">
        <f>IF('Pegar ML'!AJ94=" ",'Pegar ML'!AJ93,'Pegar ML'!AJ94)</f>
        <v>0</v>
      </c>
      <c r="X98" s="55">
        <f>IF('Pegar ML'!AL94=" ",'Pegar ML'!AL93,'Pegar ML'!AL94)</f>
        <v>0</v>
      </c>
      <c r="Y98" s="27"/>
      <c r="Z98" s="27"/>
      <c r="AA98" s="27"/>
      <c r="AB98" s="27"/>
      <c r="AC98" s="27"/>
      <c r="AD98" s="27"/>
      <c r="AF98" s="8"/>
      <c r="AG98" s="27"/>
      <c r="AH98" s="14">
        <f>+'Pegar ML'!Y94</f>
        <v>0</v>
      </c>
      <c r="AI98" s="13">
        <f t="shared" si="4"/>
        <v>1</v>
      </c>
      <c r="AJ98" s="7">
        <f>+'Pegar ML'!T94</f>
        <v>0</v>
      </c>
      <c r="AK98" s="27"/>
      <c r="AL98" s="27"/>
      <c r="AM98" s="27"/>
      <c r="AN98" s="27"/>
      <c r="AO98" s="27"/>
      <c r="AP98" s="27"/>
      <c r="AQ98" s="27"/>
      <c r="AR98" s="27"/>
      <c r="AS98" s="27">
        <v>17</v>
      </c>
    </row>
    <row r="99" spans="1:45" x14ac:dyDescent="0.25">
      <c r="A99" s="27">
        <f>IF('Pegar ML'!C94="Paquete de 2 productos",'Pegar ML'!A94,IF('Pegar ML'!C93="Paquete de 2 productos",'Pegar ML'!A93,'Pegar ML'!A95))</f>
        <v>0</v>
      </c>
      <c r="B99" s="27"/>
      <c r="C99" s="30" t="e">
        <f>IF(AjusteFecha!I95=0,"",AjusteFecha!I95)</f>
        <v>#N/A</v>
      </c>
      <c r="D99" s="27"/>
      <c r="E99" s="27"/>
      <c r="F99" s="27" t="str">
        <f>IF('Pegar ML'!C95="","",'Pegar ML'!C95)</f>
        <v/>
      </c>
      <c r="G99" s="27" t="str">
        <f>IF('Pegar ML'!G90="ARS","PS","PS")</f>
        <v>PS</v>
      </c>
      <c r="H99" s="14">
        <f>IF('Pegar ML'!C94="Paquete de 2 productos",IF('Pegar ML'!H94="",0,'Pegar ML'!H94),IF('Pegar ML'!H95="",0,'Pegar ML'!H95))</f>
        <v>0</v>
      </c>
      <c r="I99" s="14">
        <f>IF('Pegar ML'!C94="Paquete de 2 productos",IF('Pegar ML'!O94="",0,'Pegar ML'!O94),IF('Pegar ML'!O95="",0,'Pegar ML'!O95))</f>
        <v>0</v>
      </c>
      <c r="J99" s="14">
        <f>IF('Pegar ML'!C94="Paquete de 2 productos",IF('Pegar ML'!O94="",0,'Pegar ML'!O94),IF('Pegar ML'!O95="",0,'Pegar ML'!O95))</f>
        <v>0</v>
      </c>
      <c r="K99" s="14">
        <f t="shared" si="5"/>
        <v>0</v>
      </c>
      <c r="L99" s="27">
        <f>IF('Pegar ML'!AB95=" ",'Pegar ML'!AB94,'Pegar ML'!AB95)</f>
        <v>0</v>
      </c>
      <c r="M99" s="27" t="str">
        <f>IF('Pegar ML'!AC95=" ",RIGHT('Pegar ML'!AC94,8),RIGHT('Pegar ML'!AC95,8))</f>
        <v/>
      </c>
      <c r="N99" s="27" t="s">
        <v>80</v>
      </c>
      <c r="O99" s="27">
        <f t="shared" si="3"/>
        <v>0</v>
      </c>
      <c r="P99" s="27" t="s">
        <v>80</v>
      </c>
      <c r="Q99" s="55">
        <f>IF('Pegar ML'!AD95=" ",'Pegar ML'!AD94,'Pegar ML'!AD95)</f>
        <v>0</v>
      </c>
      <c r="R99" s="27" t="s">
        <v>80</v>
      </c>
      <c r="S99" s="27" t="s">
        <v>80</v>
      </c>
      <c r="T99" s="27" t="s">
        <v>80</v>
      </c>
      <c r="U99" s="55">
        <f>IF('Pegar ML'!AI95=" ",'Pegar ML'!AI94,'Pegar ML'!AI95)</f>
        <v>0</v>
      </c>
      <c r="V99" s="55">
        <f>IF('Pegar ML'!AK95=" ",'Pegar ML'!AK94,'Pegar ML'!AK95)</f>
        <v>0</v>
      </c>
      <c r="W99" s="55">
        <f>IF('Pegar ML'!AJ95=" ",'Pegar ML'!AJ94,'Pegar ML'!AJ95)</f>
        <v>0</v>
      </c>
      <c r="X99" s="55">
        <f>IF('Pegar ML'!AL95=" ",'Pegar ML'!AL94,'Pegar ML'!AL95)</f>
        <v>0</v>
      </c>
      <c r="Y99" s="27"/>
      <c r="Z99" s="27"/>
      <c r="AA99" s="27"/>
      <c r="AB99" s="27"/>
      <c r="AC99" s="27"/>
      <c r="AD99" s="27"/>
      <c r="AF99" s="8"/>
      <c r="AG99" s="27"/>
      <c r="AH99" s="14">
        <f>+'Pegar ML'!Y95</f>
        <v>0</v>
      </c>
      <c r="AI99" s="13">
        <f t="shared" si="4"/>
        <v>1</v>
      </c>
      <c r="AJ99" s="7">
        <f>+'Pegar ML'!T95</f>
        <v>0</v>
      </c>
      <c r="AK99" s="27"/>
      <c r="AL99" s="27"/>
      <c r="AM99" s="27"/>
      <c r="AN99" s="27"/>
      <c r="AO99" s="27"/>
      <c r="AP99" s="27"/>
      <c r="AQ99" s="27"/>
      <c r="AR99" s="27"/>
      <c r="AS99" s="27">
        <v>17</v>
      </c>
    </row>
    <row r="100" spans="1:45" x14ac:dyDescent="0.25">
      <c r="A100" s="27">
        <f>IF('Pegar ML'!C95="Paquete de 2 productos",'Pegar ML'!A95,IF('Pegar ML'!C94="Paquete de 2 productos",'Pegar ML'!A94,'Pegar ML'!A96))</f>
        <v>0</v>
      </c>
      <c r="B100" s="27"/>
      <c r="C100" s="30" t="e">
        <f>IF(AjusteFecha!I96=0,"",AjusteFecha!I96)</f>
        <v>#N/A</v>
      </c>
      <c r="D100" s="27"/>
      <c r="E100" s="27"/>
      <c r="F100" s="27" t="str">
        <f>IF('Pegar ML'!C96="","",'Pegar ML'!C96)</f>
        <v/>
      </c>
      <c r="G100" s="27" t="str">
        <f>IF('Pegar ML'!G91="ARS","PS","PS")</f>
        <v>PS</v>
      </c>
      <c r="H100" s="14">
        <f>IF('Pegar ML'!C95="Paquete de 2 productos",IF('Pegar ML'!H95="",0,'Pegar ML'!H95),IF('Pegar ML'!H96="",0,'Pegar ML'!H96))</f>
        <v>0</v>
      </c>
      <c r="I100" s="14">
        <f>IF('Pegar ML'!C95="Paquete de 2 productos",IF('Pegar ML'!O95="",0,'Pegar ML'!O95),IF('Pegar ML'!O96="",0,'Pegar ML'!O96))</f>
        <v>0</v>
      </c>
      <c r="J100" s="14">
        <f>IF('Pegar ML'!C95="Paquete de 2 productos",IF('Pegar ML'!O95="",0,'Pegar ML'!O95),IF('Pegar ML'!O96="",0,'Pegar ML'!O96))</f>
        <v>0</v>
      </c>
      <c r="K100" s="14">
        <f t="shared" si="5"/>
        <v>0</v>
      </c>
      <c r="L100" s="27">
        <f>IF('Pegar ML'!AB96=" ",'Pegar ML'!AB95,'Pegar ML'!AB96)</f>
        <v>0</v>
      </c>
      <c r="M100" s="27" t="str">
        <f>IF('Pegar ML'!AC96=" ",RIGHT('Pegar ML'!AC95,8),RIGHT('Pegar ML'!AC96,8))</f>
        <v/>
      </c>
      <c r="N100" s="27" t="s">
        <v>80</v>
      </c>
      <c r="O100" s="27">
        <f t="shared" si="3"/>
        <v>0</v>
      </c>
      <c r="P100" s="27" t="s">
        <v>80</v>
      </c>
      <c r="Q100" s="55">
        <f>IF('Pegar ML'!AD96=" ",'Pegar ML'!AD95,'Pegar ML'!AD96)</f>
        <v>0</v>
      </c>
      <c r="R100" s="27" t="s">
        <v>80</v>
      </c>
      <c r="S100" s="27" t="s">
        <v>80</v>
      </c>
      <c r="T100" s="27" t="s">
        <v>80</v>
      </c>
      <c r="U100" s="55">
        <f>IF('Pegar ML'!AI96=" ",'Pegar ML'!AI95,'Pegar ML'!AI96)</f>
        <v>0</v>
      </c>
      <c r="V100" s="55">
        <f>IF('Pegar ML'!AK96=" ",'Pegar ML'!AK95,'Pegar ML'!AK96)</f>
        <v>0</v>
      </c>
      <c r="W100" s="55">
        <f>IF('Pegar ML'!AJ96=" ",'Pegar ML'!AJ95,'Pegar ML'!AJ96)</f>
        <v>0</v>
      </c>
      <c r="X100" s="55">
        <f>IF('Pegar ML'!AL96=" ",'Pegar ML'!AL95,'Pegar ML'!AL96)</f>
        <v>0</v>
      </c>
      <c r="Y100" s="27"/>
      <c r="Z100" s="27"/>
      <c r="AA100" s="27"/>
      <c r="AB100" s="27"/>
      <c r="AC100" s="27"/>
      <c r="AD100" s="27"/>
      <c r="AF100" s="8"/>
      <c r="AG100" s="27"/>
      <c r="AH100" s="14">
        <f>+'Pegar ML'!Y96</f>
        <v>0</v>
      </c>
      <c r="AI100" s="13">
        <f t="shared" si="4"/>
        <v>1</v>
      </c>
      <c r="AJ100" s="7">
        <f>+'Pegar ML'!T96</f>
        <v>0</v>
      </c>
      <c r="AK100" s="27"/>
      <c r="AL100" s="27"/>
      <c r="AM100" s="27"/>
      <c r="AN100" s="27"/>
      <c r="AO100" s="27"/>
      <c r="AP100" s="27"/>
      <c r="AQ100" s="27"/>
      <c r="AR100" s="27"/>
      <c r="AS100" s="27">
        <v>17</v>
      </c>
    </row>
    <row r="101" spans="1:45" x14ac:dyDescent="0.25">
      <c r="A101" s="27">
        <f>IF('Pegar ML'!C96="Paquete de 2 productos",'Pegar ML'!A96,IF('Pegar ML'!C95="Paquete de 2 productos",'Pegar ML'!A95,'Pegar ML'!A97))</f>
        <v>0</v>
      </c>
      <c r="B101" s="27"/>
      <c r="C101" s="30" t="e">
        <f>IF(AjusteFecha!I97=0,"",AjusteFecha!I97)</f>
        <v>#N/A</v>
      </c>
      <c r="D101" s="27"/>
      <c r="E101" s="27"/>
      <c r="F101" s="27" t="str">
        <f>IF('Pegar ML'!C97="","",'Pegar ML'!C97)</f>
        <v/>
      </c>
      <c r="G101" s="27" t="str">
        <f>IF('Pegar ML'!G92="ARS","PS","PS")</f>
        <v>PS</v>
      </c>
      <c r="H101" s="14">
        <f>IF('Pegar ML'!C96="Paquete de 2 productos",IF('Pegar ML'!H96="",0,'Pegar ML'!H96),IF('Pegar ML'!H97="",0,'Pegar ML'!H97))</f>
        <v>0</v>
      </c>
      <c r="I101" s="14">
        <f>IF('Pegar ML'!C96="Paquete de 2 productos",IF('Pegar ML'!O96="",0,'Pegar ML'!O96),IF('Pegar ML'!O97="",0,'Pegar ML'!O97))</f>
        <v>0</v>
      </c>
      <c r="J101" s="14">
        <f>IF('Pegar ML'!C96="Paquete de 2 productos",IF('Pegar ML'!O96="",0,'Pegar ML'!O96),IF('Pegar ML'!O97="",0,'Pegar ML'!O97))</f>
        <v>0</v>
      </c>
      <c r="K101" s="14">
        <f t="shared" si="5"/>
        <v>0</v>
      </c>
      <c r="L101" s="27">
        <f>IF('Pegar ML'!AB97=" ",'Pegar ML'!AB96,'Pegar ML'!AB97)</f>
        <v>0</v>
      </c>
      <c r="M101" s="27" t="str">
        <f>IF('Pegar ML'!AC97=" ",RIGHT('Pegar ML'!AC96,8),RIGHT('Pegar ML'!AC97,8))</f>
        <v/>
      </c>
      <c r="N101" s="27" t="s">
        <v>80</v>
      </c>
      <c r="O101" s="27">
        <f t="shared" si="3"/>
        <v>0</v>
      </c>
      <c r="P101" s="27" t="s">
        <v>80</v>
      </c>
      <c r="Q101" s="55">
        <f>IF('Pegar ML'!AD97=" ",'Pegar ML'!AD96,'Pegar ML'!AD97)</f>
        <v>0</v>
      </c>
      <c r="R101" s="27" t="s">
        <v>80</v>
      </c>
      <c r="S101" s="27" t="s">
        <v>80</v>
      </c>
      <c r="T101" s="27" t="s">
        <v>80</v>
      </c>
      <c r="U101" s="55">
        <f>IF('Pegar ML'!AI97=" ",'Pegar ML'!AI96,'Pegar ML'!AI97)</f>
        <v>0</v>
      </c>
      <c r="V101" s="55">
        <f>IF('Pegar ML'!AK97=" ",'Pegar ML'!AK96,'Pegar ML'!AK97)</f>
        <v>0</v>
      </c>
      <c r="W101" s="55">
        <f>IF('Pegar ML'!AJ97=" ",'Pegar ML'!AJ96,'Pegar ML'!AJ97)</f>
        <v>0</v>
      </c>
      <c r="X101" s="55">
        <f>IF('Pegar ML'!AL97=" ",'Pegar ML'!AL96,'Pegar ML'!AL97)</f>
        <v>0</v>
      </c>
      <c r="Y101" s="27"/>
      <c r="Z101" s="27"/>
      <c r="AA101" s="27"/>
      <c r="AB101" s="27"/>
      <c r="AC101" s="27"/>
      <c r="AD101" s="27"/>
      <c r="AF101" s="8"/>
      <c r="AG101" s="27"/>
      <c r="AH101" s="14">
        <f>+'Pegar ML'!Y97</f>
        <v>0</v>
      </c>
      <c r="AI101" s="13">
        <f t="shared" si="4"/>
        <v>1</v>
      </c>
      <c r="AJ101" s="7">
        <f>+'Pegar ML'!T97</f>
        <v>0</v>
      </c>
      <c r="AK101" s="27"/>
      <c r="AL101" s="27"/>
      <c r="AM101" s="27"/>
      <c r="AN101" s="27"/>
      <c r="AO101" s="27"/>
      <c r="AP101" s="27"/>
      <c r="AQ101" s="27"/>
      <c r="AR101" s="27"/>
      <c r="AS101" s="27">
        <v>17</v>
      </c>
    </row>
    <row r="102" spans="1:45" x14ac:dyDescent="0.25">
      <c r="A102" s="27">
        <f>IF('Pegar ML'!C97="Paquete de 2 productos",'Pegar ML'!A97,IF('Pegar ML'!C96="Paquete de 2 productos",'Pegar ML'!A96,'Pegar ML'!A98))</f>
        <v>0</v>
      </c>
      <c r="B102" s="27"/>
      <c r="C102" s="30" t="e">
        <f>IF(AjusteFecha!I98=0,"",AjusteFecha!I98)</f>
        <v>#N/A</v>
      </c>
      <c r="D102" s="27"/>
      <c r="E102" s="27"/>
      <c r="F102" s="27" t="str">
        <f>IF('Pegar ML'!C98="","",'Pegar ML'!C98)</f>
        <v/>
      </c>
      <c r="G102" s="27" t="str">
        <f>IF('Pegar ML'!G93="ARS","PS","PS")</f>
        <v>PS</v>
      </c>
      <c r="H102" s="14">
        <f>IF('Pegar ML'!C97="Paquete de 2 productos",IF('Pegar ML'!H97="",0,'Pegar ML'!H97),IF('Pegar ML'!H98="",0,'Pegar ML'!H98))</f>
        <v>0</v>
      </c>
      <c r="I102" s="14">
        <f>IF('Pegar ML'!C97="Paquete de 2 productos",IF('Pegar ML'!O97="",0,'Pegar ML'!O97),IF('Pegar ML'!O98="",0,'Pegar ML'!O98))</f>
        <v>0</v>
      </c>
      <c r="J102" s="14">
        <f>IF('Pegar ML'!C97="Paquete de 2 productos",IF('Pegar ML'!O97="",0,'Pegar ML'!O97),IF('Pegar ML'!O98="",0,'Pegar ML'!O98))</f>
        <v>0</v>
      </c>
      <c r="K102" s="14">
        <f t="shared" si="5"/>
        <v>0</v>
      </c>
      <c r="L102" s="27">
        <f>IF('Pegar ML'!AB98=" ",'Pegar ML'!AB97,'Pegar ML'!AB98)</f>
        <v>0</v>
      </c>
      <c r="M102" s="27" t="str">
        <f>IF('Pegar ML'!AC98=" ",RIGHT('Pegar ML'!AC97,8),RIGHT('Pegar ML'!AC98,8))</f>
        <v/>
      </c>
      <c r="N102" s="27" t="s">
        <v>80</v>
      </c>
      <c r="O102" s="27">
        <f t="shared" si="3"/>
        <v>0</v>
      </c>
      <c r="P102" s="27" t="s">
        <v>80</v>
      </c>
      <c r="Q102" s="55">
        <f>IF('Pegar ML'!AD98=" ",'Pegar ML'!AD97,'Pegar ML'!AD98)</f>
        <v>0</v>
      </c>
      <c r="R102" s="27" t="s">
        <v>80</v>
      </c>
      <c r="S102" s="27" t="s">
        <v>80</v>
      </c>
      <c r="T102" s="27" t="s">
        <v>80</v>
      </c>
      <c r="U102" s="55">
        <f>IF('Pegar ML'!AI98=" ",'Pegar ML'!AI97,'Pegar ML'!AI98)</f>
        <v>0</v>
      </c>
      <c r="V102" s="55">
        <f>IF('Pegar ML'!AK98=" ",'Pegar ML'!AK97,'Pegar ML'!AK98)</f>
        <v>0</v>
      </c>
      <c r="W102" s="55">
        <f>IF('Pegar ML'!AJ98=" ",'Pegar ML'!AJ97,'Pegar ML'!AJ98)</f>
        <v>0</v>
      </c>
      <c r="X102" s="55">
        <f>IF('Pegar ML'!AL98=" ",'Pegar ML'!AL97,'Pegar ML'!AL98)</f>
        <v>0</v>
      </c>
      <c r="Y102" s="27"/>
      <c r="Z102" s="27"/>
      <c r="AA102" s="27"/>
      <c r="AB102" s="27"/>
      <c r="AC102" s="27"/>
      <c r="AD102" s="27"/>
      <c r="AF102" s="8"/>
      <c r="AG102" s="27"/>
      <c r="AH102" s="14">
        <f>+'Pegar ML'!Y98</f>
        <v>0</v>
      </c>
      <c r="AI102" s="13">
        <f t="shared" si="4"/>
        <v>1</v>
      </c>
      <c r="AJ102" s="7">
        <f>+'Pegar ML'!T98</f>
        <v>0</v>
      </c>
      <c r="AK102" s="27"/>
      <c r="AL102" s="27"/>
      <c r="AM102" s="27"/>
      <c r="AN102" s="27"/>
      <c r="AO102" s="27"/>
      <c r="AP102" s="27"/>
      <c r="AQ102" s="27"/>
      <c r="AR102" s="27"/>
      <c r="AS102" s="27">
        <v>17</v>
      </c>
    </row>
    <row r="103" spans="1:45" x14ac:dyDescent="0.25">
      <c r="A103" s="27">
        <f>IF('Pegar ML'!C98="Paquete de 2 productos",'Pegar ML'!A98,IF('Pegar ML'!C97="Paquete de 2 productos",'Pegar ML'!A97,'Pegar ML'!A99))</f>
        <v>0</v>
      </c>
      <c r="B103" s="27"/>
      <c r="C103" s="30" t="e">
        <f>IF(AjusteFecha!I99=0,"",AjusteFecha!I99)</f>
        <v>#N/A</v>
      </c>
      <c r="D103" s="27"/>
      <c r="E103" s="27"/>
      <c r="F103" s="27" t="str">
        <f>IF('Pegar ML'!C99="","",'Pegar ML'!C99)</f>
        <v/>
      </c>
      <c r="G103" s="27" t="str">
        <f>IF('Pegar ML'!G94="ARS","PS","PS")</f>
        <v>PS</v>
      </c>
      <c r="H103" s="14">
        <f>IF('Pegar ML'!C98="Paquete de 2 productos",IF('Pegar ML'!H98="",0,'Pegar ML'!H98),IF('Pegar ML'!H99="",0,'Pegar ML'!H99))</f>
        <v>0</v>
      </c>
      <c r="I103" s="14">
        <f>IF('Pegar ML'!C98="Paquete de 2 productos",IF('Pegar ML'!O98="",0,'Pegar ML'!O98),IF('Pegar ML'!O99="",0,'Pegar ML'!O99))</f>
        <v>0</v>
      </c>
      <c r="J103" s="14">
        <f>IF('Pegar ML'!C98="Paquete de 2 productos",IF('Pegar ML'!O98="",0,'Pegar ML'!O98),IF('Pegar ML'!O99="",0,'Pegar ML'!O99))</f>
        <v>0</v>
      </c>
      <c r="K103" s="14">
        <f t="shared" si="5"/>
        <v>0</v>
      </c>
      <c r="L103" s="27">
        <f>IF('Pegar ML'!AB99=" ",'Pegar ML'!AB98,'Pegar ML'!AB99)</f>
        <v>0</v>
      </c>
      <c r="M103" s="27" t="str">
        <f>IF('Pegar ML'!AC99=" ",RIGHT('Pegar ML'!AC98,8),RIGHT('Pegar ML'!AC99,8))</f>
        <v/>
      </c>
      <c r="N103" s="27" t="s">
        <v>80</v>
      </c>
      <c r="O103" s="27">
        <f t="shared" si="3"/>
        <v>0</v>
      </c>
      <c r="P103" s="27" t="s">
        <v>80</v>
      </c>
      <c r="Q103" s="55">
        <f>IF('Pegar ML'!AD99=" ",'Pegar ML'!AD98,'Pegar ML'!AD99)</f>
        <v>0</v>
      </c>
      <c r="R103" s="27" t="s">
        <v>80</v>
      </c>
      <c r="S103" s="27" t="s">
        <v>80</v>
      </c>
      <c r="T103" s="27" t="s">
        <v>80</v>
      </c>
      <c r="U103" s="55">
        <f>IF('Pegar ML'!AI99=" ",'Pegar ML'!AI98,'Pegar ML'!AI99)</f>
        <v>0</v>
      </c>
      <c r="V103" s="55">
        <f>IF('Pegar ML'!AK99=" ",'Pegar ML'!AK98,'Pegar ML'!AK99)</f>
        <v>0</v>
      </c>
      <c r="W103" s="55">
        <f>IF('Pegar ML'!AJ99=" ",'Pegar ML'!AJ98,'Pegar ML'!AJ99)</f>
        <v>0</v>
      </c>
      <c r="X103" s="55">
        <f>IF('Pegar ML'!AL99=" ",'Pegar ML'!AL98,'Pegar ML'!AL99)</f>
        <v>0</v>
      </c>
      <c r="Y103" s="27"/>
      <c r="Z103" s="27"/>
      <c r="AA103" s="27"/>
      <c r="AB103" s="27"/>
      <c r="AC103" s="27"/>
      <c r="AD103" s="27"/>
      <c r="AF103" s="8"/>
      <c r="AG103" s="27"/>
      <c r="AH103" s="14">
        <f>+'Pegar ML'!Y99</f>
        <v>0</v>
      </c>
      <c r="AI103" s="13">
        <f t="shared" si="4"/>
        <v>1</v>
      </c>
      <c r="AJ103" s="7">
        <f>+'Pegar ML'!T99</f>
        <v>0</v>
      </c>
      <c r="AK103" s="27"/>
      <c r="AL103" s="27"/>
      <c r="AM103" s="27"/>
      <c r="AN103" s="27"/>
      <c r="AO103" s="27"/>
      <c r="AP103" s="27"/>
      <c r="AQ103" s="27"/>
      <c r="AR103" s="27"/>
      <c r="AS103" s="27">
        <v>17</v>
      </c>
    </row>
    <row r="104" spans="1:45" x14ac:dyDescent="0.25">
      <c r="A104" s="27">
        <f>IF('Pegar ML'!C99="Paquete de 2 productos",'Pegar ML'!A99,IF('Pegar ML'!C98="Paquete de 2 productos",'Pegar ML'!A98,'Pegar ML'!A100))</f>
        <v>0</v>
      </c>
      <c r="B104" s="27"/>
      <c r="C104" s="30" t="e">
        <f>IF(AjusteFecha!I100=0,"",AjusteFecha!I100)</f>
        <v>#N/A</v>
      </c>
      <c r="D104" s="27"/>
      <c r="E104" s="27"/>
      <c r="F104" s="27" t="str">
        <f>IF('Pegar ML'!C100="","",'Pegar ML'!C100)</f>
        <v/>
      </c>
      <c r="G104" s="27" t="str">
        <f>IF('Pegar ML'!G95="ARS","PS","PS")</f>
        <v>PS</v>
      </c>
      <c r="H104" s="14">
        <f>IF('Pegar ML'!C99="Paquete de 2 productos",IF('Pegar ML'!H99="",0,'Pegar ML'!H99),IF('Pegar ML'!H100="",0,'Pegar ML'!H100))</f>
        <v>0</v>
      </c>
      <c r="I104" s="14">
        <f>IF('Pegar ML'!C99="Paquete de 2 productos",IF('Pegar ML'!O99="",0,'Pegar ML'!O99),IF('Pegar ML'!O100="",0,'Pegar ML'!O100))</f>
        <v>0</v>
      </c>
      <c r="J104" s="14">
        <f>IF('Pegar ML'!C99="Paquete de 2 productos",IF('Pegar ML'!O99="",0,'Pegar ML'!O99),IF('Pegar ML'!O100="",0,'Pegar ML'!O100))</f>
        <v>0</v>
      </c>
      <c r="K104" s="14">
        <f t="shared" si="5"/>
        <v>0</v>
      </c>
      <c r="L104" s="27">
        <f>IF('Pegar ML'!AB100=" ",'Pegar ML'!AB99,'Pegar ML'!AB100)</f>
        <v>0</v>
      </c>
      <c r="M104" s="27" t="str">
        <f>IF('Pegar ML'!AC100=" ",RIGHT('Pegar ML'!AC99,8),RIGHT('Pegar ML'!AC100,8))</f>
        <v/>
      </c>
      <c r="N104" s="27" t="s">
        <v>80</v>
      </c>
      <c r="O104" s="27">
        <f t="shared" si="3"/>
        <v>0</v>
      </c>
      <c r="P104" s="27" t="s">
        <v>80</v>
      </c>
      <c r="Q104" s="55">
        <f>IF('Pegar ML'!AD100=" ",'Pegar ML'!AD99,'Pegar ML'!AD100)</f>
        <v>0</v>
      </c>
      <c r="R104" s="27" t="s">
        <v>80</v>
      </c>
      <c r="S104" s="27" t="s">
        <v>80</v>
      </c>
      <c r="T104" s="27" t="s">
        <v>80</v>
      </c>
      <c r="U104" s="55">
        <f>IF('Pegar ML'!AI100=" ",'Pegar ML'!AI99,'Pegar ML'!AI100)</f>
        <v>0</v>
      </c>
      <c r="V104" s="55">
        <f>IF('Pegar ML'!AK100=" ",'Pegar ML'!AK99,'Pegar ML'!AK100)</f>
        <v>0</v>
      </c>
      <c r="W104" s="55">
        <f>IF('Pegar ML'!AJ100=" ",'Pegar ML'!AJ99,'Pegar ML'!AJ100)</f>
        <v>0</v>
      </c>
      <c r="X104" s="55">
        <f>IF('Pegar ML'!AL100=" ",'Pegar ML'!AL99,'Pegar ML'!AL100)</f>
        <v>0</v>
      </c>
      <c r="Y104" s="27"/>
      <c r="Z104" s="27"/>
      <c r="AA104" s="27"/>
      <c r="AB104" s="27"/>
      <c r="AC104" s="27"/>
      <c r="AD104" s="27"/>
      <c r="AF104" s="8"/>
      <c r="AG104" s="27"/>
      <c r="AH104" s="14">
        <f>+'Pegar ML'!Y100</f>
        <v>0</v>
      </c>
      <c r="AI104" s="13">
        <f t="shared" si="4"/>
        <v>1</v>
      </c>
      <c r="AJ104" s="7">
        <f>+'Pegar ML'!T100</f>
        <v>0</v>
      </c>
      <c r="AK104" s="27"/>
      <c r="AL104" s="27"/>
      <c r="AM104" s="27"/>
      <c r="AN104" s="27"/>
      <c r="AO104" s="27"/>
      <c r="AP104" s="27"/>
      <c r="AQ104" s="27"/>
      <c r="AR104" s="27"/>
      <c r="AS104" s="27">
        <v>17</v>
      </c>
    </row>
    <row r="105" spans="1:45" x14ac:dyDescent="0.25">
      <c r="A105" s="27">
        <f>IF('Pegar ML'!C100="Paquete de 2 productos",'Pegar ML'!A100,IF('Pegar ML'!C99="Paquete de 2 productos",'Pegar ML'!A99,'Pegar ML'!A101))</f>
        <v>0</v>
      </c>
      <c r="B105" s="27"/>
      <c r="C105" s="30" t="e">
        <f>IF(AjusteFecha!I101=0,"",AjusteFecha!I101)</f>
        <v>#N/A</v>
      </c>
      <c r="D105" s="27"/>
      <c r="E105" s="27"/>
      <c r="F105" s="27" t="str">
        <f>IF('Pegar ML'!C101="","",'Pegar ML'!C101)</f>
        <v/>
      </c>
      <c r="G105" s="27" t="str">
        <f>IF('Pegar ML'!G96="ARS","PS","PS")</f>
        <v>PS</v>
      </c>
      <c r="H105" s="14">
        <f>IF('Pegar ML'!C100="Paquete de 2 productos",IF('Pegar ML'!H100="",0,'Pegar ML'!H100),IF('Pegar ML'!H101="",0,'Pegar ML'!H101))</f>
        <v>0</v>
      </c>
      <c r="I105" s="14">
        <f>IF('Pegar ML'!C100="Paquete de 2 productos",IF('Pegar ML'!O100="",0,'Pegar ML'!O100),IF('Pegar ML'!O101="",0,'Pegar ML'!O101))</f>
        <v>0</v>
      </c>
      <c r="J105" s="14">
        <f>IF('Pegar ML'!C100="Paquete de 2 productos",IF('Pegar ML'!O100="",0,'Pegar ML'!O100),IF('Pegar ML'!O101="",0,'Pegar ML'!O101))</f>
        <v>0</v>
      </c>
      <c r="K105" s="14">
        <f t="shared" si="5"/>
        <v>0</v>
      </c>
      <c r="L105" s="27">
        <f>IF('Pegar ML'!AB101=" ",'Pegar ML'!AB100,'Pegar ML'!AB101)</f>
        <v>0</v>
      </c>
      <c r="M105" s="27" t="str">
        <f>IF('Pegar ML'!AC101=" ",RIGHT('Pegar ML'!AC100,8),RIGHT('Pegar ML'!AC101,8))</f>
        <v/>
      </c>
      <c r="N105" s="27" t="s">
        <v>80</v>
      </c>
      <c r="O105" s="27">
        <f t="shared" si="3"/>
        <v>0</v>
      </c>
      <c r="P105" s="27" t="s">
        <v>80</v>
      </c>
      <c r="Q105" s="55">
        <f>IF('Pegar ML'!AD101=" ",'Pegar ML'!AD100,'Pegar ML'!AD101)</f>
        <v>0</v>
      </c>
      <c r="R105" s="27" t="s">
        <v>80</v>
      </c>
      <c r="S105" s="27" t="s">
        <v>80</v>
      </c>
      <c r="T105" s="27" t="s">
        <v>80</v>
      </c>
      <c r="U105" s="55">
        <f>IF('Pegar ML'!AI101=" ",'Pegar ML'!AI100,'Pegar ML'!AI101)</f>
        <v>0</v>
      </c>
      <c r="V105" s="55">
        <f>IF('Pegar ML'!AK101=" ",'Pegar ML'!AK100,'Pegar ML'!AK101)</f>
        <v>0</v>
      </c>
      <c r="W105" s="55">
        <f>IF('Pegar ML'!AJ101=" ",'Pegar ML'!AJ100,'Pegar ML'!AJ101)</f>
        <v>0</v>
      </c>
      <c r="X105" s="55">
        <f>IF('Pegar ML'!AL101=" ",'Pegar ML'!AL100,'Pegar ML'!AL101)</f>
        <v>0</v>
      </c>
      <c r="Y105" s="27"/>
      <c r="Z105" s="27"/>
      <c r="AA105" s="27"/>
      <c r="AB105" s="27"/>
      <c r="AC105" s="27"/>
      <c r="AD105" s="27"/>
      <c r="AF105" s="8"/>
      <c r="AG105" s="27"/>
      <c r="AH105" s="14">
        <f>+'Pegar ML'!Y101</f>
        <v>0</v>
      </c>
      <c r="AI105" s="13">
        <f t="shared" si="4"/>
        <v>1</v>
      </c>
      <c r="AJ105" s="7">
        <f>+'Pegar ML'!T101</f>
        <v>0</v>
      </c>
      <c r="AK105" s="27"/>
      <c r="AL105" s="27"/>
      <c r="AM105" s="27"/>
      <c r="AN105" s="27"/>
      <c r="AO105" s="27"/>
      <c r="AP105" s="27"/>
      <c r="AQ105" s="27"/>
      <c r="AR105" s="27"/>
      <c r="AS105" s="27">
        <v>17</v>
      </c>
    </row>
    <row r="106" spans="1:45" x14ac:dyDescent="0.25">
      <c r="A106" s="27">
        <f>IF('Pegar ML'!C101="Paquete de 2 productos",'Pegar ML'!A101,IF('Pegar ML'!C100="Paquete de 2 productos",'Pegar ML'!A100,'Pegar ML'!A102))</f>
        <v>0</v>
      </c>
      <c r="B106" s="27"/>
      <c r="C106" s="30" t="e">
        <f>IF(AjusteFecha!I102=0,"",AjusteFecha!I102)</f>
        <v>#N/A</v>
      </c>
      <c r="D106" s="27"/>
      <c r="E106" s="27"/>
      <c r="F106" s="27" t="str">
        <f>IF('Pegar ML'!C102="","",'Pegar ML'!C102)</f>
        <v/>
      </c>
      <c r="G106" s="27" t="str">
        <f>IF('Pegar ML'!G97="ARS","PS","PS")</f>
        <v>PS</v>
      </c>
      <c r="H106" s="14">
        <f>IF('Pegar ML'!C101="Paquete de 2 productos",IF('Pegar ML'!H101="",0,'Pegar ML'!H101),IF('Pegar ML'!H102="",0,'Pegar ML'!H102))</f>
        <v>0</v>
      </c>
      <c r="I106" s="14">
        <f>IF('Pegar ML'!C101="Paquete de 2 productos",IF('Pegar ML'!O101="",0,'Pegar ML'!O101),IF('Pegar ML'!O102="",0,'Pegar ML'!O102))</f>
        <v>0</v>
      </c>
      <c r="J106" s="14">
        <f>IF('Pegar ML'!C101="Paquete de 2 productos",IF('Pegar ML'!O101="",0,'Pegar ML'!O101),IF('Pegar ML'!O102="",0,'Pegar ML'!O102))</f>
        <v>0</v>
      </c>
      <c r="K106" s="14">
        <f t="shared" si="5"/>
        <v>0</v>
      </c>
      <c r="L106" s="27">
        <f>IF('Pegar ML'!AB102=" ",'Pegar ML'!AB101,'Pegar ML'!AB102)</f>
        <v>0</v>
      </c>
      <c r="M106" s="27" t="str">
        <f>IF('Pegar ML'!AC102=" ",RIGHT('Pegar ML'!AC101,8),RIGHT('Pegar ML'!AC102,8))</f>
        <v/>
      </c>
      <c r="N106" s="27" t="s">
        <v>80</v>
      </c>
      <c r="O106" s="27">
        <f t="shared" si="3"/>
        <v>0</v>
      </c>
      <c r="P106" s="27" t="s">
        <v>80</v>
      </c>
      <c r="Q106" s="55">
        <f>IF('Pegar ML'!AD102=" ",'Pegar ML'!AD101,'Pegar ML'!AD102)</f>
        <v>0</v>
      </c>
      <c r="R106" s="27" t="s">
        <v>80</v>
      </c>
      <c r="S106" s="27" t="s">
        <v>80</v>
      </c>
      <c r="T106" s="27" t="s">
        <v>80</v>
      </c>
      <c r="U106" s="55">
        <f>IF('Pegar ML'!AI102=" ",'Pegar ML'!AI101,'Pegar ML'!AI102)</f>
        <v>0</v>
      </c>
      <c r="V106" s="55">
        <f>IF('Pegar ML'!AK102=" ",'Pegar ML'!AK101,'Pegar ML'!AK102)</f>
        <v>0</v>
      </c>
      <c r="W106" s="55">
        <f>IF('Pegar ML'!AJ102=" ",'Pegar ML'!AJ101,'Pegar ML'!AJ102)</f>
        <v>0</v>
      </c>
      <c r="X106" s="55">
        <f>IF('Pegar ML'!AL102=" ",'Pegar ML'!AL101,'Pegar ML'!AL102)</f>
        <v>0</v>
      </c>
      <c r="Y106" s="27"/>
      <c r="Z106" s="27"/>
      <c r="AA106" s="27"/>
      <c r="AB106" s="27"/>
      <c r="AC106" s="27"/>
      <c r="AD106" s="27"/>
      <c r="AF106" s="8"/>
      <c r="AG106" s="27"/>
      <c r="AH106" s="14">
        <f>+'Pegar ML'!Y102</f>
        <v>0</v>
      </c>
      <c r="AI106" s="13">
        <f t="shared" si="4"/>
        <v>1</v>
      </c>
      <c r="AJ106" s="7">
        <f>+'Pegar ML'!T102</f>
        <v>0</v>
      </c>
      <c r="AK106" s="27"/>
      <c r="AL106" s="27"/>
      <c r="AM106" s="27"/>
      <c r="AN106" s="27"/>
      <c r="AO106" s="27"/>
      <c r="AP106" s="27"/>
      <c r="AQ106" s="27"/>
      <c r="AR106" s="27"/>
      <c r="AS106" s="27">
        <v>17</v>
      </c>
    </row>
    <row r="107" spans="1:45" x14ac:dyDescent="0.25">
      <c r="A107" s="27">
        <f>IF('Pegar ML'!C102="Paquete de 2 productos",'Pegar ML'!A102,IF('Pegar ML'!C101="Paquete de 2 productos",'Pegar ML'!A101,'Pegar ML'!A103))</f>
        <v>0</v>
      </c>
      <c r="B107" s="27"/>
      <c r="C107" s="30" t="e">
        <f>IF(AjusteFecha!I103=0,"",AjusteFecha!I103)</f>
        <v>#N/A</v>
      </c>
      <c r="D107" s="27"/>
      <c r="E107" s="27"/>
      <c r="F107" s="27" t="str">
        <f>IF('Pegar ML'!C103="","",'Pegar ML'!C103)</f>
        <v/>
      </c>
      <c r="G107" s="27" t="str">
        <f>IF('Pegar ML'!G98="ARS","PS","PS")</f>
        <v>PS</v>
      </c>
      <c r="H107" s="14">
        <f>IF('Pegar ML'!C102="Paquete de 2 productos",IF('Pegar ML'!H102="",0,'Pegar ML'!H102),IF('Pegar ML'!H103="",0,'Pegar ML'!H103))</f>
        <v>0</v>
      </c>
      <c r="I107" s="14">
        <f>IF('Pegar ML'!C102="Paquete de 2 productos",IF('Pegar ML'!O102="",0,'Pegar ML'!O102),IF('Pegar ML'!O103="",0,'Pegar ML'!O103))</f>
        <v>0</v>
      </c>
      <c r="J107" s="14">
        <f>IF('Pegar ML'!C102="Paquete de 2 productos",IF('Pegar ML'!O102="",0,'Pegar ML'!O102),IF('Pegar ML'!O103="",0,'Pegar ML'!O103))</f>
        <v>0</v>
      </c>
      <c r="K107" s="14">
        <f t="shared" si="5"/>
        <v>0</v>
      </c>
      <c r="L107" s="27">
        <f>IF('Pegar ML'!AB103=" ",'Pegar ML'!AB102,'Pegar ML'!AB103)</f>
        <v>0</v>
      </c>
      <c r="M107" s="27" t="str">
        <f>IF('Pegar ML'!AC103=" ",RIGHT('Pegar ML'!AC102,8),RIGHT('Pegar ML'!AC103,8))</f>
        <v/>
      </c>
      <c r="N107" s="27" t="s">
        <v>80</v>
      </c>
      <c r="O107" s="27">
        <f t="shared" si="3"/>
        <v>0</v>
      </c>
      <c r="P107" s="27" t="s">
        <v>80</v>
      </c>
      <c r="Q107" s="55">
        <f>IF('Pegar ML'!AD103=" ",'Pegar ML'!AD102,'Pegar ML'!AD103)</f>
        <v>0</v>
      </c>
      <c r="R107" s="27" t="s">
        <v>80</v>
      </c>
      <c r="S107" s="27" t="s">
        <v>80</v>
      </c>
      <c r="T107" s="27" t="s">
        <v>80</v>
      </c>
      <c r="U107" s="55">
        <f>IF('Pegar ML'!AI103=" ",'Pegar ML'!AI102,'Pegar ML'!AI103)</f>
        <v>0</v>
      </c>
      <c r="V107" s="55">
        <f>IF('Pegar ML'!AK103=" ",'Pegar ML'!AK102,'Pegar ML'!AK103)</f>
        <v>0</v>
      </c>
      <c r="W107" s="55">
        <f>IF('Pegar ML'!AJ103=" ",'Pegar ML'!AJ102,'Pegar ML'!AJ103)</f>
        <v>0</v>
      </c>
      <c r="X107" s="55">
        <f>IF('Pegar ML'!AL103=" ",'Pegar ML'!AL102,'Pegar ML'!AL103)</f>
        <v>0</v>
      </c>
      <c r="Y107" s="27"/>
      <c r="Z107" s="27"/>
      <c r="AA107" s="27"/>
      <c r="AB107" s="27"/>
      <c r="AC107" s="27"/>
      <c r="AD107" s="27"/>
      <c r="AF107" s="8"/>
      <c r="AG107" s="27"/>
      <c r="AH107" s="14">
        <f>+'Pegar ML'!Y103</f>
        <v>0</v>
      </c>
      <c r="AI107" s="13">
        <f t="shared" si="4"/>
        <v>1</v>
      </c>
      <c r="AJ107" s="7">
        <f>+'Pegar ML'!T103</f>
        <v>0</v>
      </c>
      <c r="AK107" s="27"/>
      <c r="AL107" s="27"/>
      <c r="AM107" s="27"/>
      <c r="AN107" s="27"/>
      <c r="AO107" s="27"/>
      <c r="AP107" s="27"/>
      <c r="AQ107" s="27"/>
      <c r="AR107" s="27"/>
      <c r="AS107" s="27">
        <v>17</v>
      </c>
    </row>
    <row r="108" spans="1:45" ht="15" customHeight="1" x14ac:dyDescent="0.25">
      <c r="A108" s="27">
        <f>IF('Pegar ML'!C103="Paquete de 2 productos",'Pegar ML'!A103,IF('Pegar ML'!C102="Paquete de 2 productos",'Pegar ML'!A102,'Pegar ML'!A104))</f>
        <v>0</v>
      </c>
      <c r="B108" s="27"/>
      <c r="C108" s="30" t="e">
        <f>IF(AjusteFecha!I104=0,"",AjusteFecha!I104)</f>
        <v>#N/A</v>
      </c>
      <c r="D108" s="27"/>
      <c r="E108" s="27"/>
      <c r="F108" s="27" t="str">
        <f>IF('Pegar ML'!C104="","",'Pegar ML'!C104)</f>
        <v/>
      </c>
      <c r="G108" s="27" t="str">
        <f>IF('Pegar ML'!G99="ARS","PS","PS")</f>
        <v>PS</v>
      </c>
      <c r="H108" s="14">
        <f>IF('Pegar ML'!C103="Paquete de 2 productos",IF('Pegar ML'!H103="",0,'Pegar ML'!H103),IF('Pegar ML'!H104="",0,'Pegar ML'!H104))</f>
        <v>0</v>
      </c>
      <c r="I108" s="14">
        <f>IF('Pegar ML'!C103="Paquete de 2 productos",IF('Pegar ML'!O103="",0,'Pegar ML'!O103),IF('Pegar ML'!O104="",0,'Pegar ML'!O104))</f>
        <v>0</v>
      </c>
      <c r="J108" s="14">
        <f>IF('Pegar ML'!C103="Paquete de 2 productos",IF('Pegar ML'!O103="",0,'Pegar ML'!O103),IF('Pegar ML'!O104="",0,'Pegar ML'!O104))</f>
        <v>0</v>
      </c>
      <c r="K108" s="14">
        <f t="shared" si="5"/>
        <v>0</v>
      </c>
      <c r="L108" s="27">
        <f>IF('Pegar ML'!AB104=" ",'Pegar ML'!AB103,'Pegar ML'!AB104)</f>
        <v>0</v>
      </c>
      <c r="M108" s="27" t="str">
        <f>IF('Pegar ML'!AC104=" ",RIGHT('Pegar ML'!AC103,8),RIGHT('Pegar ML'!AC104,8))</f>
        <v/>
      </c>
      <c r="N108" s="27" t="s">
        <v>80</v>
      </c>
      <c r="O108" s="27">
        <f t="shared" si="3"/>
        <v>0</v>
      </c>
      <c r="P108" s="27" t="s">
        <v>80</v>
      </c>
      <c r="Q108" s="55">
        <f>IF('Pegar ML'!AD104=" ",'Pegar ML'!AD103,'Pegar ML'!AD104)</f>
        <v>0</v>
      </c>
      <c r="R108" s="27" t="s">
        <v>80</v>
      </c>
      <c r="S108" s="27" t="s">
        <v>80</v>
      </c>
      <c r="T108" s="27" t="s">
        <v>80</v>
      </c>
      <c r="U108" s="55">
        <f>IF('Pegar ML'!AI104=" ",'Pegar ML'!AI103,'Pegar ML'!AI104)</f>
        <v>0</v>
      </c>
      <c r="V108" s="55">
        <f>IF('Pegar ML'!AK104=" ",'Pegar ML'!AK103,'Pegar ML'!AK104)</f>
        <v>0</v>
      </c>
      <c r="W108" s="55">
        <f>IF('Pegar ML'!AJ104=" ",'Pegar ML'!AJ103,'Pegar ML'!AJ104)</f>
        <v>0</v>
      </c>
      <c r="X108" s="55">
        <f>IF('Pegar ML'!AL104=" ",'Pegar ML'!AL103,'Pegar ML'!AL104)</f>
        <v>0</v>
      </c>
      <c r="Y108" s="27"/>
      <c r="Z108" s="27"/>
      <c r="AA108" s="27"/>
      <c r="AB108" s="27"/>
      <c r="AC108" s="27"/>
      <c r="AD108" s="27"/>
      <c r="AF108" s="8"/>
      <c r="AG108" s="27"/>
      <c r="AH108" s="14">
        <f>+'Pegar ML'!Y104</f>
        <v>0</v>
      </c>
      <c r="AI108" s="13">
        <f t="shared" si="4"/>
        <v>1</v>
      </c>
      <c r="AJ108" s="7">
        <f>+'Pegar ML'!T104</f>
        <v>0</v>
      </c>
      <c r="AK108" s="27"/>
      <c r="AL108" s="27"/>
      <c r="AM108" s="27"/>
      <c r="AN108" s="27"/>
      <c r="AO108" s="27"/>
      <c r="AP108" s="27"/>
      <c r="AQ108" s="27"/>
      <c r="AR108" s="27"/>
      <c r="AS108" s="27">
        <v>17</v>
      </c>
    </row>
    <row r="109" spans="1:45" x14ac:dyDescent="0.25">
      <c r="A109" s="27">
        <f>IF('Pegar ML'!C104="Paquete de 2 productos",'Pegar ML'!A104,IF('Pegar ML'!C103="Paquete de 2 productos",'Pegar ML'!A103,'Pegar ML'!A105))</f>
        <v>0</v>
      </c>
      <c r="B109" s="27"/>
      <c r="C109" s="30" t="e">
        <f>IF(AjusteFecha!I105=0,"",AjusteFecha!I105)</f>
        <v>#N/A</v>
      </c>
      <c r="D109" s="27"/>
      <c r="E109" s="27"/>
      <c r="F109" s="27" t="str">
        <f>IF('Pegar ML'!C105="","",'Pegar ML'!C105)</f>
        <v/>
      </c>
      <c r="G109" s="27" t="str">
        <f>IF('Pegar ML'!G100="ARS","PS","PS")</f>
        <v>PS</v>
      </c>
      <c r="H109" s="14">
        <f>IF('Pegar ML'!C104="Paquete de 2 productos",IF('Pegar ML'!H104="",0,'Pegar ML'!H104),IF('Pegar ML'!H105="",0,'Pegar ML'!H105))</f>
        <v>0</v>
      </c>
      <c r="I109" s="14">
        <f>IF('Pegar ML'!C104="Paquete de 2 productos",IF('Pegar ML'!O104="",0,'Pegar ML'!O104),IF('Pegar ML'!O105="",0,'Pegar ML'!O105))</f>
        <v>0</v>
      </c>
      <c r="J109" s="14">
        <f>IF('Pegar ML'!C104="Paquete de 2 productos",IF('Pegar ML'!O104="",0,'Pegar ML'!O104),IF('Pegar ML'!O105="",0,'Pegar ML'!O105))</f>
        <v>0</v>
      </c>
      <c r="K109" s="14">
        <f t="shared" si="5"/>
        <v>0</v>
      </c>
      <c r="L109" s="27">
        <f>IF('Pegar ML'!AB105=" ",'Pegar ML'!AB104,'Pegar ML'!AB105)</f>
        <v>0</v>
      </c>
      <c r="M109" s="27" t="str">
        <f>IF('Pegar ML'!AC105=" ",RIGHT('Pegar ML'!AC104,8),RIGHT('Pegar ML'!AC105,8))</f>
        <v/>
      </c>
      <c r="N109" s="27" t="s">
        <v>80</v>
      </c>
      <c r="O109" s="27">
        <f t="shared" si="3"/>
        <v>0</v>
      </c>
      <c r="P109" s="27" t="s">
        <v>80</v>
      </c>
      <c r="Q109" s="55">
        <f>IF('Pegar ML'!AD105=" ",'Pegar ML'!AD104,'Pegar ML'!AD105)</f>
        <v>0</v>
      </c>
      <c r="R109" s="27" t="s">
        <v>80</v>
      </c>
      <c r="S109" s="27" t="s">
        <v>80</v>
      </c>
      <c r="T109" s="27" t="s">
        <v>80</v>
      </c>
      <c r="U109" s="55">
        <f>IF('Pegar ML'!AI105=" ",'Pegar ML'!AI104,'Pegar ML'!AI105)</f>
        <v>0</v>
      </c>
      <c r="V109" s="55">
        <f>IF('Pegar ML'!AK105=" ",'Pegar ML'!AK104,'Pegar ML'!AK105)</f>
        <v>0</v>
      </c>
      <c r="W109" s="55">
        <f>IF('Pegar ML'!AJ105=" ",'Pegar ML'!AJ104,'Pegar ML'!AJ105)</f>
        <v>0</v>
      </c>
      <c r="X109" s="55">
        <f>IF('Pegar ML'!AL105=" ",'Pegar ML'!AL104,'Pegar ML'!AL105)</f>
        <v>0</v>
      </c>
      <c r="Y109" s="27"/>
      <c r="Z109" s="27"/>
      <c r="AA109" s="27"/>
      <c r="AB109" s="27"/>
      <c r="AC109" s="27"/>
      <c r="AD109" s="27"/>
      <c r="AF109" s="8"/>
      <c r="AG109" s="27"/>
      <c r="AH109" s="14">
        <f>+'Pegar ML'!Y105</f>
        <v>0</v>
      </c>
      <c r="AI109" s="13">
        <f t="shared" si="4"/>
        <v>1</v>
      </c>
      <c r="AJ109" s="7">
        <f>+'Pegar ML'!T105</f>
        <v>0</v>
      </c>
      <c r="AK109" s="27"/>
      <c r="AL109" s="27"/>
      <c r="AM109" s="27"/>
      <c r="AN109" s="27"/>
      <c r="AO109" s="27"/>
      <c r="AP109" s="27"/>
      <c r="AQ109" s="27"/>
      <c r="AR109" s="27"/>
      <c r="AS109" s="27">
        <v>17</v>
      </c>
    </row>
    <row r="110" spans="1:45" x14ac:dyDescent="0.25">
      <c r="A110" s="27">
        <f>IF('Pegar ML'!C105="Paquete de 2 productos",'Pegar ML'!A105,IF('Pegar ML'!C104="Paquete de 2 productos",'Pegar ML'!A104,'Pegar ML'!A106))</f>
        <v>0</v>
      </c>
      <c r="B110" s="27"/>
      <c r="C110" s="30" t="e">
        <f>IF(AjusteFecha!I106=0,"",AjusteFecha!I106)</f>
        <v>#N/A</v>
      </c>
      <c r="D110" s="27"/>
      <c r="E110" s="27"/>
      <c r="F110" s="27" t="str">
        <f>IF('Pegar ML'!C106="","",'Pegar ML'!C106)</f>
        <v/>
      </c>
      <c r="G110" s="27" t="str">
        <f>IF('Pegar ML'!G101="ARS","PS","PS")</f>
        <v>PS</v>
      </c>
      <c r="H110" s="14">
        <f>IF('Pegar ML'!C105="Paquete de 2 productos",IF('Pegar ML'!H105="",0,'Pegar ML'!H105),IF('Pegar ML'!H106="",0,'Pegar ML'!H106))</f>
        <v>0</v>
      </c>
      <c r="I110" s="14">
        <f>IF('Pegar ML'!C105="Paquete de 2 productos",IF('Pegar ML'!O105="",0,'Pegar ML'!O105),IF('Pegar ML'!O106="",0,'Pegar ML'!O106))</f>
        <v>0</v>
      </c>
      <c r="J110" s="14">
        <f>IF('Pegar ML'!C105="Paquete de 2 productos",IF('Pegar ML'!O105="",0,'Pegar ML'!O105),IF('Pegar ML'!O106="",0,'Pegar ML'!O106))</f>
        <v>0</v>
      </c>
      <c r="K110" s="14">
        <f t="shared" si="5"/>
        <v>0</v>
      </c>
      <c r="L110" s="27">
        <f>IF('Pegar ML'!AB106=" ",'Pegar ML'!AB105,'Pegar ML'!AB106)</f>
        <v>0</v>
      </c>
      <c r="M110" s="27" t="str">
        <f>IF('Pegar ML'!AC106=" ",RIGHT('Pegar ML'!AC105,8),RIGHT('Pegar ML'!AC106,8))</f>
        <v/>
      </c>
      <c r="N110" s="27" t="s">
        <v>80</v>
      </c>
      <c r="O110" s="27">
        <f t="shared" si="3"/>
        <v>0</v>
      </c>
      <c r="P110" s="27" t="s">
        <v>80</v>
      </c>
      <c r="Q110" s="55">
        <f>IF('Pegar ML'!AD106=" ",'Pegar ML'!AD105,'Pegar ML'!AD106)</f>
        <v>0</v>
      </c>
      <c r="R110" s="27" t="s">
        <v>80</v>
      </c>
      <c r="S110" s="27" t="s">
        <v>80</v>
      </c>
      <c r="T110" s="27" t="s">
        <v>80</v>
      </c>
      <c r="U110" s="55">
        <f>IF('Pegar ML'!AI106=" ",'Pegar ML'!AI105,'Pegar ML'!AI106)</f>
        <v>0</v>
      </c>
      <c r="V110" s="55">
        <f>IF('Pegar ML'!AK106=" ",'Pegar ML'!AK105,'Pegar ML'!AK106)</f>
        <v>0</v>
      </c>
      <c r="W110" s="55">
        <f>IF('Pegar ML'!AJ106=" ",'Pegar ML'!AJ105,'Pegar ML'!AJ106)</f>
        <v>0</v>
      </c>
      <c r="X110" s="55">
        <f>IF('Pegar ML'!AL106=" ",'Pegar ML'!AL105,'Pegar ML'!AL106)</f>
        <v>0</v>
      </c>
      <c r="Y110" s="27"/>
      <c r="Z110" s="27"/>
      <c r="AA110" s="27"/>
      <c r="AB110" s="27"/>
      <c r="AC110" s="27"/>
      <c r="AD110" s="27"/>
      <c r="AF110" s="8"/>
      <c r="AG110" s="27"/>
      <c r="AH110" s="14">
        <f>+'Pegar ML'!Y106</f>
        <v>0</v>
      </c>
      <c r="AI110" s="13">
        <f t="shared" si="4"/>
        <v>1</v>
      </c>
      <c r="AJ110" s="7">
        <f>+'Pegar ML'!T106</f>
        <v>0</v>
      </c>
      <c r="AK110" s="27"/>
      <c r="AL110" s="27"/>
      <c r="AM110" s="27"/>
      <c r="AN110" s="27"/>
      <c r="AO110" s="27"/>
      <c r="AP110" s="27"/>
      <c r="AQ110" s="27"/>
      <c r="AR110" s="27"/>
      <c r="AS110" s="27">
        <v>17</v>
      </c>
    </row>
    <row r="111" spans="1:45" x14ac:dyDescent="0.25">
      <c r="A111" s="27">
        <f>IF('Pegar ML'!C106="Paquete de 2 productos",'Pegar ML'!A106,IF('Pegar ML'!C105="Paquete de 2 productos",'Pegar ML'!A105,'Pegar ML'!A107))</f>
        <v>0</v>
      </c>
      <c r="B111" s="27"/>
      <c r="C111" s="30" t="e">
        <f>IF(AjusteFecha!I107=0,"",AjusteFecha!I107)</f>
        <v>#N/A</v>
      </c>
      <c r="D111" s="27"/>
      <c r="E111" s="27"/>
      <c r="F111" s="27" t="str">
        <f>IF('Pegar ML'!C107="","",'Pegar ML'!C107)</f>
        <v/>
      </c>
      <c r="G111" s="27" t="str">
        <f>IF('Pegar ML'!G102="ARS","PS","PS")</f>
        <v>PS</v>
      </c>
      <c r="H111" s="14">
        <f>IF('Pegar ML'!C106="Paquete de 2 productos",IF('Pegar ML'!H106="",0,'Pegar ML'!H106),IF('Pegar ML'!H107="",0,'Pegar ML'!H107))</f>
        <v>0</v>
      </c>
      <c r="I111" s="14">
        <f>IF('Pegar ML'!C106="Paquete de 2 productos",IF('Pegar ML'!O106="",0,'Pegar ML'!O106),IF('Pegar ML'!O107="",0,'Pegar ML'!O107))</f>
        <v>0</v>
      </c>
      <c r="J111" s="14">
        <f>IF('Pegar ML'!C106="Paquete de 2 productos",IF('Pegar ML'!O106="",0,'Pegar ML'!O106),IF('Pegar ML'!O107="",0,'Pegar ML'!O107))</f>
        <v>0</v>
      </c>
      <c r="K111" s="14">
        <f t="shared" si="5"/>
        <v>0</v>
      </c>
      <c r="L111" s="27">
        <f>IF('Pegar ML'!AB107=" ",'Pegar ML'!AB106,'Pegar ML'!AB107)</f>
        <v>0</v>
      </c>
      <c r="M111" s="27" t="str">
        <f>IF('Pegar ML'!AC107=" ",RIGHT('Pegar ML'!AC106,8),RIGHT('Pegar ML'!AC107,8))</f>
        <v/>
      </c>
      <c r="N111" s="27" t="s">
        <v>80</v>
      </c>
      <c r="O111" s="27">
        <f t="shared" si="3"/>
        <v>0</v>
      </c>
      <c r="P111" s="27" t="s">
        <v>80</v>
      </c>
      <c r="Q111" s="55">
        <f>IF('Pegar ML'!AD107=" ",'Pegar ML'!AD106,'Pegar ML'!AD107)</f>
        <v>0</v>
      </c>
      <c r="R111" s="27" t="s">
        <v>80</v>
      </c>
      <c r="S111" s="27" t="s">
        <v>80</v>
      </c>
      <c r="T111" s="27" t="s">
        <v>80</v>
      </c>
      <c r="U111" s="55">
        <f>IF('Pegar ML'!AI107=" ",'Pegar ML'!AI106,'Pegar ML'!AI107)</f>
        <v>0</v>
      </c>
      <c r="V111" s="55">
        <f>IF('Pegar ML'!AK107=" ",'Pegar ML'!AK106,'Pegar ML'!AK107)</f>
        <v>0</v>
      </c>
      <c r="W111" s="55">
        <f>IF('Pegar ML'!AJ107=" ",'Pegar ML'!AJ106,'Pegar ML'!AJ107)</f>
        <v>0</v>
      </c>
      <c r="X111" s="55">
        <f>IF('Pegar ML'!AL107=" ",'Pegar ML'!AL106,'Pegar ML'!AL107)</f>
        <v>0</v>
      </c>
      <c r="Y111" s="27"/>
      <c r="Z111" s="27"/>
      <c r="AA111" s="27"/>
      <c r="AB111" s="27"/>
      <c r="AC111" s="27"/>
      <c r="AD111" s="27"/>
      <c r="AF111" s="8"/>
      <c r="AG111" s="27"/>
      <c r="AH111" s="14">
        <f>+'Pegar ML'!Y107</f>
        <v>0</v>
      </c>
      <c r="AI111" s="13">
        <f t="shared" si="4"/>
        <v>1</v>
      </c>
      <c r="AJ111" s="7">
        <f>+'Pegar ML'!T107</f>
        <v>0</v>
      </c>
      <c r="AK111" s="27"/>
      <c r="AL111" s="27"/>
      <c r="AM111" s="27"/>
      <c r="AN111" s="27"/>
      <c r="AO111" s="27"/>
      <c r="AP111" s="27"/>
      <c r="AQ111" s="27"/>
      <c r="AR111" s="27"/>
      <c r="AS111" s="27">
        <v>17</v>
      </c>
    </row>
    <row r="112" spans="1:45" x14ac:dyDescent="0.25">
      <c r="A112" s="27">
        <f>IF('Pegar ML'!C107="Paquete de 2 productos",'Pegar ML'!A107,IF('Pegar ML'!C106="Paquete de 2 productos",'Pegar ML'!A106,'Pegar ML'!A108))</f>
        <v>0</v>
      </c>
      <c r="B112" s="27"/>
      <c r="C112" s="30" t="e">
        <f>IF(AjusteFecha!I108=0,"",AjusteFecha!I108)</f>
        <v>#N/A</v>
      </c>
      <c r="D112" s="27"/>
      <c r="E112" s="27"/>
      <c r="F112" s="27" t="str">
        <f>IF('Pegar ML'!C108="","",'Pegar ML'!C108)</f>
        <v/>
      </c>
      <c r="G112" s="27" t="str">
        <f>IF('Pegar ML'!G103="ARS","PS","PS")</f>
        <v>PS</v>
      </c>
      <c r="H112" s="14">
        <f>IF('Pegar ML'!C107="Paquete de 2 productos",IF('Pegar ML'!H107="",0,'Pegar ML'!H107),IF('Pegar ML'!H108="",0,'Pegar ML'!H108))</f>
        <v>0</v>
      </c>
      <c r="I112" s="14">
        <f>IF('Pegar ML'!C107="Paquete de 2 productos",IF('Pegar ML'!O107="",0,'Pegar ML'!O107),IF('Pegar ML'!O108="",0,'Pegar ML'!O108))</f>
        <v>0</v>
      </c>
      <c r="J112" s="14">
        <f>IF('Pegar ML'!C107="Paquete de 2 productos",IF('Pegar ML'!O107="",0,'Pegar ML'!O107),IF('Pegar ML'!O108="",0,'Pegar ML'!O108))</f>
        <v>0</v>
      </c>
      <c r="K112" s="14">
        <f t="shared" si="5"/>
        <v>0</v>
      </c>
      <c r="L112" s="27">
        <f>IF('Pegar ML'!AB108=" ",'Pegar ML'!AB107,'Pegar ML'!AB108)</f>
        <v>0</v>
      </c>
      <c r="M112" s="27" t="str">
        <f>IF('Pegar ML'!AC108=" ",RIGHT('Pegar ML'!AC107,8),RIGHT('Pegar ML'!AC108,8))</f>
        <v/>
      </c>
      <c r="N112" s="27" t="s">
        <v>80</v>
      </c>
      <c r="O112" s="27">
        <f t="shared" si="3"/>
        <v>0</v>
      </c>
      <c r="P112" s="27" t="s">
        <v>80</v>
      </c>
      <c r="Q112" s="55">
        <f>IF('Pegar ML'!AD108=" ",'Pegar ML'!AD107,'Pegar ML'!AD108)</f>
        <v>0</v>
      </c>
      <c r="R112" s="27" t="s">
        <v>80</v>
      </c>
      <c r="S112" s="27" t="s">
        <v>80</v>
      </c>
      <c r="T112" s="27" t="s">
        <v>80</v>
      </c>
      <c r="U112" s="55">
        <f>IF('Pegar ML'!AI108=" ",'Pegar ML'!AI107,'Pegar ML'!AI108)</f>
        <v>0</v>
      </c>
      <c r="V112" s="55">
        <f>IF('Pegar ML'!AK108=" ",'Pegar ML'!AK107,'Pegar ML'!AK108)</f>
        <v>0</v>
      </c>
      <c r="W112" s="55">
        <f>IF('Pegar ML'!AJ108=" ",'Pegar ML'!AJ107,'Pegar ML'!AJ108)</f>
        <v>0</v>
      </c>
      <c r="X112" s="55">
        <f>IF('Pegar ML'!AL108=" ",'Pegar ML'!AL107,'Pegar ML'!AL108)</f>
        <v>0</v>
      </c>
      <c r="Y112" s="27"/>
      <c r="Z112" s="27"/>
      <c r="AA112" s="27"/>
      <c r="AB112" s="27"/>
      <c r="AC112" s="27"/>
      <c r="AD112" s="27"/>
      <c r="AF112" s="8"/>
      <c r="AG112" s="27"/>
      <c r="AH112" s="14">
        <f>+'Pegar ML'!Y108</f>
        <v>0</v>
      </c>
      <c r="AI112" s="13">
        <f t="shared" si="4"/>
        <v>1</v>
      </c>
      <c r="AJ112" s="7">
        <f>+'Pegar ML'!T108</f>
        <v>0</v>
      </c>
      <c r="AK112" s="27"/>
      <c r="AL112" s="27"/>
      <c r="AM112" s="27"/>
      <c r="AN112" s="27"/>
      <c r="AO112" s="27"/>
      <c r="AP112" s="27"/>
      <c r="AQ112" s="27"/>
      <c r="AR112" s="27"/>
      <c r="AS112" s="27">
        <v>17</v>
      </c>
    </row>
    <row r="113" spans="1:45" x14ac:dyDescent="0.25">
      <c r="A113" s="27">
        <f>IF('Pegar ML'!C108="Paquete de 2 productos",'Pegar ML'!A108,IF('Pegar ML'!C107="Paquete de 2 productos",'Pegar ML'!A107,'Pegar ML'!A109))</f>
        <v>0</v>
      </c>
      <c r="B113" s="27"/>
      <c r="C113" s="30" t="e">
        <f>IF(AjusteFecha!I109=0,"",AjusteFecha!I109)</f>
        <v>#N/A</v>
      </c>
      <c r="D113" s="27"/>
      <c r="E113" s="27"/>
      <c r="F113" s="27" t="str">
        <f>IF('Pegar ML'!C109="","",'Pegar ML'!C109)</f>
        <v/>
      </c>
      <c r="G113" s="27" t="str">
        <f>IF('Pegar ML'!G104="ARS","PS","PS")</f>
        <v>PS</v>
      </c>
      <c r="H113" s="14">
        <f>IF('Pegar ML'!C108="Paquete de 2 productos",IF('Pegar ML'!H108="",0,'Pegar ML'!H108),IF('Pegar ML'!H109="",0,'Pegar ML'!H109))</f>
        <v>0</v>
      </c>
      <c r="I113" s="14">
        <f>IF('Pegar ML'!C108="Paquete de 2 productos",IF('Pegar ML'!O108="",0,'Pegar ML'!O108),IF('Pegar ML'!O109="",0,'Pegar ML'!O109))</f>
        <v>0</v>
      </c>
      <c r="J113" s="14">
        <f>IF('Pegar ML'!C108="Paquete de 2 productos",IF('Pegar ML'!O108="",0,'Pegar ML'!O108),IF('Pegar ML'!O109="",0,'Pegar ML'!O109))</f>
        <v>0</v>
      </c>
      <c r="K113" s="14">
        <f t="shared" si="5"/>
        <v>0</v>
      </c>
      <c r="L113" s="27">
        <f>IF('Pegar ML'!AB109=" ",'Pegar ML'!AB108,'Pegar ML'!AB109)</f>
        <v>0</v>
      </c>
      <c r="M113" s="27" t="str">
        <f>IF('Pegar ML'!AC109=" ",RIGHT('Pegar ML'!AC108,8),RIGHT('Pegar ML'!AC109,8))</f>
        <v/>
      </c>
      <c r="N113" s="27" t="s">
        <v>80</v>
      </c>
      <c r="O113" s="27">
        <f t="shared" si="3"/>
        <v>0</v>
      </c>
      <c r="P113" s="27" t="s">
        <v>80</v>
      </c>
      <c r="Q113" s="55">
        <f>IF('Pegar ML'!AD109=" ",'Pegar ML'!AD108,'Pegar ML'!AD109)</f>
        <v>0</v>
      </c>
      <c r="R113" s="27" t="s">
        <v>80</v>
      </c>
      <c r="S113" s="27" t="s">
        <v>80</v>
      </c>
      <c r="T113" s="27" t="s">
        <v>80</v>
      </c>
      <c r="U113" s="55">
        <f>IF('Pegar ML'!AI109=" ",'Pegar ML'!AI108,'Pegar ML'!AI109)</f>
        <v>0</v>
      </c>
      <c r="V113" s="55">
        <f>IF('Pegar ML'!AK109=" ",'Pegar ML'!AK108,'Pegar ML'!AK109)</f>
        <v>0</v>
      </c>
      <c r="W113" s="55">
        <f>IF('Pegar ML'!AJ109=" ",'Pegar ML'!AJ108,'Pegar ML'!AJ109)</f>
        <v>0</v>
      </c>
      <c r="X113" s="55">
        <f>IF('Pegar ML'!AL109=" ",'Pegar ML'!AL108,'Pegar ML'!AL109)</f>
        <v>0</v>
      </c>
      <c r="Y113" s="27"/>
      <c r="Z113" s="27"/>
      <c r="AA113" s="27"/>
      <c r="AB113" s="27"/>
      <c r="AC113" s="27"/>
      <c r="AD113" s="27"/>
      <c r="AF113" s="8"/>
      <c r="AG113" s="27"/>
      <c r="AH113" s="14">
        <f>+'Pegar ML'!Y109</f>
        <v>0</v>
      </c>
      <c r="AI113" s="13">
        <f t="shared" si="4"/>
        <v>1</v>
      </c>
      <c r="AJ113" s="7">
        <f>+'Pegar ML'!T109</f>
        <v>0</v>
      </c>
      <c r="AK113" s="27"/>
      <c r="AL113" s="27"/>
      <c r="AM113" s="27"/>
      <c r="AN113" s="27"/>
      <c r="AO113" s="27"/>
      <c r="AP113" s="27"/>
      <c r="AQ113" s="27"/>
      <c r="AR113" s="27"/>
      <c r="AS113" s="27">
        <v>17</v>
      </c>
    </row>
    <row r="114" spans="1:45" x14ac:dyDescent="0.25">
      <c r="A114" s="27">
        <f>IF('Pegar ML'!C109="Paquete de 2 productos",'Pegar ML'!A109,IF('Pegar ML'!C108="Paquete de 2 productos",'Pegar ML'!A108,'Pegar ML'!A110))</f>
        <v>0</v>
      </c>
      <c r="B114" s="27"/>
      <c r="C114" s="30" t="e">
        <f>IF(AjusteFecha!I110=0,"",AjusteFecha!I110)</f>
        <v>#N/A</v>
      </c>
      <c r="D114" s="27"/>
      <c r="E114" s="27"/>
      <c r="F114" s="27" t="str">
        <f>IF('Pegar ML'!C110="","",'Pegar ML'!C110)</f>
        <v/>
      </c>
      <c r="G114" s="27" t="str">
        <f>IF('Pegar ML'!G105="ARS","PS","PS")</f>
        <v>PS</v>
      </c>
      <c r="H114" s="14">
        <f>IF('Pegar ML'!C109="Paquete de 2 productos",IF('Pegar ML'!H109="",0,'Pegar ML'!H109),IF('Pegar ML'!H110="",0,'Pegar ML'!H110))</f>
        <v>0</v>
      </c>
      <c r="I114" s="14">
        <f>IF('Pegar ML'!C109="Paquete de 2 productos",IF('Pegar ML'!O109="",0,'Pegar ML'!O109),IF('Pegar ML'!O110="",0,'Pegar ML'!O110))</f>
        <v>0</v>
      </c>
      <c r="J114" s="14">
        <f>IF('Pegar ML'!C109="Paquete de 2 productos",IF('Pegar ML'!O109="",0,'Pegar ML'!O109),IF('Pegar ML'!O110="",0,'Pegar ML'!O110))</f>
        <v>0</v>
      </c>
      <c r="K114" s="14">
        <f t="shared" si="5"/>
        <v>0</v>
      </c>
      <c r="L114" s="27">
        <f>IF('Pegar ML'!AB110=" ",'Pegar ML'!AB109,'Pegar ML'!AB110)</f>
        <v>0</v>
      </c>
      <c r="M114" s="27" t="str">
        <f>IF('Pegar ML'!AC110=" ",RIGHT('Pegar ML'!AC109,8),RIGHT('Pegar ML'!AC110,8))</f>
        <v/>
      </c>
      <c r="N114" s="27" t="s">
        <v>80</v>
      </c>
      <c r="O114" s="27">
        <f t="shared" si="3"/>
        <v>0</v>
      </c>
      <c r="P114" s="27" t="s">
        <v>80</v>
      </c>
      <c r="Q114" s="55">
        <f>IF('Pegar ML'!AD110=" ",'Pegar ML'!AD109,'Pegar ML'!AD110)</f>
        <v>0</v>
      </c>
      <c r="R114" s="27" t="s">
        <v>80</v>
      </c>
      <c r="S114" s="27" t="s">
        <v>80</v>
      </c>
      <c r="T114" s="27" t="s">
        <v>80</v>
      </c>
      <c r="U114" s="55">
        <f>IF('Pegar ML'!AI110=" ",'Pegar ML'!AI109,'Pegar ML'!AI110)</f>
        <v>0</v>
      </c>
      <c r="V114" s="55">
        <f>IF('Pegar ML'!AK110=" ",'Pegar ML'!AK109,'Pegar ML'!AK110)</f>
        <v>0</v>
      </c>
      <c r="W114" s="55">
        <f>IF('Pegar ML'!AJ110=" ",'Pegar ML'!AJ109,'Pegar ML'!AJ110)</f>
        <v>0</v>
      </c>
      <c r="X114" s="55">
        <f>IF('Pegar ML'!AL110=" ",'Pegar ML'!AL109,'Pegar ML'!AL110)</f>
        <v>0</v>
      </c>
      <c r="Y114" s="27"/>
      <c r="Z114" s="27"/>
      <c r="AA114" s="27"/>
      <c r="AB114" s="27"/>
      <c r="AC114" s="27"/>
      <c r="AD114" s="27"/>
      <c r="AF114" s="8"/>
      <c r="AG114" s="27"/>
      <c r="AH114" s="14">
        <f>+'Pegar ML'!Y110</f>
        <v>0</v>
      </c>
      <c r="AI114" s="13">
        <f t="shared" si="4"/>
        <v>1</v>
      </c>
      <c r="AJ114" s="7">
        <f>+'Pegar ML'!T110</f>
        <v>0</v>
      </c>
      <c r="AK114" s="27"/>
      <c r="AL114" s="27"/>
      <c r="AM114" s="27"/>
      <c r="AN114" s="27"/>
      <c r="AO114" s="27"/>
      <c r="AP114" s="27"/>
      <c r="AQ114" s="27"/>
      <c r="AR114" s="27"/>
      <c r="AS114" s="27">
        <v>17</v>
      </c>
    </row>
    <row r="115" spans="1:45" x14ac:dyDescent="0.25">
      <c r="A115" s="27">
        <f>IF('Pegar ML'!C110="Paquete de 2 productos",'Pegar ML'!A110,IF('Pegar ML'!C109="Paquete de 2 productos",'Pegar ML'!A109,'Pegar ML'!A111))</f>
        <v>0</v>
      </c>
      <c r="B115" s="27"/>
      <c r="C115" s="30" t="e">
        <f>IF(AjusteFecha!I111=0,"",AjusteFecha!I111)</f>
        <v>#N/A</v>
      </c>
      <c r="D115" s="27"/>
      <c r="E115" s="27"/>
      <c r="F115" s="27" t="str">
        <f>IF('Pegar ML'!C111="","",'Pegar ML'!C111)</f>
        <v/>
      </c>
      <c r="G115" s="27" t="str">
        <f>IF('Pegar ML'!G106="ARS","PS","PS")</f>
        <v>PS</v>
      </c>
      <c r="H115" s="14">
        <f>IF('Pegar ML'!C110="Paquete de 2 productos",IF('Pegar ML'!H110="",0,'Pegar ML'!H110),IF('Pegar ML'!H111="",0,'Pegar ML'!H111))</f>
        <v>0</v>
      </c>
      <c r="I115" s="14">
        <f>IF('Pegar ML'!C110="Paquete de 2 productos",IF('Pegar ML'!O110="",0,'Pegar ML'!O110),IF('Pegar ML'!O111="",0,'Pegar ML'!O111))</f>
        <v>0</v>
      </c>
      <c r="J115" s="14">
        <f>IF('Pegar ML'!C110="Paquete de 2 productos",IF('Pegar ML'!O110="",0,'Pegar ML'!O110),IF('Pegar ML'!O111="",0,'Pegar ML'!O111))</f>
        <v>0</v>
      </c>
      <c r="K115" s="14">
        <f t="shared" si="5"/>
        <v>0</v>
      </c>
      <c r="L115" s="27">
        <f>IF('Pegar ML'!AB111=" ",'Pegar ML'!AB110,'Pegar ML'!AB111)</f>
        <v>0</v>
      </c>
      <c r="M115" s="27" t="str">
        <f>IF('Pegar ML'!AC111=" ",RIGHT('Pegar ML'!AC110,8),RIGHT('Pegar ML'!AC111,8))</f>
        <v/>
      </c>
      <c r="N115" s="27" t="s">
        <v>80</v>
      </c>
      <c r="O115" s="27">
        <f t="shared" si="3"/>
        <v>0</v>
      </c>
      <c r="P115" s="27" t="s">
        <v>80</v>
      </c>
      <c r="Q115" s="55">
        <f>IF('Pegar ML'!AD111=" ",'Pegar ML'!AD110,'Pegar ML'!AD111)</f>
        <v>0</v>
      </c>
      <c r="R115" s="27" t="s">
        <v>80</v>
      </c>
      <c r="S115" s="27" t="s">
        <v>80</v>
      </c>
      <c r="T115" s="27" t="s">
        <v>80</v>
      </c>
      <c r="U115" s="55">
        <f>IF('Pegar ML'!AI111=" ",'Pegar ML'!AI110,'Pegar ML'!AI111)</f>
        <v>0</v>
      </c>
      <c r="V115" s="55">
        <f>IF('Pegar ML'!AK111=" ",'Pegar ML'!AK110,'Pegar ML'!AK111)</f>
        <v>0</v>
      </c>
      <c r="W115" s="55">
        <f>IF('Pegar ML'!AJ111=" ",'Pegar ML'!AJ110,'Pegar ML'!AJ111)</f>
        <v>0</v>
      </c>
      <c r="X115" s="55">
        <f>IF('Pegar ML'!AL111=" ",'Pegar ML'!AL110,'Pegar ML'!AL111)</f>
        <v>0</v>
      </c>
      <c r="Y115" s="27"/>
      <c r="Z115" s="27"/>
      <c r="AA115" s="27"/>
      <c r="AB115" s="27"/>
      <c r="AC115" s="27"/>
      <c r="AD115" s="27"/>
      <c r="AF115" s="8"/>
      <c r="AG115" s="27"/>
      <c r="AH115" s="14">
        <f>+'Pegar ML'!Y111</f>
        <v>0</v>
      </c>
      <c r="AI115" s="13">
        <f t="shared" si="4"/>
        <v>1</v>
      </c>
      <c r="AJ115" s="7">
        <f>+'Pegar ML'!T111</f>
        <v>0</v>
      </c>
      <c r="AK115" s="27"/>
      <c r="AL115" s="27"/>
      <c r="AM115" s="27"/>
      <c r="AN115" s="27"/>
      <c r="AO115" s="27"/>
      <c r="AP115" s="27"/>
      <c r="AQ115" s="27"/>
      <c r="AR115" s="27"/>
      <c r="AS115" s="27">
        <v>17</v>
      </c>
    </row>
    <row r="116" spans="1:45" x14ac:dyDescent="0.25">
      <c r="A116" s="27">
        <f>IF('Pegar ML'!C111="Paquete de 2 productos",'Pegar ML'!A111,IF('Pegar ML'!C110="Paquete de 2 productos",'Pegar ML'!A110,'Pegar ML'!A112))</f>
        <v>0</v>
      </c>
      <c r="B116" s="27"/>
      <c r="C116" s="30" t="e">
        <f>IF(AjusteFecha!I112=0,"",AjusteFecha!I112)</f>
        <v>#N/A</v>
      </c>
      <c r="D116" s="27"/>
      <c r="E116" s="27"/>
      <c r="F116" s="27" t="str">
        <f>IF('Pegar ML'!C112="","",'Pegar ML'!C112)</f>
        <v/>
      </c>
      <c r="G116" s="27" t="str">
        <f>IF('Pegar ML'!G107="ARS","PS","PS")</f>
        <v>PS</v>
      </c>
      <c r="H116" s="14">
        <f>IF('Pegar ML'!C111="Paquete de 2 productos",IF('Pegar ML'!H111="",0,'Pegar ML'!H111),IF('Pegar ML'!H112="",0,'Pegar ML'!H112))</f>
        <v>0</v>
      </c>
      <c r="I116" s="14">
        <f>IF('Pegar ML'!C111="Paquete de 2 productos",IF('Pegar ML'!O111="",0,'Pegar ML'!O111),IF('Pegar ML'!O112="",0,'Pegar ML'!O112))</f>
        <v>0</v>
      </c>
      <c r="J116" s="14">
        <f>IF('Pegar ML'!C111="Paquete de 2 productos",IF('Pegar ML'!O111="",0,'Pegar ML'!O111),IF('Pegar ML'!O112="",0,'Pegar ML'!O112))</f>
        <v>0</v>
      </c>
      <c r="K116" s="14">
        <f t="shared" si="5"/>
        <v>0</v>
      </c>
      <c r="L116" s="27">
        <f>IF('Pegar ML'!AB112=" ",'Pegar ML'!AB111,'Pegar ML'!AB112)</f>
        <v>0</v>
      </c>
      <c r="M116" s="27" t="str">
        <f>IF('Pegar ML'!AC112=" ",RIGHT('Pegar ML'!AC111,8),RIGHT('Pegar ML'!AC112,8))</f>
        <v/>
      </c>
      <c r="N116" s="27" t="s">
        <v>80</v>
      </c>
      <c r="O116" s="27">
        <f t="shared" si="3"/>
        <v>0</v>
      </c>
      <c r="P116" s="27" t="s">
        <v>80</v>
      </c>
      <c r="Q116" s="55">
        <f>IF('Pegar ML'!AD112=" ",'Pegar ML'!AD111,'Pegar ML'!AD112)</f>
        <v>0</v>
      </c>
      <c r="R116" s="27" t="s">
        <v>80</v>
      </c>
      <c r="S116" s="27" t="s">
        <v>80</v>
      </c>
      <c r="T116" s="27" t="s">
        <v>80</v>
      </c>
      <c r="U116" s="55">
        <f>IF('Pegar ML'!AI112=" ",'Pegar ML'!AI111,'Pegar ML'!AI112)</f>
        <v>0</v>
      </c>
      <c r="V116" s="55">
        <f>IF('Pegar ML'!AK112=" ",'Pegar ML'!AK111,'Pegar ML'!AK112)</f>
        <v>0</v>
      </c>
      <c r="W116" s="55">
        <f>IF('Pegar ML'!AJ112=" ",'Pegar ML'!AJ111,'Pegar ML'!AJ112)</f>
        <v>0</v>
      </c>
      <c r="X116" s="55">
        <f>IF('Pegar ML'!AL112=" ",'Pegar ML'!AL111,'Pegar ML'!AL112)</f>
        <v>0</v>
      </c>
      <c r="Y116" s="27"/>
      <c r="Z116" s="27"/>
      <c r="AA116" s="27"/>
      <c r="AB116" s="27"/>
      <c r="AC116" s="27"/>
      <c r="AD116" s="27"/>
      <c r="AF116" s="8"/>
      <c r="AG116" s="27"/>
      <c r="AH116" s="14">
        <f>+'Pegar ML'!Y112</f>
        <v>0</v>
      </c>
      <c r="AI116" s="13">
        <f t="shared" si="4"/>
        <v>1</v>
      </c>
      <c r="AJ116" s="7">
        <f>+'Pegar ML'!T112</f>
        <v>0</v>
      </c>
      <c r="AK116" s="27"/>
      <c r="AL116" s="27"/>
      <c r="AM116" s="27"/>
      <c r="AN116" s="27"/>
      <c r="AO116" s="27"/>
      <c r="AP116" s="27"/>
      <c r="AQ116" s="27"/>
      <c r="AR116" s="27"/>
      <c r="AS116" s="27">
        <v>17</v>
      </c>
    </row>
    <row r="117" spans="1:45" x14ac:dyDescent="0.25">
      <c r="A117" s="27">
        <f>IF('Pegar ML'!C112="Paquete de 2 productos",'Pegar ML'!A112,IF('Pegar ML'!C111="Paquete de 2 productos",'Pegar ML'!A111,'Pegar ML'!A113))</f>
        <v>0</v>
      </c>
      <c r="B117" s="27"/>
      <c r="C117" s="30" t="e">
        <f>IF(AjusteFecha!I113=0,"",AjusteFecha!I113)</f>
        <v>#N/A</v>
      </c>
      <c r="D117" s="27"/>
      <c r="E117" s="27"/>
      <c r="F117" s="27" t="str">
        <f>IF('Pegar ML'!C113="","",'Pegar ML'!C113)</f>
        <v/>
      </c>
      <c r="G117" s="27" t="str">
        <f>IF('Pegar ML'!G108="ARS","PS","PS")</f>
        <v>PS</v>
      </c>
      <c r="H117" s="14">
        <f>IF('Pegar ML'!C112="Paquete de 2 productos",IF('Pegar ML'!H112="",0,'Pegar ML'!H112),IF('Pegar ML'!H113="",0,'Pegar ML'!H113))</f>
        <v>0</v>
      </c>
      <c r="I117" s="14">
        <f>IF('Pegar ML'!C112="Paquete de 2 productos",IF('Pegar ML'!O112="",0,'Pegar ML'!O112),IF('Pegar ML'!O113="",0,'Pegar ML'!O113))</f>
        <v>0</v>
      </c>
      <c r="J117" s="14">
        <f>IF('Pegar ML'!C112="Paquete de 2 productos",IF('Pegar ML'!O112="",0,'Pegar ML'!O112),IF('Pegar ML'!O113="",0,'Pegar ML'!O113))</f>
        <v>0</v>
      </c>
      <c r="K117" s="14">
        <f t="shared" si="5"/>
        <v>0</v>
      </c>
      <c r="L117" s="27">
        <f>IF('Pegar ML'!AB113=" ",'Pegar ML'!AB112,'Pegar ML'!AB113)</f>
        <v>0</v>
      </c>
      <c r="M117" s="27" t="str">
        <f>IF('Pegar ML'!AC113=" ",RIGHT('Pegar ML'!AC112,8),RIGHT('Pegar ML'!AC113,8))</f>
        <v/>
      </c>
      <c r="N117" s="27" t="s">
        <v>80</v>
      </c>
      <c r="O117" s="27">
        <f t="shared" si="3"/>
        <v>0</v>
      </c>
      <c r="P117" s="27" t="s">
        <v>80</v>
      </c>
      <c r="Q117" s="55">
        <f>IF('Pegar ML'!AD113=" ",'Pegar ML'!AD112,'Pegar ML'!AD113)</f>
        <v>0</v>
      </c>
      <c r="R117" s="27" t="s">
        <v>80</v>
      </c>
      <c r="S117" s="27" t="s">
        <v>80</v>
      </c>
      <c r="T117" s="27" t="s">
        <v>80</v>
      </c>
      <c r="U117" s="55">
        <f>IF('Pegar ML'!AI113=" ",'Pegar ML'!AI112,'Pegar ML'!AI113)</f>
        <v>0</v>
      </c>
      <c r="V117" s="55">
        <f>IF('Pegar ML'!AK113=" ",'Pegar ML'!AK112,'Pegar ML'!AK113)</f>
        <v>0</v>
      </c>
      <c r="W117" s="55">
        <f>IF('Pegar ML'!AJ113=" ",'Pegar ML'!AJ112,'Pegar ML'!AJ113)</f>
        <v>0</v>
      </c>
      <c r="X117" s="55">
        <f>IF('Pegar ML'!AL113=" ",'Pegar ML'!AL112,'Pegar ML'!AL113)</f>
        <v>0</v>
      </c>
      <c r="Y117" s="27"/>
      <c r="Z117" s="27"/>
      <c r="AA117" s="27"/>
      <c r="AB117" s="27"/>
      <c r="AC117" s="27"/>
      <c r="AD117" s="27"/>
      <c r="AF117" s="8"/>
      <c r="AG117" s="27"/>
      <c r="AH117" s="14">
        <f>+'Pegar ML'!Y113</f>
        <v>0</v>
      </c>
      <c r="AI117" s="13">
        <f t="shared" si="4"/>
        <v>1</v>
      </c>
      <c r="AJ117" s="7">
        <f>+'Pegar ML'!T113</f>
        <v>0</v>
      </c>
      <c r="AK117" s="27"/>
      <c r="AL117" s="27"/>
      <c r="AM117" s="27"/>
      <c r="AN117" s="27"/>
      <c r="AO117" s="27"/>
      <c r="AP117" s="27"/>
      <c r="AQ117" s="27"/>
      <c r="AR117" s="27"/>
      <c r="AS117" s="27">
        <v>17</v>
      </c>
    </row>
    <row r="118" spans="1:45" x14ac:dyDescent="0.25">
      <c r="A118" s="27">
        <f>IF('Pegar ML'!C113="Paquete de 2 productos",'Pegar ML'!A113,IF('Pegar ML'!C112="Paquete de 2 productos",'Pegar ML'!A112,'Pegar ML'!A114))</f>
        <v>0</v>
      </c>
      <c r="B118" s="27"/>
      <c r="C118" s="30" t="e">
        <f>IF(AjusteFecha!I114=0,"",AjusteFecha!I114)</f>
        <v>#N/A</v>
      </c>
      <c r="D118" s="27"/>
      <c r="E118" s="27"/>
      <c r="F118" s="27" t="str">
        <f>IF('Pegar ML'!C114="","",'Pegar ML'!C114)</f>
        <v/>
      </c>
      <c r="G118" s="27" t="str">
        <f>IF('Pegar ML'!G109="ARS","PS","PS")</f>
        <v>PS</v>
      </c>
      <c r="H118" s="14">
        <f>IF('Pegar ML'!C113="Paquete de 2 productos",IF('Pegar ML'!H113="",0,'Pegar ML'!H113),IF('Pegar ML'!H114="",0,'Pegar ML'!H114))</f>
        <v>0</v>
      </c>
      <c r="I118" s="14">
        <f>IF('Pegar ML'!C113="Paquete de 2 productos",IF('Pegar ML'!O113="",0,'Pegar ML'!O113),IF('Pegar ML'!O114="",0,'Pegar ML'!O114))</f>
        <v>0</v>
      </c>
      <c r="J118" s="14">
        <f>IF('Pegar ML'!C113="Paquete de 2 productos",IF('Pegar ML'!O113="",0,'Pegar ML'!O113),IF('Pegar ML'!O114="",0,'Pegar ML'!O114))</f>
        <v>0</v>
      </c>
      <c r="K118" s="14">
        <f t="shared" si="5"/>
        <v>0</v>
      </c>
      <c r="L118" s="27">
        <f>IF('Pegar ML'!AB114=" ",'Pegar ML'!AB113,'Pegar ML'!AB114)</f>
        <v>0</v>
      </c>
      <c r="M118" s="27" t="str">
        <f>IF('Pegar ML'!AC114=" ",RIGHT('Pegar ML'!AC113,8),RIGHT('Pegar ML'!AC114,8))</f>
        <v/>
      </c>
      <c r="N118" s="27" t="s">
        <v>80</v>
      </c>
      <c r="O118" s="27">
        <f t="shared" si="3"/>
        <v>0</v>
      </c>
      <c r="P118" s="27" t="s">
        <v>80</v>
      </c>
      <c r="Q118" s="55">
        <f>IF('Pegar ML'!AD114=" ",'Pegar ML'!AD113,'Pegar ML'!AD114)</f>
        <v>0</v>
      </c>
      <c r="R118" s="27" t="s">
        <v>80</v>
      </c>
      <c r="S118" s="27" t="s">
        <v>80</v>
      </c>
      <c r="T118" s="27" t="s">
        <v>80</v>
      </c>
      <c r="U118" s="55">
        <f>IF('Pegar ML'!AI114=" ",'Pegar ML'!AI113,'Pegar ML'!AI114)</f>
        <v>0</v>
      </c>
      <c r="V118" s="55">
        <f>IF('Pegar ML'!AK114=" ",'Pegar ML'!AK113,'Pegar ML'!AK114)</f>
        <v>0</v>
      </c>
      <c r="W118" s="55">
        <f>IF('Pegar ML'!AJ114=" ",'Pegar ML'!AJ113,'Pegar ML'!AJ114)</f>
        <v>0</v>
      </c>
      <c r="X118" s="55">
        <f>IF('Pegar ML'!AL114=" ",'Pegar ML'!AL113,'Pegar ML'!AL114)</f>
        <v>0</v>
      </c>
      <c r="Y118" s="27"/>
      <c r="Z118" s="27"/>
      <c r="AA118" s="27"/>
      <c r="AB118" s="27"/>
      <c r="AC118" s="27"/>
      <c r="AD118" s="27"/>
      <c r="AF118" s="8"/>
      <c r="AG118" s="27"/>
      <c r="AH118" s="14">
        <f>+'Pegar ML'!Y114</f>
        <v>0</v>
      </c>
      <c r="AI118" s="13">
        <f t="shared" si="4"/>
        <v>1</v>
      </c>
      <c r="AJ118" s="7">
        <f>+'Pegar ML'!T114</f>
        <v>0</v>
      </c>
      <c r="AK118" s="27"/>
      <c r="AL118" s="27"/>
      <c r="AM118" s="27"/>
      <c r="AN118" s="27"/>
      <c r="AO118" s="27"/>
      <c r="AP118" s="27"/>
      <c r="AQ118" s="27"/>
      <c r="AR118" s="27"/>
      <c r="AS118" s="27">
        <v>17</v>
      </c>
    </row>
    <row r="119" spans="1:45" x14ac:dyDescent="0.25">
      <c r="A119" s="27">
        <f>IF('Pegar ML'!C114="Paquete de 2 productos",'Pegar ML'!A114,IF('Pegar ML'!C113="Paquete de 2 productos",'Pegar ML'!A113,'Pegar ML'!A115))</f>
        <v>0</v>
      </c>
      <c r="B119" s="27"/>
      <c r="C119" s="30" t="e">
        <f>IF(AjusteFecha!I115=0,"",AjusteFecha!I115)</f>
        <v>#N/A</v>
      </c>
      <c r="D119" s="27"/>
      <c r="E119" s="27"/>
      <c r="F119" s="27" t="str">
        <f>IF('Pegar ML'!C115="","",'Pegar ML'!C115)</f>
        <v/>
      </c>
      <c r="G119" s="27" t="str">
        <f>IF('Pegar ML'!G110="ARS","PS","PS")</f>
        <v>PS</v>
      </c>
      <c r="H119" s="14">
        <f>IF('Pegar ML'!C114="Paquete de 2 productos",IF('Pegar ML'!H114="",0,'Pegar ML'!H114),IF('Pegar ML'!H115="",0,'Pegar ML'!H115))</f>
        <v>0</v>
      </c>
      <c r="I119" s="14">
        <f>IF('Pegar ML'!C114="Paquete de 2 productos",IF('Pegar ML'!O114="",0,'Pegar ML'!O114),IF('Pegar ML'!O115="",0,'Pegar ML'!O115))</f>
        <v>0</v>
      </c>
      <c r="J119" s="14">
        <f>IF('Pegar ML'!C114="Paquete de 2 productos",IF('Pegar ML'!O114="",0,'Pegar ML'!O114),IF('Pegar ML'!O115="",0,'Pegar ML'!O115))</f>
        <v>0</v>
      </c>
      <c r="K119" s="14">
        <f t="shared" si="5"/>
        <v>0</v>
      </c>
      <c r="L119" s="27">
        <f>IF('Pegar ML'!AB115=" ",'Pegar ML'!AB114,'Pegar ML'!AB115)</f>
        <v>0</v>
      </c>
      <c r="M119" s="27" t="str">
        <f>IF('Pegar ML'!AC115=" ",RIGHT('Pegar ML'!AC114,8),RIGHT('Pegar ML'!AC115,8))</f>
        <v/>
      </c>
      <c r="N119" s="27" t="s">
        <v>80</v>
      </c>
      <c r="O119" s="27">
        <f t="shared" si="3"/>
        <v>0</v>
      </c>
      <c r="P119" s="27" t="s">
        <v>80</v>
      </c>
      <c r="Q119" s="55">
        <f>IF('Pegar ML'!AD115=" ",'Pegar ML'!AD114,'Pegar ML'!AD115)</f>
        <v>0</v>
      </c>
      <c r="R119" s="27" t="s">
        <v>80</v>
      </c>
      <c r="S119" s="27" t="s">
        <v>80</v>
      </c>
      <c r="T119" s="27" t="s">
        <v>80</v>
      </c>
      <c r="U119" s="55">
        <f>IF('Pegar ML'!AI115=" ",'Pegar ML'!AI114,'Pegar ML'!AI115)</f>
        <v>0</v>
      </c>
      <c r="V119" s="55">
        <f>IF('Pegar ML'!AK115=" ",'Pegar ML'!AK114,'Pegar ML'!AK115)</f>
        <v>0</v>
      </c>
      <c r="W119" s="55">
        <f>IF('Pegar ML'!AJ115=" ",'Pegar ML'!AJ114,'Pegar ML'!AJ115)</f>
        <v>0</v>
      </c>
      <c r="X119" s="55">
        <f>IF('Pegar ML'!AL115=" ",'Pegar ML'!AL114,'Pegar ML'!AL115)</f>
        <v>0</v>
      </c>
      <c r="Y119" s="27"/>
      <c r="Z119" s="27"/>
      <c r="AA119" s="27"/>
      <c r="AB119" s="27"/>
      <c r="AC119" s="27"/>
      <c r="AD119" s="27"/>
      <c r="AF119" s="8"/>
      <c r="AG119" s="27"/>
      <c r="AH119" s="14">
        <f>+'Pegar ML'!Y115</f>
        <v>0</v>
      </c>
      <c r="AI119" s="13">
        <f t="shared" si="4"/>
        <v>1</v>
      </c>
      <c r="AJ119" s="7">
        <f>+'Pegar ML'!T115</f>
        <v>0</v>
      </c>
      <c r="AK119" s="27"/>
      <c r="AL119" s="27"/>
      <c r="AM119" s="27"/>
      <c r="AN119" s="27"/>
      <c r="AO119" s="27"/>
      <c r="AP119" s="27"/>
      <c r="AQ119" s="27"/>
      <c r="AR119" s="27"/>
      <c r="AS119" s="27">
        <v>17</v>
      </c>
    </row>
    <row r="120" spans="1:45" x14ac:dyDescent="0.25">
      <c r="A120" s="27">
        <f>IF('Pegar ML'!C115="Paquete de 2 productos",'Pegar ML'!A115,IF('Pegar ML'!C114="Paquete de 2 productos",'Pegar ML'!A114,'Pegar ML'!A116))</f>
        <v>0</v>
      </c>
      <c r="B120" s="27"/>
      <c r="C120" s="30" t="e">
        <f>IF(AjusteFecha!I116=0,"",AjusteFecha!I116)</f>
        <v>#N/A</v>
      </c>
      <c r="D120" s="27"/>
      <c r="E120" s="27"/>
      <c r="F120" s="27" t="str">
        <f>IF('Pegar ML'!C116="","",'Pegar ML'!C116)</f>
        <v/>
      </c>
      <c r="G120" s="27" t="str">
        <f>IF('Pegar ML'!G111="ARS","PS","PS")</f>
        <v>PS</v>
      </c>
      <c r="H120" s="14">
        <f>IF('Pegar ML'!C115="Paquete de 2 productos",IF('Pegar ML'!H115="",0,'Pegar ML'!H115),IF('Pegar ML'!H116="",0,'Pegar ML'!H116))</f>
        <v>0</v>
      </c>
      <c r="I120" s="14">
        <f>IF('Pegar ML'!C115="Paquete de 2 productos",IF('Pegar ML'!O115="",0,'Pegar ML'!O115),IF('Pegar ML'!O116="",0,'Pegar ML'!O116))</f>
        <v>0</v>
      </c>
      <c r="J120" s="14">
        <f>IF('Pegar ML'!C115="Paquete de 2 productos",IF('Pegar ML'!O115="",0,'Pegar ML'!O115),IF('Pegar ML'!O116="",0,'Pegar ML'!O116))</f>
        <v>0</v>
      </c>
      <c r="K120" s="14">
        <f t="shared" si="5"/>
        <v>0</v>
      </c>
      <c r="L120" s="27">
        <f>IF('Pegar ML'!AB116=" ",'Pegar ML'!AB115,'Pegar ML'!AB116)</f>
        <v>0</v>
      </c>
      <c r="M120" s="27" t="str">
        <f>IF('Pegar ML'!AC116=" ",RIGHT('Pegar ML'!AC115,8),RIGHT('Pegar ML'!AC116,8))</f>
        <v/>
      </c>
      <c r="N120" s="27" t="s">
        <v>80</v>
      </c>
      <c r="O120" s="27">
        <f t="shared" si="3"/>
        <v>0</v>
      </c>
      <c r="P120" s="27" t="s">
        <v>80</v>
      </c>
      <c r="Q120" s="55">
        <f>IF('Pegar ML'!AD116=" ",'Pegar ML'!AD115,'Pegar ML'!AD116)</f>
        <v>0</v>
      </c>
      <c r="R120" s="27" t="s">
        <v>80</v>
      </c>
      <c r="S120" s="27" t="s">
        <v>80</v>
      </c>
      <c r="T120" s="27" t="s">
        <v>80</v>
      </c>
      <c r="U120" s="55">
        <f>IF('Pegar ML'!AI116=" ",'Pegar ML'!AI115,'Pegar ML'!AI116)</f>
        <v>0</v>
      </c>
      <c r="V120" s="55">
        <f>IF('Pegar ML'!AK116=" ",'Pegar ML'!AK115,'Pegar ML'!AK116)</f>
        <v>0</v>
      </c>
      <c r="W120" s="55">
        <f>IF('Pegar ML'!AJ116=" ",'Pegar ML'!AJ115,'Pegar ML'!AJ116)</f>
        <v>0</v>
      </c>
      <c r="X120" s="55">
        <f>IF('Pegar ML'!AL116=" ",'Pegar ML'!AL115,'Pegar ML'!AL116)</f>
        <v>0</v>
      </c>
      <c r="Y120" s="27"/>
      <c r="Z120" s="27"/>
      <c r="AA120" s="27"/>
      <c r="AB120" s="27"/>
      <c r="AC120" s="27"/>
      <c r="AD120" s="27"/>
      <c r="AF120" s="8"/>
      <c r="AG120" s="27"/>
      <c r="AH120" s="14">
        <f>+'Pegar ML'!Y116</f>
        <v>0</v>
      </c>
      <c r="AI120" s="13">
        <f t="shared" si="4"/>
        <v>1</v>
      </c>
      <c r="AJ120" s="7">
        <f>+'Pegar ML'!T116</f>
        <v>0</v>
      </c>
      <c r="AK120" s="27"/>
      <c r="AL120" s="27"/>
      <c r="AM120" s="27"/>
      <c r="AN120" s="27"/>
      <c r="AO120" s="27"/>
      <c r="AP120" s="27"/>
      <c r="AQ120" s="27"/>
      <c r="AR120" s="27"/>
      <c r="AS120" s="27">
        <v>17</v>
      </c>
    </row>
    <row r="121" spans="1:45" x14ac:dyDescent="0.25">
      <c r="A121" s="27">
        <f>IF('Pegar ML'!C116="Paquete de 2 productos",'Pegar ML'!A116,IF('Pegar ML'!C115="Paquete de 2 productos",'Pegar ML'!A115,'Pegar ML'!A117))</f>
        <v>0</v>
      </c>
      <c r="B121" s="27"/>
      <c r="C121" s="30" t="e">
        <f>IF(AjusteFecha!I117=0,"",AjusteFecha!I117)</f>
        <v>#N/A</v>
      </c>
      <c r="D121" s="27"/>
      <c r="E121" s="27"/>
      <c r="F121" s="27" t="str">
        <f>IF('Pegar ML'!C117="","",'Pegar ML'!C117)</f>
        <v/>
      </c>
      <c r="G121" s="27" t="str">
        <f>IF('Pegar ML'!G112="ARS","PS","PS")</f>
        <v>PS</v>
      </c>
      <c r="H121" s="14">
        <f>IF('Pegar ML'!C116="Paquete de 2 productos",IF('Pegar ML'!H116="",0,'Pegar ML'!H116),IF('Pegar ML'!H117="",0,'Pegar ML'!H117))</f>
        <v>0</v>
      </c>
      <c r="I121" s="14">
        <f>IF('Pegar ML'!C116="Paquete de 2 productos",IF('Pegar ML'!O116="",0,'Pegar ML'!O116),IF('Pegar ML'!O117="",0,'Pegar ML'!O117))</f>
        <v>0</v>
      </c>
      <c r="J121" s="14">
        <f>IF('Pegar ML'!C116="Paquete de 2 productos",IF('Pegar ML'!O116="",0,'Pegar ML'!O116),IF('Pegar ML'!O117="",0,'Pegar ML'!O117))</f>
        <v>0</v>
      </c>
      <c r="K121" s="14">
        <f t="shared" si="5"/>
        <v>0</v>
      </c>
      <c r="L121" s="27">
        <f>IF('Pegar ML'!AB117=" ",'Pegar ML'!AB116,'Pegar ML'!AB117)</f>
        <v>0</v>
      </c>
      <c r="M121" s="27" t="str">
        <f>IF('Pegar ML'!AC117=" ",RIGHT('Pegar ML'!AC116,8),RIGHT('Pegar ML'!AC117,8))</f>
        <v/>
      </c>
      <c r="N121" s="27" t="s">
        <v>80</v>
      </c>
      <c r="O121" s="27">
        <f t="shared" si="3"/>
        <v>0</v>
      </c>
      <c r="P121" s="27" t="s">
        <v>80</v>
      </c>
      <c r="Q121" s="55">
        <f>IF('Pegar ML'!AD117=" ",'Pegar ML'!AD116,'Pegar ML'!AD117)</f>
        <v>0</v>
      </c>
      <c r="R121" s="27" t="s">
        <v>80</v>
      </c>
      <c r="S121" s="27" t="s">
        <v>80</v>
      </c>
      <c r="T121" s="27" t="s">
        <v>80</v>
      </c>
      <c r="U121" s="55">
        <f>IF('Pegar ML'!AI117=" ",'Pegar ML'!AI116,'Pegar ML'!AI117)</f>
        <v>0</v>
      </c>
      <c r="V121" s="55">
        <f>IF('Pegar ML'!AK117=" ",'Pegar ML'!AK116,'Pegar ML'!AK117)</f>
        <v>0</v>
      </c>
      <c r="W121" s="55">
        <f>IF('Pegar ML'!AJ117=" ",'Pegar ML'!AJ116,'Pegar ML'!AJ117)</f>
        <v>0</v>
      </c>
      <c r="X121" s="55">
        <f>IF('Pegar ML'!AL117=" ",'Pegar ML'!AL116,'Pegar ML'!AL117)</f>
        <v>0</v>
      </c>
      <c r="Y121" s="27"/>
      <c r="Z121" s="27"/>
      <c r="AA121" s="27"/>
      <c r="AB121" s="27"/>
      <c r="AC121" s="27"/>
      <c r="AD121" s="27"/>
      <c r="AF121" s="8"/>
      <c r="AG121" s="27"/>
      <c r="AH121" s="14">
        <f>+'Pegar ML'!Y117</f>
        <v>0</v>
      </c>
      <c r="AI121" s="13">
        <f t="shared" si="4"/>
        <v>1</v>
      </c>
      <c r="AJ121" s="7">
        <f>+'Pegar ML'!T117</f>
        <v>0</v>
      </c>
      <c r="AK121" s="27"/>
      <c r="AL121" s="27"/>
      <c r="AM121" s="27"/>
      <c r="AN121" s="27"/>
      <c r="AO121" s="27"/>
      <c r="AP121" s="27"/>
      <c r="AQ121" s="27"/>
      <c r="AR121" s="27"/>
      <c r="AS121" s="27">
        <v>17</v>
      </c>
    </row>
    <row r="122" spans="1:45" x14ac:dyDescent="0.25">
      <c r="A122" s="27">
        <f>IF('Pegar ML'!C117="Paquete de 2 productos",'Pegar ML'!A117,IF('Pegar ML'!C116="Paquete de 2 productos",'Pegar ML'!A116,'Pegar ML'!A118))</f>
        <v>0</v>
      </c>
      <c r="B122" s="27"/>
      <c r="C122" s="30" t="e">
        <f>IF(AjusteFecha!I118=0,"",AjusteFecha!I118)</f>
        <v>#N/A</v>
      </c>
      <c r="D122" s="27"/>
      <c r="E122" s="27"/>
      <c r="F122" s="27" t="str">
        <f>IF('Pegar ML'!C118="","",'Pegar ML'!C118)</f>
        <v/>
      </c>
      <c r="G122" s="27" t="str">
        <f>IF('Pegar ML'!G113="ARS","PS","PS")</f>
        <v>PS</v>
      </c>
      <c r="H122" s="14">
        <f>IF('Pegar ML'!C117="Paquete de 2 productos",IF('Pegar ML'!H117="",0,'Pegar ML'!H117),IF('Pegar ML'!H118="",0,'Pegar ML'!H118))</f>
        <v>0</v>
      </c>
      <c r="I122" s="14">
        <f>IF('Pegar ML'!C117="Paquete de 2 productos",IF('Pegar ML'!O117="",0,'Pegar ML'!O117),IF('Pegar ML'!O118="",0,'Pegar ML'!O118))</f>
        <v>0</v>
      </c>
      <c r="J122" s="14">
        <f>IF('Pegar ML'!C117="Paquete de 2 productos",IF('Pegar ML'!O117="",0,'Pegar ML'!O117),IF('Pegar ML'!O118="",0,'Pegar ML'!O118))</f>
        <v>0</v>
      </c>
      <c r="K122" s="14">
        <f t="shared" si="5"/>
        <v>0</v>
      </c>
      <c r="L122" s="27">
        <f>IF('Pegar ML'!AB118=" ",'Pegar ML'!AB117,'Pegar ML'!AB118)</f>
        <v>0</v>
      </c>
      <c r="M122" s="27" t="str">
        <f>IF('Pegar ML'!AC118=" ",RIGHT('Pegar ML'!AC117,8),RIGHT('Pegar ML'!AC118,8))</f>
        <v/>
      </c>
      <c r="N122" s="27" t="s">
        <v>80</v>
      </c>
      <c r="O122" s="27">
        <f t="shared" si="3"/>
        <v>0</v>
      </c>
      <c r="P122" s="27" t="s">
        <v>80</v>
      </c>
      <c r="Q122" s="55">
        <f>IF('Pegar ML'!AD118=" ",'Pegar ML'!AD117,'Pegar ML'!AD118)</f>
        <v>0</v>
      </c>
      <c r="R122" s="27" t="s">
        <v>80</v>
      </c>
      <c r="S122" s="27" t="s">
        <v>80</v>
      </c>
      <c r="T122" s="27" t="s">
        <v>80</v>
      </c>
      <c r="U122" s="55">
        <f>IF('Pegar ML'!AI118=" ",'Pegar ML'!AI117,'Pegar ML'!AI118)</f>
        <v>0</v>
      </c>
      <c r="V122" s="55">
        <f>IF('Pegar ML'!AK118=" ",'Pegar ML'!AK117,'Pegar ML'!AK118)</f>
        <v>0</v>
      </c>
      <c r="W122" s="55">
        <f>IF('Pegar ML'!AJ118=" ",'Pegar ML'!AJ117,'Pegar ML'!AJ118)</f>
        <v>0</v>
      </c>
      <c r="X122" s="55">
        <f>IF('Pegar ML'!AL118=" ",'Pegar ML'!AL117,'Pegar ML'!AL118)</f>
        <v>0</v>
      </c>
      <c r="Y122" s="27"/>
      <c r="Z122" s="27"/>
      <c r="AA122" s="27"/>
      <c r="AB122" s="27"/>
      <c r="AC122" s="27"/>
      <c r="AD122" s="27"/>
      <c r="AF122" s="8"/>
      <c r="AG122" s="27"/>
      <c r="AH122" s="14">
        <f>+'Pegar ML'!Y118</f>
        <v>0</v>
      </c>
      <c r="AI122" s="13">
        <f t="shared" si="4"/>
        <v>1</v>
      </c>
      <c r="AJ122" s="7">
        <f>+'Pegar ML'!T118</f>
        <v>0</v>
      </c>
      <c r="AK122" s="27"/>
      <c r="AL122" s="27"/>
      <c r="AM122" s="27"/>
      <c r="AN122" s="27"/>
      <c r="AO122" s="27"/>
      <c r="AP122" s="27"/>
      <c r="AQ122" s="27"/>
      <c r="AR122" s="27"/>
      <c r="AS122" s="27">
        <v>17</v>
      </c>
    </row>
    <row r="123" spans="1:45" x14ac:dyDescent="0.25">
      <c r="A123" s="27">
        <f>IF('Pegar ML'!C118="Paquete de 2 productos",'Pegar ML'!A118,IF('Pegar ML'!C117="Paquete de 2 productos",'Pegar ML'!A117,'Pegar ML'!A119))</f>
        <v>0</v>
      </c>
      <c r="B123" s="27"/>
      <c r="C123" s="30" t="e">
        <f>IF(AjusteFecha!I119=0,"",AjusteFecha!I119)</f>
        <v>#N/A</v>
      </c>
      <c r="D123" s="27"/>
      <c r="E123" s="27"/>
      <c r="F123" s="27" t="str">
        <f>IF('Pegar ML'!C119="","",'Pegar ML'!C119)</f>
        <v/>
      </c>
      <c r="G123" s="27" t="str">
        <f>IF('Pegar ML'!G114="ARS","PS","PS")</f>
        <v>PS</v>
      </c>
      <c r="H123" s="14">
        <f>IF('Pegar ML'!C118="Paquete de 2 productos",IF('Pegar ML'!H118="",0,'Pegar ML'!H118),IF('Pegar ML'!H119="",0,'Pegar ML'!H119))</f>
        <v>0</v>
      </c>
      <c r="I123" s="14">
        <f>IF('Pegar ML'!C118="Paquete de 2 productos",IF('Pegar ML'!O118="",0,'Pegar ML'!O118),IF('Pegar ML'!O119="",0,'Pegar ML'!O119))</f>
        <v>0</v>
      </c>
      <c r="J123" s="14">
        <f>IF('Pegar ML'!C118="Paquete de 2 productos",IF('Pegar ML'!O118="",0,'Pegar ML'!O118),IF('Pegar ML'!O119="",0,'Pegar ML'!O119))</f>
        <v>0</v>
      </c>
      <c r="K123" s="14">
        <f t="shared" si="5"/>
        <v>0</v>
      </c>
      <c r="L123" s="27">
        <f>IF('Pegar ML'!AB119=" ",'Pegar ML'!AB118,'Pegar ML'!AB119)</f>
        <v>0</v>
      </c>
      <c r="M123" s="27" t="str">
        <f>IF('Pegar ML'!AC119=" ",RIGHT('Pegar ML'!AC118,8),RIGHT('Pegar ML'!AC119,8))</f>
        <v/>
      </c>
      <c r="N123" s="27" t="s">
        <v>80</v>
      </c>
      <c r="O123" s="27">
        <f t="shared" si="3"/>
        <v>0</v>
      </c>
      <c r="P123" s="27" t="s">
        <v>80</v>
      </c>
      <c r="Q123" s="55">
        <f>IF('Pegar ML'!AD119=" ",'Pegar ML'!AD118,'Pegar ML'!AD119)</f>
        <v>0</v>
      </c>
      <c r="R123" s="27" t="s">
        <v>80</v>
      </c>
      <c r="S123" s="27" t="s">
        <v>80</v>
      </c>
      <c r="T123" s="27" t="s">
        <v>80</v>
      </c>
      <c r="U123" s="55">
        <f>IF('Pegar ML'!AI119=" ",'Pegar ML'!AI118,'Pegar ML'!AI119)</f>
        <v>0</v>
      </c>
      <c r="V123" s="55">
        <f>IF('Pegar ML'!AK119=" ",'Pegar ML'!AK118,'Pegar ML'!AK119)</f>
        <v>0</v>
      </c>
      <c r="W123" s="55">
        <f>IF('Pegar ML'!AJ119=" ",'Pegar ML'!AJ118,'Pegar ML'!AJ119)</f>
        <v>0</v>
      </c>
      <c r="X123" s="55">
        <f>IF('Pegar ML'!AL119=" ",'Pegar ML'!AL118,'Pegar ML'!AL119)</f>
        <v>0</v>
      </c>
      <c r="Y123" s="27"/>
      <c r="Z123" s="27"/>
      <c r="AA123" s="27"/>
      <c r="AB123" s="27"/>
      <c r="AC123" s="27"/>
      <c r="AD123" s="27"/>
      <c r="AF123" s="8"/>
      <c r="AG123" s="27"/>
      <c r="AH123" s="14">
        <f>+'Pegar ML'!Y119</f>
        <v>0</v>
      </c>
      <c r="AI123" s="13">
        <f t="shared" si="4"/>
        <v>1</v>
      </c>
      <c r="AJ123" s="7">
        <f>+'Pegar ML'!T119</f>
        <v>0</v>
      </c>
      <c r="AK123" s="27"/>
      <c r="AL123" s="27"/>
      <c r="AM123" s="27"/>
      <c r="AN123" s="27"/>
      <c r="AO123" s="27"/>
      <c r="AP123" s="27"/>
      <c r="AQ123" s="27"/>
      <c r="AR123" s="27"/>
      <c r="AS123" s="27">
        <v>17</v>
      </c>
    </row>
    <row r="124" spans="1:45" ht="15" customHeight="1" x14ac:dyDescent="0.25">
      <c r="A124" s="27">
        <f>IF('Pegar ML'!C119="Paquete de 2 productos",'Pegar ML'!A119,IF('Pegar ML'!C118="Paquete de 2 productos",'Pegar ML'!A118,'Pegar ML'!A120))</f>
        <v>0</v>
      </c>
      <c r="B124" s="27"/>
      <c r="C124" s="30" t="e">
        <f>IF(AjusteFecha!I120=0,"",AjusteFecha!I120)</f>
        <v>#N/A</v>
      </c>
      <c r="D124" s="27"/>
      <c r="E124" s="27"/>
      <c r="F124" s="27" t="str">
        <f>IF('Pegar ML'!C120="","",'Pegar ML'!C120)</f>
        <v/>
      </c>
      <c r="G124" s="27" t="str">
        <f>IF('Pegar ML'!G115="ARS","PS","PS")</f>
        <v>PS</v>
      </c>
      <c r="H124" s="14">
        <f>IF('Pegar ML'!C119="Paquete de 2 productos",IF('Pegar ML'!H119="",0,'Pegar ML'!H119),IF('Pegar ML'!H120="",0,'Pegar ML'!H120))</f>
        <v>0</v>
      </c>
      <c r="I124" s="14">
        <f>IF('Pegar ML'!C119="Paquete de 2 productos",IF('Pegar ML'!O119="",0,'Pegar ML'!O119),IF('Pegar ML'!O120="",0,'Pegar ML'!O120))</f>
        <v>0</v>
      </c>
      <c r="J124" s="14">
        <f>IF('Pegar ML'!C119="Paquete de 2 productos",IF('Pegar ML'!O119="",0,'Pegar ML'!O119),IF('Pegar ML'!O120="",0,'Pegar ML'!O120))</f>
        <v>0</v>
      </c>
      <c r="K124" s="14">
        <f t="shared" si="5"/>
        <v>0</v>
      </c>
      <c r="L124" s="27">
        <f>IF('Pegar ML'!AB120=" ",'Pegar ML'!AB119,'Pegar ML'!AB120)</f>
        <v>0</v>
      </c>
      <c r="M124" s="27" t="str">
        <f>IF('Pegar ML'!AC120=" ",RIGHT('Pegar ML'!AC119,8),RIGHT('Pegar ML'!AC120,8))</f>
        <v/>
      </c>
      <c r="N124" s="27" t="s">
        <v>80</v>
      </c>
      <c r="O124" s="27">
        <f t="shared" si="3"/>
        <v>0</v>
      </c>
      <c r="P124" s="27" t="s">
        <v>80</v>
      </c>
      <c r="Q124" s="55">
        <f>IF('Pegar ML'!AD120=" ",'Pegar ML'!AD119,'Pegar ML'!AD120)</f>
        <v>0</v>
      </c>
      <c r="R124" s="27" t="s">
        <v>80</v>
      </c>
      <c r="S124" s="27" t="s">
        <v>80</v>
      </c>
      <c r="T124" s="27" t="s">
        <v>80</v>
      </c>
      <c r="U124" s="55">
        <f>IF('Pegar ML'!AI120=" ",'Pegar ML'!AI119,'Pegar ML'!AI120)</f>
        <v>0</v>
      </c>
      <c r="V124" s="55">
        <f>IF('Pegar ML'!AK120=" ",'Pegar ML'!AK119,'Pegar ML'!AK120)</f>
        <v>0</v>
      </c>
      <c r="W124" s="55">
        <f>IF('Pegar ML'!AJ120=" ",'Pegar ML'!AJ119,'Pegar ML'!AJ120)</f>
        <v>0</v>
      </c>
      <c r="X124" s="55">
        <f>IF('Pegar ML'!AL120=" ",'Pegar ML'!AL119,'Pegar ML'!AL120)</f>
        <v>0</v>
      </c>
      <c r="Y124" s="27"/>
      <c r="Z124" s="27"/>
      <c r="AA124" s="27"/>
      <c r="AB124" s="27"/>
      <c r="AC124" s="27"/>
      <c r="AD124" s="27"/>
      <c r="AF124" s="8"/>
      <c r="AG124" s="27"/>
      <c r="AH124" s="14">
        <f>+'Pegar ML'!Y120</f>
        <v>0</v>
      </c>
      <c r="AI124" s="13">
        <f t="shared" si="4"/>
        <v>1</v>
      </c>
      <c r="AJ124" s="7">
        <f>+'Pegar ML'!T120</f>
        <v>0</v>
      </c>
      <c r="AK124" s="27"/>
      <c r="AL124" s="27"/>
      <c r="AM124" s="27"/>
      <c r="AN124" s="27"/>
      <c r="AO124" s="27"/>
      <c r="AP124" s="27"/>
      <c r="AQ124" s="27"/>
      <c r="AR124" s="27"/>
      <c r="AS124" s="27">
        <v>17</v>
      </c>
    </row>
    <row r="125" spans="1:45" x14ac:dyDescent="0.25">
      <c r="A125" s="27">
        <f>IF('Pegar ML'!C120="Paquete de 2 productos",'Pegar ML'!A120,IF('Pegar ML'!C119="Paquete de 2 productos",'Pegar ML'!A119,'Pegar ML'!A121))</f>
        <v>0</v>
      </c>
      <c r="B125" s="27"/>
      <c r="C125" s="30" t="e">
        <f>IF(AjusteFecha!I121=0,"",AjusteFecha!I121)</f>
        <v>#N/A</v>
      </c>
      <c r="D125" s="27"/>
      <c r="E125" s="27"/>
      <c r="F125" s="27" t="str">
        <f>IF('Pegar ML'!C121="","",'Pegar ML'!C121)</f>
        <v/>
      </c>
      <c r="G125" s="27" t="str">
        <f>IF('Pegar ML'!G116="ARS","PS","PS")</f>
        <v>PS</v>
      </c>
      <c r="H125" s="14">
        <f>IF('Pegar ML'!C120="Paquete de 2 productos",IF('Pegar ML'!H120="",0,'Pegar ML'!H120),IF('Pegar ML'!H121="",0,'Pegar ML'!H121))</f>
        <v>0</v>
      </c>
      <c r="I125" s="14">
        <f>IF('Pegar ML'!C120="Paquete de 2 productos",IF('Pegar ML'!O120="",0,'Pegar ML'!O120),IF('Pegar ML'!O121="",0,'Pegar ML'!O121))</f>
        <v>0</v>
      </c>
      <c r="J125" s="14">
        <f>IF('Pegar ML'!C120="Paquete de 2 productos",IF('Pegar ML'!O120="",0,'Pegar ML'!O120),IF('Pegar ML'!O121="",0,'Pegar ML'!O121))</f>
        <v>0</v>
      </c>
      <c r="K125" s="14">
        <f t="shared" si="5"/>
        <v>0</v>
      </c>
      <c r="L125" s="27">
        <f>IF('Pegar ML'!AB121=" ",'Pegar ML'!AB120,'Pegar ML'!AB121)</f>
        <v>0</v>
      </c>
      <c r="M125" s="27" t="str">
        <f>IF('Pegar ML'!AC121=" ",RIGHT('Pegar ML'!AC120,8),RIGHT('Pegar ML'!AC121,8))</f>
        <v/>
      </c>
      <c r="N125" s="27" t="s">
        <v>80</v>
      </c>
      <c r="O125" s="27">
        <f t="shared" si="3"/>
        <v>0</v>
      </c>
      <c r="P125" s="27" t="s">
        <v>80</v>
      </c>
      <c r="Q125" s="55">
        <f>IF('Pegar ML'!AD121=" ",'Pegar ML'!AD120,'Pegar ML'!AD121)</f>
        <v>0</v>
      </c>
      <c r="R125" s="27" t="s">
        <v>80</v>
      </c>
      <c r="S125" s="27" t="s">
        <v>80</v>
      </c>
      <c r="T125" s="27" t="s">
        <v>80</v>
      </c>
      <c r="U125" s="55">
        <f>IF('Pegar ML'!AI121=" ",'Pegar ML'!AI120,'Pegar ML'!AI121)</f>
        <v>0</v>
      </c>
      <c r="V125" s="55">
        <f>IF('Pegar ML'!AK121=" ",'Pegar ML'!AK120,'Pegar ML'!AK121)</f>
        <v>0</v>
      </c>
      <c r="W125" s="55">
        <f>IF('Pegar ML'!AJ121=" ",'Pegar ML'!AJ120,'Pegar ML'!AJ121)</f>
        <v>0</v>
      </c>
      <c r="X125" s="55">
        <f>IF('Pegar ML'!AL121=" ",'Pegar ML'!AL120,'Pegar ML'!AL121)</f>
        <v>0</v>
      </c>
      <c r="Y125" s="27"/>
      <c r="Z125" s="27"/>
      <c r="AA125" s="27"/>
      <c r="AB125" s="27"/>
      <c r="AC125" s="27"/>
      <c r="AD125" s="27"/>
      <c r="AF125" s="8"/>
      <c r="AG125" s="27"/>
      <c r="AH125" s="14">
        <f>+'Pegar ML'!Y121</f>
        <v>0</v>
      </c>
      <c r="AI125" s="13">
        <f t="shared" si="4"/>
        <v>1</v>
      </c>
      <c r="AJ125" s="7">
        <f>+'Pegar ML'!T121</f>
        <v>0</v>
      </c>
      <c r="AK125" s="27"/>
      <c r="AL125" s="27"/>
      <c r="AM125" s="27"/>
      <c r="AN125" s="27"/>
      <c r="AO125" s="27"/>
      <c r="AP125" s="27"/>
      <c r="AQ125" s="27"/>
      <c r="AR125" s="27"/>
      <c r="AS125" s="27">
        <v>17</v>
      </c>
    </row>
    <row r="126" spans="1:45" x14ac:dyDescent="0.25">
      <c r="A126" s="27">
        <f>IF('Pegar ML'!C121="Paquete de 2 productos",'Pegar ML'!A121,IF('Pegar ML'!C120="Paquete de 2 productos",'Pegar ML'!A120,'Pegar ML'!A122))</f>
        <v>0</v>
      </c>
      <c r="B126" s="27"/>
      <c r="C126" s="30" t="e">
        <f>IF(AjusteFecha!I122=0,"",AjusteFecha!I122)</f>
        <v>#N/A</v>
      </c>
      <c r="D126" s="27"/>
      <c r="E126" s="27"/>
      <c r="F126" s="27" t="str">
        <f>IF('Pegar ML'!C122="","",'Pegar ML'!C122)</f>
        <v/>
      </c>
      <c r="G126" s="27" t="str">
        <f>IF('Pegar ML'!G117="ARS","PS","PS")</f>
        <v>PS</v>
      </c>
      <c r="H126" s="14">
        <f>IF('Pegar ML'!C121="Paquete de 2 productos",IF('Pegar ML'!H121="",0,'Pegar ML'!H121),IF('Pegar ML'!H122="",0,'Pegar ML'!H122))</f>
        <v>0</v>
      </c>
      <c r="I126" s="14">
        <f>IF('Pegar ML'!C121="Paquete de 2 productos",IF('Pegar ML'!O121="",0,'Pegar ML'!O121),IF('Pegar ML'!O122="",0,'Pegar ML'!O122))</f>
        <v>0</v>
      </c>
      <c r="J126" s="14">
        <f>IF('Pegar ML'!C121="Paquete de 2 productos",IF('Pegar ML'!O121="",0,'Pegar ML'!O121),IF('Pegar ML'!O122="",0,'Pegar ML'!O122))</f>
        <v>0</v>
      </c>
      <c r="K126" s="14">
        <f t="shared" si="5"/>
        <v>0</v>
      </c>
      <c r="L126" s="27">
        <f>IF('Pegar ML'!AB122=" ",'Pegar ML'!AB121,'Pegar ML'!AB122)</f>
        <v>0</v>
      </c>
      <c r="M126" s="27" t="str">
        <f>IF('Pegar ML'!AC122=" ",RIGHT('Pegar ML'!AC121,8),RIGHT('Pegar ML'!AC122,8))</f>
        <v/>
      </c>
      <c r="N126" s="27" t="s">
        <v>80</v>
      </c>
      <c r="O126" s="27">
        <f t="shared" si="3"/>
        <v>0</v>
      </c>
      <c r="P126" s="27" t="s">
        <v>80</v>
      </c>
      <c r="Q126" s="55">
        <f>IF('Pegar ML'!AD122=" ",'Pegar ML'!AD121,'Pegar ML'!AD122)</f>
        <v>0</v>
      </c>
      <c r="R126" s="27" t="s">
        <v>80</v>
      </c>
      <c r="S126" s="27" t="s">
        <v>80</v>
      </c>
      <c r="T126" s="27" t="s">
        <v>80</v>
      </c>
      <c r="U126" s="55">
        <f>IF('Pegar ML'!AI122=" ",'Pegar ML'!AI121,'Pegar ML'!AI122)</f>
        <v>0</v>
      </c>
      <c r="V126" s="55">
        <f>IF('Pegar ML'!AK122=" ",'Pegar ML'!AK121,'Pegar ML'!AK122)</f>
        <v>0</v>
      </c>
      <c r="W126" s="55">
        <f>IF('Pegar ML'!AJ122=" ",'Pegar ML'!AJ121,'Pegar ML'!AJ122)</f>
        <v>0</v>
      </c>
      <c r="X126" s="55">
        <f>IF('Pegar ML'!AL122=" ",'Pegar ML'!AL121,'Pegar ML'!AL122)</f>
        <v>0</v>
      </c>
      <c r="Y126" s="27"/>
      <c r="Z126" s="27"/>
      <c r="AA126" s="27"/>
      <c r="AB126" s="27"/>
      <c r="AC126" s="27"/>
      <c r="AD126" s="27"/>
      <c r="AF126" s="8"/>
      <c r="AG126" s="27"/>
      <c r="AH126" s="14">
        <f>+'Pegar ML'!Y122</f>
        <v>0</v>
      </c>
      <c r="AI126" s="13">
        <f t="shared" si="4"/>
        <v>1</v>
      </c>
      <c r="AJ126" s="7">
        <f>+'Pegar ML'!T122</f>
        <v>0</v>
      </c>
      <c r="AK126" s="27"/>
      <c r="AL126" s="27"/>
      <c r="AM126" s="27"/>
      <c r="AN126" s="27"/>
      <c r="AO126" s="27"/>
      <c r="AP126" s="27"/>
      <c r="AQ126" s="27"/>
      <c r="AR126" s="27"/>
      <c r="AS126" s="27">
        <v>17</v>
      </c>
    </row>
    <row r="127" spans="1:45" x14ac:dyDescent="0.25">
      <c r="A127" s="27">
        <f>IF('Pegar ML'!C122="Paquete de 2 productos",'Pegar ML'!A122,IF('Pegar ML'!C121="Paquete de 2 productos",'Pegar ML'!A121,'Pegar ML'!A123))</f>
        <v>0</v>
      </c>
      <c r="B127" s="27"/>
      <c r="C127" s="30" t="e">
        <f>IF(AjusteFecha!I123=0,"",AjusteFecha!I123)</f>
        <v>#N/A</v>
      </c>
      <c r="D127" s="27"/>
      <c r="E127" s="27"/>
      <c r="F127" s="27" t="str">
        <f>IF('Pegar ML'!C123="","",'Pegar ML'!C123)</f>
        <v/>
      </c>
      <c r="G127" s="27" t="str">
        <f>IF('Pegar ML'!G118="ARS","PS","PS")</f>
        <v>PS</v>
      </c>
      <c r="H127" s="14">
        <f>IF('Pegar ML'!C122="Paquete de 2 productos",IF('Pegar ML'!H122="",0,'Pegar ML'!H122),IF('Pegar ML'!H123="",0,'Pegar ML'!H123))</f>
        <v>0</v>
      </c>
      <c r="I127" s="14">
        <f>IF('Pegar ML'!C122="Paquete de 2 productos",IF('Pegar ML'!O122="",0,'Pegar ML'!O122),IF('Pegar ML'!O123="",0,'Pegar ML'!O123))</f>
        <v>0</v>
      </c>
      <c r="J127" s="14">
        <f>IF('Pegar ML'!C122="Paquete de 2 productos",IF('Pegar ML'!O122="",0,'Pegar ML'!O122),IF('Pegar ML'!O123="",0,'Pegar ML'!O123))</f>
        <v>0</v>
      </c>
      <c r="K127" s="14">
        <f t="shared" si="5"/>
        <v>0</v>
      </c>
      <c r="L127" s="27">
        <f>IF('Pegar ML'!AB123=" ",'Pegar ML'!AB122,'Pegar ML'!AB123)</f>
        <v>0</v>
      </c>
      <c r="M127" s="27" t="str">
        <f>IF('Pegar ML'!AC123=" ",RIGHT('Pegar ML'!AC122,8),RIGHT('Pegar ML'!AC123,8))</f>
        <v/>
      </c>
      <c r="N127" s="27" t="s">
        <v>80</v>
      </c>
      <c r="O127" s="27">
        <f t="shared" si="3"/>
        <v>0</v>
      </c>
      <c r="P127" s="27" t="s">
        <v>80</v>
      </c>
      <c r="Q127" s="55">
        <f>IF('Pegar ML'!AD123=" ",'Pegar ML'!AD122,'Pegar ML'!AD123)</f>
        <v>0</v>
      </c>
      <c r="R127" s="27" t="s">
        <v>80</v>
      </c>
      <c r="S127" s="27" t="s">
        <v>80</v>
      </c>
      <c r="T127" s="27" t="s">
        <v>80</v>
      </c>
      <c r="U127" s="55">
        <f>IF('Pegar ML'!AI123=" ",'Pegar ML'!AI122,'Pegar ML'!AI123)</f>
        <v>0</v>
      </c>
      <c r="V127" s="55">
        <f>IF('Pegar ML'!AK123=" ",'Pegar ML'!AK122,'Pegar ML'!AK123)</f>
        <v>0</v>
      </c>
      <c r="W127" s="55">
        <f>IF('Pegar ML'!AJ123=" ",'Pegar ML'!AJ122,'Pegar ML'!AJ123)</f>
        <v>0</v>
      </c>
      <c r="X127" s="55">
        <f>IF('Pegar ML'!AL123=" ",'Pegar ML'!AL122,'Pegar ML'!AL123)</f>
        <v>0</v>
      </c>
      <c r="Y127" s="27"/>
      <c r="Z127" s="27"/>
      <c r="AA127" s="27"/>
      <c r="AB127" s="27"/>
      <c r="AC127" s="27"/>
      <c r="AD127" s="27"/>
      <c r="AF127" s="8"/>
      <c r="AG127" s="27"/>
      <c r="AH127" s="14">
        <f>+'Pegar ML'!Y123</f>
        <v>0</v>
      </c>
      <c r="AI127" s="13">
        <f t="shared" si="4"/>
        <v>1</v>
      </c>
      <c r="AJ127" s="7">
        <f>+'Pegar ML'!T123</f>
        <v>0</v>
      </c>
      <c r="AK127" s="27"/>
      <c r="AL127" s="27"/>
      <c r="AM127" s="27"/>
      <c r="AN127" s="27"/>
      <c r="AO127" s="27"/>
      <c r="AP127" s="27"/>
      <c r="AQ127" s="27"/>
      <c r="AR127" s="27"/>
      <c r="AS127" s="27">
        <v>17</v>
      </c>
    </row>
    <row r="128" spans="1:45" x14ac:dyDescent="0.25">
      <c r="A128" s="27">
        <f>IF('Pegar ML'!C123="Paquete de 2 productos",'Pegar ML'!A123,IF('Pegar ML'!C122="Paquete de 2 productos",'Pegar ML'!A122,'Pegar ML'!A124))</f>
        <v>0</v>
      </c>
      <c r="B128" s="27"/>
      <c r="C128" s="30" t="e">
        <f>IF(AjusteFecha!I124=0,"",AjusteFecha!I124)</f>
        <v>#N/A</v>
      </c>
      <c r="D128" s="27"/>
      <c r="E128" s="27"/>
      <c r="F128" s="27" t="str">
        <f>IF('Pegar ML'!C124="","",'Pegar ML'!C124)</f>
        <v/>
      </c>
      <c r="G128" s="27" t="str">
        <f>IF('Pegar ML'!G119="ARS","PS","PS")</f>
        <v>PS</v>
      </c>
      <c r="H128" s="14">
        <f>IF('Pegar ML'!C123="Paquete de 2 productos",IF('Pegar ML'!H123="",0,'Pegar ML'!H123),IF('Pegar ML'!H124="",0,'Pegar ML'!H124))</f>
        <v>0</v>
      </c>
      <c r="I128" s="14">
        <f>IF('Pegar ML'!C123="Paquete de 2 productos",IF('Pegar ML'!O123="",0,'Pegar ML'!O123),IF('Pegar ML'!O124="",0,'Pegar ML'!O124))</f>
        <v>0</v>
      </c>
      <c r="J128" s="14">
        <f>IF('Pegar ML'!C123="Paquete de 2 productos",IF('Pegar ML'!O123="",0,'Pegar ML'!O123),IF('Pegar ML'!O124="",0,'Pegar ML'!O124))</f>
        <v>0</v>
      </c>
      <c r="K128" s="14">
        <f t="shared" si="5"/>
        <v>0</v>
      </c>
      <c r="L128" s="27">
        <f>IF('Pegar ML'!AB124=" ",'Pegar ML'!AB123,'Pegar ML'!AB124)</f>
        <v>0</v>
      </c>
      <c r="M128" s="27" t="str">
        <f>IF('Pegar ML'!AC124=" ",RIGHT('Pegar ML'!AC123,8),RIGHT('Pegar ML'!AC124,8))</f>
        <v/>
      </c>
      <c r="N128" s="27" t="s">
        <v>80</v>
      </c>
      <c r="O128" s="27">
        <f t="shared" si="3"/>
        <v>0</v>
      </c>
      <c r="P128" s="27" t="s">
        <v>80</v>
      </c>
      <c r="Q128" s="55">
        <f>IF('Pegar ML'!AD124=" ",'Pegar ML'!AD123,'Pegar ML'!AD124)</f>
        <v>0</v>
      </c>
      <c r="R128" s="27" t="s">
        <v>80</v>
      </c>
      <c r="S128" s="27" t="s">
        <v>80</v>
      </c>
      <c r="T128" s="27" t="s">
        <v>80</v>
      </c>
      <c r="U128" s="55">
        <f>IF('Pegar ML'!AI124=" ",'Pegar ML'!AI123,'Pegar ML'!AI124)</f>
        <v>0</v>
      </c>
      <c r="V128" s="55">
        <f>IF('Pegar ML'!AK124=" ",'Pegar ML'!AK123,'Pegar ML'!AK124)</f>
        <v>0</v>
      </c>
      <c r="W128" s="55">
        <f>IF('Pegar ML'!AJ124=" ",'Pegar ML'!AJ123,'Pegar ML'!AJ124)</f>
        <v>0</v>
      </c>
      <c r="X128" s="55">
        <f>IF('Pegar ML'!AL124=" ",'Pegar ML'!AL123,'Pegar ML'!AL124)</f>
        <v>0</v>
      </c>
      <c r="Y128" s="27"/>
      <c r="Z128" s="27"/>
      <c r="AA128" s="27"/>
      <c r="AB128" s="27"/>
      <c r="AC128" s="27"/>
      <c r="AD128" s="27"/>
      <c r="AF128" s="8"/>
      <c r="AG128" s="27"/>
      <c r="AH128" s="14">
        <f>+'Pegar ML'!Y124</f>
        <v>0</v>
      </c>
      <c r="AI128" s="13">
        <f t="shared" si="4"/>
        <v>1</v>
      </c>
      <c r="AJ128" s="7">
        <f>+'Pegar ML'!T124</f>
        <v>0</v>
      </c>
      <c r="AK128" s="27"/>
      <c r="AL128" s="27"/>
      <c r="AM128" s="27"/>
      <c r="AN128" s="27"/>
      <c r="AO128" s="27"/>
      <c r="AP128" s="27"/>
      <c r="AQ128" s="27"/>
      <c r="AR128" s="27"/>
      <c r="AS128" s="27">
        <v>17</v>
      </c>
    </row>
    <row r="129" spans="1:45" x14ac:dyDescent="0.25">
      <c r="A129" s="27">
        <f>IF('Pegar ML'!C124="Paquete de 2 productos",'Pegar ML'!A124,IF('Pegar ML'!C123="Paquete de 2 productos",'Pegar ML'!A123,'Pegar ML'!A125))</f>
        <v>0</v>
      </c>
      <c r="B129" s="27"/>
      <c r="C129" s="30" t="e">
        <f>IF(AjusteFecha!I125=0,"",AjusteFecha!I125)</f>
        <v>#N/A</v>
      </c>
      <c r="D129" s="27"/>
      <c r="E129" s="27"/>
      <c r="F129" s="27" t="str">
        <f>IF('Pegar ML'!C125="","",'Pegar ML'!C125)</f>
        <v/>
      </c>
      <c r="G129" s="27" t="str">
        <f>IF('Pegar ML'!G120="ARS","PS","PS")</f>
        <v>PS</v>
      </c>
      <c r="H129" s="14">
        <f>IF('Pegar ML'!C124="Paquete de 2 productos",IF('Pegar ML'!H124="",0,'Pegar ML'!H124),IF('Pegar ML'!H125="",0,'Pegar ML'!H125))</f>
        <v>0</v>
      </c>
      <c r="I129" s="14">
        <f>IF('Pegar ML'!C124="Paquete de 2 productos",IF('Pegar ML'!O124="",0,'Pegar ML'!O124),IF('Pegar ML'!O125="",0,'Pegar ML'!O125))</f>
        <v>0</v>
      </c>
      <c r="J129" s="14">
        <f>IF('Pegar ML'!C124="Paquete de 2 productos",IF('Pegar ML'!O124="",0,'Pegar ML'!O124),IF('Pegar ML'!O125="",0,'Pegar ML'!O125))</f>
        <v>0</v>
      </c>
      <c r="K129" s="14">
        <f t="shared" si="5"/>
        <v>0</v>
      </c>
      <c r="L129" s="27">
        <f>IF('Pegar ML'!AB125=" ",'Pegar ML'!AB124,'Pegar ML'!AB125)</f>
        <v>0</v>
      </c>
      <c r="M129" s="27" t="str">
        <f>IF('Pegar ML'!AC125=" ",RIGHT('Pegar ML'!AC124,8),RIGHT('Pegar ML'!AC125,8))</f>
        <v/>
      </c>
      <c r="N129" s="27" t="s">
        <v>80</v>
      </c>
      <c r="O129" s="27">
        <f t="shared" si="3"/>
        <v>0</v>
      </c>
      <c r="P129" s="27" t="s">
        <v>80</v>
      </c>
      <c r="Q129" s="55">
        <f>IF('Pegar ML'!AD125=" ",'Pegar ML'!AD124,'Pegar ML'!AD125)</f>
        <v>0</v>
      </c>
      <c r="R129" s="27" t="s">
        <v>80</v>
      </c>
      <c r="S129" s="27" t="s">
        <v>80</v>
      </c>
      <c r="T129" s="27" t="s">
        <v>80</v>
      </c>
      <c r="U129" s="55">
        <f>IF('Pegar ML'!AI125=" ",'Pegar ML'!AI124,'Pegar ML'!AI125)</f>
        <v>0</v>
      </c>
      <c r="V129" s="55">
        <f>IF('Pegar ML'!AK125=" ",'Pegar ML'!AK124,'Pegar ML'!AK125)</f>
        <v>0</v>
      </c>
      <c r="W129" s="55">
        <f>IF('Pegar ML'!AJ125=" ",'Pegar ML'!AJ124,'Pegar ML'!AJ125)</f>
        <v>0</v>
      </c>
      <c r="X129" s="55">
        <f>IF('Pegar ML'!AL125=" ",'Pegar ML'!AL124,'Pegar ML'!AL125)</f>
        <v>0</v>
      </c>
      <c r="Y129" s="27"/>
      <c r="Z129" s="27"/>
      <c r="AA129" s="27"/>
      <c r="AB129" s="27"/>
      <c r="AC129" s="27"/>
      <c r="AD129" s="27"/>
      <c r="AF129" s="8"/>
      <c r="AG129" s="27"/>
      <c r="AH129" s="14">
        <f>+'Pegar ML'!Y125</f>
        <v>0</v>
      </c>
      <c r="AI129" s="13">
        <f t="shared" si="4"/>
        <v>1</v>
      </c>
      <c r="AJ129" s="7">
        <f>+'Pegar ML'!T125</f>
        <v>0</v>
      </c>
      <c r="AK129" s="27"/>
      <c r="AL129" s="27"/>
      <c r="AM129" s="27"/>
      <c r="AN129" s="27"/>
      <c r="AO129" s="27"/>
      <c r="AP129" s="27"/>
      <c r="AQ129" s="27"/>
      <c r="AR129" s="27"/>
      <c r="AS129" s="27">
        <v>17</v>
      </c>
    </row>
    <row r="130" spans="1:45" x14ac:dyDescent="0.25">
      <c r="A130" s="27">
        <f>IF('Pegar ML'!C125="Paquete de 2 productos",'Pegar ML'!A125,IF('Pegar ML'!C124="Paquete de 2 productos",'Pegar ML'!A124,'Pegar ML'!A126))</f>
        <v>0</v>
      </c>
      <c r="B130" s="27"/>
      <c r="C130" s="30" t="e">
        <f>IF(AjusteFecha!I126=0,"",AjusteFecha!I126)</f>
        <v>#N/A</v>
      </c>
      <c r="D130" s="27"/>
      <c r="E130" s="27"/>
      <c r="F130" s="27" t="str">
        <f>IF('Pegar ML'!C126="","",'Pegar ML'!C126)</f>
        <v/>
      </c>
      <c r="G130" s="27" t="str">
        <f>IF('Pegar ML'!G121="ARS","PS","PS")</f>
        <v>PS</v>
      </c>
      <c r="H130" s="14">
        <f>IF('Pegar ML'!C125="Paquete de 2 productos",IF('Pegar ML'!H125="",0,'Pegar ML'!H125),IF('Pegar ML'!H126="",0,'Pegar ML'!H126))</f>
        <v>0</v>
      </c>
      <c r="I130" s="14">
        <f>IF('Pegar ML'!C125="Paquete de 2 productos",IF('Pegar ML'!O125="",0,'Pegar ML'!O125),IF('Pegar ML'!O126="",0,'Pegar ML'!O126))</f>
        <v>0</v>
      </c>
      <c r="J130" s="14">
        <f>IF('Pegar ML'!C125="Paquete de 2 productos",IF('Pegar ML'!O125="",0,'Pegar ML'!O125),IF('Pegar ML'!O126="",0,'Pegar ML'!O126))</f>
        <v>0</v>
      </c>
      <c r="K130" s="14">
        <f t="shared" si="5"/>
        <v>0</v>
      </c>
      <c r="L130" s="27">
        <f>IF('Pegar ML'!AB126=" ",'Pegar ML'!AB125,'Pegar ML'!AB126)</f>
        <v>0</v>
      </c>
      <c r="M130" s="27" t="str">
        <f>IF('Pegar ML'!AC126=" ",RIGHT('Pegar ML'!AC125,8),RIGHT('Pegar ML'!AC126,8))</f>
        <v/>
      </c>
      <c r="N130" s="27" t="s">
        <v>80</v>
      </c>
      <c r="O130" s="27">
        <f t="shared" si="3"/>
        <v>0</v>
      </c>
      <c r="P130" s="27" t="s">
        <v>80</v>
      </c>
      <c r="Q130" s="55">
        <f>IF('Pegar ML'!AD126=" ",'Pegar ML'!AD125,'Pegar ML'!AD126)</f>
        <v>0</v>
      </c>
      <c r="R130" s="27" t="s">
        <v>80</v>
      </c>
      <c r="S130" s="27" t="s">
        <v>80</v>
      </c>
      <c r="T130" s="27" t="s">
        <v>80</v>
      </c>
      <c r="U130" s="55">
        <f>IF('Pegar ML'!AI126=" ",'Pegar ML'!AI125,'Pegar ML'!AI126)</f>
        <v>0</v>
      </c>
      <c r="V130" s="55">
        <f>IF('Pegar ML'!AK126=" ",'Pegar ML'!AK125,'Pegar ML'!AK126)</f>
        <v>0</v>
      </c>
      <c r="W130" s="55">
        <f>IF('Pegar ML'!AJ126=" ",'Pegar ML'!AJ125,'Pegar ML'!AJ126)</f>
        <v>0</v>
      </c>
      <c r="X130" s="55">
        <f>IF('Pegar ML'!AL126=" ",'Pegar ML'!AL125,'Pegar ML'!AL126)</f>
        <v>0</v>
      </c>
      <c r="Y130" s="27"/>
      <c r="Z130" s="27"/>
      <c r="AA130" s="27"/>
      <c r="AB130" s="27"/>
      <c r="AC130" s="27"/>
      <c r="AD130" s="27"/>
      <c r="AF130" s="8"/>
      <c r="AG130" s="27"/>
      <c r="AH130" s="14">
        <f>+'Pegar ML'!Y126</f>
        <v>0</v>
      </c>
      <c r="AI130" s="13">
        <f t="shared" si="4"/>
        <v>1</v>
      </c>
      <c r="AJ130" s="7">
        <f>+'Pegar ML'!T126</f>
        <v>0</v>
      </c>
      <c r="AK130" s="27"/>
      <c r="AL130" s="27"/>
      <c r="AM130" s="27"/>
      <c r="AN130" s="27"/>
      <c r="AO130" s="27"/>
      <c r="AP130" s="27"/>
      <c r="AQ130" s="27"/>
      <c r="AR130" s="27"/>
      <c r="AS130" s="27">
        <v>17</v>
      </c>
    </row>
    <row r="131" spans="1:45" x14ac:dyDescent="0.25">
      <c r="A131" s="27">
        <f>IF('Pegar ML'!C126="Paquete de 2 productos",'Pegar ML'!A126,IF('Pegar ML'!C125="Paquete de 2 productos",'Pegar ML'!A125,'Pegar ML'!A127))</f>
        <v>0</v>
      </c>
      <c r="B131" s="27"/>
      <c r="C131" s="30" t="e">
        <f>IF(AjusteFecha!I127=0,"",AjusteFecha!I127)</f>
        <v>#N/A</v>
      </c>
      <c r="D131" s="27"/>
      <c r="E131" s="27"/>
      <c r="F131" s="27" t="str">
        <f>IF('Pegar ML'!C127="","",'Pegar ML'!C127)</f>
        <v/>
      </c>
      <c r="G131" s="27" t="str">
        <f>IF('Pegar ML'!G122="ARS","PS","PS")</f>
        <v>PS</v>
      </c>
      <c r="H131" s="14">
        <f>IF('Pegar ML'!C126="Paquete de 2 productos",IF('Pegar ML'!H126="",0,'Pegar ML'!H126),IF('Pegar ML'!H127="",0,'Pegar ML'!H127))</f>
        <v>0</v>
      </c>
      <c r="I131" s="14">
        <f>IF('Pegar ML'!C126="Paquete de 2 productos",IF('Pegar ML'!O126="",0,'Pegar ML'!O126),IF('Pegar ML'!O127="",0,'Pegar ML'!O127))</f>
        <v>0</v>
      </c>
      <c r="J131" s="14">
        <f>IF('Pegar ML'!C126="Paquete de 2 productos",IF('Pegar ML'!O126="",0,'Pegar ML'!O126),IF('Pegar ML'!O127="",0,'Pegar ML'!O127))</f>
        <v>0</v>
      </c>
      <c r="K131" s="14">
        <f t="shared" si="5"/>
        <v>0</v>
      </c>
      <c r="L131" s="27">
        <f>IF('Pegar ML'!AB127=" ",'Pegar ML'!AB126,'Pegar ML'!AB127)</f>
        <v>0</v>
      </c>
      <c r="M131" s="27" t="str">
        <f>IF('Pegar ML'!AC127=" ",RIGHT('Pegar ML'!AC126,8),RIGHT('Pegar ML'!AC127,8))</f>
        <v/>
      </c>
      <c r="N131" s="27" t="s">
        <v>80</v>
      </c>
      <c r="O131" s="27">
        <f t="shared" si="3"/>
        <v>0</v>
      </c>
      <c r="P131" s="27" t="s">
        <v>80</v>
      </c>
      <c r="Q131" s="55">
        <f>IF('Pegar ML'!AD127=" ",'Pegar ML'!AD126,'Pegar ML'!AD127)</f>
        <v>0</v>
      </c>
      <c r="R131" s="27" t="s">
        <v>80</v>
      </c>
      <c r="S131" s="27" t="s">
        <v>80</v>
      </c>
      <c r="T131" s="27" t="s">
        <v>80</v>
      </c>
      <c r="U131" s="55">
        <f>IF('Pegar ML'!AI127=" ",'Pegar ML'!AI126,'Pegar ML'!AI127)</f>
        <v>0</v>
      </c>
      <c r="V131" s="55">
        <f>IF('Pegar ML'!AK127=" ",'Pegar ML'!AK126,'Pegar ML'!AK127)</f>
        <v>0</v>
      </c>
      <c r="W131" s="55">
        <f>IF('Pegar ML'!AJ127=" ",'Pegar ML'!AJ126,'Pegar ML'!AJ127)</f>
        <v>0</v>
      </c>
      <c r="X131" s="55">
        <f>IF('Pegar ML'!AL127=" ",'Pegar ML'!AL126,'Pegar ML'!AL127)</f>
        <v>0</v>
      </c>
      <c r="Y131" s="27"/>
      <c r="Z131" s="27"/>
      <c r="AA131" s="27"/>
      <c r="AB131" s="27"/>
      <c r="AC131" s="27"/>
      <c r="AD131" s="27"/>
      <c r="AF131" s="8"/>
      <c r="AG131" s="27"/>
      <c r="AH131" s="14">
        <f>+'Pegar ML'!Y127</f>
        <v>0</v>
      </c>
      <c r="AI131" s="13">
        <f t="shared" si="4"/>
        <v>1</v>
      </c>
      <c r="AJ131" s="7">
        <f>+'Pegar ML'!T127</f>
        <v>0</v>
      </c>
      <c r="AK131" s="27"/>
      <c r="AL131" s="27"/>
      <c r="AM131" s="27"/>
      <c r="AN131" s="27"/>
      <c r="AO131" s="27"/>
      <c r="AP131" s="27"/>
      <c r="AQ131" s="27"/>
      <c r="AR131" s="27"/>
      <c r="AS131" s="27">
        <v>17</v>
      </c>
    </row>
    <row r="132" spans="1:45" x14ac:dyDescent="0.25">
      <c r="A132" s="27">
        <f>IF('Pegar ML'!C127="Paquete de 2 productos",'Pegar ML'!A127,IF('Pegar ML'!C126="Paquete de 2 productos",'Pegar ML'!A126,'Pegar ML'!A128))</f>
        <v>0</v>
      </c>
      <c r="B132" s="27"/>
      <c r="C132" s="30" t="e">
        <f>IF(AjusteFecha!I128=0,"",AjusteFecha!I128)</f>
        <v>#N/A</v>
      </c>
      <c r="D132" s="27"/>
      <c r="E132" s="27"/>
      <c r="F132" s="27" t="str">
        <f>IF('Pegar ML'!C128="","",'Pegar ML'!C128)</f>
        <v/>
      </c>
      <c r="G132" s="27" t="str">
        <f>IF('Pegar ML'!G123="ARS","PS","PS")</f>
        <v>PS</v>
      </c>
      <c r="H132" s="14">
        <f>IF('Pegar ML'!C127="Paquete de 2 productos",IF('Pegar ML'!H127="",0,'Pegar ML'!H127),IF('Pegar ML'!H128="",0,'Pegar ML'!H128))</f>
        <v>0</v>
      </c>
      <c r="I132" s="14">
        <f>IF('Pegar ML'!C127="Paquete de 2 productos",IF('Pegar ML'!O127="",0,'Pegar ML'!O127),IF('Pegar ML'!O128="",0,'Pegar ML'!O128))</f>
        <v>0</v>
      </c>
      <c r="J132" s="14">
        <f>IF('Pegar ML'!C127="Paquete de 2 productos",IF('Pegar ML'!O127="",0,'Pegar ML'!O127),IF('Pegar ML'!O128="",0,'Pegar ML'!O128))</f>
        <v>0</v>
      </c>
      <c r="K132" s="14">
        <f t="shared" si="5"/>
        <v>0</v>
      </c>
      <c r="L132" s="27">
        <f>IF('Pegar ML'!AB128=" ",'Pegar ML'!AB127,'Pegar ML'!AB128)</f>
        <v>0</v>
      </c>
      <c r="M132" s="27" t="str">
        <f>IF('Pegar ML'!AC128=" ",RIGHT('Pegar ML'!AC127,8),RIGHT('Pegar ML'!AC128,8))</f>
        <v/>
      </c>
      <c r="N132" s="27" t="s">
        <v>80</v>
      </c>
      <c r="O132" s="27">
        <f t="shared" si="3"/>
        <v>0</v>
      </c>
      <c r="P132" s="27" t="s">
        <v>80</v>
      </c>
      <c r="Q132" s="55">
        <f>IF('Pegar ML'!AD128=" ",'Pegar ML'!AD127,'Pegar ML'!AD128)</f>
        <v>0</v>
      </c>
      <c r="R132" s="27" t="s">
        <v>80</v>
      </c>
      <c r="S132" s="27" t="s">
        <v>80</v>
      </c>
      <c r="T132" s="27" t="s">
        <v>80</v>
      </c>
      <c r="U132" s="55">
        <f>IF('Pegar ML'!AI128=" ",'Pegar ML'!AI127,'Pegar ML'!AI128)</f>
        <v>0</v>
      </c>
      <c r="V132" s="55">
        <f>IF('Pegar ML'!AK128=" ",'Pegar ML'!AK127,'Pegar ML'!AK128)</f>
        <v>0</v>
      </c>
      <c r="W132" s="55">
        <f>IF('Pegar ML'!AJ128=" ",'Pegar ML'!AJ127,'Pegar ML'!AJ128)</f>
        <v>0</v>
      </c>
      <c r="X132" s="55">
        <f>IF('Pegar ML'!AL128=" ",'Pegar ML'!AL127,'Pegar ML'!AL128)</f>
        <v>0</v>
      </c>
      <c r="Y132" s="27"/>
      <c r="Z132" s="27"/>
      <c r="AA132" s="27"/>
      <c r="AB132" s="27"/>
      <c r="AC132" s="27"/>
      <c r="AD132" s="27"/>
      <c r="AF132" s="8"/>
      <c r="AG132" s="27"/>
      <c r="AH132" s="14">
        <f>+'Pegar ML'!Y128</f>
        <v>0</v>
      </c>
      <c r="AI132" s="13">
        <f t="shared" si="4"/>
        <v>1</v>
      </c>
      <c r="AJ132" s="7">
        <f>+'Pegar ML'!T128</f>
        <v>0</v>
      </c>
      <c r="AK132" s="27"/>
      <c r="AL132" s="27"/>
      <c r="AM132" s="27"/>
      <c r="AN132" s="27"/>
      <c r="AO132" s="27"/>
      <c r="AP132" s="27"/>
      <c r="AQ132" s="27"/>
      <c r="AR132" s="27"/>
      <c r="AS132" s="27">
        <v>17</v>
      </c>
    </row>
    <row r="133" spans="1:45" x14ac:dyDescent="0.25">
      <c r="A133" s="27">
        <f>IF('Pegar ML'!C128="Paquete de 2 productos",'Pegar ML'!A128,IF('Pegar ML'!C127="Paquete de 2 productos",'Pegar ML'!A127,'Pegar ML'!A129))</f>
        <v>0</v>
      </c>
      <c r="B133" s="27"/>
      <c r="C133" s="30" t="e">
        <f>IF(AjusteFecha!I129=0,"",AjusteFecha!I129)</f>
        <v>#N/A</v>
      </c>
      <c r="D133" s="27"/>
      <c r="E133" s="27"/>
      <c r="F133" s="27" t="str">
        <f>IF('Pegar ML'!C129="","",'Pegar ML'!C129)</f>
        <v/>
      </c>
      <c r="G133" s="27" t="str">
        <f>IF('Pegar ML'!G124="ARS","PS","PS")</f>
        <v>PS</v>
      </c>
      <c r="H133" s="14">
        <f>IF('Pegar ML'!C128="Paquete de 2 productos",IF('Pegar ML'!H128="",0,'Pegar ML'!H128),IF('Pegar ML'!H129="",0,'Pegar ML'!H129))</f>
        <v>0</v>
      </c>
      <c r="I133" s="14">
        <f>IF('Pegar ML'!C128="Paquete de 2 productos",IF('Pegar ML'!O128="",0,'Pegar ML'!O128),IF('Pegar ML'!O129="",0,'Pegar ML'!O129))</f>
        <v>0</v>
      </c>
      <c r="J133" s="14">
        <f>IF('Pegar ML'!C128="Paquete de 2 productos",IF('Pegar ML'!O128="",0,'Pegar ML'!O128),IF('Pegar ML'!O129="",0,'Pegar ML'!O129))</f>
        <v>0</v>
      </c>
      <c r="K133" s="14">
        <f t="shared" si="5"/>
        <v>0</v>
      </c>
      <c r="L133" s="27">
        <f>IF('Pegar ML'!AB129=" ",'Pegar ML'!AB128,'Pegar ML'!AB129)</f>
        <v>0</v>
      </c>
      <c r="M133" s="27" t="str">
        <f>IF('Pegar ML'!AC129=" ",RIGHT('Pegar ML'!AC128,8),RIGHT('Pegar ML'!AC129,8))</f>
        <v/>
      </c>
      <c r="N133" s="27" t="s">
        <v>80</v>
      </c>
      <c r="O133" s="27">
        <f t="shared" si="3"/>
        <v>0</v>
      </c>
      <c r="P133" s="27" t="s">
        <v>80</v>
      </c>
      <c r="Q133" s="55">
        <f>IF('Pegar ML'!AD129=" ",'Pegar ML'!AD128,'Pegar ML'!AD129)</f>
        <v>0</v>
      </c>
      <c r="R133" s="27" t="s">
        <v>80</v>
      </c>
      <c r="S133" s="27" t="s">
        <v>80</v>
      </c>
      <c r="T133" s="27" t="s">
        <v>80</v>
      </c>
      <c r="U133" s="55">
        <f>IF('Pegar ML'!AI129=" ",'Pegar ML'!AI128,'Pegar ML'!AI129)</f>
        <v>0</v>
      </c>
      <c r="V133" s="55">
        <f>IF('Pegar ML'!AK129=" ",'Pegar ML'!AK128,'Pegar ML'!AK129)</f>
        <v>0</v>
      </c>
      <c r="W133" s="55">
        <f>IF('Pegar ML'!AJ129=" ",'Pegar ML'!AJ128,'Pegar ML'!AJ129)</f>
        <v>0</v>
      </c>
      <c r="X133" s="55">
        <f>IF('Pegar ML'!AL129=" ",'Pegar ML'!AL128,'Pegar ML'!AL129)</f>
        <v>0</v>
      </c>
      <c r="Y133" s="27"/>
      <c r="Z133" s="27"/>
      <c r="AA133" s="27"/>
      <c r="AB133" s="27"/>
      <c r="AC133" s="27"/>
      <c r="AD133" s="27"/>
      <c r="AF133" s="8"/>
      <c r="AG133" s="27"/>
      <c r="AH133" s="14">
        <f>+'Pegar ML'!Y129</f>
        <v>0</v>
      </c>
      <c r="AI133" s="13">
        <f t="shared" si="4"/>
        <v>1</v>
      </c>
      <c r="AJ133" s="7">
        <f>+'Pegar ML'!T129</f>
        <v>0</v>
      </c>
      <c r="AK133" s="27"/>
      <c r="AL133" s="27"/>
      <c r="AM133" s="27"/>
      <c r="AN133" s="27"/>
      <c r="AO133" s="27"/>
      <c r="AP133" s="27"/>
      <c r="AQ133" s="27"/>
      <c r="AR133" s="27"/>
      <c r="AS133" s="27">
        <v>17</v>
      </c>
    </row>
    <row r="134" spans="1:45" x14ac:dyDescent="0.25">
      <c r="A134" s="27">
        <f>IF('Pegar ML'!C129="Paquete de 2 productos",'Pegar ML'!A129,IF('Pegar ML'!C128="Paquete de 2 productos",'Pegar ML'!A128,'Pegar ML'!A130))</f>
        <v>0</v>
      </c>
      <c r="B134" s="27"/>
      <c r="C134" s="30" t="e">
        <f>IF(AjusteFecha!I130=0,"",AjusteFecha!I130)</f>
        <v>#N/A</v>
      </c>
      <c r="D134" s="27"/>
      <c r="E134" s="27"/>
      <c r="F134" s="27" t="str">
        <f>IF('Pegar ML'!C130="","",'Pegar ML'!C130)</f>
        <v/>
      </c>
      <c r="G134" s="27" t="str">
        <f>IF('Pegar ML'!G125="ARS","PS","PS")</f>
        <v>PS</v>
      </c>
      <c r="H134" s="14">
        <f>IF('Pegar ML'!C129="Paquete de 2 productos",IF('Pegar ML'!H129="",0,'Pegar ML'!H129),IF('Pegar ML'!H130="",0,'Pegar ML'!H130))</f>
        <v>0</v>
      </c>
      <c r="I134" s="14">
        <f>IF('Pegar ML'!C129="Paquete de 2 productos",IF('Pegar ML'!O129="",0,'Pegar ML'!O129),IF('Pegar ML'!O130="",0,'Pegar ML'!O130))</f>
        <v>0</v>
      </c>
      <c r="J134" s="14">
        <f>IF('Pegar ML'!C129="Paquete de 2 productos",IF('Pegar ML'!O129="",0,'Pegar ML'!O129),IF('Pegar ML'!O130="",0,'Pegar ML'!O130))</f>
        <v>0</v>
      </c>
      <c r="K134" s="14">
        <f t="shared" si="5"/>
        <v>0</v>
      </c>
      <c r="L134" s="27">
        <f>IF('Pegar ML'!AB130=" ",'Pegar ML'!AB129,'Pegar ML'!AB130)</f>
        <v>0</v>
      </c>
      <c r="M134" s="27" t="str">
        <f>IF('Pegar ML'!AC130=" ",RIGHT('Pegar ML'!AC129,8),RIGHT('Pegar ML'!AC130,8))</f>
        <v/>
      </c>
      <c r="N134" s="27" t="s">
        <v>80</v>
      </c>
      <c r="O134" s="27">
        <f t="shared" si="3"/>
        <v>0</v>
      </c>
      <c r="P134" s="27" t="s">
        <v>80</v>
      </c>
      <c r="Q134" s="55">
        <f>IF('Pegar ML'!AD130=" ",'Pegar ML'!AD129,'Pegar ML'!AD130)</f>
        <v>0</v>
      </c>
      <c r="R134" s="27" t="s">
        <v>80</v>
      </c>
      <c r="S134" s="27" t="s">
        <v>80</v>
      </c>
      <c r="T134" s="27" t="s">
        <v>80</v>
      </c>
      <c r="U134" s="55">
        <f>IF('Pegar ML'!AI130=" ",'Pegar ML'!AI129,'Pegar ML'!AI130)</f>
        <v>0</v>
      </c>
      <c r="V134" s="55">
        <f>IF('Pegar ML'!AK130=" ",'Pegar ML'!AK129,'Pegar ML'!AK130)</f>
        <v>0</v>
      </c>
      <c r="W134" s="55">
        <f>IF('Pegar ML'!AJ130=" ",'Pegar ML'!AJ129,'Pegar ML'!AJ130)</f>
        <v>0</v>
      </c>
      <c r="X134" s="55">
        <f>IF('Pegar ML'!AL130=" ",'Pegar ML'!AL129,'Pegar ML'!AL130)</f>
        <v>0</v>
      </c>
      <c r="Y134" s="27"/>
      <c r="Z134" s="27"/>
      <c r="AA134" s="27"/>
      <c r="AB134" s="27"/>
      <c r="AC134" s="27"/>
      <c r="AD134" s="27"/>
      <c r="AF134" s="8"/>
      <c r="AG134" s="27"/>
      <c r="AH134" s="14">
        <f>+'Pegar ML'!Y130</f>
        <v>0</v>
      </c>
      <c r="AI134" s="13">
        <f t="shared" si="4"/>
        <v>1</v>
      </c>
      <c r="AJ134" s="7">
        <f>+'Pegar ML'!T130</f>
        <v>0</v>
      </c>
      <c r="AK134" s="27"/>
      <c r="AL134" s="27"/>
      <c r="AM134" s="27"/>
      <c r="AN134" s="27"/>
      <c r="AO134" s="27"/>
      <c r="AP134" s="27"/>
      <c r="AQ134" s="27"/>
      <c r="AR134" s="27"/>
      <c r="AS134" s="27">
        <v>17</v>
      </c>
    </row>
    <row r="135" spans="1:45" x14ac:dyDescent="0.25">
      <c r="A135" s="27">
        <f>IF('Pegar ML'!C130="Paquete de 2 productos",'Pegar ML'!A130,IF('Pegar ML'!C129="Paquete de 2 productos",'Pegar ML'!A129,'Pegar ML'!A131))</f>
        <v>0</v>
      </c>
      <c r="B135" s="27"/>
      <c r="C135" s="30" t="e">
        <f>IF(AjusteFecha!I131=0,"",AjusteFecha!I131)</f>
        <v>#N/A</v>
      </c>
      <c r="D135" s="27"/>
      <c r="E135" s="27"/>
      <c r="F135" s="27" t="str">
        <f>IF('Pegar ML'!C131="","",'Pegar ML'!C131)</f>
        <v/>
      </c>
      <c r="G135" s="27" t="str">
        <f>IF('Pegar ML'!G126="ARS","PS","PS")</f>
        <v>PS</v>
      </c>
      <c r="H135" s="14">
        <f>IF('Pegar ML'!C130="Paquete de 2 productos",IF('Pegar ML'!H130="",0,'Pegar ML'!H130),IF('Pegar ML'!H131="",0,'Pegar ML'!H131))</f>
        <v>0</v>
      </c>
      <c r="I135" s="14">
        <f>IF('Pegar ML'!C130="Paquete de 2 productos",IF('Pegar ML'!O130="",0,'Pegar ML'!O130),IF('Pegar ML'!O131="",0,'Pegar ML'!O131))</f>
        <v>0</v>
      </c>
      <c r="J135" s="14">
        <f>IF('Pegar ML'!C130="Paquete de 2 productos",IF('Pegar ML'!O130="",0,'Pegar ML'!O130),IF('Pegar ML'!O131="",0,'Pegar ML'!O131))</f>
        <v>0</v>
      </c>
      <c r="K135" s="14">
        <f t="shared" si="5"/>
        <v>0</v>
      </c>
      <c r="L135" s="27">
        <f>IF('Pegar ML'!AB131=" ",'Pegar ML'!AB130,'Pegar ML'!AB131)</f>
        <v>0</v>
      </c>
      <c r="M135" s="27" t="str">
        <f>IF('Pegar ML'!AC131=" ",RIGHT('Pegar ML'!AC130,8),RIGHT('Pegar ML'!AC131,8))</f>
        <v/>
      </c>
      <c r="N135" s="27" t="s">
        <v>80</v>
      </c>
      <c r="O135" s="27">
        <f t="shared" si="3"/>
        <v>0</v>
      </c>
      <c r="P135" s="27" t="s">
        <v>80</v>
      </c>
      <c r="Q135" s="55">
        <f>IF('Pegar ML'!AD131=" ",'Pegar ML'!AD130,'Pegar ML'!AD131)</f>
        <v>0</v>
      </c>
      <c r="R135" s="27" t="s">
        <v>80</v>
      </c>
      <c r="S135" s="27" t="s">
        <v>80</v>
      </c>
      <c r="T135" s="27" t="s">
        <v>80</v>
      </c>
      <c r="U135" s="55">
        <f>IF('Pegar ML'!AI131=" ",'Pegar ML'!AI130,'Pegar ML'!AI131)</f>
        <v>0</v>
      </c>
      <c r="V135" s="55">
        <f>IF('Pegar ML'!AK131=" ",'Pegar ML'!AK130,'Pegar ML'!AK131)</f>
        <v>0</v>
      </c>
      <c r="W135" s="55">
        <f>IF('Pegar ML'!AJ131=" ",'Pegar ML'!AJ130,'Pegar ML'!AJ131)</f>
        <v>0</v>
      </c>
      <c r="X135" s="55">
        <f>IF('Pegar ML'!AL131=" ",'Pegar ML'!AL130,'Pegar ML'!AL131)</f>
        <v>0</v>
      </c>
      <c r="Y135" s="27"/>
      <c r="Z135" s="27"/>
      <c r="AA135" s="27"/>
      <c r="AB135" s="27"/>
      <c r="AC135" s="27"/>
      <c r="AD135" s="27"/>
      <c r="AF135" s="8"/>
      <c r="AG135" s="27"/>
      <c r="AH135" s="14">
        <f>+'Pegar ML'!Y131</f>
        <v>0</v>
      </c>
      <c r="AI135" s="13">
        <f t="shared" si="4"/>
        <v>1</v>
      </c>
      <c r="AJ135" s="7">
        <f>+'Pegar ML'!T131</f>
        <v>0</v>
      </c>
      <c r="AK135" s="27"/>
      <c r="AL135" s="27"/>
      <c r="AM135" s="27"/>
      <c r="AN135" s="27"/>
      <c r="AO135" s="27"/>
      <c r="AP135" s="27"/>
      <c r="AQ135" s="27"/>
      <c r="AR135" s="27"/>
      <c r="AS135" s="27">
        <v>17</v>
      </c>
    </row>
    <row r="136" spans="1:45" x14ac:dyDescent="0.25">
      <c r="A136" s="27">
        <f>IF('Pegar ML'!C131="Paquete de 2 productos",'Pegar ML'!A131,IF('Pegar ML'!C130="Paquete de 2 productos",'Pegar ML'!A130,'Pegar ML'!A132))</f>
        <v>0</v>
      </c>
      <c r="B136" s="27"/>
      <c r="C136" s="30" t="e">
        <f>IF(AjusteFecha!I132=0,"",AjusteFecha!I132)</f>
        <v>#N/A</v>
      </c>
      <c r="D136" s="27"/>
      <c r="E136" s="27"/>
      <c r="F136" s="27" t="str">
        <f>IF('Pegar ML'!C132="","",'Pegar ML'!C132)</f>
        <v/>
      </c>
      <c r="G136" s="27" t="str">
        <f>IF('Pegar ML'!G127="ARS","PS","PS")</f>
        <v>PS</v>
      </c>
      <c r="H136" s="14">
        <f>IF('Pegar ML'!C131="Paquete de 2 productos",IF('Pegar ML'!H131="",0,'Pegar ML'!H131),IF('Pegar ML'!H132="",0,'Pegar ML'!H132))</f>
        <v>0</v>
      </c>
      <c r="I136" s="14">
        <f>IF('Pegar ML'!C131="Paquete de 2 productos",IF('Pegar ML'!O131="",0,'Pegar ML'!O131),IF('Pegar ML'!O132="",0,'Pegar ML'!O132))</f>
        <v>0</v>
      </c>
      <c r="J136" s="14">
        <f>IF('Pegar ML'!C131="Paquete de 2 productos",IF('Pegar ML'!O131="",0,'Pegar ML'!O131),IF('Pegar ML'!O132="",0,'Pegar ML'!O132))</f>
        <v>0</v>
      </c>
      <c r="K136" s="14">
        <f t="shared" si="5"/>
        <v>0</v>
      </c>
      <c r="L136" s="27">
        <f>IF('Pegar ML'!AB132=" ",'Pegar ML'!AB131,'Pegar ML'!AB132)</f>
        <v>0</v>
      </c>
      <c r="M136" s="27" t="str">
        <f>IF('Pegar ML'!AC132=" ",RIGHT('Pegar ML'!AC131,8),RIGHT('Pegar ML'!AC132,8))</f>
        <v/>
      </c>
      <c r="N136" s="27" t="s">
        <v>80</v>
      </c>
      <c r="O136" s="27">
        <f t="shared" si="3"/>
        <v>0</v>
      </c>
      <c r="P136" s="27" t="s">
        <v>80</v>
      </c>
      <c r="Q136" s="55">
        <f>IF('Pegar ML'!AD132=" ",'Pegar ML'!AD131,'Pegar ML'!AD132)</f>
        <v>0</v>
      </c>
      <c r="R136" s="27" t="s">
        <v>80</v>
      </c>
      <c r="S136" s="27" t="s">
        <v>80</v>
      </c>
      <c r="T136" s="27" t="s">
        <v>80</v>
      </c>
      <c r="U136" s="55">
        <f>IF('Pegar ML'!AI132=" ",'Pegar ML'!AI131,'Pegar ML'!AI132)</f>
        <v>0</v>
      </c>
      <c r="V136" s="55">
        <f>IF('Pegar ML'!AK132=" ",'Pegar ML'!AK131,'Pegar ML'!AK132)</f>
        <v>0</v>
      </c>
      <c r="W136" s="55">
        <f>IF('Pegar ML'!AJ132=" ",'Pegar ML'!AJ131,'Pegar ML'!AJ132)</f>
        <v>0</v>
      </c>
      <c r="X136" s="55">
        <f>IF('Pegar ML'!AL132=" ",'Pegar ML'!AL131,'Pegar ML'!AL132)</f>
        <v>0</v>
      </c>
      <c r="Y136" s="27"/>
      <c r="Z136" s="27"/>
      <c r="AA136" s="27"/>
      <c r="AB136" s="27"/>
      <c r="AC136" s="27"/>
      <c r="AD136" s="27"/>
      <c r="AF136" s="8"/>
      <c r="AG136" s="27"/>
      <c r="AH136" s="14">
        <f>+'Pegar ML'!Y132</f>
        <v>0</v>
      </c>
      <c r="AI136" s="13">
        <f t="shared" si="4"/>
        <v>1</v>
      </c>
      <c r="AJ136" s="7">
        <f>+'Pegar ML'!T132</f>
        <v>0</v>
      </c>
      <c r="AK136" s="27"/>
      <c r="AL136" s="27"/>
      <c r="AM136" s="27"/>
      <c r="AN136" s="27"/>
      <c r="AO136" s="27"/>
      <c r="AP136" s="27"/>
      <c r="AQ136" s="27"/>
      <c r="AR136" s="27"/>
      <c r="AS136" s="27">
        <v>17</v>
      </c>
    </row>
    <row r="137" spans="1:45" x14ac:dyDescent="0.25">
      <c r="A137" s="27">
        <f>IF('Pegar ML'!C132="Paquete de 2 productos",'Pegar ML'!A132,IF('Pegar ML'!C131="Paquete de 2 productos",'Pegar ML'!A131,'Pegar ML'!A133))</f>
        <v>0</v>
      </c>
      <c r="B137" s="27"/>
      <c r="C137" s="30" t="e">
        <f>IF(AjusteFecha!I133=0,"",AjusteFecha!I133)</f>
        <v>#N/A</v>
      </c>
      <c r="D137" s="27"/>
      <c r="E137" s="27"/>
      <c r="F137" s="27" t="str">
        <f>IF('Pegar ML'!C133="","",'Pegar ML'!C133)</f>
        <v/>
      </c>
      <c r="G137" s="27" t="str">
        <f>IF('Pegar ML'!G128="ARS","PS","PS")</f>
        <v>PS</v>
      </c>
      <c r="H137" s="14">
        <f>IF('Pegar ML'!C132="Paquete de 2 productos",IF('Pegar ML'!H132="",0,'Pegar ML'!H132),IF('Pegar ML'!H133="",0,'Pegar ML'!H133))</f>
        <v>0</v>
      </c>
      <c r="I137" s="14">
        <f>IF('Pegar ML'!C132="Paquete de 2 productos",IF('Pegar ML'!O132="",0,'Pegar ML'!O132),IF('Pegar ML'!O133="",0,'Pegar ML'!O133))</f>
        <v>0</v>
      </c>
      <c r="J137" s="14">
        <f>IF('Pegar ML'!C132="Paquete de 2 productos",IF('Pegar ML'!O132="",0,'Pegar ML'!O132),IF('Pegar ML'!O133="",0,'Pegar ML'!O133))</f>
        <v>0</v>
      </c>
      <c r="K137" s="14">
        <f t="shared" si="5"/>
        <v>0</v>
      </c>
      <c r="L137" s="27">
        <f>IF('Pegar ML'!AB133=" ",'Pegar ML'!AB132,'Pegar ML'!AB133)</f>
        <v>0</v>
      </c>
      <c r="M137" s="27" t="str">
        <f>IF('Pegar ML'!AC133=" ",RIGHT('Pegar ML'!AC132,8),RIGHT('Pegar ML'!AC133,8))</f>
        <v/>
      </c>
      <c r="N137" s="27" t="s">
        <v>80</v>
      </c>
      <c r="O137" s="27">
        <f t="shared" si="3"/>
        <v>0</v>
      </c>
      <c r="P137" s="27" t="s">
        <v>80</v>
      </c>
      <c r="Q137" s="55">
        <f>IF('Pegar ML'!AD133=" ",'Pegar ML'!AD132,'Pegar ML'!AD133)</f>
        <v>0</v>
      </c>
      <c r="R137" s="27" t="s">
        <v>80</v>
      </c>
      <c r="S137" s="27" t="s">
        <v>80</v>
      </c>
      <c r="T137" s="27" t="s">
        <v>80</v>
      </c>
      <c r="U137" s="55">
        <f>IF('Pegar ML'!AI133=" ",'Pegar ML'!AI132,'Pegar ML'!AI133)</f>
        <v>0</v>
      </c>
      <c r="V137" s="55">
        <f>IF('Pegar ML'!AK133=" ",'Pegar ML'!AK132,'Pegar ML'!AK133)</f>
        <v>0</v>
      </c>
      <c r="W137" s="55">
        <f>IF('Pegar ML'!AJ133=" ",'Pegar ML'!AJ132,'Pegar ML'!AJ133)</f>
        <v>0</v>
      </c>
      <c r="X137" s="55">
        <f>IF('Pegar ML'!AL133=" ",'Pegar ML'!AL132,'Pegar ML'!AL133)</f>
        <v>0</v>
      </c>
      <c r="Y137" s="27"/>
      <c r="Z137" s="27"/>
      <c r="AA137" s="27"/>
      <c r="AB137" s="27"/>
      <c r="AC137" s="27"/>
      <c r="AD137" s="27"/>
      <c r="AF137" s="8"/>
      <c r="AG137" s="27"/>
      <c r="AH137" s="14">
        <f>+'Pegar ML'!Y133</f>
        <v>0</v>
      </c>
      <c r="AI137" s="13">
        <f t="shared" si="4"/>
        <v>1</v>
      </c>
      <c r="AJ137" s="7">
        <f>+'Pegar ML'!T133</f>
        <v>0</v>
      </c>
      <c r="AK137" s="27"/>
      <c r="AL137" s="27"/>
      <c r="AM137" s="27"/>
      <c r="AN137" s="27"/>
      <c r="AO137" s="27"/>
      <c r="AP137" s="27"/>
      <c r="AQ137" s="27"/>
      <c r="AR137" s="27"/>
      <c r="AS137" s="27">
        <v>17</v>
      </c>
    </row>
    <row r="138" spans="1:45" x14ac:dyDescent="0.25">
      <c r="A138" s="27">
        <f>IF('Pegar ML'!C133="Paquete de 2 productos",'Pegar ML'!A133,IF('Pegar ML'!C132="Paquete de 2 productos",'Pegar ML'!A132,'Pegar ML'!A134))</f>
        <v>0</v>
      </c>
      <c r="B138" s="27"/>
      <c r="C138" s="30" t="e">
        <f>IF(AjusteFecha!I134=0,"",AjusteFecha!I134)</f>
        <v>#N/A</v>
      </c>
      <c r="D138" s="27"/>
      <c r="E138" s="27"/>
      <c r="F138" s="27" t="str">
        <f>IF('Pegar ML'!C134="","",'Pegar ML'!C134)</f>
        <v/>
      </c>
      <c r="G138" s="27" t="str">
        <f>IF('Pegar ML'!G129="ARS","PS","PS")</f>
        <v>PS</v>
      </c>
      <c r="H138" s="14">
        <f>IF('Pegar ML'!C133="Paquete de 2 productos",IF('Pegar ML'!H133="",0,'Pegar ML'!H133),IF('Pegar ML'!H134="",0,'Pegar ML'!H134))</f>
        <v>0</v>
      </c>
      <c r="I138" s="14">
        <f>IF('Pegar ML'!C133="Paquete de 2 productos",IF('Pegar ML'!O133="",0,'Pegar ML'!O133),IF('Pegar ML'!O134="",0,'Pegar ML'!O134))</f>
        <v>0</v>
      </c>
      <c r="J138" s="14">
        <f>IF('Pegar ML'!C133="Paquete de 2 productos",IF('Pegar ML'!O133="",0,'Pegar ML'!O133),IF('Pegar ML'!O134="",0,'Pegar ML'!O134))</f>
        <v>0</v>
      </c>
      <c r="K138" s="14">
        <f t="shared" si="5"/>
        <v>0</v>
      </c>
      <c r="L138" s="27">
        <f>IF('Pegar ML'!AB134=" ",'Pegar ML'!AB133,'Pegar ML'!AB134)</f>
        <v>0</v>
      </c>
      <c r="M138" s="27" t="str">
        <f>IF('Pegar ML'!AC134=" ",RIGHT('Pegar ML'!AC133,8),RIGHT('Pegar ML'!AC134,8))</f>
        <v/>
      </c>
      <c r="N138" s="27" t="s">
        <v>80</v>
      </c>
      <c r="O138" s="27">
        <f t="shared" si="3"/>
        <v>0</v>
      </c>
      <c r="P138" s="27" t="s">
        <v>80</v>
      </c>
      <c r="Q138" s="55">
        <f>IF('Pegar ML'!AD134=" ",'Pegar ML'!AD133,'Pegar ML'!AD134)</f>
        <v>0</v>
      </c>
      <c r="R138" s="27" t="s">
        <v>80</v>
      </c>
      <c r="S138" s="27" t="s">
        <v>80</v>
      </c>
      <c r="T138" s="27" t="s">
        <v>80</v>
      </c>
      <c r="U138" s="55">
        <f>IF('Pegar ML'!AI134=" ",'Pegar ML'!AI133,'Pegar ML'!AI134)</f>
        <v>0</v>
      </c>
      <c r="V138" s="55">
        <f>IF('Pegar ML'!AK134=" ",'Pegar ML'!AK133,'Pegar ML'!AK134)</f>
        <v>0</v>
      </c>
      <c r="W138" s="55">
        <f>IF('Pegar ML'!AJ134=" ",'Pegar ML'!AJ133,'Pegar ML'!AJ134)</f>
        <v>0</v>
      </c>
      <c r="X138" s="55">
        <f>IF('Pegar ML'!AL134=" ",'Pegar ML'!AL133,'Pegar ML'!AL134)</f>
        <v>0</v>
      </c>
      <c r="Y138" s="27"/>
      <c r="Z138" s="27"/>
      <c r="AA138" s="27"/>
      <c r="AB138" s="27"/>
      <c r="AC138" s="27"/>
      <c r="AD138" s="27"/>
      <c r="AF138" s="8"/>
      <c r="AG138" s="27"/>
      <c r="AH138" s="14">
        <f>+'Pegar ML'!Y134</f>
        <v>0</v>
      </c>
      <c r="AI138" s="13">
        <f t="shared" si="4"/>
        <v>1</v>
      </c>
      <c r="AJ138" s="7">
        <f>+'Pegar ML'!T134</f>
        <v>0</v>
      </c>
      <c r="AK138" s="27"/>
      <c r="AL138" s="27"/>
      <c r="AM138" s="27"/>
      <c r="AN138" s="27"/>
      <c r="AO138" s="27"/>
      <c r="AP138" s="27"/>
      <c r="AQ138" s="27"/>
      <c r="AR138" s="27"/>
      <c r="AS138" s="27">
        <v>17</v>
      </c>
    </row>
    <row r="139" spans="1:45" x14ac:dyDescent="0.25">
      <c r="A139" s="27">
        <f>IF('Pegar ML'!C134="Paquete de 2 productos",'Pegar ML'!A134,IF('Pegar ML'!C133="Paquete de 2 productos",'Pegar ML'!A133,'Pegar ML'!A135))</f>
        <v>0</v>
      </c>
      <c r="B139" s="27"/>
      <c r="C139" s="30" t="e">
        <f>IF(AjusteFecha!I135=0,"",AjusteFecha!I135)</f>
        <v>#N/A</v>
      </c>
      <c r="D139" s="27"/>
      <c r="E139" s="27"/>
      <c r="F139" s="27" t="str">
        <f>IF('Pegar ML'!C135="","",'Pegar ML'!C135)</f>
        <v/>
      </c>
      <c r="G139" s="27" t="str">
        <f>IF('Pegar ML'!G130="ARS","PS","PS")</f>
        <v>PS</v>
      </c>
      <c r="H139" s="14">
        <f>IF('Pegar ML'!C134="Paquete de 2 productos",IF('Pegar ML'!H134="",0,'Pegar ML'!H134),IF('Pegar ML'!H135="",0,'Pegar ML'!H135))</f>
        <v>0</v>
      </c>
      <c r="I139" s="14">
        <f>IF('Pegar ML'!C134="Paquete de 2 productos",IF('Pegar ML'!O134="",0,'Pegar ML'!O134),IF('Pegar ML'!O135="",0,'Pegar ML'!O135))</f>
        <v>0</v>
      </c>
      <c r="J139" s="14">
        <f>IF('Pegar ML'!C134="Paquete de 2 productos",IF('Pegar ML'!O134="",0,'Pegar ML'!O134),IF('Pegar ML'!O135="",0,'Pegar ML'!O135))</f>
        <v>0</v>
      </c>
      <c r="K139" s="14">
        <f t="shared" si="5"/>
        <v>0</v>
      </c>
      <c r="L139" s="27">
        <f>IF('Pegar ML'!AB135=" ",'Pegar ML'!AB134,'Pegar ML'!AB135)</f>
        <v>0</v>
      </c>
      <c r="M139" s="27" t="str">
        <f>IF('Pegar ML'!AC135=" ",RIGHT('Pegar ML'!AC134,8),RIGHT('Pegar ML'!AC135,8))</f>
        <v/>
      </c>
      <c r="N139" s="27" t="s">
        <v>80</v>
      </c>
      <c r="O139" s="27">
        <f t="shared" ref="O139:O202" si="6">+L139</f>
        <v>0</v>
      </c>
      <c r="P139" s="27" t="s">
        <v>80</v>
      </c>
      <c r="Q139" s="55">
        <f>IF('Pegar ML'!AD135=" ",'Pegar ML'!AD134,'Pegar ML'!AD135)</f>
        <v>0</v>
      </c>
      <c r="R139" s="27" t="s">
        <v>80</v>
      </c>
      <c r="S139" s="27" t="s">
        <v>80</v>
      </c>
      <c r="T139" s="27" t="s">
        <v>80</v>
      </c>
      <c r="U139" s="55">
        <f>IF('Pegar ML'!AI135=" ",'Pegar ML'!AI134,'Pegar ML'!AI135)</f>
        <v>0</v>
      </c>
      <c r="V139" s="55">
        <f>IF('Pegar ML'!AK135=" ",'Pegar ML'!AK134,'Pegar ML'!AK135)</f>
        <v>0</v>
      </c>
      <c r="W139" s="55">
        <f>IF('Pegar ML'!AJ135=" ",'Pegar ML'!AJ134,'Pegar ML'!AJ135)</f>
        <v>0</v>
      </c>
      <c r="X139" s="55">
        <f>IF('Pegar ML'!AL135=" ",'Pegar ML'!AL134,'Pegar ML'!AL135)</f>
        <v>0</v>
      </c>
      <c r="Y139" s="27"/>
      <c r="Z139" s="27"/>
      <c r="AA139" s="27"/>
      <c r="AB139" s="27"/>
      <c r="AC139" s="27"/>
      <c r="AD139" s="27"/>
      <c r="AF139" s="8"/>
      <c r="AG139" s="27"/>
      <c r="AH139" s="14">
        <f>+'Pegar ML'!Y135</f>
        <v>0</v>
      </c>
      <c r="AI139" s="13">
        <f t="shared" ref="AI139:AI202" si="7">IF(F139="Paquete de 2 productos","",1)</f>
        <v>1</v>
      </c>
      <c r="AJ139" s="7">
        <f>+'Pegar ML'!T135</f>
        <v>0</v>
      </c>
      <c r="AK139" s="27"/>
      <c r="AL139" s="27"/>
      <c r="AM139" s="27"/>
      <c r="AN139" s="27"/>
      <c r="AO139" s="27"/>
      <c r="AP139" s="27"/>
      <c r="AQ139" s="27"/>
      <c r="AR139" s="27"/>
      <c r="AS139" s="27">
        <v>17</v>
      </c>
    </row>
    <row r="140" spans="1:45" ht="15" customHeight="1" x14ac:dyDescent="0.25">
      <c r="A140" s="27">
        <f>IF('Pegar ML'!C135="Paquete de 2 productos",'Pegar ML'!A135,IF('Pegar ML'!C134="Paquete de 2 productos",'Pegar ML'!A134,'Pegar ML'!A136))</f>
        <v>0</v>
      </c>
      <c r="B140" s="27"/>
      <c r="C140" s="30" t="e">
        <f>IF(AjusteFecha!I136=0,"",AjusteFecha!I136)</f>
        <v>#N/A</v>
      </c>
      <c r="D140" s="27"/>
      <c r="E140" s="27"/>
      <c r="F140" s="27" t="str">
        <f>IF('Pegar ML'!C136="","",'Pegar ML'!C136)</f>
        <v/>
      </c>
      <c r="G140" s="27" t="str">
        <f>IF('Pegar ML'!G131="ARS","PS","PS")</f>
        <v>PS</v>
      </c>
      <c r="H140" s="14">
        <f>IF('Pegar ML'!C135="Paquete de 2 productos",IF('Pegar ML'!H135="",0,'Pegar ML'!H135),IF('Pegar ML'!H136="",0,'Pegar ML'!H136))</f>
        <v>0</v>
      </c>
      <c r="I140" s="14">
        <f>IF('Pegar ML'!C135="Paquete de 2 productos",IF('Pegar ML'!O135="",0,'Pegar ML'!O135),IF('Pegar ML'!O136="",0,'Pegar ML'!O136))</f>
        <v>0</v>
      </c>
      <c r="J140" s="14">
        <f>IF('Pegar ML'!C135="Paquete de 2 productos",IF('Pegar ML'!O135="",0,'Pegar ML'!O135),IF('Pegar ML'!O136="",0,'Pegar ML'!O136))</f>
        <v>0</v>
      </c>
      <c r="K140" s="14">
        <f t="shared" ref="K140:K203" si="8">+H140-I140+J140</f>
        <v>0</v>
      </c>
      <c r="L140" s="27">
        <f>IF('Pegar ML'!AB136=" ",'Pegar ML'!AB135,'Pegar ML'!AB136)</f>
        <v>0</v>
      </c>
      <c r="M140" s="27" t="str">
        <f>IF('Pegar ML'!AC136=" ",RIGHT('Pegar ML'!AC135,8),RIGHT('Pegar ML'!AC136,8))</f>
        <v/>
      </c>
      <c r="N140" s="27" t="s">
        <v>80</v>
      </c>
      <c r="O140" s="27">
        <f t="shared" si="6"/>
        <v>0</v>
      </c>
      <c r="P140" s="27" t="s">
        <v>80</v>
      </c>
      <c r="Q140" s="55">
        <f>IF('Pegar ML'!AD136=" ",'Pegar ML'!AD135,'Pegar ML'!AD136)</f>
        <v>0</v>
      </c>
      <c r="R140" s="27" t="s">
        <v>80</v>
      </c>
      <c r="S140" s="27" t="s">
        <v>80</v>
      </c>
      <c r="T140" s="27" t="s">
        <v>80</v>
      </c>
      <c r="U140" s="55">
        <f>IF('Pegar ML'!AI136=" ",'Pegar ML'!AI135,'Pegar ML'!AI136)</f>
        <v>0</v>
      </c>
      <c r="V140" s="55">
        <f>IF('Pegar ML'!AK136=" ",'Pegar ML'!AK135,'Pegar ML'!AK136)</f>
        <v>0</v>
      </c>
      <c r="W140" s="55">
        <f>IF('Pegar ML'!AJ136=" ",'Pegar ML'!AJ135,'Pegar ML'!AJ136)</f>
        <v>0</v>
      </c>
      <c r="X140" s="55">
        <f>IF('Pegar ML'!AL136=" ",'Pegar ML'!AL135,'Pegar ML'!AL136)</f>
        <v>0</v>
      </c>
      <c r="Y140" s="27"/>
      <c r="Z140" s="27"/>
      <c r="AA140" s="27"/>
      <c r="AB140" s="27"/>
      <c r="AC140" s="27"/>
      <c r="AD140" s="27"/>
      <c r="AF140" s="8"/>
      <c r="AG140" s="27"/>
      <c r="AH140" s="14">
        <f>+'Pegar ML'!Y136</f>
        <v>0</v>
      </c>
      <c r="AI140" s="13">
        <f t="shared" si="7"/>
        <v>1</v>
      </c>
      <c r="AJ140" s="7">
        <f>+'Pegar ML'!T136</f>
        <v>0</v>
      </c>
      <c r="AK140" s="27"/>
      <c r="AL140" s="27"/>
      <c r="AM140" s="27"/>
      <c r="AN140" s="27"/>
      <c r="AO140" s="27"/>
      <c r="AP140" s="27"/>
      <c r="AQ140" s="27"/>
      <c r="AR140" s="27"/>
      <c r="AS140" s="27">
        <v>17</v>
      </c>
    </row>
    <row r="141" spans="1:45" ht="15" customHeight="1" x14ac:dyDescent="0.25">
      <c r="A141" s="27">
        <f>IF('Pegar ML'!C136="Paquete de 2 productos",'Pegar ML'!A136,IF('Pegar ML'!C135="Paquete de 2 productos",'Pegar ML'!A135,'Pegar ML'!A137))</f>
        <v>0</v>
      </c>
      <c r="B141" s="27"/>
      <c r="C141" s="30" t="e">
        <f>IF(AjusteFecha!I137=0,"",AjusteFecha!I137)</f>
        <v>#N/A</v>
      </c>
      <c r="D141" s="27"/>
      <c r="E141" s="27"/>
      <c r="F141" s="27" t="str">
        <f>IF('Pegar ML'!C137="","",'Pegar ML'!C137)</f>
        <v/>
      </c>
      <c r="G141" s="27" t="str">
        <f>IF('Pegar ML'!G132="ARS","PS","PS")</f>
        <v>PS</v>
      </c>
      <c r="H141" s="14">
        <f>IF('Pegar ML'!C136="Paquete de 2 productos",IF('Pegar ML'!H136="",0,'Pegar ML'!H136),IF('Pegar ML'!H137="",0,'Pegar ML'!H137))</f>
        <v>0</v>
      </c>
      <c r="I141" s="14">
        <f>IF('Pegar ML'!C136="Paquete de 2 productos",IF('Pegar ML'!O136="",0,'Pegar ML'!O136),IF('Pegar ML'!O137="",0,'Pegar ML'!O137))</f>
        <v>0</v>
      </c>
      <c r="J141" s="14">
        <f>IF('Pegar ML'!C136="Paquete de 2 productos",IF('Pegar ML'!O136="",0,'Pegar ML'!O136),IF('Pegar ML'!O137="",0,'Pegar ML'!O137))</f>
        <v>0</v>
      </c>
      <c r="K141" s="14">
        <f t="shared" si="8"/>
        <v>0</v>
      </c>
      <c r="L141" s="27">
        <f>IF('Pegar ML'!AB137=" ",'Pegar ML'!AB136,'Pegar ML'!AB137)</f>
        <v>0</v>
      </c>
      <c r="M141" s="27" t="str">
        <f>IF('Pegar ML'!AC137=" ",RIGHT('Pegar ML'!AC136,8),RIGHT('Pegar ML'!AC137,8))</f>
        <v/>
      </c>
      <c r="N141" s="27" t="s">
        <v>80</v>
      </c>
      <c r="O141" s="27">
        <f t="shared" si="6"/>
        <v>0</v>
      </c>
      <c r="P141" s="27" t="s">
        <v>80</v>
      </c>
      <c r="Q141" s="55">
        <f>IF('Pegar ML'!AD137=" ",'Pegar ML'!AD136,'Pegar ML'!AD137)</f>
        <v>0</v>
      </c>
      <c r="R141" s="27" t="s">
        <v>80</v>
      </c>
      <c r="S141" s="27" t="s">
        <v>80</v>
      </c>
      <c r="T141" s="27" t="s">
        <v>80</v>
      </c>
      <c r="U141" s="55">
        <f>IF('Pegar ML'!AI137=" ",'Pegar ML'!AI136,'Pegar ML'!AI137)</f>
        <v>0</v>
      </c>
      <c r="V141" s="55">
        <f>IF('Pegar ML'!AK137=" ",'Pegar ML'!AK136,'Pegar ML'!AK137)</f>
        <v>0</v>
      </c>
      <c r="W141" s="55">
        <f>IF('Pegar ML'!AJ137=" ",'Pegar ML'!AJ136,'Pegar ML'!AJ137)</f>
        <v>0</v>
      </c>
      <c r="X141" s="55">
        <f>IF('Pegar ML'!AL137=" ",'Pegar ML'!AL136,'Pegar ML'!AL137)</f>
        <v>0</v>
      </c>
      <c r="Y141" s="27"/>
      <c r="Z141" s="27"/>
      <c r="AA141" s="27"/>
      <c r="AB141" s="27"/>
      <c r="AC141" s="27"/>
      <c r="AD141" s="27"/>
      <c r="AF141" s="8"/>
      <c r="AG141" s="27"/>
      <c r="AH141" s="14">
        <f>+'Pegar ML'!Y137</f>
        <v>0</v>
      </c>
      <c r="AI141" s="13">
        <f t="shared" si="7"/>
        <v>1</v>
      </c>
      <c r="AJ141" s="7">
        <f>+'Pegar ML'!T137</f>
        <v>0</v>
      </c>
      <c r="AK141" s="27"/>
      <c r="AL141" s="27"/>
      <c r="AM141" s="27"/>
      <c r="AN141" s="27"/>
      <c r="AO141" s="27"/>
      <c r="AP141" s="27"/>
      <c r="AQ141" s="27"/>
      <c r="AR141" s="27"/>
      <c r="AS141" s="27">
        <v>17</v>
      </c>
    </row>
    <row r="142" spans="1:45" x14ac:dyDescent="0.25">
      <c r="A142" s="27">
        <f>IF('Pegar ML'!C137="Paquete de 2 productos",'Pegar ML'!A137,IF('Pegar ML'!C136="Paquete de 2 productos",'Pegar ML'!A136,'Pegar ML'!A138))</f>
        <v>0</v>
      </c>
      <c r="B142" s="27"/>
      <c r="C142" s="30" t="e">
        <f>IF(AjusteFecha!I138=0,"",AjusteFecha!I138)</f>
        <v>#N/A</v>
      </c>
      <c r="D142" s="27"/>
      <c r="E142" s="27"/>
      <c r="F142" s="27" t="str">
        <f>IF('Pegar ML'!C138="","",'Pegar ML'!C138)</f>
        <v/>
      </c>
      <c r="G142" s="27" t="str">
        <f>IF('Pegar ML'!G133="ARS","PS","PS")</f>
        <v>PS</v>
      </c>
      <c r="H142" s="14">
        <f>IF('Pegar ML'!C137="Paquete de 2 productos",IF('Pegar ML'!H137="",0,'Pegar ML'!H137),IF('Pegar ML'!H138="",0,'Pegar ML'!H138))</f>
        <v>0</v>
      </c>
      <c r="I142" s="14">
        <f>IF('Pegar ML'!C137="Paquete de 2 productos",IF('Pegar ML'!O137="",0,'Pegar ML'!O137),IF('Pegar ML'!O138="",0,'Pegar ML'!O138))</f>
        <v>0</v>
      </c>
      <c r="J142" s="14">
        <f>IF('Pegar ML'!C137="Paquete de 2 productos",IF('Pegar ML'!O137="",0,'Pegar ML'!O137),IF('Pegar ML'!O138="",0,'Pegar ML'!O138))</f>
        <v>0</v>
      </c>
      <c r="K142" s="14">
        <f t="shared" si="8"/>
        <v>0</v>
      </c>
      <c r="L142" s="27">
        <f>IF('Pegar ML'!AB138=" ",'Pegar ML'!AB137,'Pegar ML'!AB138)</f>
        <v>0</v>
      </c>
      <c r="M142" s="27" t="str">
        <f>IF('Pegar ML'!AC138=" ",RIGHT('Pegar ML'!AC137,8),RIGHT('Pegar ML'!AC138,8))</f>
        <v/>
      </c>
      <c r="N142" s="27" t="s">
        <v>80</v>
      </c>
      <c r="O142" s="27">
        <f t="shared" si="6"/>
        <v>0</v>
      </c>
      <c r="P142" s="27" t="s">
        <v>80</v>
      </c>
      <c r="Q142" s="55">
        <f>IF('Pegar ML'!AD138=" ",'Pegar ML'!AD137,'Pegar ML'!AD138)</f>
        <v>0</v>
      </c>
      <c r="R142" s="27" t="s">
        <v>80</v>
      </c>
      <c r="S142" s="27" t="s">
        <v>80</v>
      </c>
      <c r="T142" s="27" t="s">
        <v>80</v>
      </c>
      <c r="U142" s="55">
        <f>IF('Pegar ML'!AI138=" ",'Pegar ML'!AI137,'Pegar ML'!AI138)</f>
        <v>0</v>
      </c>
      <c r="V142" s="55">
        <f>IF('Pegar ML'!AK138=" ",'Pegar ML'!AK137,'Pegar ML'!AK138)</f>
        <v>0</v>
      </c>
      <c r="W142" s="55">
        <f>IF('Pegar ML'!AJ138=" ",'Pegar ML'!AJ137,'Pegar ML'!AJ138)</f>
        <v>0</v>
      </c>
      <c r="X142" s="55">
        <f>IF('Pegar ML'!AL138=" ",'Pegar ML'!AL137,'Pegar ML'!AL138)</f>
        <v>0</v>
      </c>
      <c r="Y142" s="27"/>
      <c r="Z142" s="27"/>
      <c r="AA142" s="27"/>
      <c r="AB142" s="27"/>
      <c r="AC142" s="27"/>
      <c r="AD142" s="27"/>
      <c r="AF142" s="8"/>
      <c r="AG142" s="27"/>
      <c r="AH142" s="14">
        <f>+'Pegar ML'!Y138</f>
        <v>0</v>
      </c>
      <c r="AI142" s="13">
        <f t="shared" si="7"/>
        <v>1</v>
      </c>
      <c r="AJ142" s="7">
        <f>+'Pegar ML'!T138</f>
        <v>0</v>
      </c>
      <c r="AK142" s="27"/>
      <c r="AL142" s="27"/>
      <c r="AM142" s="27"/>
      <c r="AN142" s="27"/>
      <c r="AO142" s="27"/>
      <c r="AP142" s="27"/>
      <c r="AQ142" s="27"/>
      <c r="AR142" s="27"/>
      <c r="AS142" s="27">
        <v>17</v>
      </c>
    </row>
    <row r="143" spans="1:45" x14ac:dyDescent="0.25">
      <c r="A143" s="27">
        <f>IF('Pegar ML'!C138="Paquete de 2 productos",'Pegar ML'!A138,IF('Pegar ML'!C137="Paquete de 2 productos",'Pegar ML'!A137,'Pegar ML'!A139))</f>
        <v>0</v>
      </c>
      <c r="B143" s="27"/>
      <c r="C143" s="30" t="e">
        <f>IF(AjusteFecha!I139=0,"",AjusteFecha!I139)</f>
        <v>#N/A</v>
      </c>
      <c r="D143" s="27"/>
      <c r="E143" s="27"/>
      <c r="F143" s="27" t="str">
        <f>IF('Pegar ML'!C139="","",'Pegar ML'!C139)</f>
        <v/>
      </c>
      <c r="G143" s="27" t="str">
        <f>IF('Pegar ML'!G134="ARS","PS","PS")</f>
        <v>PS</v>
      </c>
      <c r="H143" s="14">
        <f>IF('Pegar ML'!C138="Paquete de 2 productos",IF('Pegar ML'!H138="",0,'Pegar ML'!H138),IF('Pegar ML'!H139="",0,'Pegar ML'!H139))</f>
        <v>0</v>
      </c>
      <c r="I143" s="14">
        <f>IF('Pegar ML'!C138="Paquete de 2 productos",IF('Pegar ML'!O138="",0,'Pegar ML'!O138),IF('Pegar ML'!O139="",0,'Pegar ML'!O139))</f>
        <v>0</v>
      </c>
      <c r="J143" s="14">
        <f>IF('Pegar ML'!C138="Paquete de 2 productos",IF('Pegar ML'!O138="",0,'Pegar ML'!O138),IF('Pegar ML'!O139="",0,'Pegar ML'!O139))</f>
        <v>0</v>
      </c>
      <c r="K143" s="14">
        <f t="shared" si="8"/>
        <v>0</v>
      </c>
      <c r="L143" s="27">
        <f>IF('Pegar ML'!AB139=" ",'Pegar ML'!AB138,'Pegar ML'!AB139)</f>
        <v>0</v>
      </c>
      <c r="M143" s="27" t="str">
        <f>IF('Pegar ML'!AC139=" ",RIGHT('Pegar ML'!AC138,8),RIGHT('Pegar ML'!AC139,8))</f>
        <v/>
      </c>
      <c r="N143" s="27" t="s">
        <v>80</v>
      </c>
      <c r="O143" s="27">
        <f t="shared" si="6"/>
        <v>0</v>
      </c>
      <c r="P143" s="27" t="s">
        <v>80</v>
      </c>
      <c r="Q143" s="55">
        <f>IF('Pegar ML'!AD139=" ",'Pegar ML'!AD138,'Pegar ML'!AD139)</f>
        <v>0</v>
      </c>
      <c r="R143" s="27" t="s">
        <v>80</v>
      </c>
      <c r="S143" s="27" t="s">
        <v>80</v>
      </c>
      <c r="T143" s="27" t="s">
        <v>80</v>
      </c>
      <c r="U143" s="55">
        <f>IF('Pegar ML'!AI139=" ",'Pegar ML'!AI138,'Pegar ML'!AI139)</f>
        <v>0</v>
      </c>
      <c r="V143" s="55">
        <f>IF('Pegar ML'!AK139=" ",'Pegar ML'!AK138,'Pegar ML'!AK139)</f>
        <v>0</v>
      </c>
      <c r="W143" s="55">
        <f>IF('Pegar ML'!AJ139=" ",'Pegar ML'!AJ138,'Pegar ML'!AJ139)</f>
        <v>0</v>
      </c>
      <c r="X143" s="55">
        <f>IF('Pegar ML'!AL139=" ",'Pegar ML'!AL138,'Pegar ML'!AL139)</f>
        <v>0</v>
      </c>
      <c r="Y143" s="27"/>
      <c r="Z143" s="27"/>
      <c r="AA143" s="27"/>
      <c r="AB143" s="27"/>
      <c r="AC143" s="27"/>
      <c r="AD143" s="27"/>
      <c r="AF143" s="8"/>
      <c r="AG143" s="27"/>
      <c r="AH143" s="14">
        <f>+'Pegar ML'!Y139</f>
        <v>0</v>
      </c>
      <c r="AI143" s="13">
        <f t="shared" si="7"/>
        <v>1</v>
      </c>
      <c r="AJ143" s="7">
        <f>+'Pegar ML'!T139</f>
        <v>0</v>
      </c>
      <c r="AK143" s="27"/>
      <c r="AL143" s="27"/>
      <c r="AM143" s="27"/>
      <c r="AN143" s="27"/>
      <c r="AO143" s="27"/>
      <c r="AP143" s="27"/>
      <c r="AQ143" s="27"/>
      <c r="AR143" s="27"/>
      <c r="AS143" s="27">
        <v>17</v>
      </c>
    </row>
    <row r="144" spans="1:45" x14ac:dyDescent="0.25">
      <c r="A144" s="27">
        <f>IF('Pegar ML'!C139="Paquete de 2 productos",'Pegar ML'!A139,IF('Pegar ML'!C138="Paquete de 2 productos",'Pegar ML'!A138,'Pegar ML'!A140))</f>
        <v>0</v>
      </c>
      <c r="B144" s="27"/>
      <c r="C144" s="30" t="e">
        <f>IF(AjusteFecha!I140=0,"",AjusteFecha!I140)</f>
        <v>#N/A</v>
      </c>
      <c r="D144" s="27"/>
      <c r="E144" s="27"/>
      <c r="F144" s="27" t="str">
        <f>IF('Pegar ML'!C140="","",'Pegar ML'!C140)</f>
        <v/>
      </c>
      <c r="G144" s="27" t="str">
        <f>IF('Pegar ML'!G135="ARS","PS","PS")</f>
        <v>PS</v>
      </c>
      <c r="H144" s="14">
        <f>IF('Pegar ML'!C139="Paquete de 2 productos",IF('Pegar ML'!H139="",0,'Pegar ML'!H139),IF('Pegar ML'!H140="",0,'Pegar ML'!H140))</f>
        <v>0</v>
      </c>
      <c r="I144" s="14">
        <f>IF('Pegar ML'!C139="Paquete de 2 productos",IF('Pegar ML'!O139="",0,'Pegar ML'!O139),IF('Pegar ML'!O140="",0,'Pegar ML'!O140))</f>
        <v>0</v>
      </c>
      <c r="J144" s="14">
        <f>IF('Pegar ML'!C139="Paquete de 2 productos",IF('Pegar ML'!O139="",0,'Pegar ML'!O139),IF('Pegar ML'!O140="",0,'Pegar ML'!O140))</f>
        <v>0</v>
      </c>
      <c r="K144" s="14">
        <f t="shared" si="8"/>
        <v>0</v>
      </c>
      <c r="L144" s="27">
        <f>IF('Pegar ML'!AB140=" ",'Pegar ML'!AB139,'Pegar ML'!AB140)</f>
        <v>0</v>
      </c>
      <c r="M144" s="27" t="str">
        <f>IF('Pegar ML'!AC140=" ",RIGHT('Pegar ML'!AC139,8),RIGHT('Pegar ML'!AC140,8))</f>
        <v/>
      </c>
      <c r="N144" s="27" t="s">
        <v>80</v>
      </c>
      <c r="O144" s="27">
        <f t="shared" si="6"/>
        <v>0</v>
      </c>
      <c r="P144" s="27" t="s">
        <v>80</v>
      </c>
      <c r="Q144" s="55">
        <f>IF('Pegar ML'!AD140=" ",'Pegar ML'!AD139,'Pegar ML'!AD140)</f>
        <v>0</v>
      </c>
      <c r="R144" s="27" t="s">
        <v>80</v>
      </c>
      <c r="S144" s="27" t="s">
        <v>80</v>
      </c>
      <c r="T144" s="27" t="s">
        <v>80</v>
      </c>
      <c r="U144" s="55">
        <f>IF('Pegar ML'!AI140=" ",'Pegar ML'!AI139,'Pegar ML'!AI140)</f>
        <v>0</v>
      </c>
      <c r="V144" s="55">
        <f>IF('Pegar ML'!AK140=" ",'Pegar ML'!AK139,'Pegar ML'!AK140)</f>
        <v>0</v>
      </c>
      <c r="W144" s="55">
        <f>IF('Pegar ML'!AJ140=" ",'Pegar ML'!AJ139,'Pegar ML'!AJ140)</f>
        <v>0</v>
      </c>
      <c r="X144" s="55">
        <f>IF('Pegar ML'!AL140=" ",'Pegar ML'!AL139,'Pegar ML'!AL140)</f>
        <v>0</v>
      </c>
      <c r="Y144" s="27"/>
      <c r="Z144" s="27"/>
      <c r="AA144" s="27"/>
      <c r="AB144" s="27"/>
      <c r="AC144" s="27"/>
      <c r="AD144" s="27"/>
      <c r="AF144" s="8"/>
      <c r="AG144" s="27"/>
      <c r="AH144" s="14">
        <f>+'Pegar ML'!Y140</f>
        <v>0</v>
      </c>
      <c r="AI144" s="13">
        <f t="shared" si="7"/>
        <v>1</v>
      </c>
      <c r="AJ144" s="7">
        <f>+'Pegar ML'!T140</f>
        <v>0</v>
      </c>
      <c r="AK144" s="27"/>
      <c r="AL144" s="27"/>
      <c r="AM144" s="27"/>
      <c r="AN144" s="27"/>
      <c r="AO144" s="27"/>
      <c r="AP144" s="27"/>
      <c r="AQ144" s="27"/>
      <c r="AR144" s="27"/>
      <c r="AS144" s="27">
        <v>17</v>
      </c>
    </row>
    <row r="145" spans="1:45" x14ac:dyDescent="0.25">
      <c r="A145" s="27">
        <f>IF('Pegar ML'!C140="Paquete de 2 productos",'Pegar ML'!A140,IF('Pegar ML'!C139="Paquete de 2 productos",'Pegar ML'!A139,'Pegar ML'!A141))</f>
        <v>0</v>
      </c>
      <c r="B145" s="27"/>
      <c r="C145" s="30" t="e">
        <f>IF(AjusteFecha!I141=0,"",AjusteFecha!I141)</f>
        <v>#N/A</v>
      </c>
      <c r="D145" s="27"/>
      <c r="E145" s="27"/>
      <c r="F145" s="27" t="str">
        <f>IF('Pegar ML'!C141="","",'Pegar ML'!C141)</f>
        <v/>
      </c>
      <c r="G145" s="27" t="str">
        <f>IF('Pegar ML'!G136="ARS","PS","PS")</f>
        <v>PS</v>
      </c>
      <c r="H145" s="14">
        <f>IF('Pegar ML'!C140="Paquete de 2 productos",IF('Pegar ML'!H140="",0,'Pegar ML'!H140),IF('Pegar ML'!H141="",0,'Pegar ML'!H141))</f>
        <v>0</v>
      </c>
      <c r="I145" s="14">
        <f>IF('Pegar ML'!C140="Paquete de 2 productos",IF('Pegar ML'!O140="",0,'Pegar ML'!O140),IF('Pegar ML'!O141="",0,'Pegar ML'!O141))</f>
        <v>0</v>
      </c>
      <c r="J145" s="14">
        <f>IF('Pegar ML'!C140="Paquete de 2 productos",IF('Pegar ML'!O140="",0,'Pegar ML'!O140),IF('Pegar ML'!O141="",0,'Pegar ML'!O141))</f>
        <v>0</v>
      </c>
      <c r="K145" s="14">
        <f t="shared" si="8"/>
        <v>0</v>
      </c>
      <c r="L145" s="27">
        <f>IF('Pegar ML'!AB141=" ",'Pegar ML'!AB140,'Pegar ML'!AB141)</f>
        <v>0</v>
      </c>
      <c r="M145" s="27" t="str">
        <f>IF('Pegar ML'!AC141=" ",RIGHT('Pegar ML'!AC140,8),RIGHT('Pegar ML'!AC141,8))</f>
        <v/>
      </c>
      <c r="N145" s="27" t="s">
        <v>80</v>
      </c>
      <c r="O145" s="27">
        <f t="shared" si="6"/>
        <v>0</v>
      </c>
      <c r="P145" s="27" t="s">
        <v>80</v>
      </c>
      <c r="Q145" s="55">
        <f>IF('Pegar ML'!AD141=" ",'Pegar ML'!AD140,'Pegar ML'!AD141)</f>
        <v>0</v>
      </c>
      <c r="R145" s="27" t="s">
        <v>80</v>
      </c>
      <c r="S145" s="27" t="s">
        <v>80</v>
      </c>
      <c r="T145" s="27" t="s">
        <v>80</v>
      </c>
      <c r="U145" s="55">
        <f>IF('Pegar ML'!AI141=" ",'Pegar ML'!AI140,'Pegar ML'!AI141)</f>
        <v>0</v>
      </c>
      <c r="V145" s="55">
        <f>IF('Pegar ML'!AK141=" ",'Pegar ML'!AK140,'Pegar ML'!AK141)</f>
        <v>0</v>
      </c>
      <c r="W145" s="55">
        <f>IF('Pegar ML'!AJ141=" ",'Pegar ML'!AJ140,'Pegar ML'!AJ141)</f>
        <v>0</v>
      </c>
      <c r="X145" s="55">
        <f>IF('Pegar ML'!AL141=" ",'Pegar ML'!AL140,'Pegar ML'!AL141)</f>
        <v>0</v>
      </c>
      <c r="Y145" s="27"/>
      <c r="Z145" s="27"/>
      <c r="AA145" s="27"/>
      <c r="AB145" s="27"/>
      <c r="AC145" s="27"/>
      <c r="AD145" s="27"/>
      <c r="AF145" s="8"/>
      <c r="AG145" s="27"/>
      <c r="AH145" s="14">
        <f>+'Pegar ML'!Y141</f>
        <v>0</v>
      </c>
      <c r="AI145" s="13">
        <f t="shared" si="7"/>
        <v>1</v>
      </c>
      <c r="AJ145" s="7">
        <f>+'Pegar ML'!T141</f>
        <v>0</v>
      </c>
      <c r="AK145" s="27"/>
      <c r="AL145" s="27"/>
      <c r="AM145" s="27"/>
      <c r="AN145" s="27"/>
      <c r="AO145" s="27"/>
      <c r="AP145" s="27"/>
      <c r="AQ145" s="27"/>
      <c r="AR145" s="27"/>
      <c r="AS145" s="27">
        <v>17</v>
      </c>
    </row>
    <row r="146" spans="1:45" x14ac:dyDescent="0.25">
      <c r="A146" s="27">
        <f>IF('Pegar ML'!C141="Paquete de 2 productos",'Pegar ML'!A141,IF('Pegar ML'!C140="Paquete de 2 productos",'Pegar ML'!A140,'Pegar ML'!A142))</f>
        <v>0</v>
      </c>
      <c r="B146" s="27"/>
      <c r="C146" s="30" t="e">
        <f>IF(AjusteFecha!I142=0,"",AjusteFecha!I142)</f>
        <v>#N/A</v>
      </c>
      <c r="D146" s="27"/>
      <c r="E146" s="27"/>
      <c r="F146" s="27" t="str">
        <f>IF('Pegar ML'!C142="","",'Pegar ML'!C142)</f>
        <v/>
      </c>
      <c r="G146" s="27" t="str">
        <f>IF('Pegar ML'!G137="ARS","PS","PS")</f>
        <v>PS</v>
      </c>
      <c r="H146" s="14">
        <f>IF('Pegar ML'!C141="Paquete de 2 productos",IF('Pegar ML'!H141="",0,'Pegar ML'!H141),IF('Pegar ML'!H142="",0,'Pegar ML'!H142))</f>
        <v>0</v>
      </c>
      <c r="I146" s="14">
        <f>IF('Pegar ML'!C141="Paquete de 2 productos",IF('Pegar ML'!O141="",0,'Pegar ML'!O141),IF('Pegar ML'!O142="",0,'Pegar ML'!O142))</f>
        <v>0</v>
      </c>
      <c r="J146" s="14">
        <f>IF('Pegar ML'!C141="Paquete de 2 productos",IF('Pegar ML'!O141="",0,'Pegar ML'!O141),IF('Pegar ML'!O142="",0,'Pegar ML'!O142))</f>
        <v>0</v>
      </c>
      <c r="K146" s="14">
        <f t="shared" si="8"/>
        <v>0</v>
      </c>
      <c r="L146" s="27">
        <f>IF('Pegar ML'!AB142=" ",'Pegar ML'!AB141,'Pegar ML'!AB142)</f>
        <v>0</v>
      </c>
      <c r="M146" s="27" t="str">
        <f>IF('Pegar ML'!AC142=" ",RIGHT('Pegar ML'!AC141,8),RIGHT('Pegar ML'!AC142,8))</f>
        <v/>
      </c>
      <c r="N146" s="27" t="s">
        <v>80</v>
      </c>
      <c r="O146" s="27">
        <f t="shared" si="6"/>
        <v>0</v>
      </c>
      <c r="P146" s="27" t="s">
        <v>80</v>
      </c>
      <c r="Q146" s="55">
        <f>IF('Pegar ML'!AD142=" ",'Pegar ML'!AD141,'Pegar ML'!AD142)</f>
        <v>0</v>
      </c>
      <c r="R146" s="27" t="s">
        <v>80</v>
      </c>
      <c r="S146" s="27" t="s">
        <v>80</v>
      </c>
      <c r="T146" s="27" t="s">
        <v>80</v>
      </c>
      <c r="U146" s="55">
        <f>IF('Pegar ML'!AI142=" ",'Pegar ML'!AI141,'Pegar ML'!AI142)</f>
        <v>0</v>
      </c>
      <c r="V146" s="55">
        <f>IF('Pegar ML'!AK142=" ",'Pegar ML'!AK141,'Pegar ML'!AK142)</f>
        <v>0</v>
      </c>
      <c r="W146" s="55">
        <f>IF('Pegar ML'!AJ142=" ",'Pegar ML'!AJ141,'Pegar ML'!AJ142)</f>
        <v>0</v>
      </c>
      <c r="X146" s="55">
        <f>IF('Pegar ML'!AL142=" ",'Pegar ML'!AL141,'Pegar ML'!AL142)</f>
        <v>0</v>
      </c>
      <c r="Y146" s="27"/>
      <c r="Z146" s="27"/>
      <c r="AA146" s="27"/>
      <c r="AB146" s="27"/>
      <c r="AC146" s="27"/>
      <c r="AD146" s="27"/>
      <c r="AF146" s="8"/>
      <c r="AG146" s="27"/>
      <c r="AH146" s="14">
        <f>+'Pegar ML'!Y142</f>
        <v>0</v>
      </c>
      <c r="AI146" s="13">
        <f t="shared" si="7"/>
        <v>1</v>
      </c>
      <c r="AJ146" s="7">
        <f>+'Pegar ML'!T142</f>
        <v>0</v>
      </c>
      <c r="AK146" s="27"/>
      <c r="AL146" s="27"/>
      <c r="AM146" s="27"/>
      <c r="AN146" s="27"/>
      <c r="AO146" s="27"/>
      <c r="AP146" s="27"/>
      <c r="AQ146" s="27"/>
      <c r="AR146" s="27"/>
      <c r="AS146" s="27">
        <v>17</v>
      </c>
    </row>
    <row r="147" spans="1:45" x14ac:dyDescent="0.25">
      <c r="A147" s="27">
        <f>IF('Pegar ML'!C142="Paquete de 2 productos",'Pegar ML'!A142,IF('Pegar ML'!C141="Paquete de 2 productos",'Pegar ML'!A141,'Pegar ML'!A143))</f>
        <v>0</v>
      </c>
      <c r="B147" s="27"/>
      <c r="C147" s="30" t="e">
        <f>IF(AjusteFecha!I143=0,"",AjusteFecha!I143)</f>
        <v>#N/A</v>
      </c>
      <c r="D147" s="27"/>
      <c r="E147" s="27"/>
      <c r="F147" s="27" t="str">
        <f>IF('Pegar ML'!C143="","",'Pegar ML'!C143)</f>
        <v/>
      </c>
      <c r="G147" s="27" t="str">
        <f>IF('Pegar ML'!G138="ARS","PS","PS")</f>
        <v>PS</v>
      </c>
      <c r="H147" s="14">
        <f>IF('Pegar ML'!C142="Paquete de 2 productos",IF('Pegar ML'!H142="",0,'Pegar ML'!H142),IF('Pegar ML'!H143="",0,'Pegar ML'!H143))</f>
        <v>0</v>
      </c>
      <c r="I147" s="14">
        <f>IF('Pegar ML'!C142="Paquete de 2 productos",IF('Pegar ML'!O142="",0,'Pegar ML'!O142),IF('Pegar ML'!O143="",0,'Pegar ML'!O143))</f>
        <v>0</v>
      </c>
      <c r="J147" s="14">
        <f>IF('Pegar ML'!C142="Paquete de 2 productos",IF('Pegar ML'!O142="",0,'Pegar ML'!O142),IF('Pegar ML'!O143="",0,'Pegar ML'!O143))</f>
        <v>0</v>
      </c>
      <c r="K147" s="14">
        <f t="shared" si="8"/>
        <v>0</v>
      </c>
      <c r="L147" s="27">
        <f>IF('Pegar ML'!AB143=" ",'Pegar ML'!AB142,'Pegar ML'!AB143)</f>
        <v>0</v>
      </c>
      <c r="M147" s="27" t="str">
        <f>IF('Pegar ML'!AC143=" ",RIGHT('Pegar ML'!AC142,8),RIGHT('Pegar ML'!AC143,8))</f>
        <v/>
      </c>
      <c r="N147" s="27" t="s">
        <v>80</v>
      </c>
      <c r="O147" s="27">
        <f t="shared" si="6"/>
        <v>0</v>
      </c>
      <c r="P147" s="27" t="s">
        <v>80</v>
      </c>
      <c r="Q147" s="55">
        <f>IF('Pegar ML'!AD143=" ",'Pegar ML'!AD142,'Pegar ML'!AD143)</f>
        <v>0</v>
      </c>
      <c r="R147" s="27" t="s">
        <v>80</v>
      </c>
      <c r="S147" s="27" t="s">
        <v>80</v>
      </c>
      <c r="T147" s="27" t="s">
        <v>80</v>
      </c>
      <c r="U147" s="55">
        <f>IF('Pegar ML'!AI143=" ",'Pegar ML'!AI142,'Pegar ML'!AI143)</f>
        <v>0</v>
      </c>
      <c r="V147" s="55">
        <f>IF('Pegar ML'!AK143=" ",'Pegar ML'!AK142,'Pegar ML'!AK143)</f>
        <v>0</v>
      </c>
      <c r="W147" s="55">
        <f>IF('Pegar ML'!AJ143=" ",'Pegar ML'!AJ142,'Pegar ML'!AJ143)</f>
        <v>0</v>
      </c>
      <c r="X147" s="55">
        <f>IF('Pegar ML'!AL143=" ",'Pegar ML'!AL142,'Pegar ML'!AL143)</f>
        <v>0</v>
      </c>
      <c r="Y147" s="27"/>
      <c r="Z147" s="27"/>
      <c r="AA147" s="27"/>
      <c r="AB147" s="27"/>
      <c r="AC147" s="27"/>
      <c r="AD147" s="27"/>
      <c r="AF147" s="8"/>
      <c r="AG147" s="27"/>
      <c r="AH147" s="14">
        <f>+'Pegar ML'!Y143</f>
        <v>0</v>
      </c>
      <c r="AI147" s="13">
        <f t="shared" si="7"/>
        <v>1</v>
      </c>
      <c r="AJ147" s="7">
        <f>+'Pegar ML'!T143</f>
        <v>0</v>
      </c>
      <c r="AK147" s="27"/>
      <c r="AL147" s="27"/>
      <c r="AM147" s="27"/>
      <c r="AN147" s="27"/>
      <c r="AO147" s="27"/>
      <c r="AP147" s="27"/>
      <c r="AQ147" s="27"/>
      <c r="AR147" s="27"/>
      <c r="AS147" s="27">
        <v>17</v>
      </c>
    </row>
    <row r="148" spans="1:45" x14ac:dyDescent="0.25">
      <c r="A148" s="27">
        <f>IF('Pegar ML'!C143="Paquete de 2 productos",'Pegar ML'!A143,IF('Pegar ML'!C142="Paquete de 2 productos",'Pegar ML'!A142,'Pegar ML'!A144))</f>
        <v>0</v>
      </c>
      <c r="B148" s="27"/>
      <c r="C148" s="30" t="e">
        <f>IF(AjusteFecha!I144=0,"",AjusteFecha!I144)</f>
        <v>#N/A</v>
      </c>
      <c r="D148" s="27"/>
      <c r="E148" s="27"/>
      <c r="F148" s="27" t="str">
        <f>IF('Pegar ML'!C144="","",'Pegar ML'!C144)</f>
        <v/>
      </c>
      <c r="G148" s="27" t="str">
        <f>IF('Pegar ML'!G139="ARS","PS","PS")</f>
        <v>PS</v>
      </c>
      <c r="H148" s="14">
        <f>IF('Pegar ML'!C143="Paquete de 2 productos",IF('Pegar ML'!H143="",0,'Pegar ML'!H143),IF('Pegar ML'!H144="",0,'Pegar ML'!H144))</f>
        <v>0</v>
      </c>
      <c r="I148" s="14">
        <f>IF('Pegar ML'!C143="Paquete de 2 productos",IF('Pegar ML'!O143="",0,'Pegar ML'!O143),IF('Pegar ML'!O144="",0,'Pegar ML'!O144))</f>
        <v>0</v>
      </c>
      <c r="J148" s="14">
        <f>IF('Pegar ML'!C143="Paquete de 2 productos",IF('Pegar ML'!O143="",0,'Pegar ML'!O143),IF('Pegar ML'!O144="",0,'Pegar ML'!O144))</f>
        <v>0</v>
      </c>
      <c r="K148" s="14">
        <f t="shared" si="8"/>
        <v>0</v>
      </c>
      <c r="L148" s="27">
        <f>IF('Pegar ML'!AB144=" ",'Pegar ML'!AB143,'Pegar ML'!AB144)</f>
        <v>0</v>
      </c>
      <c r="M148" s="27" t="str">
        <f>IF('Pegar ML'!AC144=" ",RIGHT('Pegar ML'!AC143,8),RIGHT('Pegar ML'!AC144,8))</f>
        <v/>
      </c>
      <c r="N148" s="27" t="s">
        <v>80</v>
      </c>
      <c r="O148" s="27">
        <f t="shared" si="6"/>
        <v>0</v>
      </c>
      <c r="P148" s="27" t="s">
        <v>80</v>
      </c>
      <c r="Q148" s="55">
        <f>IF('Pegar ML'!AD144=" ",'Pegar ML'!AD143,'Pegar ML'!AD144)</f>
        <v>0</v>
      </c>
      <c r="R148" s="27" t="s">
        <v>80</v>
      </c>
      <c r="S148" s="27" t="s">
        <v>80</v>
      </c>
      <c r="T148" s="27" t="s">
        <v>80</v>
      </c>
      <c r="U148" s="55">
        <f>IF('Pegar ML'!AI144=" ",'Pegar ML'!AI143,'Pegar ML'!AI144)</f>
        <v>0</v>
      </c>
      <c r="V148" s="55">
        <f>IF('Pegar ML'!AK144=" ",'Pegar ML'!AK143,'Pegar ML'!AK144)</f>
        <v>0</v>
      </c>
      <c r="W148" s="55">
        <f>IF('Pegar ML'!AJ144=" ",'Pegar ML'!AJ143,'Pegar ML'!AJ144)</f>
        <v>0</v>
      </c>
      <c r="X148" s="55">
        <f>IF('Pegar ML'!AL144=" ",'Pegar ML'!AL143,'Pegar ML'!AL144)</f>
        <v>0</v>
      </c>
      <c r="Y148" s="27"/>
      <c r="Z148" s="27"/>
      <c r="AA148" s="27"/>
      <c r="AB148" s="27"/>
      <c r="AC148" s="27"/>
      <c r="AD148" s="27"/>
      <c r="AF148" s="8"/>
      <c r="AG148" s="27"/>
      <c r="AH148" s="14">
        <f>+'Pegar ML'!Y144</f>
        <v>0</v>
      </c>
      <c r="AI148" s="13">
        <f t="shared" si="7"/>
        <v>1</v>
      </c>
      <c r="AJ148" s="7">
        <f>+'Pegar ML'!T144</f>
        <v>0</v>
      </c>
      <c r="AK148" s="27"/>
      <c r="AL148" s="27"/>
      <c r="AM148" s="27"/>
      <c r="AN148" s="27"/>
      <c r="AO148" s="27"/>
      <c r="AP148" s="27"/>
      <c r="AQ148" s="27"/>
      <c r="AR148" s="27"/>
      <c r="AS148" s="27">
        <v>17</v>
      </c>
    </row>
    <row r="149" spans="1:45" x14ac:dyDescent="0.25">
      <c r="A149" s="27">
        <f>IF('Pegar ML'!C144="Paquete de 2 productos",'Pegar ML'!A144,IF('Pegar ML'!C143="Paquete de 2 productos",'Pegar ML'!A143,'Pegar ML'!A145))</f>
        <v>0</v>
      </c>
      <c r="B149" s="27"/>
      <c r="C149" s="30" t="e">
        <f>IF(AjusteFecha!I145=0,"",AjusteFecha!I145)</f>
        <v>#N/A</v>
      </c>
      <c r="D149" s="27"/>
      <c r="E149" s="27"/>
      <c r="F149" s="27" t="str">
        <f>IF('Pegar ML'!C145="","",'Pegar ML'!C145)</f>
        <v/>
      </c>
      <c r="G149" s="27" t="str">
        <f>IF('Pegar ML'!G140="ARS","PS","PS")</f>
        <v>PS</v>
      </c>
      <c r="H149" s="14">
        <f>IF('Pegar ML'!C144="Paquete de 2 productos",IF('Pegar ML'!H144="",0,'Pegar ML'!H144),IF('Pegar ML'!H145="",0,'Pegar ML'!H145))</f>
        <v>0</v>
      </c>
      <c r="I149" s="14">
        <f>IF('Pegar ML'!C144="Paquete de 2 productos",IF('Pegar ML'!O144="",0,'Pegar ML'!O144),IF('Pegar ML'!O145="",0,'Pegar ML'!O145))</f>
        <v>0</v>
      </c>
      <c r="J149" s="14">
        <f>IF('Pegar ML'!C144="Paquete de 2 productos",IF('Pegar ML'!O144="",0,'Pegar ML'!O144),IF('Pegar ML'!O145="",0,'Pegar ML'!O145))</f>
        <v>0</v>
      </c>
      <c r="K149" s="14">
        <f t="shared" si="8"/>
        <v>0</v>
      </c>
      <c r="L149" s="27">
        <f>IF('Pegar ML'!AB145=" ",'Pegar ML'!AB144,'Pegar ML'!AB145)</f>
        <v>0</v>
      </c>
      <c r="M149" s="27" t="str">
        <f>IF('Pegar ML'!AC145=" ",RIGHT('Pegar ML'!AC144,8),RIGHT('Pegar ML'!AC145,8))</f>
        <v/>
      </c>
      <c r="N149" s="27" t="s">
        <v>80</v>
      </c>
      <c r="O149" s="27">
        <f t="shared" si="6"/>
        <v>0</v>
      </c>
      <c r="P149" s="27" t="s">
        <v>80</v>
      </c>
      <c r="Q149" s="55">
        <f>IF('Pegar ML'!AD145=" ",'Pegar ML'!AD144,'Pegar ML'!AD145)</f>
        <v>0</v>
      </c>
      <c r="R149" s="27" t="s">
        <v>80</v>
      </c>
      <c r="S149" s="27" t="s">
        <v>80</v>
      </c>
      <c r="T149" s="27" t="s">
        <v>80</v>
      </c>
      <c r="U149" s="55">
        <f>IF('Pegar ML'!AI145=" ",'Pegar ML'!AI144,'Pegar ML'!AI145)</f>
        <v>0</v>
      </c>
      <c r="V149" s="55">
        <f>IF('Pegar ML'!AK145=" ",'Pegar ML'!AK144,'Pegar ML'!AK145)</f>
        <v>0</v>
      </c>
      <c r="W149" s="55">
        <f>IF('Pegar ML'!AJ145=" ",'Pegar ML'!AJ144,'Pegar ML'!AJ145)</f>
        <v>0</v>
      </c>
      <c r="X149" s="55">
        <f>IF('Pegar ML'!AL145=" ",'Pegar ML'!AL144,'Pegar ML'!AL145)</f>
        <v>0</v>
      </c>
      <c r="Y149" s="27"/>
      <c r="Z149" s="27"/>
      <c r="AA149" s="27"/>
      <c r="AB149" s="27"/>
      <c r="AC149" s="27"/>
      <c r="AD149" s="27"/>
      <c r="AF149" s="8"/>
      <c r="AG149" s="27"/>
      <c r="AH149" s="14">
        <f>+'Pegar ML'!Y145</f>
        <v>0</v>
      </c>
      <c r="AI149" s="13">
        <f t="shared" si="7"/>
        <v>1</v>
      </c>
      <c r="AJ149" s="7">
        <f>+'Pegar ML'!T145</f>
        <v>0</v>
      </c>
      <c r="AK149" s="27"/>
      <c r="AL149" s="27"/>
      <c r="AM149" s="27"/>
      <c r="AN149" s="27"/>
      <c r="AO149" s="27"/>
      <c r="AP149" s="27"/>
      <c r="AQ149" s="27"/>
      <c r="AR149" s="27"/>
      <c r="AS149" s="27">
        <v>17</v>
      </c>
    </row>
    <row r="150" spans="1:45" x14ac:dyDescent="0.25">
      <c r="A150" s="27">
        <f>IF('Pegar ML'!C145="Paquete de 2 productos",'Pegar ML'!A145,IF('Pegar ML'!C144="Paquete de 2 productos",'Pegar ML'!A144,'Pegar ML'!A146))</f>
        <v>0</v>
      </c>
      <c r="B150" s="27"/>
      <c r="C150" s="30" t="e">
        <f>IF(AjusteFecha!I146=0,"",AjusteFecha!I146)</f>
        <v>#N/A</v>
      </c>
      <c r="D150" s="27"/>
      <c r="E150" s="27"/>
      <c r="F150" s="27" t="str">
        <f>IF('Pegar ML'!C146="","",'Pegar ML'!C146)</f>
        <v/>
      </c>
      <c r="G150" s="27" t="str">
        <f>IF('Pegar ML'!G141="ARS","PS","PS")</f>
        <v>PS</v>
      </c>
      <c r="H150" s="14">
        <f>IF('Pegar ML'!C145="Paquete de 2 productos",IF('Pegar ML'!H145="",0,'Pegar ML'!H145),IF('Pegar ML'!H146="",0,'Pegar ML'!H146))</f>
        <v>0</v>
      </c>
      <c r="I150" s="14">
        <f>IF('Pegar ML'!C145="Paquete de 2 productos",IF('Pegar ML'!O145="",0,'Pegar ML'!O145),IF('Pegar ML'!O146="",0,'Pegar ML'!O146))</f>
        <v>0</v>
      </c>
      <c r="J150" s="14">
        <f>IF('Pegar ML'!C145="Paquete de 2 productos",IF('Pegar ML'!O145="",0,'Pegar ML'!O145),IF('Pegar ML'!O146="",0,'Pegar ML'!O146))</f>
        <v>0</v>
      </c>
      <c r="K150" s="14">
        <f t="shared" si="8"/>
        <v>0</v>
      </c>
      <c r="L150" s="27">
        <f>IF('Pegar ML'!AB146=" ",'Pegar ML'!AB145,'Pegar ML'!AB146)</f>
        <v>0</v>
      </c>
      <c r="M150" s="27" t="str">
        <f>IF('Pegar ML'!AC146=" ",RIGHT('Pegar ML'!AC145,8),RIGHT('Pegar ML'!AC146,8))</f>
        <v/>
      </c>
      <c r="N150" s="27" t="s">
        <v>80</v>
      </c>
      <c r="O150" s="27">
        <f t="shared" si="6"/>
        <v>0</v>
      </c>
      <c r="P150" s="27" t="s">
        <v>80</v>
      </c>
      <c r="Q150" s="55">
        <f>IF('Pegar ML'!AD146=" ",'Pegar ML'!AD145,'Pegar ML'!AD146)</f>
        <v>0</v>
      </c>
      <c r="R150" s="27" t="s">
        <v>80</v>
      </c>
      <c r="S150" s="27" t="s">
        <v>80</v>
      </c>
      <c r="T150" s="27" t="s">
        <v>80</v>
      </c>
      <c r="U150" s="55">
        <f>IF('Pegar ML'!AI146=" ",'Pegar ML'!AI145,'Pegar ML'!AI146)</f>
        <v>0</v>
      </c>
      <c r="V150" s="55">
        <f>IF('Pegar ML'!AK146=" ",'Pegar ML'!AK145,'Pegar ML'!AK146)</f>
        <v>0</v>
      </c>
      <c r="W150" s="55">
        <f>IF('Pegar ML'!AJ146=" ",'Pegar ML'!AJ145,'Pegar ML'!AJ146)</f>
        <v>0</v>
      </c>
      <c r="X150" s="55">
        <f>IF('Pegar ML'!AL146=" ",'Pegar ML'!AL145,'Pegar ML'!AL146)</f>
        <v>0</v>
      </c>
      <c r="Y150" s="27"/>
      <c r="Z150" s="27"/>
      <c r="AA150" s="27"/>
      <c r="AB150" s="27"/>
      <c r="AC150" s="27"/>
      <c r="AD150" s="27"/>
      <c r="AF150" s="8"/>
      <c r="AG150" s="27"/>
      <c r="AH150" s="14">
        <f>+'Pegar ML'!Y146</f>
        <v>0</v>
      </c>
      <c r="AI150" s="13">
        <f t="shared" si="7"/>
        <v>1</v>
      </c>
      <c r="AJ150" s="7">
        <f>+'Pegar ML'!T146</f>
        <v>0</v>
      </c>
      <c r="AK150" s="27"/>
      <c r="AL150" s="27"/>
      <c r="AM150" s="27"/>
      <c r="AN150" s="27"/>
      <c r="AO150" s="27"/>
      <c r="AP150" s="27"/>
      <c r="AQ150" s="27"/>
      <c r="AR150" s="27"/>
      <c r="AS150" s="27">
        <v>17</v>
      </c>
    </row>
    <row r="151" spans="1:45" x14ac:dyDescent="0.25">
      <c r="A151" s="27">
        <f>IF('Pegar ML'!C146="Paquete de 2 productos",'Pegar ML'!A146,IF('Pegar ML'!C145="Paquete de 2 productos",'Pegar ML'!A145,'Pegar ML'!A147))</f>
        <v>0</v>
      </c>
      <c r="B151" s="27"/>
      <c r="C151" s="30" t="e">
        <f>IF(AjusteFecha!I147=0,"",AjusteFecha!I147)</f>
        <v>#N/A</v>
      </c>
      <c r="D151" s="27"/>
      <c r="E151" s="27"/>
      <c r="F151" s="27" t="str">
        <f>IF('Pegar ML'!C147="","",'Pegar ML'!C147)</f>
        <v/>
      </c>
      <c r="G151" s="27" t="str">
        <f>IF('Pegar ML'!G142="ARS","PS","PS")</f>
        <v>PS</v>
      </c>
      <c r="H151" s="14">
        <f>IF('Pegar ML'!C146="Paquete de 2 productos",IF('Pegar ML'!H146="",0,'Pegar ML'!H146),IF('Pegar ML'!H147="",0,'Pegar ML'!H147))</f>
        <v>0</v>
      </c>
      <c r="I151" s="14">
        <f>IF('Pegar ML'!C146="Paquete de 2 productos",IF('Pegar ML'!O146="",0,'Pegar ML'!O146),IF('Pegar ML'!O147="",0,'Pegar ML'!O147))</f>
        <v>0</v>
      </c>
      <c r="J151" s="14">
        <f>IF('Pegar ML'!C146="Paquete de 2 productos",IF('Pegar ML'!O146="",0,'Pegar ML'!O146),IF('Pegar ML'!O147="",0,'Pegar ML'!O147))</f>
        <v>0</v>
      </c>
      <c r="K151" s="14">
        <f t="shared" si="8"/>
        <v>0</v>
      </c>
      <c r="L151" s="27">
        <f>IF('Pegar ML'!AB147=" ",'Pegar ML'!AB146,'Pegar ML'!AB147)</f>
        <v>0</v>
      </c>
      <c r="M151" s="27" t="str">
        <f>IF('Pegar ML'!AC147=" ",RIGHT('Pegar ML'!AC146,8),RIGHT('Pegar ML'!AC147,8))</f>
        <v/>
      </c>
      <c r="N151" s="27" t="s">
        <v>80</v>
      </c>
      <c r="O151" s="27">
        <f t="shared" si="6"/>
        <v>0</v>
      </c>
      <c r="P151" s="27" t="s">
        <v>80</v>
      </c>
      <c r="Q151" s="55">
        <f>IF('Pegar ML'!AD147=" ",'Pegar ML'!AD146,'Pegar ML'!AD147)</f>
        <v>0</v>
      </c>
      <c r="R151" s="27" t="s">
        <v>80</v>
      </c>
      <c r="S151" s="27" t="s">
        <v>80</v>
      </c>
      <c r="T151" s="27" t="s">
        <v>80</v>
      </c>
      <c r="U151" s="55">
        <f>IF('Pegar ML'!AI147=" ",'Pegar ML'!AI146,'Pegar ML'!AI147)</f>
        <v>0</v>
      </c>
      <c r="V151" s="55">
        <f>IF('Pegar ML'!AK147=" ",'Pegar ML'!AK146,'Pegar ML'!AK147)</f>
        <v>0</v>
      </c>
      <c r="W151" s="55">
        <f>IF('Pegar ML'!AJ147=" ",'Pegar ML'!AJ146,'Pegar ML'!AJ147)</f>
        <v>0</v>
      </c>
      <c r="X151" s="55">
        <f>IF('Pegar ML'!AL147=" ",'Pegar ML'!AL146,'Pegar ML'!AL147)</f>
        <v>0</v>
      </c>
      <c r="Y151" s="27"/>
      <c r="Z151" s="27"/>
      <c r="AA151" s="27"/>
      <c r="AB151" s="27"/>
      <c r="AC151" s="27"/>
      <c r="AD151" s="27"/>
      <c r="AF151" s="8"/>
      <c r="AG151" s="27"/>
      <c r="AH151" s="14">
        <f>+'Pegar ML'!Y147</f>
        <v>0</v>
      </c>
      <c r="AI151" s="13">
        <f t="shared" si="7"/>
        <v>1</v>
      </c>
      <c r="AJ151" s="7">
        <f>+'Pegar ML'!T147</f>
        <v>0</v>
      </c>
      <c r="AK151" s="27"/>
      <c r="AL151" s="27"/>
      <c r="AM151" s="27"/>
      <c r="AN151" s="27"/>
      <c r="AO151" s="27"/>
      <c r="AP151" s="27"/>
      <c r="AQ151" s="27"/>
      <c r="AR151" s="27"/>
      <c r="AS151" s="27">
        <v>17</v>
      </c>
    </row>
    <row r="152" spans="1:45" x14ac:dyDescent="0.25">
      <c r="A152" s="27">
        <f>IF('Pegar ML'!C147="Paquete de 2 productos",'Pegar ML'!A147,IF('Pegar ML'!C146="Paquete de 2 productos",'Pegar ML'!A146,'Pegar ML'!A148))</f>
        <v>0</v>
      </c>
      <c r="B152" s="27"/>
      <c r="C152" s="30" t="e">
        <f>IF(AjusteFecha!I148=0,"",AjusteFecha!I148)</f>
        <v>#N/A</v>
      </c>
      <c r="D152" s="27"/>
      <c r="E152" s="27"/>
      <c r="F152" s="27" t="str">
        <f>IF('Pegar ML'!C148="","",'Pegar ML'!C148)</f>
        <v/>
      </c>
      <c r="G152" s="27" t="str">
        <f>IF('Pegar ML'!G143="ARS","PS","PS")</f>
        <v>PS</v>
      </c>
      <c r="H152" s="14">
        <f>IF('Pegar ML'!C147="Paquete de 2 productos",IF('Pegar ML'!H147="",0,'Pegar ML'!H147),IF('Pegar ML'!H148="",0,'Pegar ML'!H148))</f>
        <v>0</v>
      </c>
      <c r="I152" s="14">
        <f>IF('Pegar ML'!C147="Paquete de 2 productos",IF('Pegar ML'!O147="",0,'Pegar ML'!O147),IF('Pegar ML'!O148="",0,'Pegar ML'!O148))</f>
        <v>0</v>
      </c>
      <c r="J152" s="14">
        <f>IF('Pegar ML'!C147="Paquete de 2 productos",IF('Pegar ML'!O147="",0,'Pegar ML'!O147),IF('Pegar ML'!O148="",0,'Pegar ML'!O148))</f>
        <v>0</v>
      </c>
      <c r="K152" s="14">
        <f t="shared" si="8"/>
        <v>0</v>
      </c>
      <c r="L152" s="27">
        <f>IF('Pegar ML'!AB148=" ",'Pegar ML'!AB147,'Pegar ML'!AB148)</f>
        <v>0</v>
      </c>
      <c r="M152" s="27" t="str">
        <f>IF('Pegar ML'!AC148=" ",RIGHT('Pegar ML'!AC147,8),RIGHT('Pegar ML'!AC148,8))</f>
        <v/>
      </c>
      <c r="N152" s="27" t="s">
        <v>80</v>
      </c>
      <c r="O152" s="27">
        <f t="shared" si="6"/>
        <v>0</v>
      </c>
      <c r="P152" s="27" t="s">
        <v>80</v>
      </c>
      <c r="Q152" s="55">
        <f>IF('Pegar ML'!AD148=" ",'Pegar ML'!AD147,'Pegar ML'!AD148)</f>
        <v>0</v>
      </c>
      <c r="R152" s="27" t="s">
        <v>80</v>
      </c>
      <c r="S152" s="27" t="s">
        <v>80</v>
      </c>
      <c r="T152" s="27" t="s">
        <v>80</v>
      </c>
      <c r="U152" s="55">
        <f>IF('Pegar ML'!AI148=" ",'Pegar ML'!AI147,'Pegar ML'!AI148)</f>
        <v>0</v>
      </c>
      <c r="V152" s="55">
        <f>IF('Pegar ML'!AK148=" ",'Pegar ML'!AK147,'Pegar ML'!AK148)</f>
        <v>0</v>
      </c>
      <c r="W152" s="55">
        <f>IF('Pegar ML'!AJ148=" ",'Pegar ML'!AJ147,'Pegar ML'!AJ148)</f>
        <v>0</v>
      </c>
      <c r="X152" s="55">
        <f>IF('Pegar ML'!AL148=" ",'Pegar ML'!AL147,'Pegar ML'!AL148)</f>
        <v>0</v>
      </c>
      <c r="Y152" s="27"/>
      <c r="Z152" s="27"/>
      <c r="AA152" s="27"/>
      <c r="AB152" s="27"/>
      <c r="AC152" s="27"/>
      <c r="AD152" s="27"/>
      <c r="AF152" s="8"/>
      <c r="AG152" s="27"/>
      <c r="AH152" s="14">
        <f>+'Pegar ML'!Y148</f>
        <v>0</v>
      </c>
      <c r="AI152" s="13">
        <f t="shared" si="7"/>
        <v>1</v>
      </c>
      <c r="AJ152" s="7">
        <f>+'Pegar ML'!T148</f>
        <v>0</v>
      </c>
      <c r="AK152" s="27"/>
      <c r="AL152" s="27"/>
      <c r="AM152" s="27"/>
      <c r="AN152" s="27"/>
      <c r="AO152" s="27"/>
      <c r="AP152" s="27"/>
      <c r="AQ152" s="27"/>
      <c r="AR152" s="27"/>
      <c r="AS152" s="27">
        <v>17</v>
      </c>
    </row>
    <row r="153" spans="1:45" ht="15" customHeight="1" x14ac:dyDescent="0.25">
      <c r="A153" s="27">
        <f>IF('Pegar ML'!C148="Paquete de 2 productos",'Pegar ML'!A148,IF('Pegar ML'!C147="Paquete de 2 productos",'Pegar ML'!A147,'Pegar ML'!A149))</f>
        <v>0</v>
      </c>
      <c r="B153" s="27"/>
      <c r="C153" s="30" t="e">
        <f>IF(AjusteFecha!I149=0,"",AjusteFecha!I149)</f>
        <v>#N/A</v>
      </c>
      <c r="D153" s="27"/>
      <c r="E153" s="27"/>
      <c r="F153" s="27" t="str">
        <f>IF('Pegar ML'!C149="","",'Pegar ML'!C149)</f>
        <v/>
      </c>
      <c r="G153" s="27" t="str">
        <f>IF('Pegar ML'!G144="ARS","PS","PS")</f>
        <v>PS</v>
      </c>
      <c r="H153" s="14">
        <f>IF('Pegar ML'!C148="Paquete de 2 productos",IF('Pegar ML'!H148="",0,'Pegar ML'!H148),IF('Pegar ML'!H149="",0,'Pegar ML'!H149))</f>
        <v>0</v>
      </c>
      <c r="I153" s="14">
        <f>IF('Pegar ML'!C148="Paquete de 2 productos",IF('Pegar ML'!O148="",0,'Pegar ML'!O148),IF('Pegar ML'!O149="",0,'Pegar ML'!O149))</f>
        <v>0</v>
      </c>
      <c r="J153" s="14">
        <f>IF('Pegar ML'!C148="Paquete de 2 productos",IF('Pegar ML'!O148="",0,'Pegar ML'!O148),IF('Pegar ML'!O149="",0,'Pegar ML'!O149))</f>
        <v>0</v>
      </c>
      <c r="K153" s="14">
        <f t="shared" si="8"/>
        <v>0</v>
      </c>
      <c r="L153" s="27">
        <f>IF('Pegar ML'!AB149=" ",'Pegar ML'!AB148,'Pegar ML'!AB149)</f>
        <v>0</v>
      </c>
      <c r="M153" s="27" t="str">
        <f>IF('Pegar ML'!AC149=" ",RIGHT('Pegar ML'!AC148,8),RIGHT('Pegar ML'!AC149,8))</f>
        <v/>
      </c>
      <c r="N153" s="27" t="s">
        <v>80</v>
      </c>
      <c r="O153" s="27">
        <f t="shared" si="6"/>
        <v>0</v>
      </c>
      <c r="P153" s="27" t="s">
        <v>80</v>
      </c>
      <c r="Q153" s="55">
        <f>IF('Pegar ML'!AD149=" ",'Pegar ML'!AD148,'Pegar ML'!AD149)</f>
        <v>0</v>
      </c>
      <c r="R153" s="27" t="s">
        <v>80</v>
      </c>
      <c r="S153" s="27" t="s">
        <v>80</v>
      </c>
      <c r="T153" s="27" t="s">
        <v>80</v>
      </c>
      <c r="U153" s="55">
        <f>IF('Pegar ML'!AI149=" ",'Pegar ML'!AI148,'Pegar ML'!AI149)</f>
        <v>0</v>
      </c>
      <c r="V153" s="55">
        <f>IF('Pegar ML'!AK149=" ",'Pegar ML'!AK148,'Pegar ML'!AK149)</f>
        <v>0</v>
      </c>
      <c r="W153" s="55">
        <f>IF('Pegar ML'!AJ149=" ",'Pegar ML'!AJ148,'Pegar ML'!AJ149)</f>
        <v>0</v>
      </c>
      <c r="X153" s="55">
        <f>IF('Pegar ML'!AL149=" ",'Pegar ML'!AL148,'Pegar ML'!AL149)</f>
        <v>0</v>
      </c>
      <c r="Y153" s="27"/>
      <c r="Z153" s="27"/>
      <c r="AA153" s="27"/>
      <c r="AB153" s="27"/>
      <c r="AC153" s="27"/>
      <c r="AD153" s="27"/>
      <c r="AF153" s="8"/>
      <c r="AG153" s="27"/>
      <c r="AH153" s="14">
        <f>+'Pegar ML'!Y149</f>
        <v>0</v>
      </c>
      <c r="AI153" s="13">
        <f t="shared" si="7"/>
        <v>1</v>
      </c>
      <c r="AJ153" s="7">
        <f>+'Pegar ML'!T149</f>
        <v>0</v>
      </c>
      <c r="AK153" s="27"/>
      <c r="AL153" s="27"/>
      <c r="AM153" s="27"/>
      <c r="AN153" s="27"/>
      <c r="AO153" s="27"/>
      <c r="AP153" s="27"/>
      <c r="AQ153" s="27"/>
      <c r="AR153" s="27"/>
      <c r="AS153" s="27">
        <v>17</v>
      </c>
    </row>
    <row r="154" spans="1:45" x14ac:dyDescent="0.25">
      <c r="A154" s="27">
        <f>IF('Pegar ML'!C149="Paquete de 2 productos",'Pegar ML'!A149,IF('Pegar ML'!C148="Paquete de 2 productos",'Pegar ML'!A148,'Pegar ML'!A150))</f>
        <v>0</v>
      </c>
      <c r="B154" s="27"/>
      <c r="C154" s="30" t="e">
        <f>IF(AjusteFecha!I150=0,"",AjusteFecha!I150)</f>
        <v>#N/A</v>
      </c>
      <c r="D154" s="27"/>
      <c r="E154" s="27"/>
      <c r="F154" s="27" t="str">
        <f>IF('Pegar ML'!C150="","",'Pegar ML'!C150)</f>
        <v/>
      </c>
      <c r="G154" s="27" t="str">
        <f>IF('Pegar ML'!G145="ARS","PS","PS")</f>
        <v>PS</v>
      </c>
      <c r="H154" s="14">
        <f>IF('Pegar ML'!C149="Paquete de 2 productos",IF('Pegar ML'!H149="",0,'Pegar ML'!H149),IF('Pegar ML'!H150="",0,'Pegar ML'!H150))</f>
        <v>0</v>
      </c>
      <c r="I154" s="14">
        <f>IF('Pegar ML'!C149="Paquete de 2 productos",IF('Pegar ML'!O149="",0,'Pegar ML'!O149),IF('Pegar ML'!O150="",0,'Pegar ML'!O150))</f>
        <v>0</v>
      </c>
      <c r="J154" s="14">
        <f>IF('Pegar ML'!C149="Paquete de 2 productos",IF('Pegar ML'!O149="",0,'Pegar ML'!O149),IF('Pegar ML'!O150="",0,'Pegar ML'!O150))</f>
        <v>0</v>
      </c>
      <c r="K154" s="14">
        <f t="shared" si="8"/>
        <v>0</v>
      </c>
      <c r="L154" s="27">
        <f>IF('Pegar ML'!AB150=" ",'Pegar ML'!AB149,'Pegar ML'!AB150)</f>
        <v>0</v>
      </c>
      <c r="M154" s="27" t="str">
        <f>IF('Pegar ML'!AC150=" ",RIGHT('Pegar ML'!AC149,8),RIGHT('Pegar ML'!AC150,8))</f>
        <v/>
      </c>
      <c r="N154" s="27" t="s">
        <v>80</v>
      </c>
      <c r="O154" s="27">
        <f t="shared" si="6"/>
        <v>0</v>
      </c>
      <c r="P154" s="27" t="s">
        <v>80</v>
      </c>
      <c r="Q154" s="55">
        <f>IF('Pegar ML'!AD150=" ",'Pegar ML'!AD149,'Pegar ML'!AD150)</f>
        <v>0</v>
      </c>
      <c r="R154" s="27" t="s">
        <v>80</v>
      </c>
      <c r="S154" s="27" t="s">
        <v>80</v>
      </c>
      <c r="T154" s="27" t="s">
        <v>80</v>
      </c>
      <c r="U154" s="55">
        <f>IF('Pegar ML'!AI150=" ",'Pegar ML'!AI149,'Pegar ML'!AI150)</f>
        <v>0</v>
      </c>
      <c r="V154" s="55">
        <f>IF('Pegar ML'!AK150=" ",'Pegar ML'!AK149,'Pegar ML'!AK150)</f>
        <v>0</v>
      </c>
      <c r="W154" s="55">
        <f>IF('Pegar ML'!AJ150=" ",'Pegar ML'!AJ149,'Pegar ML'!AJ150)</f>
        <v>0</v>
      </c>
      <c r="X154" s="55">
        <f>IF('Pegar ML'!AL150=" ",'Pegar ML'!AL149,'Pegar ML'!AL150)</f>
        <v>0</v>
      </c>
      <c r="Y154" s="27"/>
      <c r="Z154" s="27"/>
      <c r="AA154" s="27"/>
      <c r="AB154" s="27"/>
      <c r="AC154" s="27"/>
      <c r="AD154" s="27"/>
      <c r="AF154" s="8"/>
      <c r="AG154" s="27"/>
      <c r="AH154" s="14">
        <f>+'Pegar ML'!Y150</f>
        <v>0</v>
      </c>
      <c r="AI154" s="13">
        <f t="shared" si="7"/>
        <v>1</v>
      </c>
      <c r="AJ154" s="7">
        <f>+'Pegar ML'!T150</f>
        <v>0</v>
      </c>
      <c r="AK154" s="27"/>
      <c r="AL154" s="27"/>
      <c r="AM154" s="27"/>
      <c r="AN154" s="27"/>
      <c r="AO154" s="27"/>
      <c r="AP154" s="27"/>
      <c r="AQ154" s="27"/>
      <c r="AR154" s="27"/>
      <c r="AS154" s="27">
        <v>17</v>
      </c>
    </row>
    <row r="155" spans="1:45" x14ac:dyDescent="0.25">
      <c r="A155" s="27">
        <f>IF('Pegar ML'!C150="Paquete de 2 productos",'Pegar ML'!A150,IF('Pegar ML'!C149="Paquete de 2 productos",'Pegar ML'!A149,'Pegar ML'!A151))</f>
        <v>0</v>
      </c>
      <c r="B155" s="27"/>
      <c r="C155" s="30" t="e">
        <f>IF(AjusteFecha!I151=0,"",AjusteFecha!I151)</f>
        <v>#N/A</v>
      </c>
      <c r="D155" s="27"/>
      <c r="E155" s="27"/>
      <c r="F155" s="27" t="str">
        <f>IF('Pegar ML'!C151="","",'Pegar ML'!C151)</f>
        <v/>
      </c>
      <c r="G155" s="27" t="str">
        <f>IF('Pegar ML'!G146="ARS","PS","PS")</f>
        <v>PS</v>
      </c>
      <c r="H155" s="14">
        <f>IF('Pegar ML'!C150="Paquete de 2 productos",IF('Pegar ML'!H150="",0,'Pegar ML'!H150),IF('Pegar ML'!H151="",0,'Pegar ML'!H151))</f>
        <v>0</v>
      </c>
      <c r="I155" s="14">
        <f>IF('Pegar ML'!C150="Paquete de 2 productos",IF('Pegar ML'!O150="",0,'Pegar ML'!O150),IF('Pegar ML'!O151="",0,'Pegar ML'!O151))</f>
        <v>0</v>
      </c>
      <c r="J155" s="14">
        <f>IF('Pegar ML'!C150="Paquete de 2 productos",IF('Pegar ML'!O150="",0,'Pegar ML'!O150),IF('Pegar ML'!O151="",0,'Pegar ML'!O151))</f>
        <v>0</v>
      </c>
      <c r="K155" s="14">
        <f t="shared" si="8"/>
        <v>0</v>
      </c>
      <c r="L155" s="27">
        <f>IF('Pegar ML'!AB151=" ",'Pegar ML'!AB150,'Pegar ML'!AB151)</f>
        <v>0</v>
      </c>
      <c r="M155" s="27" t="str">
        <f>IF('Pegar ML'!AC151=" ",RIGHT('Pegar ML'!AC150,8),RIGHT('Pegar ML'!AC151,8))</f>
        <v/>
      </c>
      <c r="N155" s="27" t="s">
        <v>80</v>
      </c>
      <c r="O155" s="27">
        <f t="shared" si="6"/>
        <v>0</v>
      </c>
      <c r="P155" s="27" t="s">
        <v>80</v>
      </c>
      <c r="Q155" s="55">
        <f>IF('Pegar ML'!AD151=" ",'Pegar ML'!AD150,'Pegar ML'!AD151)</f>
        <v>0</v>
      </c>
      <c r="R155" s="27" t="s">
        <v>80</v>
      </c>
      <c r="S155" s="27" t="s">
        <v>80</v>
      </c>
      <c r="T155" s="27" t="s">
        <v>80</v>
      </c>
      <c r="U155" s="55">
        <f>IF('Pegar ML'!AI151=" ",'Pegar ML'!AI150,'Pegar ML'!AI151)</f>
        <v>0</v>
      </c>
      <c r="V155" s="55">
        <f>IF('Pegar ML'!AK151=" ",'Pegar ML'!AK150,'Pegar ML'!AK151)</f>
        <v>0</v>
      </c>
      <c r="W155" s="55">
        <f>IF('Pegar ML'!AJ151=" ",'Pegar ML'!AJ150,'Pegar ML'!AJ151)</f>
        <v>0</v>
      </c>
      <c r="X155" s="55">
        <f>IF('Pegar ML'!AL151=" ",'Pegar ML'!AL150,'Pegar ML'!AL151)</f>
        <v>0</v>
      </c>
      <c r="Y155" s="27"/>
      <c r="Z155" s="27"/>
      <c r="AA155" s="27"/>
      <c r="AB155" s="27"/>
      <c r="AC155" s="27"/>
      <c r="AD155" s="27"/>
      <c r="AF155" s="8"/>
      <c r="AG155" s="27"/>
      <c r="AH155" s="14">
        <f>+'Pegar ML'!Y151</f>
        <v>0</v>
      </c>
      <c r="AI155" s="13">
        <f t="shared" si="7"/>
        <v>1</v>
      </c>
      <c r="AJ155" s="7">
        <f>+'Pegar ML'!T151</f>
        <v>0</v>
      </c>
      <c r="AK155" s="27"/>
      <c r="AL155" s="27"/>
      <c r="AM155" s="27"/>
      <c r="AN155" s="27"/>
      <c r="AO155" s="27"/>
      <c r="AP155" s="27"/>
      <c r="AQ155" s="27"/>
      <c r="AR155" s="27"/>
      <c r="AS155" s="27">
        <v>17</v>
      </c>
    </row>
    <row r="156" spans="1:45" x14ac:dyDescent="0.25">
      <c r="A156" s="27">
        <f>IF('Pegar ML'!C151="Paquete de 2 productos",'Pegar ML'!A151,IF('Pegar ML'!C150="Paquete de 2 productos",'Pegar ML'!A150,'Pegar ML'!A152))</f>
        <v>0</v>
      </c>
      <c r="B156" s="27"/>
      <c r="C156" s="30" t="e">
        <f>IF(AjusteFecha!I152=0,"",AjusteFecha!I152)</f>
        <v>#N/A</v>
      </c>
      <c r="D156" s="27"/>
      <c r="E156" s="27"/>
      <c r="F156" s="27" t="str">
        <f>IF('Pegar ML'!C152="","",'Pegar ML'!C152)</f>
        <v/>
      </c>
      <c r="G156" s="27" t="str">
        <f>IF('Pegar ML'!G147="ARS","PS","PS")</f>
        <v>PS</v>
      </c>
      <c r="H156" s="14">
        <f>IF('Pegar ML'!C151="Paquete de 2 productos",IF('Pegar ML'!H151="",0,'Pegar ML'!H151),IF('Pegar ML'!H152="",0,'Pegar ML'!H152))</f>
        <v>0</v>
      </c>
      <c r="I156" s="14">
        <f>IF('Pegar ML'!C151="Paquete de 2 productos",IF('Pegar ML'!O151="",0,'Pegar ML'!O151),IF('Pegar ML'!O152="",0,'Pegar ML'!O152))</f>
        <v>0</v>
      </c>
      <c r="J156" s="14">
        <f>IF('Pegar ML'!C151="Paquete de 2 productos",IF('Pegar ML'!O151="",0,'Pegar ML'!O151),IF('Pegar ML'!O152="",0,'Pegar ML'!O152))</f>
        <v>0</v>
      </c>
      <c r="K156" s="14">
        <f t="shared" si="8"/>
        <v>0</v>
      </c>
      <c r="L156" s="27">
        <f>IF('Pegar ML'!AB152=" ",'Pegar ML'!AB151,'Pegar ML'!AB152)</f>
        <v>0</v>
      </c>
      <c r="M156" s="27" t="str">
        <f>IF('Pegar ML'!AC152=" ",RIGHT('Pegar ML'!AC151,8),RIGHT('Pegar ML'!AC152,8))</f>
        <v/>
      </c>
      <c r="N156" s="27" t="s">
        <v>80</v>
      </c>
      <c r="O156" s="27">
        <f t="shared" si="6"/>
        <v>0</v>
      </c>
      <c r="P156" s="27" t="s">
        <v>80</v>
      </c>
      <c r="Q156" s="55">
        <f>IF('Pegar ML'!AD152=" ",'Pegar ML'!AD151,'Pegar ML'!AD152)</f>
        <v>0</v>
      </c>
      <c r="R156" s="27" t="s">
        <v>80</v>
      </c>
      <c r="S156" s="27" t="s">
        <v>80</v>
      </c>
      <c r="T156" s="27" t="s">
        <v>80</v>
      </c>
      <c r="U156" s="55">
        <f>IF('Pegar ML'!AI152=" ",'Pegar ML'!AI151,'Pegar ML'!AI152)</f>
        <v>0</v>
      </c>
      <c r="V156" s="55">
        <f>IF('Pegar ML'!AK152=" ",'Pegar ML'!AK151,'Pegar ML'!AK152)</f>
        <v>0</v>
      </c>
      <c r="W156" s="55">
        <f>IF('Pegar ML'!AJ152=" ",'Pegar ML'!AJ151,'Pegar ML'!AJ152)</f>
        <v>0</v>
      </c>
      <c r="X156" s="55">
        <f>IF('Pegar ML'!AL152=" ",'Pegar ML'!AL151,'Pegar ML'!AL152)</f>
        <v>0</v>
      </c>
      <c r="Y156" s="27"/>
      <c r="Z156" s="27"/>
      <c r="AA156" s="27"/>
      <c r="AB156" s="27"/>
      <c r="AC156" s="27"/>
      <c r="AD156" s="27"/>
      <c r="AF156" s="8"/>
      <c r="AG156" s="27"/>
      <c r="AH156" s="14">
        <f>+'Pegar ML'!Y152</f>
        <v>0</v>
      </c>
      <c r="AI156" s="13">
        <f t="shared" si="7"/>
        <v>1</v>
      </c>
      <c r="AJ156" s="7">
        <f>+'Pegar ML'!T152</f>
        <v>0</v>
      </c>
      <c r="AK156" s="27"/>
      <c r="AL156" s="27"/>
      <c r="AM156" s="27"/>
      <c r="AN156" s="27"/>
      <c r="AO156" s="27"/>
      <c r="AP156" s="27"/>
      <c r="AQ156" s="27"/>
      <c r="AR156" s="27"/>
      <c r="AS156" s="27">
        <v>17</v>
      </c>
    </row>
    <row r="157" spans="1:45" x14ac:dyDescent="0.25">
      <c r="A157" s="27">
        <f>IF('Pegar ML'!C152="Paquete de 2 productos",'Pegar ML'!A152,IF('Pegar ML'!C151="Paquete de 2 productos",'Pegar ML'!A151,'Pegar ML'!A153))</f>
        <v>0</v>
      </c>
      <c r="B157" s="27"/>
      <c r="C157" s="30" t="e">
        <f>IF(AjusteFecha!I153=0,"",AjusteFecha!I153)</f>
        <v>#N/A</v>
      </c>
      <c r="D157" s="27"/>
      <c r="E157" s="27"/>
      <c r="F157" s="27" t="str">
        <f>IF('Pegar ML'!C153="","",'Pegar ML'!C153)</f>
        <v/>
      </c>
      <c r="G157" s="27" t="str">
        <f>IF('Pegar ML'!G148="ARS","PS","PS")</f>
        <v>PS</v>
      </c>
      <c r="H157" s="14">
        <f>IF('Pegar ML'!C152="Paquete de 2 productos",IF('Pegar ML'!H152="",0,'Pegar ML'!H152),IF('Pegar ML'!H153="",0,'Pegar ML'!H153))</f>
        <v>0</v>
      </c>
      <c r="I157" s="14">
        <f>IF('Pegar ML'!C152="Paquete de 2 productos",IF('Pegar ML'!O152="",0,'Pegar ML'!O152),IF('Pegar ML'!O153="",0,'Pegar ML'!O153))</f>
        <v>0</v>
      </c>
      <c r="J157" s="14">
        <f>IF('Pegar ML'!C152="Paquete de 2 productos",IF('Pegar ML'!O152="",0,'Pegar ML'!O152),IF('Pegar ML'!O153="",0,'Pegar ML'!O153))</f>
        <v>0</v>
      </c>
      <c r="K157" s="14">
        <f t="shared" si="8"/>
        <v>0</v>
      </c>
      <c r="L157" s="27">
        <f>IF('Pegar ML'!AB153=" ",'Pegar ML'!AB152,'Pegar ML'!AB153)</f>
        <v>0</v>
      </c>
      <c r="M157" s="27" t="str">
        <f>IF('Pegar ML'!AC153=" ",RIGHT('Pegar ML'!AC152,8),RIGHT('Pegar ML'!AC153,8))</f>
        <v/>
      </c>
      <c r="N157" s="27" t="s">
        <v>80</v>
      </c>
      <c r="O157" s="27">
        <f t="shared" si="6"/>
        <v>0</v>
      </c>
      <c r="P157" s="27" t="s">
        <v>80</v>
      </c>
      <c r="Q157" s="55">
        <f>IF('Pegar ML'!AD153=" ",'Pegar ML'!AD152,'Pegar ML'!AD153)</f>
        <v>0</v>
      </c>
      <c r="R157" s="27" t="s">
        <v>80</v>
      </c>
      <c r="S157" s="27" t="s">
        <v>80</v>
      </c>
      <c r="T157" s="27" t="s">
        <v>80</v>
      </c>
      <c r="U157" s="55">
        <f>IF('Pegar ML'!AI153=" ",'Pegar ML'!AI152,'Pegar ML'!AI153)</f>
        <v>0</v>
      </c>
      <c r="V157" s="55">
        <f>IF('Pegar ML'!AK153=" ",'Pegar ML'!AK152,'Pegar ML'!AK153)</f>
        <v>0</v>
      </c>
      <c r="W157" s="55">
        <f>IF('Pegar ML'!AJ153=" ",'Pegar ML'!AJ152,'Pegar ML'!AJ153)</f>
        <v>0</v>
      </c>
      <c r="X157" s="55">
        <f>IF('Pegar ML'!AL153=" ",'Pegar ML'!AL152,'Pegar ML'!AL153)</f>
        <v>0</v>
      </c>
      <c r="Y157" s="27"/>
      <c r="Z157" s="27"/>
      <c r="AA157" s="27"/>
      <c r="AB157" s="27"/>
      <c r="AC157" s="27"/>
      <c r="AD157" s="27"/>
      <c r="AF157" s="8"/>
      <c r="AG157" s="27"/>
      <c r="AH157" s="14">
        <f>+'Pegar ML'!Y153</f>
        <v>0</v>
      </c>
      <c r="AI157" s="13">
        <f t="shared" si="7"/>
        <v>1</v>
      </c>
      <c r="AJ157" s="7">
        <f>+'Pegar ML'!T153</f>
        <v>0</v>
      </c>
      <c r="AK157" s="27"/>
      <c r="AL157" s="27"/>
      <c r="AM157" s="27"/>
      <c r="AN157" s="27"/>
      <c r="AO157" s="27"/>
      <c r="AP157" s="27"/>
      <c r="AQ157" s="27"/>
      <c r="AR157" s="27"/>
      <c r="AS157" s="27">
        <v>17</v>
      </c>
    </row>
    <row r="158" spans="1:45" x14ac:dyDescent="0.25">
      <c r="A158" s="27">
        <f>IF('Pegar ML'!C153="Paquete de 2 productos",'Pegar ML'!A153,IF('Pegar ML'!C152="Paquete de 2 productos",'Pegar ML'!A152,'Pegar ML'!A154))</f>
        <v>0</v>
      </c>
      <c r="B158" s="27"/>
      <c r="C158" s="30" t="e">
        <f>IF(AjusteFecha!I154=0,"",AjusteFecha!I154)</f>
        <v>#N/A</v>
      </c>
      <c r="D158" s="27"/>
      <c r="E158" s="27"/>
      <c r="F158" s="27" t="str">
        <f>IF('Pegar ML'!C154="","",'Pegar ML'!C154)</f>
        <v/>
      </c>
      <c r="G158" s="27" t="str">
        <f>IF('Pegar ML'!G149="ARS","PS","PS")</f>
        <v>PS</v>
      </c>
      <c r="H158" s="14">
        <f>IF('Pegar ML'!C153="Paquete de 2 productos",IF('Pegar ML'!H153="",0,'Pegar ML'!H153),IF('Pegar ML'!H154="",0,'Pegar ML'!H154))</f>
        <v>0</v>
      </c>
      <c r="I158" s="14">
        <f>IF('Pegar ML'!C153="Paquete de 2 productos",IF('Pegar ML'!O153="",0,'Pegar ML'!O153),IF('Pegar ML'!O154="",0,'Pegar ML'!O154))</f>
        <v>0</v>
      </c>
      <c r="J158" s="14">
        <f>IF('Pegar ML'!C153="Paquete de 2 productos",IF('Pegar ML'!O153="",0,'Pegar ML'!O153),IF('Pegar ML'!O154="",0,'Pegar ML'!O154))</f>
        <v>0</v>
      </c>
      <c r="K158" s="14">
        <f t="shared" si="8"/>
        <v>0</v>
      </c>
      <c r="L158" s="27">
        <f>IF('Pegar ML'!AB154=" ",'Pegar ML'!AB153,'Pegar ML'!AB154)</f>
        <v>0</v>
      </c>
      <c r="M158" s="27" t="str">
        <f>IF('Pegar ML'!AC154=" ",RIGHT('Pegar ML'!AC153,8),RIGHT('Pegar ML'!AC154,8))</f>
        <v/>
      </c>
      <c r="N158" s="27" t="s">
        <v>80</v>
      </c>
      <c r="O158" s="27">
        <f t="shared" si="6"/>
        <v>0</v>
      </c>
      <c r="P158" s="27" t="s">
        <v>80</v>
      </c>
      <c r="Q158" s="55">
        <f>IF('Pegar ML'!AD154=" ",'Pegar ML'!AD153,'Pegar ML'!AD154)</f>
        <v>0</v>
      </c>
      <c r="R158" s="27" t="s">
        <v>80</v>
      </c>
      <c r="S158" s="27" t="s">
        <v>80</v>
      </c>
      <c r="T158" s="27" t="s">
        <v>80</v>
      </c>
      <c r="U158" s="55">
        <f>IF('Pegar ML'!AI154=" ",'Pegar ML'!AI153,'Pegar ML'!AI154)</f>
        <v>0</v>
      </c>
      <c r="V158" s="55">
        <f>IF('Pegar ML'!AK154=" ",'Pegar ML'!AK153,'Pegar ML'!AK154)</f>
        <v>0</v>
      </c>
      <c r="W158" s="55">
        <f>IF('Pegar ML'!AJ154=" ",'Pegar ML'!AJ153,'Pegar ML'!AJ154)</f>
        <v>0</v>
      </c>
      <c r="X158" s="55">
        <f>IF('Pegar ML'!AL154=" ",'Pegar ML'!AL153,'Pegar ML'!AL154)</f>
        <v>0</v>
      </c>
      <c r="Y158" s="27"/>
      <c r="Z158" s="27"/>
      <c r="AA158" s="27"/>
      <c r="AB158" s="27"/>
      <c r="AC158" s="27"/>
      <c r="AD158" s="27"/>
      <c r="AF158" s="8"/>
      <c r="AG158" s="27"/>
      <c r="AH158" s="14">
        <f>+'Pegar ML'!Y154</f>
        <v>0</v>
      </c>
      <c r="AI158" s="13">
        <f t="shared" si="7"/>
        <v>1</v>
      </c>
      <c r="AJ158" s="7">
        <f>+'Pegar ML'!T154</f>
        <v>0</v>
      </c>
      <c r="AK158" s="27"/>
      <c r="AL158" s="27"/>
      <c r="AM158" s="27"/>
      <c r="AN158" s="27"/>
      <c r="AO158" s="27"/>
      <c r="AP158" s="27"/>
      <c r="AQ158" s="27"/>
      <c r="AR158" s="27"/>
      <c r="AS158" s="27">
        <v>17</v>
      </c>
    </row>
    <row r="159" spans="1:45" x14ac:dyDescent="0.25">
      <c r="A159" s="27">
        <f>IF('Pegar ML'!C154="Paquete de 2 productos",'Pegar ML'!A154,IF('Pegar ML'!C153="Paquete de 2 productos",'Pegar ML'!A153,'Pegar ML'!A155))</f>
        <v>0</v>
      </c>
      <c r="B159" s="27"/>
      <c r="C159" s="30" t="e">
        <f>IF(AjusteFecha!I155=0,"",AjusteFecha!I155)</f>
        <v>#N/A</v>
      </c>
      <c r="D159" s="27"/>
      <c r="E159" s="27"/>
      <c r="F159" s="27" t="str">
        <f>IF('Pegar ML'!C155="","",'Pegar ML'!C155)</f>
        <v/>
      </c>
      <c r="G159" s="27" t="str">
        <f>IF('Pegar ML'!G150="ARS","PS","PS")</f>
        <v>PS</v>
      </c>
      <c r="H159" s="14">
        <f>IF('Pegar ML'!C154="Paquete de 2 productos",IF('Pegar ML'!H154="",0,'Pegar ML'!H154),IF('Pegar ML'!H155="",0,'Pegar ML'!H155))</f>
        <v>0</v>
      </c>
      <c r="I159" s="14">
        <f>IF('Pegar ML'!C154="Paquete de 2 productos",IF('Pegar ML'!O154="",0,'Pegar ML'!O154),IF('Pegar ML'!O155="",0,'Pegar ML'!O155))</f>
        <v>0</v>
      </c>
      <c r="J159" s="14">
        <f>IF('Pegar ML'!C154="Paquete de 2 productos",IF('Pegar ML'!O154="",0,'Pegar ML'!O154),IF('Pegar ML'!O155="",0,'Pegar ML'!O155))</f>
        <v>0</v>
      </c>
      <c r="K159" s="14">
        <f t="shared" si="8"/>
        <v>0</v>
      </c>
      <c r="L159" s="27">
        <f>IF('Pegar ML'!AB155=" ",'Pegar ML'!AB154,'Pegar ML'!AB155)</f>
        <v>0</v>
      </c>
      <c r="M159" s="27" t="str">
        <f>IF('Pegar ML'!AC155=" ",RIGHT('Pegar ML'!AC154,8),RIGHT('Pegar ML'!AC155,8))</f>
        <v/>
      </c>
      <c r="N159" s="27" t="s">
        <v>80</v>
      </c>
      <c r="O159" s="27">
        <f t="shared" si="6"/>
        <v>0</v>
      </c>
      <c r="P159" s="27" t="s">
        <v>80</v>
      </c>
      <c r="Q159" s="55">
        <f>IF('Pegar ML'!AD155=" ",'Pegar ML'!AD154,'Pegar ML'!AD155)</f>
        <v>0</v>
      </c>
      <c r="R159" s="27" t="s">
        <v>80</v>
      </c>
      <c r="S159" s="27" t="s">
        <v>80</v>
      </c>
      <c r="T159" s="27" t="s">
        <v>80</v>
      </c>
      <c r="U159" s="55">
        <f>IF('Pegar ML'!AI155=" ",'Pegar ML'!AI154,'Pegar ML'!AI155)</f>
        <v>0</v>
      </c>
      <c r="V159" s="55">
        <f>IF('Pegar ML'!AK155=" ",'Pegar ML'!AK154,'Pegar ML'!AK155)</f>
        <v>0</v>
      </c>
      <c r="W159" s="55">
        <f>IF('Pegar ML'!AJ155=" ",'Pegar ML'!AJ154,'Pegar ML'!AJ155)</f>
        <v>0</v>
      </c>
      <c r="X159" s="55">
        <f>IF('Pegar ML'!AL155=" ",'Pegar ML'!AL154,'Pegar ML'!AL155)</f>
        <v>0</v>
      </c>
      <c r="Y159" s="27"/>
      <c r="Z159" s="27"/>
      <c r="AA159" s="27"/>
      <c r="AB159" s="27"/>
      <c r="AC159" s="27"/>
      <c r="AD159" s="27"/>
      <c r="AF159" s="8"/>
      <c r="AG159" s="27"/>
      <c r="AH159" s="14">
        <f>+'Pegar ML'!Y155</f>
        <v>0</v>
      </c>
      <c r="AI159" s="13">
        <f t="shared" si="7"/>
        <v>1</v>
      </c>
      <c r="AJ159" s="7">
        <f>+'Pegar ML'!T155</f>
        <v>0</v>
      </c>
      <c r="AK159" s="27"/>
      <c r="AL159" s="27"/>
      <c r="AM159" s="27"/>
      <c r="AN159" s="27"/>
      <c r="AO159" s="27"/>
      <c r="AP159" s="27"/>
      <c r="AQ159" s="27"/>
      <c r="AR159" s="27"/>
      <c r="AS159" s="27">
        <v>17</v>
      </c>
    </row>
    <row r="160" spans="1:45" x14ac:dyDescent="0.25">
      <c r="A160" s="27">
        <f>IF('Pegar ML'!C155="Paquete de 2 productos",'Pegar ML'!A155,IF('Pegar ML'!C154="Paquete de 2 productos",'Pegar ML'!A154,'Pegar ML'!A156))</f>
        <v>0</v>
      </c>
      <c r="B160" s="27"/>
      <c r="C160" s="30" t="e">
        <f>IF(AjusteFecha!I156=0,"",AjusteFecha!I156)</f>
        <v>#N/A</v>
      </c>
      <c r="D160" s="27"/>
      <c r="E160" s="27"/>
      <c r="F160" s="27" t="str">
        <f>IF('Pegar ML'!C156="","",'Pegar ML'!C156)</f>
        <v/>
      </c>
      <c r="G160" s="27" t="str">
        <f>IF('Pegar ML'!G151="ARS","PS","PS")</f>
        <v>PS</v>
      </c>
      <c r="H160" s="14">
        <f>IF('Pegar ML'!C155="Paquete de 2 productos",IF('Pegar ML'!H155="",0,'Pegar ML'!H155),IF('Pegar ML'!H156="",0,'Pegar ML'!H156))</f>
        <v>0</v>
      </c>
      <c r="I160" s="14">
        <f>IF('Pegar ML'!C155="Paquete de 2 productos",IF('Pegar ML'!O155="",0,'Pegar ML'!O155),IF('Pegar ML'!O156="",0,'Pegar ML'!O156))</f>
        <v>0</v>
      </c>
      <c r="J160" s="14">
        <f>IF('Pegar ML'!C155="Paquete de 2 productos",IF('Pegar ML'!O155="",0,'Pegar ML'!O155),IF('Pegar ML'!O156="",0,'Pegar ML'!O156))</f>
        <v>0</v>
      </c>
      <c r="K160" s="14">
        <f t="shared" si="8"/>
        <v>0</v>
      </c>
      <c r="L160" s="27">
        <f>IF('Pegar ML'!AB156=" ",'Pegar ML'!AB155,'Pegar ML'!AB156)</f>
        <v>0</v>
      </c>
      <c r="M160" s="27" t="str">
        <f>IF('Pegar ML'!AC156=" ",RIGHT('Pegar ML'!AC155,8),RIGHT('Pegar ML'!AC156,8))</f>
        <v/>
      </c>
      <c r="N160" s="27" t="s">
        <v>80</v>
      </c>
      <c r="O160" s="27">
        <f t="shared" si="6"/>
        <v>0</v>
      </c>
      <c r="P160" s="27" t="s">
        <v>80</v>
      </c>
      <c r="Q160" s="55">
        <f>IF('Pegar ML'!AD156=" ",'Pegar ML'!AD155,'Pegar ML'!AD156)</f>
        <v>0</v>
      </c>
      <c r="R160" s="27" t="s">
        <v>80</v>
      </c>
      <c r="S160" s="27" t="s">
        <v>80</v>
      </c>
      <c r="T160" s="27" t="s">
        <v>80</v>
      </c>
      <c r="U160" s="55">
        <f>IF('Pegar ML'!AI156=" ",'Pegar ML'!AI155,'Pegar ML'!AI156)</f>
        <v>0</v>
      </c>
      <c r="V160" s="55">
        <f>IF('Pegar ML'!AK156=" ",'Pegar ML'!AK155,'Pegar ML'!AK156)</f>
        <v>0</v>
      </c>
      <c r="W160" s="55">
        <f>IF('Pegar ML'!AJ156=" ",'Pegar ML'!AJ155,'Pegar ML'!AJ156)</f>
        <v>0</v>
      </c>
      <c r="X160" s="55">
        <f>IF('Pegar ML'!AL156=" ",'Pegar ML'!AL155,'Pegar ML'!AL156)</f>
        <v>0</v>
      </c>
      <c r="Y160" s="27"/>
      <c r="Z160" s="27"/>
      <c r="AA160" s="27"/>
      <c r="AB160" s="27"/>
      <c r="AC160" s="27"/>
      <c r="AD160" s="27"/>
      <c r="AF160" s="8"/>
      <c r="AG160" s="27"/>
      <c r="AH160" s="14">
        <f>+'Pegar ML'!Y156</f>
        <v>0</v>
      </c>
      <c r="AI160" s="13">
        <f t="shared" si="7"/>
        <v>1</v>
      </c>
      <c r="AJ160" s="7">
        <f>+'Pegar ML'!T156</f>
        <v>0</v>
      </c>
      <c r="AK160" s="27"/>
      <c r="AL160" s="27"/>
      <c r="AM160" s="27"/>
      <c r="AN160" s="27"/>
      <c r="AO160" s="27"/>
      <c r="AP160" s="27"/>
      <c r="AQ160" s="27"/>
      <c r="AR160" s="27"/>
      <c r="AS160" s="27">
        <v>17</v>
      </c>
    </row>
    <row r="161" spans="1:45" x14ac:dyDescent="0.25">
      <c r="A161" s="27">
        <f>IF('Pegar ML'!C156="Paquete de 2 productos",'Pegar ML'!A156,IF('Pegar ML'!C155="Paquete de 2 productos",'Pegar ML'!A155,'Pegar ML'!A157))</f>
        <v>0</v>
      </c>
      <c r="B161" s="27"/>
      <c r="C161" s="30" t="e">
        <f>IF(AjusteFecha!I157=0,"",AjusteFecha!I157)</f>
        <v>#N/A</v>
      </c>
      <c r="D161" s="27"/>
      <c r="E161" s="27"/>
      <c r="F161" s="27" t="str">
        <f>IF('Pegar ML'!C157="","",'Pegar ML'!C157)</f>
        <v/>
      </c>
      <c r="G161" s="27" t="str">
        <f>IF('Pegar ML'!G152="ARS","PS","PS")</f>
        <v>PS</v>
      </c>
      <c r="H161" s="14">
        <f>IF('Pegar ML'!C156="Paquete de 2 productos",IF('Pegar ML'!H156="",0,'Pegar ML'!H156),IF('Pegar ML'!H157="",0,'Pegar ML'!H157))</f>
        <v>0</v>
      </c>
      <c r="I161" s="14">
        <f>IF('Pegar ML'!C156="Paquete de 2 productos",IF('Pegar ML'!O156="",0,'Pegar ML'!O156),IF('Pegar ML'!O157="",0,'Pegar ML'!O157))</f>
        <v>0</v>
      </c>
      <c r="J161" s="14">
        <f>IF('Pegar ML'!C156="Paquete de 2 productos",IF('Pegar ML'!O156="",0,'Pegar ML'!O156),IF('Pegar ML'!O157="",0,'Pegar ML'!O157))</f>
        <v>0</v>
      </c>
      <c r="K161" s="14">
        <f t="shared" si="8"/>
        <v>0</v>
      </c>
      <c r="L161" s="27">
        <f>IF('Pegar ML'!AB157=" ",'Pegar ML'!AB156,'Pegar ML'!AB157)</f>
        <v>0</v>
      </c>
      <c r="M161" s="27" t="str">
        <f>IF('Pegar ML'!AC157=" ",RIGHT('Pegar ML'!AC156,8),RIGHT('Pegar ML'!AC157,8))</f>
        <v/>
      </c>
      <c r="N161" s="27" t="s">
        <v>80</v>
      </c>
      <c r="O161" s="27">
        <f t="shared" si="6"/>
        <v>0</v>
      </c>
      <c r="P161" s="27" t="s">
        <v>80</v>
      </c>
      <c r="Q161" s="55">
        <f>IF('Pegar ML'!AD157=" ",'Pegar ML'!AD156,'Pegar ML'!AD157)</f>
        <v>0</v>
      </c>
      <c r="R161" s="27" t="s">
        <v>80</v>
      </c>
      <c r="S161" s="27" t="s">
        <v>80</v>
      </c>
      <c r="T161" s="27" t="s">
        <v>80</v>
      </c>
      <c r="U161" s="55">
        <f>IF('Pegar ML'!AI157=" ",'Pegar ML'!AI156,'Pegar ML'!AI157)</f>
        <v>0</v>
      </c>
      <c r="V161" s="55">
        <f>IF('Pegar ML'!AK157=" ",'Pegar ML'!AK156,'Pegar ML'!AK157)</f>
        <v>0</v>
      </c>
      <c r="W161" s="55">
        <f>IF('Pegar ML'!AJ157=" ",'Pegar ML'!AJ156,'Pegar ML'!AJ157)</f>
        <v>0</v>
      </c>
      <c r="X161" s="55">
        <f>IF('Pegar ML'!AL157=" ",'Pegar ML'!AL156,'Pegar ML'!AL157)</f>
        <v>0</v>
      </c>
      <c r="Y161" s="27"/>
      <c r="Z161" s="27"/>
      <c r="AA161" s="27"/>
      <c r="AB161" s="27"/>
      <c r="AC161" s="27"/>
      <c r="AD161" s="27"/>
      <c r="AF161" s="8"/>
      <c r="AG161" s="27"/>
      <c r="AH161" s="14">
        <f>+'Pegar ML'!Y157</f>
        <v>0</v>
      </c>
      <c r="AI161" s="13">
        <f t="shared" si="7"/>
        <v>1</v>
      </c>
      <c r="AJ161" s="7">
        <f>+'Pegar ML'!T157</f>
        <v>0</v>
      </c>
      <c r="AK161" s="27"/>
      <c r="AL161" s="27"/>
      <c r="AM161" s="27"/>
      <c r="AN161" s="27"/>
      <c r="AO161" s="27"/>
      <c r="AP161" s="27"/>
      <c r="AQ161" s="27"/>
      <c r="AR161" s="27"/>
      <c r="AS161" s="27">
        <v>17</v>
      </c>
    </row>
    <row r="162" spans="1:45" x14ac:dyDescent="0.25">
      <c r="A162" s="27">
        <f>IF('Pegar ML'!C157="Paquete de 2 productos",'Pegar ML'!A157,IF('Pegar ML'!C156="Paquete de 2 productos",'Pegar ML'!A156,'Pegar ML'!A158))</f>
        <v>0</v>
      </c>
      <c r="B162" s="27"/>
      <c r="C162" s="30" t="e">
        <f>IF(AjusteFecha!I158=0,"",AjusteFecha!I158)</f>
        <v>#N/A</v>
      </c>
      <c r="D162" s="27"/>
      <c r="E162" s="27"/>
      <c r="F162" s="27" t="str">
        <f>IF('Pegar ML'!C158="","",'Pegar ML'!C158)</f>
        <v/>
      </c>
      <c r="G162" s="27" t="str">
        <f>IF('Pegar ML'!G153="ARS","PS","PS")</f>
        <v>PS</v>
      </c>
      <c r="H162" s="14">
        <f>IF('Pegar ML'!C157="Paquete de 2 productos",IF('Pegar ML'!H157="",0,'Pegar ML'!H157),IF('Pegar ML'!H158="",0,'Pegar ML'!H158))</f>
        <v>0</v>
      </c>
      <c r="I162" s="14">
        <f>IF('Pegar ML'!C157="Paquete de 2 productos",IF('Pegar ML'!O157="",0,'Pegar ML'!O157),IF('Pegar ML'!O158="",0,'Pegar ML'!O158))</f>
        <v>0</v>
      </c>
      <c r="J162" s="14">
        <f>IF('Pegar ML'!C157="Paquete de 2 productos",IF('Pegar ML'!O157="",0,'Pegar ML'!O157),IF('Pegar ML'!O158="",0,'Pegar ML'!O158))</f>
        <v>0</v>
      </c>
      <c r="K162" s="14">
        <f t="shared" si="8"/>
        <v>0</v>
      </c>
      <c r="L162" s="27">
        <f>IF('Pegar ML'!AB158=" ",'Pegar ML'!AB157,'Pegar ML'!AB158)</f>
        <v>0</v>
      </c>
      <c r="M162" s="27" t="str">
        <f>IF('Pegar ML'!AC158=" ",RIGHT('Pegar ML'!AC157,8),RIGHT('Pegar ML'!AC158,8))</f>
        <v/>
      </c>
      <c r="N162" s="27" t="s">
        <v>80</v>
      </c>
      <c r="O162" s="27">
        <f t="shared" si="6"/>
        <v>0</v>
      </c>
      <c r="P162" s="27" t="s">
        <v>80</v>
      </c>
      <c r="Q162" s="55">
        <f>IF('Pegar ML'!AD158=" ",'Pegar ML'!AD157,'Pegar ML'!AD158)</f>
        <v>0</v>
      </c>
      <c r="R162" s="27" t="s">
        <v>80</v>
      </c>
      <c r="S162" s="27" t="s">
        <v>80</v>
      </c>
      <c r="T162" s="27" t="s">
        <v>80</v>
      </c>
      <c r="U162" s="55">
        <f>IF('Pegar ML'!AI158=" ",'Pegar ML'!AI157,'Pegar ML'!AI158)</f>
        <v>0</v>
      </c>
      <c r="V162" s="55">
        <f>IF('Pegar ML'!AK158=" ",'Pegar ML'!AK157,'Pegar ML'!AK158)</f>
        <v>0</v>
      </c>
      <c r="W162" s="55">
        <f>IF('Pegar ML'!AJ158=" ",'Pegar ML'!AJ157,'Pegar ML'!AJ158)</f>
        <v>0</v>
      </c>
      <c r="X162" s="55">
        <f>IF('Pegar ML'!AL158=" ",'Pegar ML'!AL157,'Pegar ML'!AL158)</f>
        <v>0</v>
      </c>
      <c r="Y162" s="27"/>
      <c r="Z162" s="27"/>
      <c r="AA162" s="27"/>
      <c r="AB162" s="27"/>
      <c r="AC162" s="27"/>
      <c r="AD162" s="27"/>
      <c r="AF162" s="8"/>
      <c r="AG162" s="27"/>
      <c r="AH162" s="14">
        <f>+'Pegar ML'!Y158</f>
        <v>0</v>
      </c>
      <c r="AI162" s="13">
        <f t="shared" si="7"/>
        <v>1</v>
      </c>
      <c r="AJ162" s="7">
        <f>+'Pegar ML'!T158</f>
        <v>0</v>
      </c>
      <c r="AK162" s="27"/>
      <c r="AL162" s="27"/>
      <c r="AM162" s="27"/>
      <c r="AN162" s="27"/>
      <c r="AO162" s="27"/>
      <c r="AP162" s="27"/>
      <c r="AQ162" s="27"/>
      <c r="AR162" s="27"/>
      <c r="AS162" s="27">
        <v>17</v>
      </c>
    </row>
    <row r="163" spans="1:45" ht="15" customHeight="1" x14ac:dyDescent="0.25">
      <c r="A163" s="27">
        <f>IF('Pegar ML'!C158="Paquete de 2 productos",'Pegar ML'!A158,IF('Pegar ML'!C157="Paquete de 2 productos",'Pegar ML'!A157,'Pegar ML'!A159))</f>
        <v>0</v>
      </c>
      <c r="B163" s="27"/>
      <c r="C163" s="30" t="e">
        <f>IF(AjusteFecha!I159=0,"",AjusteFecha!I159)</f>
        <v>#N/A</v>
      </c>
      <c r="D163" s="27"/>
      <c r="E163" s="27"/>
      <c r="F163" s="27" t="str">
        <f>IF('Pegar ML'!C159="","",'Pegar ML'!C159)</f>
        <v/>
      </c>
      <c r="G163" s="27" t="str">
        <f>IF('Pegar ML'!G154="ARS","PS","PS")</f>
        <v>PS</v>
      </c>
      <c r="H163" s="14">
        <f>IF('Pegar ML'!C158="Paquete de 2 productos",IF('Pegar ML'!H158="",0,'Pegar ML'!H158),IF('Pegar ML'!H159="",0,'Pegar ML'!H159))</f>
        <v>0</v>
      </c>
      <c r="I163" s="14">
        <f>IF('Pegar ML'!C158="Paquete de 2 productos",IF('Pegar ML'!O158="",0,'Pegar ML'!O158),IF('Pegar ML'!O159="",0,'Pegar ML'!O159))</f>
        <v>0</v>
      </c>
      <c r="J163" s="14">
        <f>IF('Pegar ML'!C158="Paquete de 2 productos",IF('Pegar ML'!O158="",0,'Pegar ML'!O158),IF('Pegar ML'!O159="",0,'Pegar ML'!O159))</f>
        <v>0</v>
      </c>
      <c r="K163" s="14">
        <f t="shared" si="8"/>
        <v>0</v>
      </c>
      <c r="L163" s="27">
        <f>IF('Pegar ML'!AB159=" ",'Pegar ML'!AB158,'Pegar ML'!AB159)</f>
        <v>0</v>
      </c>
      <c r="M163" s="27" t="str">
        <f>IF('Pegar ML'!AC159=" ",RIGHT('Pegar ML'!AC158,8),RIGHT('Pegar ML'!AC159,8))</f>
        <v/>
      </c>
      <c r="N163" s="27" t="s">
        <v>80</v>
      </c>
      <c r="O163" s="27">
        <f t="shared" si="6"/>
        <v>0</v>
      </c>
      <c r="P163" s="27" t="s">
        <v>80</v>
      </c>
      <c r="Q163" s="55">
        <f>IF('Pegar ML'!AD159=" ",'Pegar ML'!AD158,'Pegar ML'!AD159)</f>
        <v>0</v>
      </c>
      <c r="R163" s="27" t="s">
        <v>80</v>
      </c>
      <c r="S163" s="27" t="s">
        <v>80</v>
      </c>
      <c r="T163" s="27" t="s">
        <v>80</v>
      </c>
      <c r="U163" s="55">
        <f>IF('Pegar ML'!AI159=" ",'Pegar ML'!AI158,'Pegar ML'!AI159)</f>
        <v>0</v>
      </c>
      <c r="V163" s="55">
        <f>IF('Pegar ML'!AK159=" ",'Pegar ML'!AK158,'Pegar ML'!AK159)</f>
        <v>0</v>
      </c>
      <c r="W163" s="55">
        <f>IF('Pegar ML'!AJ159=" ",'Pegar ML'!AJ158,'Pegar ML'!AJ159)</f>
        <v>0</v>
      </c>
      <c r="X163" s="55">
        <f>IF('Pegar ML'!AL159=" ",'Pegar ML'!AL158,'Pegar ML'!AL159)</f>
        <v>0</v>
      </c>
      <c r="Y163" s="27"/>
      <c r="Z163" s="27"/>
      <c r="AA163" s="27"/>
      <c r="AB163" s="27"/>
      <c r="AC163" s="27"/>
      <c r="AD163" s="27"/>
      <c r="AF163" s="8"/>
      <c r="AG163" s="27"/>
      <c r="AH163" s="14">
        <f>+'Pegar ML'!Y159</f>
        <v>0</v>
      </c>
      <c r="AI163" s="13">
        <f t="shared" si="7"/>
        <v>1</v>
      </c>
      <c r="AJ163" s="7">
        <f>+'Pegar ML'!T159</f>
        <v>0</v>
      </c>
      <c r="AK163" s="27"/>
      <c r="AL163" s="27"/>
      <c r="AM163" s="27"/>
      <c r="AN163" s="27"/>
      <c r="AO163" s="27"/>
      <c r="AP163" s="27"/>
      <c r="AQ163" s="27"/>
      <c r="AR163" s="27"/>
      <c r="AS163" s="27">
        <v>17</v>
      </c>
    </row>
    <row r="164" spans="1:45" x14ac:dyDescent="0.25">
      <c r="A164" s="27">
        <f>IF('Pegar ML'!C159="Paquete de 2 productos",'Pegar ML'!A159,IF('Pegar ML'!C158="Paquete de 2 productos",'Pegar ML'!A158,'Pegar ML'!A160))</f>
        <v>0</v>
      </c>
      <c r="B164" s="27"/>
      <c r="C164" s="30" t="e">
        <f>IF(AjusteFecha!I160=0,"",AjusteFecha!I160)</f>
        <v>#N/A</v>
      </c>
      <c r="D164" s="27"/>
      <c r="E164" s="27"/>
      <c r="F164" s="27" t="str">
        <f>IF('Pegar ML'!C160="","",'Pegar ML'!C160)</f>
        <v/>
      </c>
      <c r="G164" s="27" t="str">
        <f>IF('Pegar ML'!G155="ARS","PS","PS")</f>
        <v>PS</v>
      </c>
      <c r="H164" s="14">
        <f>IF('Pegar ML'!C159="Paquete de 2 productos",IF('Pegar ML'!H159="",0,'Pegar ML'!H159),IF('Pegar ML'!H160="",0,'Pegar ML'!H160))</f>
        <v>0</v>
      </c>
      <c r="I164" s="14">
        <f>IF('Pegar ML'!C159="Paquete de 2 productos",IF('Pegar ML'!O159="",0,'Pegar ML'!O159),IF('Pegar ML'!O160="",0,'Pegar ML'!O160))</f>
        <v>0</v>
      </c>
      <c r="J164" s="14">
        <f>IF('Pegar ML'!C159="Paquete de 2 productos",IF('Pegar ML'!O159="",0,'Pegar ML'!O159),IF('Pegar ML'!O160="",0,'Pegar ML'!O160))</f>
        <v>0</v>
      </c>
      <c r="K164" s="14">
        <f t="shared" si="8"/>
        <v>0</v>
      </c>
      <c r="L164" s="27">
        <f>IF('Pegar ML'!AB160=" ",'Pegar ML'!AB159,'Pegar ML'!AB160)</f>
        <v>0</v>
      </c>
      <c r="M164" s="27" t="str">
        <f>IF('Pegar ML'!AC160=" ",RIGHT('Pegar ML'!AC159,8),RIGHT('Pegar ML'!AC160,8))</f>
        <v/>
      </c>
      <c r="N164" s="27" t="s">
        <v>80</v>
      </c>
      <c r="O164" s="27">
        <f t="shared" si="6"/>
        <v>0</v>
      </c>
      <c r="P164" s="27" t="s">
        <v>80</v>
      </c>
      <c r="Q164" s="55">
        <f>IF('Pegar ML'!AD160=" ",'Pegar ML'!AD159,'Pegar ML'!AD160)</f>
        <v>0</v>
      </c>
      <c r="R164" s="27" t="s">
        <v>80</v>
      </c>
      <c r="S164" s="27" t="s">
        <v>80</v>
      </c>
      <c r="T164" s="27" t="s">
        <v>80</v>
      </c>
      <c r="U164" s="55">
        <f>IF('Pegar ML'!AI160=" ",'Pegar ML'!AI159,'Pegar ML'!AI160)</f>
        <v>0</v>
      </c>
      <c r="V164" s="55">
        <f>IF('Pegar ML'!AK160=" ",'Pegar ML'!AK159,'Pegar ML'!AK160)</f>
        <v>0</v>
      </c>
      <c r="W164" s="55">
        <f>IF('Pegar ML'!AJ160=" ",'Pegar ML'!AJ159,'Pegar ML'!AJ160)</f>
        <v>0</v>
      </c>
      <c r="X164" s="55">
        <f>IF('Pegar ML'!AL160=" ",'Pegar ML'!AL159,'Pegar ML'!AL160)</f>
        <v>0</v>
      </c>
      <c r="Y164" s="27"/>
      <c r="Z164" s="27"/>
      <c r="AA164" s="27"/>
      <c r="AB164" s="27"/>
      <c r="AC164" s="27"/>
      <c r="AD164" s="27"/>
      <c r="AF164" s="8"/>
      <c r="AG164" s="27"/>
      <c r="AH164" s="14">
        <f>+'Pegar ML'!Y160</f>
        <v>0</v>
      </c>
      <c r="AI164" s="13">
        <f t="shared" si="7"/>
        <v>1</v>
      </c>
      <c r="AJ164" s="7">
        <f>+'Pegar ML'!T160</f>
        <v>0</v>
      </c>
      <c r="AK164" s="27"/>
      <c r="AL164" s="27"/>
      <c r="AM164" s="27"/>
      <c r="AN164" s="27"/>
      <c r="AO164" s="27"/>
      <c r="AP164" s="27"/>
      <c r="AQ164" s="27"/>
      <c r="AR164" s="27"/>
      <c r="AS164" s="27">
        <v>17</v>
      </c>
    </row>
    <row r="165" spans="1:45" x14ac:dyDescent="0.25">
      <c r="A165" s="27">
        <f>IF('Pegar ML'!C160="Paquete de 2 productos",'Pegar ML'!A160,IF('Pegar ML'!C159="Paquete de 2 productos",'Pegar ML'!A159,'Pegar ML'!A161))</f>
        <v>0</v>
      </c>
      <c r="B165" s="27"/>
      <c r="C165" s="30" t="e">
        <f>IF(AjusteFecha!I161=0,"",AjusteFecha!I161)</f>
        <v>#N/A</v>
      </c>
      <c r="D165" s="27"/>
      <c r="E165" s="27"/>
      <c r="F165" s="27" t="str">
        <f>IF('Pegar ML'!C161="","",'Pegar ML'!C161)</f>
        <v/>
      </c>
      <c r="G165" s="27" t="str">
        <f>IF('Pegar ML'!G156="ARS","PS","PS")</f>
        <v>PS</v>
      </c>
      <c r="H165" s="14">
        <f>IF('Pegar ML'!C160="Paquete de 2 productos",IF('Pegar ML'!H160="",0,'Pegar ML'!H160),IF('Pegar ML'!H161="",0,'Pegar ML'!H161))</f>
        <v>0</v>
      </c>
      <c r="I165" s="14">
        <f>IF('Pegar ML'!C160="Paquete de 2 productos",IF('Pegar ML'!O160="",0,'Pegar ML'!O160),IF('Pegar ML'!O161="",0,'Pegar ML'!O161))</f>
        <v>0</v>
      </c>
      <c r="J165" s="14">
        <f>IF('Pegar ML'!C160="Paquete de 2 productos",IF('Pegar ML'!O160="",0,'Pegar ML'!O160),IF('Pegar ML'!O161="",0,'Pegar ML'!O161))</f>
        <v>0</v>
      </c>
      <c r="K165" s="14">
        <f t="shared" si="8"/>
        <v>0</v>
      </c>
      <c r="L165" s="27">
        <f>IF('Pegar ML'!AB161=" ",'Pegar ML'!AB160,'Pegar ML'!AB161)</f>
        <v>0</v>
      </c>
      <c r="M165" s="27" t="str">
        <f>IF('Pegar ML'!AC161=" ",RIGHT('Pegar ML'!AC160,8),RIGHT('Pegar ML'!AC161,8))</f>
        <v/>
      </c>
      <c r="N165" s="27" t="s">
        <v>80</v>
      </c>
      <c r="O165" s="27">
        <f t="shared" si="6"/>
        <v>0</v>
      </c>
      <c r="P165" s="27" t="s">
        <v>80</v>
      </c>
      <c r="Q165" s="55">
        <f>IF('Pegar ML'!AD161=" ",'Pegar ML'!AD160,'Pegar ML'!AD161)</f>
        <v>0</v>
      </c>
      <c r="R165" s="27" t="s">
        <v>80</v>
      </c>
      <c r="S165" s="27" t="s">
        <v>80</v>
      </c>
      <c r="T165" s="27" t="s">
        <v>80</v>
      </c>
      <c r="U165" s="55">
        <f>IF('Pegar ML'!AI161=" ",'Pegar ML'!AI160,'Pegar ML'!AI161)</f>
        <v>0</v>
      </c>
      <c r="V165" s="55">
        <f>IF('Pegar ML'!AK161=" ",'Pegar ML'!AK160,'Pegar ML'!AK161)</f>
        <v>0</v>
      </c>
      <c r="W165" s="55">
        <f>IF('Pegar ML'!AJ161=" ",'Pegar ML'!AJ160,'Pegar ML'!AJ161)</f>
        <v>0</v>
      </c>
      <c r="X165" s="55">
        <f>IF('Pegar ML'!AL161=" ",'Pegar ML'!AL160,'Pegar ML'!AL161)</f>
        <v>0</v>
      </c>
      <c r="Y165" s="27"/>
      <c r="Z165" s="27"/>
      <c r="AA165" s="27"/>
      <c r="AB165" s="27"/>
      <c r="AC165" s="27"/>
      <c r="AD165" s="27"/>
      <c r="AF165" s="8"/>
      <c r="AG165" s="27"/>
      <c r="AH165" s="14">
        <f>+'Pegar ML'!Y161</f>
        <v>0</v>
      </c>
      <c r="AI165" s="13">
        <f t="shared" si="7"/>
        <v>1</v>
      </c>
      <c r="AJ165" s="7">
        <f>+'Pegar ML'!T161</f>
        <v>0</v>
      </c>
      <c r="AK165" s="27"/>
      <c r="AL165" s="27"/>
      <c r="AM165" s="27"/>
      <c r="AN165" s="27"/>
      <c r="AO165" s="27"/>
      <c r="AP165" s="27"/>
      <c r="AQ165" s="27"/>
      <c r="AR165" s="27"/>
      <c r="AS165" s="27">
        <v>17</v>
      </c>
    </row>
    <row r="166" spans="1:45" x14ac:dyDescent="0.25">
      <c r="A166" s="27">
        <f>IF('Pegar ML'!C161="Paquete de 2 productos",'Pegar ML'!A161,IF('Pegar ML'!C160="Paquete de 2 productos",'Pegar ML'!A160,'Pegar ML'!A162))</f>
        <v>0</v>
      </c>
      <c r="B166" s="27"/>
      <c r="C166" s="30" t="e">
        <f>IF(AjusteFecha!I162=0,"",AjusteFecha!I162)</f>
        <v>#N/A</v>
      </c>
      <c r="D166" s="27"/>
      <c r="E166" s="27"/>
      <c r="F166" s="27" t="str">
        <f>IF('Pegar ML'!C162="","",'Pegar ML'!C162)</f>
        <v/>
      </c>
      <c r="G166" s="27" t="str">
        <f>IF('Pegar ML'!G157="ARS","PS","PS")</f>
        <v>PS</v>
      </c>
      <c r="H166" s="14">
        <f>IF('Pegar ML'!C161="Paquete de 2 productos",IF('Pegar ML'!H161="",0,'Pegar ML'!H161),IF('Pegar ML'!H162="",0,'Pegar ML'!H162))</f>
        <v>0</v>
      </c>
      <c r="I166" s="14">
        <f>IF('Pegar ML'!C161="Paquete de 2 productos",IF('Pegar ML'!O161="",0,'Pegar ML'!O161),IF('Pegar ML'!O162="",0,'Pegar ML'!O162))</f>
        <v>0</v>
      </c>
      <c r="J166" s="14">
        <f>IF('Pegar ML'!C161="Paquete de 2 productos",IF('Pegar ML'!O161="",0,'Pegar ML'!O161),IF('Pegar ML'!O162="",0,'Pegar ML'!O162))</f>
        <v>0</v>
      </c>
      <c r="K166" s="14">
        <f t="shared" si="8"/>
        <v>0</v>
      </c>
      <c r="L166" s="27">
        <f>IF('Pegar ML'!AB162=" ",'Pegar ML'!AB161,'Pegar ML'!AB162)</f>
        <v>0</v>
      </c>
      <c r="M166" s="27" t="str">
        <f>IF('Pegar ML'!AC162=" ",RIGHT('Pegar ML'!AC161,8),RIGHT('Pegar ML'!AC162,8))</f>
        <v/>
      </c>
      <c r="N166" s="27" t="s">
        <v>80</v>
      </c>
      <c r="O166" s="27">
        <f t="shared" si="6"/>
        <v>0</v>
      </c>
      <c r="P166" s="27" t="s">
        <v>80</v>
      </c>
      <c r="Q166" s="55">
        <f>IF('Pegar ML'!AD162=" ",'Pegar ML'!AD161,'Pegar ML'!AD162)</f>
        <v>0</v>
      </c>
      <c r="R166" s="27" t="s">
        <v>80</v>
      </c>
      <c r="S166" s="27" t="s">
        <v>80</v>
      </c>
      <c r="T166" s="27" t="s">
        <v>80</v>
      </c>
      <c r="U166" s="55">
        <f>IF('Pegar ML'!AI162=" ",'Pegar ML'!AI161,'Pegar ML'!AI162)</f>
        <v>0</v>
      </c>
      <c r="V166" s="55">
        <f>IF('Pegar ML'!AK162=" ",'Pegar ML'!AK161,'Pegar ML'!AK162)</f>
        <v>0</v>
      </c>
      <c r="W166" s="55">
        <f>IF('Pegar ML'!AJ162=" ",'Pegar ML'!AJ161,'Pegar ML'!AJ162)</f>
        <v>0</v>
      </c>
      <c r="X166" s="55">
        <f>IF('Pegar ML'!AL162=" ",'Pegar ML'!AL161,'Pegar ML'!AL162)</f>
        <v>0</v>
      </c>
      <c r="Y166" s="27"/>
      <c r="Z166" s="27"/>
      <c r="AA166" s="27"/>
      <c r="AB166" s="27"/>
      <c r="AC166" s="27"/>
      <c r="AD166" s="27"/>
      <c r="AF166" s="8"/>
      <c r="AG166" s="27"/>
      <c r="AH166" s="14">
        <f>+'Pegar ML'!Y162</f>
        <v>0</v>
      </c>
      <c r="AI166" s="13">
        <f t="shared" si="7"/>
        <v>1</v>
      </c>
      <c r="AJ166" s="7">
        <f>+'Pegar ML'!T162</f>
        <v>0</v>
      </c>
      <c r="AK166" s="27"/>
      <c r="AL166" s="27"/>
      <c r="AM166" s="27"/>
      <c r="AN166" s="27"/>
      <c r="AO166" s="27"/>
      <c r="AP166" s="27"/>
      <c r="AQ166" s="27"/>
      <c r="AR166" s="27"/>
      <c r="AS166" s="27">
        <v>17</v>
      </c>
    </row>
    <row r="167" spans="1:45" x14ac:dyDescent="0.25">
      <c r="A167" s="27">
        <f>IF('Pegar ML'!C162="Paquete de 2 productos",'Pegar ML'!A162,IF('Pegar ML'!C161="Paquete de 2 productos",'Pegar ML'!A161,'Pegar ML'!A163))</f>
        <v>0</v>
      </c>
      <c r="B167" s="27"/>
      <c r="C167" s="30" t="e">
        <f>IF(AjusteFecha!I163=0,"",AjusteFecha!I163)</f>
        <v>#N/A</v>
      </c>
      <c r="D167" s="27"/>
      <c r="E167" s="27"/>
      <c r="F167" s="27" t="str">
        <f>IF('Pegar ML'!C163="","",'Pegar ML'!C163)</f>
        <v/>
      </c>
      <c r="G167" s="27" t="str">
        <f>IF('Pegar ML'!G158="ARS","PS","PS")</f>
        <v>PS</v>
      </c>
      <c r="H167" s="14">
        <f>IF('Pegar ML'!C162="Paquete de 2 productos",IF('Pegar ML'!H162="",0,'Pegar ML'!H162),IF('Pegar ML'!H163="",0,'Pegar ML'!H163))</f>
        <v>0</v>
      </c>
      <c r="I167" s="14">
        <f>IF('Pegar ML'!C162="Paquete de 2 productos",IF('Pegar ML'!O162="",0,'Pegar ML'!O162),IF('Pegar ML'!O163="",0,'Pegar ML'!O163))</f>
        <v>0</v>
      </c>
      <c r="J167" s="14">
        <f>IF('Pegar ML'!C162="Paquete de 2 productos",IF('Pegar ML'!O162="",0,'Pegar ML'!O162),IF('Pegar ML'!O163="",0,'Pegar ML'!O163))</f>
        <v>0</v>
      </c>
      <c r="K167" s="14">
        <f t="shared" si="8"/>
        <v>0</v>
      </c>
      <c r="L167" s="27">
        <f>IF('Pegar ML'!AB163=" ",'Pegar ML'!AB162,'Pegar ML'!AB163)</f>
        <v>0</v>
      </c>
      <c r="M167" s="27" t="str">
        <f>IF('Pegar ML'!AC163=" ",RIGHT('Pegar ML'!AC162,8),RIGHT('Pegar ML'!AC163,8))</f>
        <v/>
      </c>
      <c r="N167" s="27" t="s">
        <v>80</v>
      </c>
      <c r="O167" s="27">
        <f t="shared" si="6"/>
        <v>0</v>
      </c>
      <c r="P167" s="27" t="s">
        <v>80</v>
      </c>
      <c r="Q167" s="55">
        <f>IF('Pegar ML'!AD163=" ",'Pegar ML'!AD162,'Pegar ML'!AD163)</f>
        <v>0</v>
      </c>
      <c r="R167" s="27" t="s">
        <v>80</v>
      </c>
      <c r="S167" s="27" t="s">
        <v>80</v>
      </c>
      <c r="T167" s="27" t="s">
        <v>80</v>
      </c>
      <c r="U167" s="55">
        <f>IF('Pegar ML'!AI163=" ",'Pegar ML'!AI162,'Pegar ML'!AI163)</f>
        <v>0</v>
      </c>
      <c r="V167" s="55">
        <f>IF('Pegar ML'!AK163=" ",'Pegar ML'!AK162,'Pegar ML'!AK163)</f>
        <v>0</v>
      </c>
      <c r="W167" s="55">
        <f>IF('Pegar ML'!AJ163=" ",'Pegar ML'!AJ162,'Pegar ML'!AJ163)</f>
        <v>0</v>
      </c>
      <c r="X167" s="55">
        <f>IF('Pegar ML'!AL163=" ",'Pegar ML'!AL162,'Pegar ML'!AL163)</f>
        <v>0</v>
      </c>
      <c r="Y167" s="27"/>
      <c r="Z167" s="27"/>
      <c r="AA167" s="27"/>
      <c r="AB167" s="27"/>
      <c r="AC167" s="27"/>
      <c r="AD167" s="27"/>
      <c r="AF167" s="8"/>
      <c r="AG167" s="27"/>
      <c r="AH167" s="14">
        <f>+'Pegar ML'!Y163</f>
        <v>0</v>
      </c>
      <c r="AI167" s="13">
        <f t="shared" si="7"/>
        <v>1</v>
      </c>
      <c r="AJ167" s="7">
        <f>+'Pegar ML'!T163</f>
        <v>0</v>
      </c>
      <c r="AK167" s="27"/>
      <c r="AL167" s="27"/>
      <c r="AM167" s="27"/>
      <c r="AN167" s="27"/>
      <c r="AO167" s="27"/>
      <c r="AP167" s="27"/>
      <c r="AQ167" s="27"/>
      <c r="AR167" s="27"/>
      <c r="AS167" s="27">
        <v>17</v>
      </c>
    </row>
    <row r="168" spans="1:45" ht="15" customHeight="1" x14ac:dyDescent="0.25">
      <c r="A168" s="27">
        <f>IF('Pegar ML'!C163="Paquete de 2 productos",'Pegar ML'!A163,IF('Pegar ML'!C162="Paquete de 2 productos",'Pegar ML'!A162,'Pegar ML'!A164))</f>
        <v>0</v>
      </c>
      <c r="B168" s="27"/>
      <c r="C168" s="30" t="e">
        <f>IF(AjusteFecha!I164=0,"",AjusteFecha!I164)</f>
        <v>#N/A</v>
      </c>
      <c r="D168" s="27"/>
      <c r="E168" s="27"/>
      <c r="F168" s="27" t="str">
        <f>IF('Pegar ML'!C164="","",'Pegar ML'!C164)</f>
        <v/>
      </c>
      <c r="G168" s="27" t="str">
        <f>IF('Pegar ML'!G159="ARS","PS","PS")</f>
        <v>PS</v>
      </c>
      <c r="H168" s="14">
        <f>IF('Pegar ML'!C163="Paquete de 2 productos",IF('Pegar ML'!H163="",0,'Pegar ML'!H163),IF('Pegar ML'!H164="",0,'Pegar ML'!H164))</f>
        <v>0</v>
      </c>
      <c r="I168" s="14">
        <f>IF('Pegar ML'!C163="Paquete de 2 productos",IF('Pegar ML'!O163="",0,'Pegar ML'!O163),IF('Pegar ML'!O164="",0,'Pegar ML'!O164))</f>
        <v>0</v>
      </c>
      <c r="J168" s="14">
        <f>IF('Pegar ML'!C163="Paquete de 2 productos",IF('Pegar ML'!O163="",0,'Pegar ML'!O163),IF('Pegar ML'!O164="",0,'Pegar ML'!O164))</f>
        <v>0</v>
      </c>
      <c r="K168" s="14">
        <f t="shared" si="8"/>
        <v>0</v>
      </c>
      <c r="L168" s="27">
        <f>IF('Pegar ML'!AB164=" ",'Pegar ML'!AB163,'Pegar ML'!AB164)</f>
        <v>0</v>
      </c>
      <c r="M168" s="27" t="str">
        <f>IF('Pegar ML'!AC164=" ",RIGHT('Pegar ML'!AC163,8),RIGHT('Pegar ML'!AC164,8))</f>
        <v/>
      </c>
      <c r="N168" s="27" t="s">
        <v>80</v>
      </c>
      <c r="O168" s="27">
        <f t="shared" si="6"/>
        <v>0</v>
      </c>
      <c r="P168" s="27" t="s">
        <v>80</v>
      </c>
      <c r="Q168" s="55">
        <f>IF('Pegar ML'!AD164=" ",'Pegar ML'!AD163,'Pegar ML'!AD164)</f>
        <v>0</v>
      </c>
      <c r="R168" s="27" t="s">
        <v>80</v>
      </c>
      <c r="S168" s="27" t="s">
        <v>80</v>
      </c>
      <c r="T168" s="27" t="s">
        <v>80</v>
      </c>
      <c r="U168" s="55">
        <f>IF('Pegar ML'!AI164=" ",'Pegar ML'!AI163,'Pegar ML'!AI164)</f>
        <v>0</v>
      </c>
      <c r="V168" s="55">
        <f>IF('Pegar ML'!AK164=" ",'Pegar ML'!AK163,'Pegar ML'!AK164)</f>
        <v>0</v>
      </c>
      <c r="W168" s="55">
        <f>IF('Pegar ML'!AJ164=" ",'Pegar ML'!AJ163,'Pegar ML'!AJ164)</f>
        <v>0</v>
      </c>
      <c r="X168" s="55">
        <f>IF('Pegar ML'!AL164=" ",'Pegar ML'!AL163,'Pegar ML'!AL164)</f>
        <v>0</v>
      </c>
      <c r="Y168" s="27"/>
      <c r="Z168" s="27"/>
      <c r="AA168" s="27"/>
      <c r="AB168" s="27"/>
      <c r="AC168" s="27"/>
      <c r="AD168" s="27"/>
      <c r="AF168" s="8"/>
      <c r="AG168" s="27"/>
      <c r="AH168" s="14">
        <f>+'Pegar ML'!Y164</f>
        <v>0</v>
      </c>
      <c r="AI168" s="13">
        <f t="shared" si="7"/>
        <v>1</v>
      </c>
      <c r="AJ168" s="7">
        <f>+'Pegar ML'!T164</f>
        <v>0</v>
      </c>
      <c r="AK168" s="27"/>
      <c r="AL168" s="27"/>
      <c r="AM168" s="27"/>
      <c r="AN168" s="27"/>
      <c r="AO168" s="27"/>
      <c r="AP168" s="27"/>
      <c r="AQ168" s="27"/>
      <c r="AR168" s="27"/>
      <c r="AS168" s="27">
        <v>17</v>
      </c>
    </row>
    <row r="169" spans="1:45" x14ac:dyDescent="0.25">
      <c r="A169" s="27">
        <f>IF('Pegar ML'!C164="Paquete de 2 productos",'Pegar ML'!A164,IF('Pegar ML'!C163="Paquete de 2 productos",'Pegar ML'!A163,'Pegar ML'!A165))</f>
        <v>0</v>
      </c>
      <c r="B169" s="27"/>
      <c r="C169" s="30" t="e">
        <f>IF(AjusteFecha!I165=0,"",AjusteFecha!I165)</f>
        <v>#N/A</v>
      </c>
      <c r="D169" s="27"/>
      <c r="E169" s="27"/>
      <c r="F169" s="27" t="str">
        <f>IF('Pegar ML'!C165="","",'Pegar ML'!C165)</f>
        <v/>
      </c>
      <c r="G169" s="27" t="str">
        <f>IF('Pegar ML'!G160="ARS","PS","PS")</f>
        <v>PS</v>
      </c>
      <c r="H169" s="14">
        <f>IF('Pegar ML'!C164="Paquete de 2 productos",IF('Pegar ML'!H164="",0,'Pegar ML'!H164),IF('Pegar ML'!H165="",0,'Pegar ML'!H165))</f>
        <v>0</v>
      </c>
      <c r="I169" s="14">
        <f>IF('Pegar ML'!C164="Paquete de 2 productos",IF('Pegar ML'!O164="",0,'Pegar ML'!O164),IF('Pegar ML'!O165="",0,'Pegar ML'!O165))</f>
        <v>0</v>
      </c>
      <c r="J169" s="14">
        <f>IF('Pegar ML'!C164="Paquete de 2 productos",IF('Pegar ML'!O164="",0,'Pegar ML'!O164),IF('Pegar ML'!O165="",0,'Pegar ML'!O165))</f>
        <v>0</v>
      </c>
      <c r="K169" s="14">
        <f t="shared" si="8"/>
        <v>0</v>
      </c>
      <c r="L169" s="27">
        <f>IF('Pegar ML'!AB165=" ",'Pegar ML'!AB164,'Pegar ML'!AB165)</f>
        <v>0</v>
      </c>
      <c r="M169" s="27" t="str">
        <f>IF('Pegar ML'!AC165=" ",RIGHT('Pegar ML'!AC164,8),RIGHT('Pegar ML'!AC165,8))</f>
        <v/>
      </c>
      <c r="N169" s="27" t="s">
        <v>80</v>
      </c>
      <c r="O169" s="27">
        <f t="shared" si="6"/>
        <v>0</v>
      </c>
      <c r="P169" s="27" t="s">
        <v>80</v>
      </c>
      <c r="Q169" s="55">
        <f>IF('Pegar ML'!AD165=" ",'Pegar ML'!AD164,'Pegar ML'!AD165)</f>
        <v>0</v>
      </c>
      <c r="R169" s="27" t="s">
        <v>80</v>
      </c>
      <c r="S169" s="27" t="s">
        <v>80</v>
      </c>
      <c r="T169" s="27" t="s">
        <v>80</v>
      </c>
      <c r="U169" s="55">
        <f>IF('Pegar ML'!AI165=" ",'Pegar ML'!AI164,'Pegar ML'!AI165)</f>
        <v>0</v>
      </c>
      <c r="V169" s="55">
        <f>IF('Pegar ML'!AK165=" ",'Pegar ML'!AK164,'Pegar ML'!AK165)</f>
        <v>0</v>
      </c>
      <c r="W169" s="55">
        <f>IF('Pegar ML'!AJ165=" ",'Pegar ML'!AJ164,'Pegar ML'!AJ165)</f>
        <v>0</v>
      </c>
      <c r="X169" s="55">
        <f>IF('Pegar ML'!AL165=" ",'Pegar ML'!AL164,'Pegar ML'!AL165)</f>
        <v>0</v>
      </c>
      <c r="Y169" s="27"/>
      <c r="Z169" s="27"/>
      <c r="AA169" s="27"/>
      <c r="AB169" s="27"/>
      <c r="AC169" s="27"/>
      <c r="AD169" s="27"/>
      <c r="AF169" s="8"/>
      <c r="AG169" s="27"/>
      <c r="AH169" s="14">
        <f>+'Pegar ML'!Y165</f>
        <v>0</v>
      </c>
      <c r="AI169" s="13">
        <f t="shared" si="7"/>
        <v>1</v>
      </c>
      <c r="AJ169" s="7">
        <f>+'Pegar ML'!T165</f>
        <v>0</v>
      </c>
      <c r="AK169" s="27"/>
      <c r="AL169" s="27"/>
      <c r="AM169" s="27"/>
      <c r="AN169" s="27"/>
      <c r="AO169" s="27"/>
      <c r="AP169" s="27"/>
      <c r="AQ169" s="27"/>
      <c r="AR169" s="27"/>
      <c r="AS169" s="27">
        <v>17</v>
      </c>
    </row>
    <row r="170" spans="1:45" x14ac:dyDescent="0.25">
      <c r="A170" s="27">
        <f>IF('Pegar ML'!C165="Paquete de 2 productos",'Pegar ML'!A165,IF('Pegar ML'!C164="Paquete de 2 productos",'Pegar ML'!A164,'Pegar ML'!A166))</f>
        <v>0</v>
      </c>
      <c r="B170" s="27"/>
      <c r="C170" s="30" t="e">
        <f>IF(AjusteFecha!I166=0,"",AjusteFecha!I166)</f>
        <v>#N/A</v>
      </c>
      <c r="D170" s="27"/>
      <c r="E170" s="27"/>
      <c r="F170" s="27" t="str">
        <f>IF('Pegar ML'!C166="","",'Pegar ML'!C166)</f>
        <v/>
      </c>
      <c r="G170" s="27" t="str">
        <f>IF('Pegar ML'!G161="ARS","PS","PS")</f>
        <v>PS</v>
      </c>
      <c r="H170" s="14">
        <f>IF('Pegar ML'!C165="Paquete de 2 productos",IF('Pegar ML'!H165="",0,'Pegar ML'!H165),IF('Pegar ML'!H166="",0,'Pegar ML'!H166))</f>
        <v>0</v>
      </c>
      <c r="I170" s="14">
        <f>IF('Pegar ML'!C165="Paquete de 2 productos",IF('Pegar ML'!O165="",0,'Pegar ML'!O165),IF('Pegar ML'!O166="",0,'Pegar ML'!O166))</f>
        <v>0</v>
      </c>
      <c r="J170" s="14">
        <f>IF('Pegar ML'!C165="Paquete de 2 productos",IF('Pegar ML'!O165="",0,'Pegar ML'!O165),IF('Pegar ML'!O166="",0,'Pegar ML'!O166))</f>
        <v>0</v>
      </c>
      <c r="K170" s="14">
        <f t="shared" si="8"/>
        <v>0</v>
      </c>
      <c r="L170" s="27">
        <f>IF('Pegar ML'!AB166=" ",'Pegar ML'!AB165,'Pegar ML'!AB166)</f>
        <v>0</v>
      </c>
      <c r="M170" s="27" t="str">
        <f>IF('Pegar ML'!AC166=" ",RIGHT('Pegar ML'!AC165,8),RIGHT('Pegar ML'!AC166,8))</f>
        <v/>
      </c>
      <c r="N170" s="27" t="s">
        <v>80</v>
      </c>
      <c r="O170" s="27">
        <f t="shared" si="6"/>
        <v>0</v>
      </c>
      <c r="P170" s="27" t="s">
        <v>80</v>
      </c>
      <c r="Q170" s="55">
        <f>IF('Pegar ML'!AD166=" ",'Pegar ML'!AD165,'Pegar ML'!AD166)</f>
        <v>0</v>
      </c>
      <c r="R170" s="27" t="s">
        <v>80</v>
      </c>
      <c r="S170" s="27" t="s">
        <v>80</v>
      </c>
      <c r="T170" s="27" t="s">
        <v>80</v>
      </c>
      <c r="U170" s="55">
        <f>IF('Pegar ML'!AI166=" ",'Pegar ML'!AI165,'Pegar ML'!AI166)</f>
        <v>0</v>
      </c>
      <c r="V170" s="55">
        <f>IF('Pegar ML'!AK166=" ",'Pegar ML'!AK165,'Pegar ML'!AK166)</f>
        <v>0</v>
      </c>
      <c r="W170" s="55">
        <f>IF('Pegar ML'!AJ166=" ",'Pegar ML'!AJ165,'Pegar ML'!AJ166)</f>
        <v>0</v>
      </c>
      <c r="X170" s="55">
        <f>IF('Pegar ML'!AL166=" ",'Pegar ML'!AL165,'Pegar ML'!AL166)</f>
        <v>0</v>
      </c>
      <c r="Y170" s="27"/>
      <c r="Z170" s="27"/>
      <c r="AA170" s="27"/>
      <c r="AB170" s="27"/>
      <c r="AC170" s="27"/>
      <c r="AD170" s="27"/>
      <c r="AF170" s="8"/>
      <c r="AG170" s="27"/>
      <c r="AH170" s="14">
        <f>+'Pegar ML'!Y166</f>
        <v>0</v>
      </c>
      <c r="AI170" s="13">
        <f t="shared" si="7"/>
        <v>1</v>
      </c>
      <c r="AJ170" s="7">
        <f>+'Pegar ML'!T166</f>
        <v>0</v>
      </c>
      <c r="AK170" s="27"/>
      <c r="AL170" s="27"/>
      <c r="AM170" s="27"/>
      <c r="AN170" s="27"/>
      <c r="AO170" s="27"/>
      <c r="AP170" s="27"/>
      <c r="AQ170" s="27"/>
      <c r="AR170" s="27"/>
      <c r="AS170" s="27">
        <v>17</v>
      </c>
    </row>
    <row r="171" spans="1:45" ht="15" customHeight="1" x14ac:dyDescent="0.25">
      <c r="A171" s="27">
        <f>IF('Pegar ML'!C166="Paquete de 2 productos",'Pegar ML'!A166,IF('Pegar ML'!C165="Paquete de 2 productos",'Pegar ML'!A165,'Pegar ML'!A167))</f>
        <v>0</v>
      </c>
      <c r="B171" s="27"/>
      <c r="C171" s="30" t="e">
        <f>IF(AjusteFecha!I167=0,"",AjusteFecha!I167)</f>
        <v>#N/A</v>
      </c>
      <c r="D171" s="27"/>
      <c r="E171" s="27"/>
      <c r="F171" s="27" t="str">
        <f>IF('Pegar ML'!C167="","",'Pegar ML'!C167)</f>
        <v/>
      </c>
      <c r="G171" s="27" t="str">
        <f>IF('Pegar ML'!G162="ARS","PS","PS")</f>
        <v>PS</v>
      </c>
      <c r="H171" s="14">
        <f>IF('Pegar ML'!C166="Paquete de 2 productos",IF('Pegar ML'!H166="",0,'Pegar ML'!H166),IF('Pegar ML'!H167="",0,'Pegar ML'!H167))</f>
        <v>0</v>
      </c>
      <c r="I171" s="14">
        <f>IF('Pegar ML'!C166="Paquete de 2 productos",IF('Pegar ML'!O166="",0,'Pegar ML'!O166),IF('Pegar ML'!O167="",0,'Pegar ML'!O167))</f>
        <v>0</v>
      </c>
      <c r="J171" s="14">
        <f>IF('Pegar ML'!C166="Paquete de 2 productos",IF('Pegar ML'!O166="",0,'Pegar ML'!O166),IF('Pegar ML'!O167="",0,'Pegar ML'!O167))</f>
        <v>0</v>
      </c>
      <c r="K171" s="14">
        <f t="shared" si="8"/>
        <v>0</v>
      </c>
      <c r="L171" s="27">
        <f>IF('Pegar ML'!AB167=" ",'Pegar ML'!AB166,'Pegar ML'!AB167)</f>
        <v>0</v>
      </c>
      <c r="M171" s="27" t="str">
        <f>IF('Pegar ML'!AC167=" ",RIGHT('Pegar ML'!AC166,8),RIGHT('Pegar ML'!AC167,8))</f>
        <v/>
      </c>
      <c r="N171" s="27" t="s">
        <v>80</v>
      </c>
      <c r="O171" s="27">
        <f t="shared" si="6"/>
        <v>0</v>
      </c>
      <c r="P171" s="27" t="s">
        <v>80</v>
      </c>
      <c r="Q171" s="55">
        <f>IF('Pegar ML'!AD167=" ",'Pegar ML'!AD166,'Pegar ML'!AD167)</f>
        <v>0</v>
      </c>
      <c r="R171" s="27" t="s">
        <v>80</v>
      </c>
      <c r="S171" s="27" t="s">
        <v>80</v>
      </c>
      <c r="T171" s="27" t="s">
        <v>80</v>
      </c>
      <c r="U171" s="55">
        <f>IF('Pegar ML'!AI167=" ",'Pegar ML'!AI166,'Pegar ML'!AI167)</f>
        <v>0</v>
      </c>
      <c r="V171" s="55">
        <f>IF('Pegar ML'!AK167=" ",'Pegar ML'!AK166,'Pegar ML'!AK167)</f>
        <v>0</v>
      </c>
      <c r="W171" s="55">
        <f>IF('Pegar ML'!AJ167=" ",'Pegar ML'!AJ166,'Pegar ML'!AJ167)</f>
        <v>0</v>
      </c>
      <c r="X171" s="55">
        <f>IF('Pegar ML'!AL167=" ",'Pegar ML'!AL166,'Pegar ML'!AL167)</f>
        <v>0</v>
      </c>
      <c r="Y171" s="27"/>
      <c r="Z171" s="27"/>
      <c r="AA171" s="27"/>
      <c r="AB171" s="27"/>
      <c r="AC171" s="27"/>
      <c r="AD171" s="27"/>
      <c r="AF171" s="8"/>
      <c r="AG171" s="27"/>
      <c r="AH171" s="14">
        <f>+'Pegar ML'!Y167</f>
        <v>0</v>
      </c>
      <c r="AI171" s="13">
        <f t="shared" si="7"/>
        <v>1</v>
      </c>
      <c r="AJ171" s="7">
        <f>+'Pegar ML'!T167</f>
        <v>0</v>
      </c>
      <c r="AK171" s="27"/>
      <c r="AL171" s="27"/>
      <c r="AM171" s="27"/>
      <c r="AN171" s="27"/>
      <c r="AO171" s="27"/>
      <c r="AP171" s="27"/>
      <c r="AQ171" s="27"/>
      <c r="AR171" s="27"/>
      <c r="AS171" s="27">
        <v>17</v>
      </c>
    </row>
    <row r="172" spans="1:45" x14ac:dyDescent="0.25">
      <c r="A172" s="27">
        <f>IF('Pegar ML'!C167="Paquete de 2 productos",'Pegar ML'!A167,IF('Pegar ML'!C166="Paquete de 2 productos",'Pegar ML'!A166,'Pegar ML'!A168))</f>
        <v>0</v>
      </c>
      <c r="B172" s="27"/>
      <c r="C172" s="30" t="e">
        <f>IF(AjusteFecha!I168=0,"",AjusteFecha!I168)</f>
        <v>#N/A</v>
      </c>
      <c r="D172" s="27"/>
      <c r="E172" s="27"/>
      <c r="F172" s="27" t="str">
        <f>IF('Pegar ML'!C168="","",'Pegar ML'!C168)</f>
        <v/>
      </c>
      <c r="G172" s="27" t="str">
        <f>IF('Pegar ML'!G163="ARS","PS","PS")</f>
        <v>PS</v>
      </c>
      <c r="H172" s="14">
        <f>IF('Pegar ML'!C167="Paquete de 2 productos",IF('Pegar ML'!H167="",0,'Pegar ML'!H167),IF('Pegar ML'!H168="",0,'Pegar ML'!H168))</f>
        <v>0</v>
      </c>
      <c r="I172" s="14">
        <f>IF('Pegar ML'!C167="Paquete de 2 productos",IF('Pegar ML'!O167="",0,'Pegar ML'!O167),IF('Pegar ML'!O168="",0,'Pegar ML'!O168))</f>
        <v>0</v>
      </c>
      <c r="J172" s="14">
        <f>IF('Pegar ML'!C167="Paquete de 2 productos",IF('Pegar ML'!O167="",0,'Pegar ML'!O167),IF('Pegar ML'!O168="",0,'Pegar ML'!O168))</f>
        <v>0</v>
      </c>
      <c r="K172" s="14">
        <f t="shared" si="8"/>
        <v>0</v>
      </c>
      <c r="L172" s="27">
        <f>IF('Pegar ML'!AB168=" ",'Pegar ML'!AB167,'Pegar ML'!AB168)</f>
        <v>0</v>
      </c>
      <c r="M172" s="27" t="str">
        <f>IF('Pegar ML'!AC168=" ",RIGHT('Pegar ML'!AC167,8),RIGHT('Pegar ML'!AC168,8))</f>
        <v/>
      </c>
      <c r="N172" s="27" t="s">
        <v>80</v>
      </c>
      <c r="O172" s="27">
        <f t="shared" si="6"/>
        <v>0</v>
      </c>
      <c r="P172" s="27" t="s">
        <v>80</v>
      </c>
      <c r="Q172" s="55">
        <f>IF('Pegar ML'!AD168=" ",'Pegar ML'!AD167,'Pegar ML'!AD168)</f>
        <v>0</v>
      </c>
      <c r="R172" s="27" t="s">
        <v>80</v>
      </c>
      <c r="S172" s="27" t="s">
        <v>80</v>
      </c>
      <c r="T172" s="27" t="s">
        <v>80</v>
      </c>
      <c r="U172" s="55">
        <f>IF('Pegar ML'!AI168=" ",'Pegar ML'!AI167,'Pegar ML'!AI168)</f>
        <v>0</v>
      </c>
      <c r="V172" s="55">
        <f>IF('Pegar ML'!AK168=" ",'Pegar ML'!AK167,'Pegar ML'!AK168)</f>
        <v>0</v>
      </c>
      <c r="W172" s="55">
        <f>IF('Pegar ML'!AJ168=" ",'Pegar ML'!AJ167,'Pegar ML'!AJ168)</f>
        <v>0</v>
      </c>
      <c r="X172" s="55">
        <f>IF('Pegar ML'!AL168=" ",'Pegar ML'!AL167,'Pegar ML'!AL168)</f>
        <v>0</v>
      </c>
      <c r="Y172" s="27"/>
      <c r="Z172" s="27"/>
      <c r="AA172" s="27"/>
      <c r="AB172" s="27"/>
      <c r="AC172" s="27"/>
      <c r="AD172" s="27"/>
      <c r="AF172" s="8"/>
      <c r="AG172" s="27"/>
      <c r="AH172" s="14">
        <f>+'Pegar ML'!Y168</f>
        <v>0</v>
      </c>
      <c r="AI172" s="13">
        <f t="shared" si="7"/>
        <v>1</v>
      </c>
      <c r="AJ172" s="7">
        <f>+'Pegar ML'!T168</f>
        <v>0</v>
      </c>
      <c r="AK172" s="27"/>
      <c r="AL172" s="27"/>
      <c r="AM172" s="27"/>
      <c r="AN172" s="27"/>
      <c r="AO172" s="27"/>
      <c r="AP172" s="27"/>
      <c r="AQ172" s="27"/>
      <c r="AR172" s="27"/>
      <c r="AS172" s="27">
        <v>17</v>
      </c>
    </row>
    <row r="173" spans="1:45" x14ac:dyDescent="0.25">
      <c r="A173" s="27">
        <f>IF('Pegar ML'!C168="Paquete de 2 productos",'Pegar ML'!A168,IF('Pegar ML'!C167="Paquete de 2 productos",'Pegar ML'!A167,'Pegar ML'!A169))</f>
        <v>0</v>
      </c>
      <c r="B173" s="27"/>
      <c r="C173" s="30" t="e">
        <f>IF(AjusteFecha!I169=0,"",AjusteFecha!I169)</f>
        <v>#N/A</v>
      </c>
      <c r="D173" s="27"/>
      <c r="E173" s="27"/>
      <c r="F173" s="27" t="str">
        <f>IF('Pegar ML'!C169="","",'Pegar ML'!C169)</f>
        <v/>
      </c>
      <c r="G173" s="27" t="str">
        <f>IF('Pegar ML'!G164="ARS","PS","PS")</f>
        <v>PS</v>
      </c>
      <c r="H173" s="14">
        <f>IF('Pegar ML'!C168="Paquete de 2 productos",IF('Pegar ML'!H168="",0,'Pegar ML'!H168),IF('Pegar ML'!H169="",0,'Pegar ML'!H169))</f>
        <v>0</v>
      </c>
      <c r="I173" s="14">
        <f>IF('Pegar ML'!C168="Paquete de 2 productos",IF('Pegar ML'!O168="",0,'Pegar ML'!O168),IF('Pegar ML'!O169="",0,'Pegar ML'!O169))</f>
        <v>0</v>
      </c>
      <c r="J173" s="14">
        <f>IF('Pegar ML'!C168="Paquete de 2 productos",IF('Pegar ML'!O168="",0,'Pegar ML'!O168),IF('Pegar ML'!O169="",0,'Pegar ML'!O169))</f>
        <v>0</v>
      </c>
      <c r="K173" s="14">
        <f t="shared" si="8"/>
        <v>0</v>
      </c>
      <c r="L173" s="27">
        <f>IF('Pegar ML'!AB169=" ",'Pegar ML'!AB168,'Pegar ML'!AB169)</f>
        <v>0</v>
      </c>
      <c r="M173" s="27" t="str">
        <f>IF('Pegar ML'!AC169=" ",RIGHT('Pegar ML'!AC168,8),RIGHT('Pegar ML'!AC169,8))</f>
        <v/>
      </c>
      <c r="N173" s="27" t="s">
        <v>80</v>
      </c>
      <c r="O173" s="27">
        <f t="shared" si="6"/>
        <v>0</v>
      </c>
      <c r="P173" s="27" t="s">
        <v>80</v>
      </c>
      <c r="Q173" s="55">
        <f>IF('Pegar ML'!AD169=" ",'Pegar ML'!AD168,'Pegar ML'!AD169)</f>
        <v>0</v>
      </c>
      <c r="R173" s="27" t="s">
        <v>80</v>
      </c>
      <c r="S173" s="27" t="s">
        <v>80</v>
      </c>
      <c r="T173" s="27" t="s">
        <v>80</v>
      </c>
      <c r="U173" s="55">
        <f>IF('Pegar ML'!AI169=" ",'Pegar ML'!AI168,'Pegar ML'!AI169)</f>
        <v>0</v>
      </c>
      <c r="V173" s="55">
        <f>IF('Pegar ML'!AK169=" ",'Pegar ML'!AK168,'Pegar ML'!AK169)</f>
        <v>0</v>
      </c>
      <c r="W173" s="55">
        <f>IF('Pegar ML'!AJ169=" ",'Pegar ML'!AJ168,'Pegar ML'!AJ169)</f>
        <v>0</v>
      </c>
      <c r="X173" s="55">
        <f>IF('Pegar ML'!AL169=" ",'Pegar ML'!AL168,'Pegar ML'!AL169)</f>
        <v>0</v>
      </c>
      <c r="Y173" s="27"/>
      <c r="Z173" s="27"/>
      <c r="AA173" s="27"/>
      <c r="AB173" s="27"/>
      <c r="AC173" s="27"/>
      <c r="AD173" s="27"/>
      <c r="AF173" s="8"/>
      <c r="AG173" s="27"/>
      <c r="AH173" s="14">
        <f>+'Pegar ML'!Y169</f>
        <v>0</v>
      </c>
      <c r="AI173" s="13">
        <f t="shared" si="7"/>
        <v>1</v>
      </c>
      <c r="AJ173" s="7">
        <f>+'Pegar ML'!T169</f>
        <v>0</v>
      </c>
      <c r="AK173" s="27"/>
      <c r="AL173" s="27"/>
      <c r="AM173" s="27"/>
      <c r="AN173" s="27"/>
      <c r="AO173" s="27"/>
      <c r="AP173" s="27"/>
      <c r="AQ173" s="27"/>
      <c r="AR173" s="27"/>
      <c r="AS173" s="27">
        <v>17</v>
      </c>
    </row>
    <row r="174" spans="1:45" x14ac:dyDescent="0.25">
      <c r="A174" s="27">
        <f>IF('Pegar ML'!C169="Paquete de 2 productos",'Pegar ML'!A169,IF('Pegar ML'!C168="Paquete de 2 productos",'Pegar ML'!A168,'Pegar ML'!A170))</f>
        <v>0</v>
      </c>
      <c r="B174" s="27"/>
      <c r="C174" s="30" t="e">
        <f>IF(AjusteFecha!I170=0,"",AjusteFecha!I170)</f>
        <v>#N/A</v>
      </c>
      <c r="D174" s="27"/>
      <c r="E174" s="27"/>
      <c r="F174" s="27" t="str">
        <f>IF('Pegar ML'!C170="","",'Pegar ML'!C170)</f>
        <v/>
      </c>
      <c r="G174" s="27" t="str">
        <f>IF('Pegar ML'!G165="ARS","PS","PS")</f>
        <v>PS</v>
      </c>
      <c r="H174" s="14">
        <f>IF('Pegar ML'!C169="Paquete de 2 productos",IF('Pegar ML'!H169="",0,'Pegar ML'!H169),IF('Pegar ML'!H170="",0,'Pegar ML'!H170))</f>
        <v>0</v>
      </c>
      <c r="I174" s="14">
        <f>IF('Pegar ML'!C169="Paquete de 2 productos",IF('Pegar ML'!O169="",0,'Pegar ML'!O169),IF('Pegar ML'!O170="",0,'Pegar ML'!O170))</f>
        <v>0</v>
      </c>
      <c r="J174" s="14">
        <f>IF('Pegar ML'!C169="Paquete de 2 productos",IF('Pegar ML'!O169="",0,'Pegar ML'!O169),IF('Pegar ML'!O170="",0,'Pegar ML'!O170))</f>
        <v>0</v>
      </c>
      <c r="K174" s="14">
        <f t="shared" si="8"/>
        <v>0</v>
      </c>
      <c r="L174" s="27">
        <f>IF('Pegar ML'!AB170=" ",'Pegar ML'!AB169,'Pegar ML'!AB170)</f>
        <v>0</v>
      </c>
      <c r="M174" s="27" t="str">
        <f>IF('Pegar ML'!AC170=" ",RIGHT('Pegar ML'!AC169,8),RIGHT('Pegar ML'!AC170,8))</f>
        <v/>
      </c>
      <c r="N174" s="27" t="s">
        <v>80</v>
      </c>
      <c r="O174" s="27">
        <f t="shared" si="6"/>
        <v>0</v>
      </c>
      <c r="P174" s="27" t="s">
        <v>80</v>
      </c>
      <c r="Q174" s="55">
        <f>IF('Pegar ML'!AD170=" ",'Pegar ML'!AD169,'Pegar ML'!AD170)</f>
        <v>0</v>
      </c>
      <c r="R174" s="27" t="s">
        <v>80</v>
      </c>
      <c r="S174" s="27" t="s">
        <v>80</v>
      </c>
      <c r="T174" s="27" t="s">
        <v>80</v>
      </c>
      <c r="U174" s="55">
        <f>IF('Pegar ML'!AI170=" ",'Pegar ML'!AI169,'Pegar ML'!AI170)</f>
        <v>0</v>
      </c>
      <c r="V174" s="55">
        <f>IF('Pegar ML'!AK170=" ",'Pegar ML'!AK169,'Pegar ML'!AK170)</f>
        <v>0</v>
      </c>
      <c r="W174" s="55">
        <f>IF('Pegar ML'!AJ170=" ",'Pegar ML'!AJ169,'Pegar ML'!AJ170)</f>
        <v>0</v>
      </c>
      <c r="X174" s="55">
        <f>IF('Pegar ML'!AL170=" ",'Pegar ML'!AL169,'Pegar ML'!AL170)</f>
        <v>0</v>
      </c>
      <c r="Y174" s="27"/>
      <c r="Z174" s="27"/>
      <c r="AA174" s="27"/>
      <c r="AB174" s="27"/>
      <c r="AC174" s="27"/>
      <c r="AD174" s="27"/>
      <c r="AF174" s="8"/>
      <c r="AG174" s="27"/>
      <c r="AH174" s="14">
        <f>+'Pegar ML'!Y170</f>
        <v>0</v>
      </c>
      <c r="AI174" s="13">
        <f t="shared" si="7"/>
        <v>1</v>
      </c>
      <c r="AJ174" s="7">
        <f>+'Pegar ML'!T170</f>
        <v>0</v>
      </c>
      <c r="AK174" s="27"/>
      <c r="AL174" s="27"/>
      <c r="AM174" s="27"/>
      <c r="AN174" s="27"/>
      <c r="AO174" s="27"/>
      <c r="AP174" s="27"/>
      <c r="AQ174" s="27"/>
      <c r="AR174" s="27"/>
      <c r="AS174" s="27">
        <v>17</v>
      </c>
    </row>
    <row r="175" spans="1:45" ht="15" customHeight="1" x14ac:dyDescent="0.25">
      <c r="A175" s="27">
        <f>IF('Pegar ML'!C170="Paquete de 2 productos",'Pegar ML'!A170,IF('Pegar ML'!C169="Paquete de 2 productos",'Pegar ML'!A169,'Pegar ML'!A171))</f>
        <v>0</v>
      </c>
      <c r="B175" s="27"/>
      <c r="C175" s="30" t="e">
        <f>IF(AjusteFecha!I171=0,"",AjusteFecha!I171)</f>
        <v>#N/A</v>
      </c>
      <c r="D175" s="27"/>
      <c r="E175" s="27"/>
      <c r="F175" s="27" t="str">
        <f>IF('Pegar ML'!C171="","",'Pegar ML'!C171)</f>
        <v/>
      </c>
      <c r="G175" s="27" t="str">
        <f>IF('Pegar ML'!G166="ARS","PS","PS")</f>
        <v>PS</v>
      </c>
      <c r="H175" s="14">
        <f>IF('Pegar ML'!C170="Paquete de 2 productos",IF('Pegar ML'!H170="",0,'Pegar ML'!H170),IF('Pegar ML'!H171="",0,'Pegar ML'!H171))</f>
        <v>0</v>
      </c>
      <c r="I175" s="14">
        <f>IF('Pegar ML'!C170="Paquete de 2 productos",IF('Pegar ML'!O170="",0,'Pegar ML'!O170),IF('Pegar ML'!O171="",0,'Pegar ML'!O171))</f>
        <v>0</v>
      </c>
      <c r="J175" s="14">
        <f>IF('Pegar ML'!C170="Paquete de 2 productos",IF('Pegar ML'!O170="",0,'Pegar ML'!O170),IF('Pegar ML'!O171="",0,'Pegar ML'!O171))</f>
        <v>0</v>
      </c>
      <c r="K175" s="14">
        <f t="shared" si="8"/>
        <v>0</v>
      </c>
      <c r="L175" s="27">
        <f>IF('Pegar ML'!AB171=" ",'Pegar ML'!AB170,'Pegar ML'!AB171)</f>
        <v>0</v>
      </c>
      <c r="M175" s="27" t="str">
        <f>IF('Pegar ML'!AC171=" ",RIGHT('Pegar ML'!AC170,8),RIGHT('Pegar ML'!AC171,8))</f>
        <v/>
      </c>
      <c r="N175" s="27" t="s">
        <v>80</v>
      </c>
      <c r="O175" s="27">
        <f t="shared" si="6"/>
        <v>0</v>
      </c>
      <c r="P175" s="27" t="s">
        <v>80</v>
      </c>
      <c r="Q175" s="55">
        <f>IF('Pegar ML'!AD171=" ",'Pegar ML'!AD170,'Pegar ML'!AD171)</f>
        <v>0</v>
      </c>
      <c r="R175" s="27" t="s">
        <v>80</v>
      </c>
      <c r="S175" s="27" t="s">
        <v>80</v>
      </c>
      <c r="T175" s="27" t="s">
        <v>80</v>
      </c>
      <c r="U175" s="55">
        <f>IF('Pegar ML'!AI171=" ",'Pegar ML'!AI170,'Pegar ML'!AI171)</f>
        <v>0</v>
      </c>
      <c r="V175" s="55">
        <f>IF('Pegar ML'!AK171=" ",'Pegar ML'!AK170,'Pegar ML'!AK171)</f>
        <v>0</v>
      </c>
      <c r="W175" s="55">
        <f>IF('Pegar ML'!AJ171=" ",'Pegar ML'!AJ170,'Pegar ML'!AJ171)</f>
        <v>0</v>
      </c>
      <c r="X175" s="55">
        <f>IF('Pegar ML'!AL171=" ",'Pegar ML'!AL170,'Pegar ML'!AL171)</f>
        <v>0</v>
      </c>
      <c r="Y175" s="27"/>
      <c r="Z175" s="27"/>
      <c r="AA175" s="27"/>
      <c r="AB175" s="27"/>
      <c r="AC175" s="27"/>
      <c r="AD175" s="27"/>
      <c r="AF175" s="8"/>
      <c r="AG175" s="27"/>
      <c r="AH175" s="14">
        <f>+'Pegar ML'!Y171</f>
        <v>0</v>
      </c>
      <c r="AI175" s="13">
        <f t="shared" si="7"/>
        <v>1</v>
      </c>
      <c r="AJ175" s="7">
        <f>+'Pegar ML'!T171</f>
        <v>0</v>
      </c>
      <c r="AK175" s="27"/>
      <c r="AL175" s="27"/>
      <c r="AM175" s="27"/>
      <c r="AN175" s="27"/>
      <c r="AO175" s="27"/>
      <c r="AP175" s="27"/>
      <c r="AQ175" s="27"/>
      <c r="AR175" s="27"/>
      <c r="AS175" s="27">
        <v>17</v>
      </c>
    </row>
    <row r="176" spans="1:45" x14ac:dyDescent="0.25">
      <c r="A176" s="27">
        <f>IF('Pegar ML'!C171="Paquete de 2 productos",'Pegar ML'!A171,IF('Pegar ML'!C170="Paquete de 2 productos",'Pegar ML'!A170,'Pegar ML'!A172))</f>
        <v>0</v>
      </c>
      <c r="B176" s="27"/>
      <c r="C176" s="30" t="e">
        <f>IF(AjusteFecha!I172=0,"",AjusteFecha!I172)</f>
        <v>#N/A</v>
      </c>
      <c r="D176" s="27"/>
      <c r="E176" s="27"/>
      <c r="F176" s="27" t="str">
        <f>IF('Pegar ML'!C172="","",'Pegar ML'!C172)</f>
        <v/>
      </c>
      <c r="G176" s="27" t="str">
        <f>IF('Pegar ML'!G167="ARS","PS","PS")</f>
        <v>PS</v>
      </c>
      <c r="H176" s="14">
        <f>IF('Pegar ML'!C171="Paquete de 2 productos",IF('Pegar ML'!H171="",0,'Pegar ML'!H171),IF('Pegar ML'!H172="",0,'Pegar ML'!H172))</f>
        <v>0</v>
      </c>
      <c r="I176" s="14">
        <f>IF('Pegar ML'!C171="Paquete de 2 productos",IF('Pegar ML'!O171="",0,'Pegar ML'!O171),IF('Pegar ML'!O172="",0,'Pegar ML'!O172))</f>
        <v>0</v>
      </c>
      <c r="J176" s="14">
        <f>IF('Pegar ML'!C171="Paquete de 2 productos",IF('Pegar ML'!O171="",0,'Pegar ML'!O171),IF('Pegar ML'!O172="",0,'Pegar ML'!O172))</f>
        <v>0</v>
      </c>
      <c r="K176" s="14">
        <f t="shared" si="8"/>
        <v>0</v>
      </c>
      <c r="L176" s="27">
        <f>IF('Pegar ML'!AB172=" ",'Pegar ML'!AB171,'Pegar ML'!AB172)</f>
        <v>0</v>
      </c>
      <c r="M176" s="27" t="str">
        <f>IF('Pegar ML'!AC172=" ",RIGHT('Pegar ML'!AC171,8),RIGHT('Pegar ML'!AC172,8))</f>
        <v/>
      </c>
      <c r="N176" s="27" t="s">
        <v>80</v>
      </c>
      <c r="O176" s="27">
        <f t="shared" si="6"/>
        <v>0</v>
      </c>
      <c r="P176" s="27" t="s">
        <v>80</v>
      </c>
      <c r="Q176" s="55">
        <f>IF('Pegar ML'!AD172=" ",'Pegar ML'!AD171,'Pegar ML'!AD172)</f>
        <v>0</v>
      </c>
      <c r="R176" s="27" t="s">
        <v>80</v>
      </c>
      <c r="S176" s="27" t="s">
        <v>80</v>
      </c>
      <c r="T176" s="27" t="s">
        <v>80</v>
      </c>
      <c r="U176" s="55">
        <f>IF('Pegar ML'!AI172=" ",'Pegar ML'!AI171,'Pegar ML'!AI172)</f>
        <v>0</v>
      </c>
      <c r="V176" s="55">
        <f>IF('Pegar ML'!AK172=" ",'Pegar ML'!AK171,'Pegar ML'!AK172)</f>
        <v>0</v>
      </c>
      <c r="W176" s="55">
        <f>IF('Pegar ML'!AJ172=" ",'Pegar ML'!AJ171,'Pegar ML'!AJ172)</f>
        <v>0</v>
      </c>
      <c r="X176" s="55">
        <f>IF('Pegar ML'!AL172=" ",'Pegar ML'!AL171,'Pegar ML'!AL172)</f>
        <v>0</v>
      </c>
      <c r="Y176" s="27"/>
      <c r="Z176" s="27"/>
      <c r="AA176" s="27"/>
      <c r="AB176" s="27"/>
      <c r="AC176" s="27"/>
      <c r="AD176" s="27"/>
      <c r="AF176" s="8"/>
      <c r="AG176" s="27"/>
      <c r="AH176" s="14">
        <f>+'Pegar ML'!Y172</f>
        <v>0</v>
      </c>
      <c r="AI176" s="13">
        <f t="shared" si="7"/>
        <v>1</v>
      </c>
      <c r="AJ176" s="7">
        <f>+'Pegar ML'!T172</f>
        <v>0</v>
      </c>
      <c r="AK176" s="27"/>
      <c r="AL176" s="27"/>
      <c r="AM176" s="27"/>
      <c r="AN176" s="27"/>
      <c r="AO176" s="27"/>
      <c r="AP176" s="27"/>
      <c r="AQ176" s="27"/>
      <c r="AR176" s="27"/>
      <c r="AS176" s="27">
        <v>17</v>
      </c>
    </row>
    <row r="177" spans="1:45" x14ac:dyDescent="0.25">
      <c r="A177" s="27">
        <f>IF('Pegar ML'!C172="Paquete de 2 productos",'Pegar ML'!A172,IF('Pegar ML'!C171="Paquete de 2 productos",'Pegar ML'!A171,'Pegar ML'!A173))</f>
        <v>0</v>
      </c>
      <c r="B177" s="27"/>
      <c r="C177" s="30" t="e">
        <f>IF(AjusteFecha!I173=0,"",AjusteFecha!I173)</f>
        <v>#N/A</v>
      </c>
      <c r="D177" s="27"/>
      <c r="E177" s="27"/>
      <c r="F177" s="27" t="str">
        <f>IF('Pegar ML'!C173="","",'Pegar ML'!C173)</f>
        <v/>
      </c>
      <c r="G177" s="27" t="str">
        <f>IF('Pegar ML'!G168="ARS","PS","PS")</f>
        <v>PS</v>
      </c>
      <c r="H177" s="14">
        <f>IF('Pegar ML'!C172="Paquete de 2 productos",IF('Pegar ML'!H172="",0,'Pegar ML'!H172),IF('Pegar ML'!H173="",0,'Pegar ML'!H173))</f>
        <v>0</v>
      </c>
      <c r="I177" s="14">
        <f>IF('Pegar ML'!C172="Paquete de 2 productos",IF('Pegar ML'!O172="",0,'Pegar ML'!O172),IF('Pegar ML'!O173="",0,'Pegar ML'!O173))</f>
        <v>0</v>
      </c>
      <c r="J177" s="14">
        <f>IF('Pegar ML'!C172="Paquete de 2 productos",IF('Pegar ML'!O172="",0,'Pegar ML'!O172),IF('Pegar ML'!O173="",0,'Pegar ML'!O173))</f>
        <v>0</v>
      </c>
      <c r="K177" s="14">
        <f t="shared" si="8"/>
        <v>0</v>
      </c>
      <c r="L177" s="27">
        <f>IF('Pegar ML'!AB173=" ",'Pegar ML'!AB172,'Pegar ML'!AB173)</f>
        <v>0</v>
      </c>
      <c r="M177" s="27" t="str">
        <f>IF('Pegar ML'!AC173=" ",RIGHT('Pegar ML'!AC172,8),RIGHT('Pegar ML'!AC173,8))</f>
        <v/>
      </c>
      <c r="N177" s="27" t="s">
        <v>80</v>
      </c>
      <c r="O177" s="27">
        <f t="shared" si="6"/>
        <v>0</v>
      </c>
      <c r="P177" s="27" t="s">
        <v>80</v>
      </c>
      <c r="Q177" s="55">
        <f>IF('Pegar ML'!AD173=" ",'Pegar ML'!AD172,'Pegar ML'!AD173)</f>
        <v>0</v>
      </c>
      <c r="R177" s="27" t="s">
        <v>80</v>
      </c>
      <c r="S177" s="27" t="s">
        <v>80</v>
      </c>
      <c r="T177" s="27" t="s">
        <v>80</v>
      </c>
      <c r="U177" s="55">
        <f>IF('Pegar ML'!AI173=" ",'Pegar ML'!AI172,'Pegar ML'!AI173)</f>
        <v>0</v>
      </c>
      <c r="V177" s="55">
        <f>IF('Pegar ML'!AK173=" ",'Pegar ML'!AK172,'Pegar ML'!AK173)</f>
        <v>0</v>
      </c>
      <c r="W177" s="55">
        <f>IF('Pegar ML'!AJ173=" ",'Pegar ML'!AJ172,'Pegar ML'!AJ173)</f>
        <v>0</v>
      </c>
      <c r="X177" s="55">
        <f>IF('Pegar ML'!AL173=" ",'Pegar ML'!AL172,'Pegar ML'!AL173)</f>
        <v>0</v>
      </c>
      <c r="Y177" s="27"/>
      <c r="Z177" s="27"/>
      <c r="AA177" s="27"/>
      <c r="AB177" s="27"/>
      <c r="AC177" s="27"/>
      <c r="AD177" s="27"/>
      <c r="AF177" s="8"/>
      <c r="AG177" s="27"/>
      <c r="AH177" s="14">
        <f>+'Pegar ML'!Y173</f>
        <v>0</v>
      </c>
      <c r="AI177" s="13">
        <f t="shared" si="7"/>
        <v>1</v>
      </c>
      <c r="AJ177" s="7">
        <f>+'Pegar ML'!T173</f>
        <v>0</v>
      </c>
      <c r="AK177" s="27"/>
      <c r="AL177" s="27"/>
      <c r="AM177" s="27"/>
      <c r="AN177" s="27"/>
      <c r="AO177" s="27"/>
      <c r="AP177" s="27"/>
      <c r="AQ177" s="27"/>
      <c r="AR177" s="27"/>
      <c r="AS177" s="27">
        <v>17</v>
      </c>
    </row>
    <row r="178" spans="1:45" x14ac:dyDescent="0.25">
      <c r="A178" s="27">
        <f>IF('Pegar ML'!C173="Paquete de 2 productos",'Pegar ML'!A173,IF('Pegar ML'!C172="Paquete de 2 productos",'Pegar ML'!A172,'Pegar ML'!A174))</f>
        <v>0</v>
      </c>
      <c r="B178" s="27"/>
      <c r="C178" s="30" t="e">
        <f>IF(AjusteFecha!I174=0,"",AjusteFecha!I174)</f>
        <v>#N/A</v>
      </c>
      <c r="D178" s="27"/>
      <c r="E178" s="27"/>
      <c r="F178" s="27" t="str">
        <f>IF('Pegar ML'!C174="","",'Pegar ML'!C174)</f>
        <v/>
      </c>
      <c r="G178" s="27" t="str">
        <f>IF('Pegar ML'!G169="ARS","PS","PS")</f>
        <v>PS</v>
      </c>
      <c r="H178" s="14">
        <f>IF('Pegar ML'!C173="Paquete de 2 productos",IF('Pegar ML'!H173="",0,'Pegar ML'!H173),IF('Pegar ML'!H174="",0,'Pegar ML'!H174))</f>
        <v>0</v>
      </c>
      <c r="I178" s="14">
        <f>IF('Pegar ML'!C173="Paquete de 2 productos",IF('Pegar ML'!O173="",0,'Pegar ML'!O173),IF('Pegar ML'!O174="",0,'Pegar ML'!O174))</f>
        <v>0</v>
      </c>
      <c r="J178" s="14">
        <f>IF('Pegar ML'!C173="Paquete de 2 productos",IF('Pegar ML'!O173="",0,'Pegar ML'!O173),IF('Pegar ML'!O174="",0,'Pegar ML'!O174))</f>
        <v>0</v>
      </c>
      <c r="K178" s="14">
        <f t="shared" si="8"/>
        <v>0</v>
      </c>
      <c r="L178" s="27">
        <f>IF('Pegar ML'!AB174=" ",'Pegar ML'!AB173,'Pegar ML'!AB174)</f>
        <v>0</v>
      </c>
      <c r="M178" s="27" t="str">
        <f>IF('Pegar ML'!AC174=" ",RIGHT('Pegar ML'!AC173,8),RIGHT('Pegar ML'!AC174,8))</f>
        <v/>
      </c>
      <c r="N178" s="27" t="s">
        <v>80</v>
      </c>
      <c r="O178" s="27">
        <f t="shared" si="6"/>
        <v>0</v>
      </c>
      <c r="P178" s="27" t="s">
        <v>80</v>
      </c>
      <c r="Q178" s="55">
        <f>IF('Pegar ML'!AD174=" ",'Pegar ML'!AD173,'Pegar ML'!AD174)</f>
        <v>0</v>
      </c>
      <c r="R178" s="27" t="s">
        <v>80</v>
      </c>
      <c r="S178" s="27" t="s">
        <v>80</v>
      </c>
      <c r="T178" s="27" t="s">
        <v>80</v>
      </c>
      <c r="U178" s="55">
        <f>IF('Pegar ML'!AI174=" ",'Pegar ML'!AI173,'Pegar ML'!AI174)</f>
        <v>0</v>
      </c>
      <c r="V178" s="55">
        <f>IF('Pegar ML'!AK174=" ",'Pegar ML'!AK173,'Pegar ML'!AK174)</f>
        <v>0</v>
      </c>
      <c r="W178" s="55">
        <f>IF('Pegar ML'!AJ174=" ",'Pegar ML'!AJ173,'Pegar ML'!AJ174)</f>
        <v>0</v>
      </c>
      <c r="X178" s="55">
        <f>IF('Pegar ML'!AL174=" ",'Pegar ML'!AL173,'Pegar ML'!AL174)</f>
        <v>0</v>
      </c>
      <c r="Y178" s="27"/>
      <c r="Z178" s="27"/>
      <c r="AA178" s="27"/>
      <c r="AB178" s="27"/>
      <c r="AC178" s="27"/>
      <c r="AD178" s="27"/>
      <c r="AF178" s="8"/>
      <c r="AG178" s="27"/>
      <c r="AH178" s="14">
        <f>+'Pegar ML'!Y174</f>
        <v>0</v>
      </c>
      <c r="AI178" s="13">
        <f t="shared" si="7"/>
        <v>1</v>
      </c>
      <c r="AJ178" s="7">
        <f>+'Pegar ML'!T174</f>
        <v>0</v>
      </c>
      <c r="AK178" s="27"/>
      <c r="AL178" s="27"/>
      <c r="AM178" s="27"/>
      <c r="AN178" s="27"/>
      <c r="AO178" s="27"/>
      <c r="AP178" s="27"/>
      <c r="AQ178" s="27"/>
      <c r="AR178" s="27"/>
      <c r="AS178" s="27">
        <v>17</v>
      </c>
    </row>
    <row r="179" spans="1:45" x14ac:dyDescent="0.25">
      <c r="A179" s="27">
        <f>IF('Pegar ML'!C174="Paquete de 2 productos",'Pegar ML'!A174,IF('Pegar ML'!C173="Paquete de 2 productos",'Pegar ML'!A173,'Pegar ML'!A175))</f>
        <v>0</v>
      </c>
      <c r="B179" s="27"/>
      <c r="C179" s="30" t="e">
        <f>IF(AjusteFecha!I175=0,"",AjusteFecha!I175)</f>
        <v>#N/A</v>
      </c>
      <c r="D179" s="27"/>
      <c r="E179" s="27"/>
      <c r="F179" s="27" t="str">
        <f>IF('Pegar ML'!C175="","",'Pegar ML'!C175)</f>
        <v/>
      </c>
      <c r="G179" s="27" t="str">
        <f>IF('Pegar ML'!G170="ARS","PS","PS")</f>
        <v>PS</v>
      </c>
      <c r="H179" s="14">
        <f>IF('Pegar ML'!C174="Paquete de 2 productos",IF('Pegar ML'!H174="",0,'Pegar ML'!H174),IF('Pegar ML'!H175="",0,'Pegar ML'!H175))</f>
        <v>0</v>
      </c>
      <c r="I179" s="14">
        <f>IF('Pegar ML'!C174="Paquete de 2 productos",IF('Pegar ML'!O174="",0,'Pegar ML'!O174),IF('Pegar ML'!O175="",0,'Pegar ML'!O175))</f>
        <v>0</v>
      </c>
      <c r="J179" s="14">
        <f>IF('Pegar ML'!C174="Paquete de 2 productos",IF('Pegar ML'!O174="",0,'Pegar ML'!O174),IF('Pegar ML'!O175="",0,'Pegar ML'!O175))</f>
        <v>0</v>
      </c>
      <c r="K179" s="14">
        <f t="shared" si="8"/>
        <v>0</v>
      </c>
      <c r="L179" s="27">
        <f>IF('Pegar ML'!AB175=" ",'Pegar ML'!AB174,'Pegar ML'!AB175)</f>
        <v>0</v>
      </c>
      <c r="M179" s="27" t="str">
        <f>IF('Pegar ML'!AC175=" ",RIGHT('Pegar ML'!AC174,8),RIGHT('Pegar ML'!AC175,8))</f>
        <v/>
      </c>
      <c r="N179" s="27" t="s">
        <v>80</v>
      </c>
      <c r="O179" s="27">
        <f t="shared" si="6"/>
        <v>0</v>
      </c>
      <c r="P179" s="27" t="s">
        <v>80</v>
      </c>
      <c r="Q179" s="55">
        <f>IF('Pegar ML'!AD175=" ",'Pegar ML'!AD174,'Pegar ML'!AD175)</f>
        <v>0</v>
      </c>
      <c r="R179" s="27" t="s">
        <v>80</v>
      </c>
      <c r="S179" s="27" t="s">
        <v>80</v>
      </c>
      <c r="T179" s="27" t="s">
        <v>80</v>
      </c>
      <c r="U179" s="55">
        <f>IF('Pegar ML'!AI175=" ",'Pegar ML'!AI174,'Pegar ML'!AI175)</f>
        <v>0</v>
      </c>
      <c r="V179" s="55">
        <f>IF('Pegar ML'!AK175=" ",'Pegar ML'!AK174,'Pegar ML'!AK175)</f>
        <v>0</v>
      </c>
      <c r="W179" s="55">
        <f>IF('Pegar ML'!AJ175=" ",'Pegar ML'!AJ174,'Pegar ML'!AJ175)</f>
        <v>0</v>
      </c>
      <c r="X179" s="55">
        <f>IF('Pegar ML'!AL175=" ",'Pegar ML'!AL174,'Pegar ML'!AL175)</f>
        <v>0</v>
      </c>
      <c r="Y179" s="27"/>
      <c r="Z179" s="27"/>
      <c r="AA179" s="27"/>
      <c r="AB179" s="27"/>
      <c r="AC179" s="27"/>
      <c r="AD179" s="27"/>
      <c r="AF179" s="8"/>
      <c r="AG179" s="27"/>
      <c r="AH179" s="14">
        <f>+'Pegar ML'!Y175</f>
        <v>0</v>
      </c>
      <c r="AI179" s="13">
        <f t="shared" si="7"/>
        <v>1</v>
      </c>
      <c r="AJ179" s="7">
        <f>+'Pegar ML'!T175</f>
        <v>0</v>
      </c>
      <c r="AK179" s="27"/>
      <c r="AL179" s="27"/>
      <c r="AM179" s="27"/>
      <c r="AN179" s="27"/>
      <c r="AO179" s="27"/>
      <c r="AP179" s="27"/>
      <c r="AQ179" s="27"/>
      <c r="AR179" s="27"/>
      <c r="AS179" s="27">
        <v>17</v>
      </c>
    </row>
    <row r="180" spans="1:45" x14ac:dyDescent="0.25">
      <c r="A180" s="27">
        <f>IF('Pegar ML'!C175="Paquete de 2 productos",'Pegar ML'!A175,IF('Pegar ML'!C174="Paquete de 2 productos",'Pegar ML'!A174,'Pegar ML'!A176))</f>
        <v>0</v>
      </c>
      <c r="B180" s="27"/>
      <c r="C180" s="30" t="e">
        <f>IF(AjusteFecha!I176=0,"",AjusteFecha!I176)</f>
        <v>#N/A</v>
      </c>
      <c r="D180" s="27"/>
      <c r="E180" s="27"/>
      <c r="F180" s="27" t="str">
        <f>IF('Pegar ML'!C176="","",'Pegar ML'!C176)</f>
        <v/>
      </c>
      <c r="G180" s="27" t="str">
        <f>IF('Pegar ML'!G171="ARS","PS","PS")</f>
        <v>PS</v>
      </c>
      <c r="H180" s="14">
        <f>IF('Pegar ML'!C175="Paquete de 2 productos",IF('Pegar ML'!H175="",0,'Pegar ML'!H175),IF('Pegar ML'!H176="",0,'Pegar ML'!H176))</f>
        <v>0</v>
      </c>
      <c r="I180" s="14">
        <f>IF('Pegar ML'!C175="Paquete de 2 productos",IF('Pegar ML'!O175="",0,'Pegar ML'!O175),IF('Pegar ML'!O176="",0,'Pegar ML'!O176))</f>
        <v>0</v>
      </c>
      <c r="J180" s="14">
        <f>IF('Pegar ML'!C175="Paquete de 2 productos",IF('Pegar ML'!O175="",0,'Pegar ML'!O175),IF('Pegar ML'!O176="",0,'Pegar ML'!O176))</f>
        <v>0</v>
      </c>
      <c r="K180" s="14">
        <f t="shared" si="8"/>
        <v>0</v>
      </c>
      <c r="L180" s="27">
        <f>IF('Pegar ML'!AB176=" ",'Pegar ML'!AB175,'Pegar ML'!AB176)</f>
        <v>0</v>
      </c>
      <c r="M180" s="27" t="str">
        <f>IF('Pegar ML'!AC176=" ",RIGHT('Pegar ML'!AC175,8),RIGHT('Pegar ML'!AC176,8))</f>
        <v/>
      </c>
      <c r="N180" s="27" t="s">
        <v>80</v>
      </c>
      <c r="O180" s="27">
        <f t="shared" si="6"/>
        <v>0</v>
      </c>
      <c r="P180" s="27" t="s">
        <v>80</v>
      </c>
      <c r="Q180" s="55">
        <f>IF('Pegar ML'!AD176=" ",'Pegar ML'!AD175,'Pegar ML'!AD176)</f>
        <v>0</v>
      </c>
      <c r="R180" s="27" t="s">
        <v>80</v>
      </c>
      <c r="S180" s="27" t="s">
        <v>80</v>
      </c>
      <c r="T180" s="27" t="s">
        <v>80</v>
      </c>
      <c r="U180" s="55">
        <f>IF('Pegar ML'!AI176=" ",'Pegar ML'!AI175,'Pegar ML'!AI176)</f>
        <v>0</v>
      </c>
      <c r="V180" s="55">
        <f>IF('Pegar ML'!AK176=" ",'Pegar ML'!AK175,'Pegar ML'!AK176)</f>
        <v>0</v>
      </c>
      <c r="W180" s="55">
        <f>IF('Pegar ML'!AJ176=" ",'Pegar ML'!AJ175,'Pegar ML'!AJ176)</f>
        <v>0</v>
      </c>
      <c r="X180" s="55">
        <f>IF('Pegar ML'!AL176=" ",'Pegar ML'!AL175,'Pegar ML'!AL176)</f>
        <v>0</v>
      </c>
      <c r="Y180" s="27"/>
      <c r="Z180" s="27"/>
      <c r="AA180" s="27"/>
      <c r="AB180" s="27"/>
      <c r="AC180" s="27"/>
      <c r="AD180" s="27"/>
      <c r="AF180" s="8"/>
      <c r="AG180" s="27"/>
      <c r="AH180" s="14">
        <f>+'Pegar ML'!Y176</f>
        <v>0</v>
      </c>
      <c r="AI180" s="13">
        <f t="shared" si="7"/>
        <v>1</v>
      </c>
      <c r="AJ180" s="7">
        <f>+'Pegar ML'!T176</f>
        <v>0</v>
      </c>
      <c r="AK180" s="27"/>
      <c r="AL180" s="27"/>
      <c r="AM180" s="27"/>
      <c r="AN180" s="27"/>
      <c r="AO180" s="27"/>
      <c r="AP180" s="27"/>
      <c r="AQ180" s="27"/>
      <c r="AR180" s="27"/>
      <c r="AS180" s="27">
        <v>17</v>
      </c>
    </row>
    <row r="181" spans="1:45" x14ac:dyDescent="0.25">
      <c r="A181" s="27">
        <f>IF('Pegar ML'!C176="Paquete de 2 productos",'Pegar ML'!A176,IF('Pegar ML'!C175="Paquete de 2 productos",'Pegar ML'!A175,'Pegar ML'!A177))</f>
        <v>0</v>
      </c>
      <c r="B181" s="27"/>
      <c r="C181" s="30" t="e">
        <f>IF(AjusteFecha!I177=0,"",AjusteFecha!I177)</f>
        <v>#N/A</v>
      </c>
      <c r="D181" s="27"/>
      <c r="E181" s="27"/>
      <c r="F181" s="27" t="str">
        <f>IF('Pegar ML'!C177="","",'Pegar ML'!C177)</f>
        <v/>
      </c>
      <c r="G181" s="27" t="str">
        <f>IF('Pegar ML'!G172="ARS","PS","PS")</f>
        <v>PS</v>
      </c>
      <c r="H181" s="14">
        <f>IF('Pegar ML'!C176="Paquete de 2 productos",IF('Pegar ML'!H176="",0,'Pegar ML'!H176),IF('Pegar ML'!H177="",0,'Pegar ML'!H177))</f>
        <v>0</v>
      </c>
      <c r="I181" s="14">
        <f>IF('Pegar ML'!C176="Paquete de 2 productos",IF('Pegar ML'!O176="",0,'Pegar ML'!O176),IF('Pegar ML'!O177="",0,'Pegar ML'!O177))</f>
        <v>0</v>
      </c>
      <c r="J181" s="14">
        <f>IF('Pegar ML'!C176="Paquete de 2 productos",IF('Pegar ML'!O176="",0,'Pegar ML'!O176),IF('Pegar ML'!O177="",0,'Pegar ML'!O177))</f>
        <v>0</v>
      </c>
      <c r="K181" s="14">
        <f t="shared" si="8"/>
        <v>0</v>
      </c>
      <c r="L181" s="27">
        <f>IF('Pegar ML'!AB177=" ",'Pegar ML'!AB176,'Pegar ML'!AB177)</f>
        <v>0</v>
      </c>
      <c r="M181" s="27" t="str">
        <f>IF('Pegar ML'!AC177=" ",RIGHT('Pegar ML'!AC176,8),RIGHT('Pegar ML'!AC177,8))</f>
        <v/>
      </c>
      <c r="N181" s="27" t="s">
        <v>80</v>
      </c>
      <c r="O181" s="27">
        <f t="shared" si="6"/>
        <v>0</v>
      </c>
      <c r="P181" s="27" t="s">
        <v>80</v>
      </c>
      <c r="Q181" s="55">
        <f>IF('Pegar ML'!AD177=" ",'Pegar ML'!AD176,'Pegar ML'!AD177)</f>
        <v>0</v>
      </c>
      <c r="R181" s="27" t="s">
        <v>80</v>
      </c>
      <c r="S181" s="27" t="s">
        <v>80</v>
      </c>
      <c r="T181" s="27" t="s">
        <v>80</v>
      </c>
      <c r="U181" s="55">
        <f>IF('Pegar ML'!AI177=" ",'Pegar ML'!AI176,'Pegar ML'!AI177)</f>
        <v>0</v>
      </c>
      <c r="V181" s="55">
        <f>IF('Pegar ML'!AK177=" ",'Pegar ML'!AK176,'Pegar ML'!AK177)</f>
        <v>0</v>
      </c>
      <c r="W181" s="55">
        <f>IF('Pegar ML'!AJ177=" ",'Pegar ML'!AJ176,'Pegar ML'!AJ177)</f>
        <v>0</v>
      </c>
      <c r="X181" s="55">
        <f>IF('Pegar ML'!AL177=" ",'Pegar ML'!AL176,'Pegar ML'!AL177)</f>
        <v>0</v>
      </c>
      <c r="Y181" s="27"/>
      <c r="Z181" s="27"/>
      <c r="AA181" s="27"/>
      <c r="AB181" s="27"/>
      <c r="AC181" s="27"/>
      <c r="AD181" s="27"/>
      <c r="AF181" s="8"/>
      <c r="AG181" s="27"/>
      <c r="AH181" s="14">
        <f>+'Pegar ML'!Y177</f>
        <v>0</v>
      </c>
      <c r="AI181" s="13">
        <f t="shared" si="7"/>
        <v>1</v>
      </c>
      <c r="AJ181" s="7">
        <f>+'Pegar ML'!T177</f>
        <v>0</v>
      </c>
      <c r="AK181" s="27"/>
      <c r="AL181" s="27"/>
      <c r="AM181" s="27"/>
      <c r="AN181" s="27"/>
      <c r="AO181" s="27"/>
      <c r="AP181" s="27"/>
      <c r="AQ181" s="27"/>
      <c r="AR181" s="27"/>
      <c r="AS181" s="27">
        <v>17</v>
      </c>
    </row>
    <row r="182" spans="1:45" ht="15" customHeight="1" x14ac:dyDescent="0.25">
      <c r="A182" s="27">
        <f>IF('Pegar ML'!C177="Paquete de 2 productos",'Pegar ML'!A177,IF('Pegar ML'!C176="Paquete de 2 productos",'Pegar ML'!A176,'Pegar ML'!A178))</f>
        <v>0</v>
      </c>
      <c r="B182" s="27"/>
      <c r="C182" s="30" t="e">
        <f>IF(AjusteFecha!I178=0,"",AjusteFecha!I178)</f>
        <v>#N/A</v>
      </c>
      <c r="D182" s="27"/>
      <c r="E182" s="27"/>
      <c r="F182" s="27" t="str">
        <f>IF('Pegar ML'!C178="","",'Pegar ML'!C178)</f>
        <v/>
      </c>
      <c r="G182" s="27" t="str">
        <f>IF('Pegar ML'!G173="ARS","PS","PS")</f>
        <v>PS</v>
      </c>
      <c r="H182" s="14">
        <f>IF('Pegar ML'!C177="Paquete de 2 productos",IF('Pegar ML'!H177="",0,'Pegar ML'!H177),IF('Pegar ML'!H178="",0,'Pegar ML'!H178))</f>
        <v>0</v>
      </c>
      <c r="I182" s="14">
        <f>IF('Pegar ML'!C177="Paquete de 2 productos",IF('Pegar ML'!O177="",0,'Pegar ML'!O177),IF('Pegar ML'!O178="",0,'Pegar ML'!O178))</f>
        <v>0</v>
      </c>
      <c r="J182" s="14">
        <f>IF('Pegar ML'!C177="Paquete de 2 productos",IF('Pegar ML'!O177="",0,'Pegar ML'!O177),IF('Pegar ML'!O178="",0,'Pegar ML'!O178))</f>
        <v>0</v>
      </c>
      <c r="K182" s="14">
        <f t="shared" si="8"/>
        <v>0</v>
      </c>
      <c r="L182" s="27">
        <f>IF('Pegar ML'!AB178=" ",'Pegar ML'!AB177,'Pegar ML'!AB178)</f>
        <v>0</v>
      </c>
      <c r="M182" s="27" t="str">
        <f>IF('Pegar ML'!AC178=" ",RIGHT('Pegar ML'!AC177,8),RIGHT('Pegar ML'!AC178,8))</f>
        <v/>
      </c>
      <c r="N182" s="27" t="s">
        <v>80</v>
      </c>
      <c r="O182" s="27">
        <f t="shared" si="6"/>
        <v>0</v>
      </c>
      <c r="P182" s="27" t="s">
        <v>80</v>
      </c>
      <c r="Q182" s="55">
        <f>IF('Pegar ML'!AD178=" ",'Pegar ML'!AD177,'Pegar ML'!AD178)</f>
        <v>0</v>
      </c>
      <c r="R182" s="27" t="s">
        <v>80</v>
      </c>
      <c r="S182" s="27" t="s">
        <v>80</v>
      </c>
      <c r="T182" s="27" t="s">
        <v>80</v>
      </c>
      <c r="U182" s="55">
        <f>IF('Pegar ML'!AI178=" ",'Pegar ML'!AI177,'Pegar ML'!AI178)</f>
        <v>0</v>
      </c>
      <c r="V182" s="55">
        <f>IF('Pegar ML'!AK178=" ",'Pegar ML'!AK177,'Pegar ML'!AK178)</f>
        <v>0</v>
      </c>
      <c r="W182" s="55">
        <f>IF('Pegar ML'!AJ178=" ",'Pegar ML'!AJ177,'Pegar ML'!AJ178)</f>
        <v>0</v>
      </c>
      <c r="X182" s="55">
        <f>IF('Pegar ML'!AL178=" ",'Pegar ML'!AL177,'Pegar ML'!AL178)</f>
        <v>0</v>
      </c>
      <c r="Y182" s="27"/>
      <c r="Z182" s="27"/>
      <c r="AA182" s="27"/>
      <c r="AB182" s="27"/>
      <c r="AC182" s="27"/>
      <c r="AD182" s="27"/>
      <c r="AF182" s="8"/>
      <c r="AG182" s="27"/>
      <c r="AH182" s="14">
        <f>+'Pegar ML'!Y178</f>
        <v>0</v>
      </c>
      <c r="AI182" s="13">
        <f t="shared" si="7"/>
        <v>1</v>
      </c>
      <c r="AJ182" s="7">
        <f>+'Pegar ML'!T178</f>
        <v>0</v>
      </c>
      <c r="AK182" s="27"/>
      <c r="AL182" s="27"/>
      <c r="AM182" s="27"/>
      <c r="AN182" s="27"/>
      <c r="AO182" s="27"/>
      <c r="AP182" s="27"/>
      <c r="AQ182" s="27"/>
      <c r="AR182" s="27"/>
      <c r="AS182" s="27">
        <v>17</v>
      </c>
    </row>
    <row r="183" spans="1:45" x14ac:dyDescent="0.25">
      <c r="A183" s="27">
        <f>IF('Pegar ML'!C178="Paquete de 2 productos",'Pegar ML'!A178,IF('Pegar ML'!C177="Paquete de 2 productos",'Pegar ML'!A177,'Pegar ML'!A179))</f>
        <v>0</v>
      </c>
      <c r="B183" s="27"/>
      <c r="C183" s="30" t="e">
        <f>IF(AjusteFecha!I179=0,"",AjusteFecha!I179)</f>
        <v>#N/A</v>
      </c>
      <c r="D183" s="27"/>
      <c r="E183" s="27"/>
      <c r="F183" s="27" t="str">
        <f>IF('Pegar ML'!C179="","",'Pegar ML'!C179)</f>
        <v/>
      </c>
      <c r="G183" s="27" t="str">
        <f>IF('Pegar ML'!G174="ARS","PS","PS")</f>
        <v>PS</v>
      </c>
      <c r="H183" s="14">
        <f>IF('Pegar ML'!C178="Paquete de 2 productos",IF('Pegar ML'!H178="",0,'Pegar ML'!H178),IF('Pegar ML'!H179="",0,'Pegar ML'!H179))</f>
        <v>0</v>
      </c>
      <c r="I183" s="14">
        <f>IF('Pegar ML'!C178="Paquete de 2 productos",IF('Pegar ML'!O178="",0,'Pegar ML'!O178),IF('Pegar ML'!O179="",0,'Pegar ML'!O179))</f>
        <v>0</v>
      </c>
      <c r="J183" s="14">
        <f>IF('Pegar ML'!C178="Paquete de 2 productos",IF('Pegar ML'!O178="",0,'Pegar ML'!O178),IF('Pegar ML'!O179="",0,'Pegar ML'!O179))</f>
        <v>0</v>
      </c>
      <c r="K183" s="14">
        <f t="shared" si="8"/>
        <v>0</v>
      </c>
      <c r="L183" s="27">
        <f>IF('Pegar ML'!AB179=" ",'Pegar ML'!AB178,'Pegar ML'!AB179)</f>
        <v>0</v>
      </c>
      <c r="M183" s="27" t="str">
        <f>IF('Pegar ML'!AC179=" ",RIGHT('Pegar ML'!AC178,8),RIGHT('Pegar ML'!AC179,8))</f>
        <v/>
      </c>
      <c r="N183" s="27" t="s">
        <v>80</v>
      </c>
      <c r="O183" s="27">
        <f t="shared" si="6"/>
        <v>0</v>
      </c>
      <c r="P183" s="27" t="s">
        <v>80</v>
      </c>
      <c r="Q183" s="55">
        <f>IF('Pegar ML'!AD179=" ",'Pegar ML'!AD178,'Pegar ML'!AD179)</f>
        <v>0</v>
      </c>
      <c r="R183" s="27" t="s">
        <v>80</v>
      </c>
      <c r="S183" s="27" t="s">
        <v>80</v>
      </c>
      <c r="T183" s="27" t="s">
        <v>80</v>
      </c>
      <c r="U183" s="55">
        <f>IF('Pegar ML'!AI179=" ",'Pegar ML'!AI178,'Pegar ML'!AI179)</f>
        <v>0</v>
      </c>
      <c r="V183" s="55">
        <f>IF('Pegar ML'!AK179=" ",'Pegar ML'!AK178,'Pegar ML'!AK179)</f>
        <v>0</v>
      </c>
      <c r="W183" s="55">
        <f>IF('Pegar ML'!AJ179=" ",'Pegar ML'!AJ178,'Pegar ML'!AJ179)</f>
        <v>0</v>
      </c>
      <c r="X183" s="55">
        <f>IF('Pegar ML'!AL179=" ",'Pegar ML'!AL178,'Pegar ML'!AL179)</f>
        <v>0</v>
      </c>
      <c r="Y183" s="27"/>
      <c r="Z183" s="27"/>
      <c r="AA183" s="27"/>
      <c r="AB183" s="27"/>
      <c r="AC183" s="27"/>
      <c r="AD183" s="27"/>
      <c r="AF183" s="8"/>
      <c r="AG183" s="27"/>
      <c r="AH183" s="14">
        <f>+'Pegar ML'!Y179</f>
        <v>0</v>
      </c>
      <c r="AI183" s="13">
        <f t="shared" si="7"/>
        <v>1</v>
      </c>
      <c r="AJ183" s="7">
        <f>+'Pegar ML'!T179</f>
        <v>0</v>
      </c>
      <c r="AK183" s="27"/>
      <c r="AL183" s="27"/>
      <c r="AM183" s="27"/>
      <c r="AN183" s="27"/>
      <c r="AO183" s="27"/>
      <c r="AP183" s="27"/>
      <c r="AQ183" s="27"/>
      <c r="AR183" s="27"/>
      <c r="AS183" s="27">
        <v>17</v>
      </c>
    </row>
    <row r="184" spans="1:45" x14ac:dyDescent="0.25">
      <c r="A184" s="27">
        <f>IF('Pegar ML'!C179="Paquete de 2 productos",'Pegar ML'!A179,IF('Pegar ML'!C178="Paquete de 2 productos",'Pegar ML'!A178,'Pegar ML'!A180))</f>
        <v>0</v>
      </c>
      <c r="B184" s="27"/>
      <c r="C184" s="30" t="e">
        <f>IF(AjusteFecha!I180=0,"",AjusteFecha!I180)</f>
        <v>#N/A</v>
      </c>
      <c r="D184" s="27"/>
      <c r="E184" s="27"/>
      <c r="F184" s="27" t="str">
        <f>IF('Pegar ML'!C180="","",'Pegar ML'!C180)</f>
        <v/>
      </c>
      <c r="G184" s="27" t="str">
        <f>IF('Pegar ML'!G175="ARS","PS","PS")</f>
        <v>PS</v>
      </c>
      <c r="H184" s="14">
        <f>IF('Pegar ML'!C179="Paquete de 2 productos",IF('Pegar ML'!H179="",0,'Pegar ML'!H179),IF('Pegar ML'!H180="",0,'Pegar ML'!H180))</f>
        <v>0</v>
      </c>
      <c r="I184" s="14">
        <f>IF('Pegar ML'!C179="Paquete de 2 productos",IF('Pegar ML'!O179="",0,'Pegar ML'!O179),IF('Pegar ML'!O180="",0,'Pegar ML'!O180))</f>
        <v>0</v>
      </c>
      <c r="J184" s="14">
        <f>IF('Pegar ML'!C179="Paquete de 2 productos",IF('Pegar ML'!O179="",0,'Pegar ML'!O179),IF('Pegar ML'!O180="",0,'Pegar ML'!O180))</f>
        <v>0</v>
      </c>
      <c r="K184" s="14">
        <f t="shared" si="8"/>
        <v>0</v>
      </c>
      <c r="L184" s="27">
        <f>IF('Pegar ML'!AB180=" ",'Pegar ML'!AB179,'Pegar ML'!AB180)</f>
        <v>0</v>
      </c>
      <c r="M184" s="27" t="str">
        <f>IF('Pegar ML'!AC180=" ",RIGHT('Pegar ML'!AC179,8),RIGHT('Pegar ML'!AC180,8))</f>
        <v/>
      </c>
      <c r="N184" s="27" t="s">
        <v>80</v>
      </c>
      <c r="O184" s="27">
        <f t="shared" si="6"/>
        <v>0</v>
      </c>
      <c r="P184" s="27" t="s">
        <v>80</v>
      </c>
      <c r="Q184" s="55">
        <f>IF('Pegar ML'!AD180=" ",'Pegar ML'!AD179,'Pegar ML'!AD180)</f>
        <v>0</v>
      </c>
      <c r="R184" s="27" t="s">
        <v>80</v>
      </c>
      <c r="S184" s="27" t="s">
        <v>80</v>
      </c>
      <c r="T184" s="27" t="s">
        <v>80</v>
      </c>
      <c r="U184" s="55">
        <f>IF('Pegar ML'!AI180=" ",'Pegar ML'!AI179,'Pegar ML'!AI180)</f>
        <v>0</v>
      </c>
      <c r="V184" s="55">
        <f>IF('Pegar ML'!AK180=" ",'Pegar ML'!AK179,'Pegar ML'!AK180)</f>
        <v>0</v>
      </c>
      <c r="W184" s="55">
        <f>IF('Pegar ML'!AJ180=" ",'Pegar ML'!AJ179,'Pegar ML'!AJ180)</f>
        <v>0</v>
      </c>
      <c r="X184" s="55">
        <f>IF('Pegar ML'!AL180=" ",'Pegar ML'!AL179,'Pegar ML'!AL180)</f>
        <v>0</v>
      </c>
      <c r="Y184" s="27"/>
      <c r="Z184" s="27"/>
      <c r="AA184" s="27"/>
      <c r="AB184" s="27"/>
      <c r="AC184" s="27"/>
      <c r="AD184" s="27"/>
      <c r="AF184" s="8"/>
      <c r="AG184" s="27"/>
      <c r="AH184" s="14">
        <f>+'Pegar ML'!Y180</f>
        <v>0</v>
      </c>
      <c r="AI184" s="13">
        <f t="shared" si="7"/>
        <v>1</v>
      </c>
      <c r="AJ184" s="7">
        <f>+'Pegar ML'!T180</f>
        <v>0</v>
      </c>
      <c r="AK184" s="27"/>
      <c r="AL184" s="27"/>
      <c r="AM184" s="27"/>
      <c r="AN184" s="27"/>
      <c r="AO184" s="27"/>
      <c r="AP184" s="27"/>
      <c r="AQ184" s="27"/>
      <c r="AR184" s="27"/>
      <c r="AS184" s="27">
        <v>17</v>
      </c>
    </row>
    <row r="185" spans="1:45" x14ac:dyDescent="0.25">
      <c r="A185" s="27">
        <f>IF('Pegar ML'!C180="Paquete de 2 productos",'Pegar ML'!A180,IF('Pegar ML'!C179="Paquete de 2 productos",'Pegar ML'!A179,'Pegar ML'!A181))</f>
        <v>0</v>
      </c>
      <c r="B185" s="27"/>
      <c r="C185" s="30" t="e">
        <f>IF(AjusteFecha!I181=0,"",AjusteFecha!I181)</f>
        <v>#N/A</v>
      </c>
      <c r="D185" s="27"/>
      <c r="E185" s="27"/>
      <c r="F185" s="27" t="str">
        <f>IF('Pegar ML'!C181="","",'Pegar ML'!C181)</f>
        <v/>
      </c>
      <c r="G185" s="27" t="str">
        <f>IF('Pegar ML'!G176="ARS","PS","PS")</f>
        <v>PS</v>
      </c>
      <c r="H185" s="14">
        <f>IF('Pegar ML'!C180="Paquete de 2 productos",IF('Pegar ML'!H180="",0,'Pegar ML'!H180),IF('Pegar ML'!H181="",0,'Pegar ML'!H181))</f>
        <v>0</v>
      </c>
      <c r="I185" s="14">
        <f>IF('Pegar ML'!C180="Paquete de 2 productos",IF('Pegar ML'!O180="",0,'Pegar ML'!O180),IF('Pegar ML'!O181="",0,'Pegar ML'!O181))</f>
        <v>0</v>
      </c>
      <c r="J185" s="14">
        <f>IF('Pegar ML'!C180="Paquete de 2 productos",IF('Pegar ML'!O180="",0,'Pegar ML'!O180),IF('Pegar ML'!O181="",0,'Pegar ML'!O181))</f>
        <v>0</v>
      </c>
      <c r="K185" s="14">
        <f t="shared" si="8"/>
        <v>0</v>
      </c>
      <c r="L185" s="27">
        <f>IF('Pegar ML'!AB181=" ",'Pegar ML'!AB180,'Pegar ML'!AB181)</f>
        <v>0</v>
      </c>
      <c r="M185" s="27" t="str">
        <f>IF('Pegar ML'!AC181=" ",RIGHT('Pegar ML'!AC180,8),RIGHT('Pegar ML'!AC181,8))</f>
        <v/>
      </c>
      <c r="N185" s="27" t="s">
        <v>80</v>
      </c>
      <c r="O185" s="27">
        <f t="shared" si="6"/>
        <v>0</v>
      </c>
      <c r="P185" s="27" t="s">
        <v>80</v>
      </c>
      <c r="Q185" s="55">
        <f>IF('Pegar ML'!AD181=" ",'Pegar ML'!AD180,'Pegar ML'!AD181)</f>
        <v>0</v>
      </c>
      <c r="R185" s="27" t="s">
        <v>80</v>
      </c>
      <c r="S185" s="27" t="s">
        <v>80</v>
      </c>
      <c r="T185" s="27" t="s">
        <v>80</v>
      </c>
      <c r="U185" s="55">
        <f>IF('Pegar ML'!AI181=" ",'Pegar ML'!AI180,'Pegar ML'!AI181)</f>
        <v>0</v>
      </c>
      <c r="V185" s="55">
        <f>IF('Pegar ML'!AK181=" ",'Pegar ML'!AK180,'Pegar ML'!AK181)</f>
        <v>0</v>
      </c>
      <c r="W185" s="55">
        <f>IF('Pegar ML'!AJ181=" ",'Pegar ML'!AJ180,'Pegar ML'!AJ181)</f>
        <v>0</v>
      </c>
      <c r="X185" s="55">
        <f>IF('Pegar ML'!AL181=" ",'Pegar ML'!AL180,'Pegar ML'!AL181)</f>
        <v>0</v>
      </c>
      <c r="Y185" s="27"/>
      <c r="Z185" s="27"/>
      <c r="AA185" s="27"/>
      <c r="AB185" s="27"/>
      <c r="AC185" s="27"/>
      <c r="AD185" s="27"/>
      <c r="AF185" s="8"/>
      <c r="AG185" s="27"/>
      <c r="AH185" s="14">
        <f>+'Pegar ML'!Y181</f>
        <v>0</v>
      </c>
      <c r="AI185" s="13">
        <f t="shared" si="7"/>
        <v>1</v>
      </c>
      <c r="AJ185" s="7">
        <f>+'Pegar ML'!T181</f>
        <v>0</v>
      </c>
      <c r="AK185" s="27"/>
      <c r="AL185" s="27"/>
      <c r="AM185" s="27"/>
      <c r="AN185" s="27"/>
      <c r="AO185" s="27"/>
      <c r="AP185" s="27"/>
      <c r="AQ185" s="27"/>
      <c r="AR185" s="27"/>
      <c r="AS185" s="27">
        <v>17</v>
      </c>
    </row>
    <row r="186" spans="1:45" x14ac:dyDescent="0.25">
      <c r="A186" s="27">
        <f>IF('Pegar ML'!C181="Paquete de 2 productos",'Pegar ML'!A181,IF('Pegar ML'!C180="Paquete de 2 productos",'Pegar ML'!A180,'Pegar ML'!A182))</f>
        <v>0</v>
      </c>
      <c r="B186" s="27"/>
      <c r="C186" s="30" t="e">
        <f>IF(AjusteFecha!I182=0,"",AjusteFecha!I182)</f>
        <v>#N/A</v>
      </c>
      <c r="D186" s="27"/>
      <c r="E186" s="27"/>
      <c r="F186" s="27" t="str">
        <f>IF('Pegar ML'!C182="","",'Pegar ML'!C182)</f>
        <v/>
      </c>
      <c r="G186" s="27" t="str">
        <f>IF('Pegar ML'!G177="ARS","PS","PS")</f>
        <v>PS</v>
      </c>
      <c r="H186" s="14">
        <f>IF('Pegar ML'!C181="Paquete de 2 productos",IF('Pegar ML'!H181="",0,'Pegar ML'!H181),IF('Pegar ML'!H182="",0,'Pegar ML'!H182))</f>
        <v>0</v>
      </c>
      <c r="I186" s="14">
        <f>IF('Pegar ML'!C181="Paquete de 2 productos",IF('Pegar ML'!O181="",0,'Pegar ML'!O181),IF('Pegar ML'!O182="",0,'Pegar ML'!O182))</f>
        <v>0</v>
      </c>
      <c r="J186" s="14">
        <f>IF('Pegar ML'!C181="Paquete de 2 productos",IF('Pegar ML'!O181="",0,'Pegar ML'!O181),IF('Pegar ML'!O182="",0,'Pegar ML'!O182))</f>
        <v>0</v>
      </c>
      <c r="K186" s="14">
        <f t="shared" si="8"/>
        <v>0</v>
      </c>
      <c r="L186" s="27">
        <f>IF('Pegar ML'!AB182=" ",'Pegar ML'!AB181,'Pegar ML'!AB182)</f>
        <v>0</v>
      </c>
      <c r="M186" s="27" t="str">
        <f>IF('Pegar ML'!AC182=" ",RIGHT('Pegar ML'!AC181,8),RIGHT('Pegar ML'!AC182,8))</f>
        <v/>
      </c>
      <c r="N186" s="27" t="s">
        <v>80</v>
      </c>
      <c r="O186" s="27">
        <f t="shared" si="6"/>
        <v>0</v>
      </c>
      <c r="P186" s="27" t="s">
        <v>80</v>
      </c>
      <c r="Q186" s="55">
        <f>IF('Pegar ML'!AD182=" ",'Pegar ML'!AD181,'Pegar ML'!AD182)</f>
        <v>0</v>
      </c>
      <c r="R186" s="27" t="s">
        <v>80</v>
      </c>
      <c r="S186" s="27" t="s">
        <v>80</v>
      </c>
      <c r="T186" s="27" t="s">
        <v>80</v>
      </c>
      <c r="U186" s="55">
        <f>IF('Pegar ML'!AI182=" ",'Pegar ML'!AI181,'Pegar ML'!AI182)</f>
        <v>0</v>
      </c>
      <c r="V186" s="55">
        <f>IF('Pegar ML'!AK182=" ",'Pegar ML'!AK181,'Pegar ML'!AK182)</f>
        <v>0</v>
      </c>
      <c r="W186" s="55">
        <f>IF('Pegar ML'!AJ182=" ",'Pegar ML'!AJ181,'Pegar ML'!AJ182)</f>
        <v>0</v>
      </c>
      <c r="X186" s="55">
        <f>IF('Pegar ML'!AL182=" ",'Pegar ML'!AL181,'Pegar ML'!AL182)</f>
        <v>0</v>
      </c>
      <c r="Y186" s="27"/>
      <c r="Z186" s="27"/>
      <c r="AA186" s="27"/>
      <c r="AB186" s="27"/>
      <c r="AC186" s="27"/>
      <c r="AD186" s="27"/>
      <c r="AF186" s="8"/>
      <c r="AG186" s="27"/>
      <c r="AH186" s="14">
        <f>+'Pegar ML'!Y182</f>
        <v>0</v>
      </c>
      <c r="AI186" s="13">
        <f t="shared" si="7"/>
        <v>1</v>
      </c>
      <c r="AJ186" s="7">
        <f>+'Pegar ML'!T182</f>
        <v>0</v>
      </c>
      <c r="AK186" s="27"/>
      <c r="AL186" s="27"/>
      <c r="AM186" s="27"/>
      <c r="AN186" s="27"/>
      <c r="AO186" s="27"/>
      <c r="AP186" s="27"/>
      <c r="AQ186" s="27"/>
      <c r="AR186" s="27"/>
      <c r="AS186" s="27">
        <v>17</v>
      </c>
    </row>
    <row r="187" spans="1:45" x14ac:dyDescent="0.25">
      <c r="A187" s="27">
        <f>IF('Pegar ML'!C182="Paquete de 2 productos",'Pegar ML'!A182,IF('Pegar ML'!C181="Paquete de 2 productos",'Pegar ML'!A181,'Pegar ML'!A183))</f>
        <v>0</v>
      </c>
      <c r="B187" s="27"/>
      <c r="C187" s="30" t="e">
        <f>IF(AjusteFecha!I183=0,"",AjusteFecha!I183)</f>
        <v>#N/A</v>
      </c>
      <c r="D187" s="27"/>
      <c r="E187" s="27"/>
      <c r="F187" s="27" t="str">
        <f>IF('Pegar ML'!C183="","",'Pegar ML'!C183)</f>
        <v/>
      </c>
      <c r="G187" s="27" t="str">
        <f>IF('Pegar ML'!G178="ARS","PS","PS")</f>
        <v>PS</v>
      </c>
      <c r="H187" s="14">
        <f>IF('Pegar ML'!C182="Paquete de 2 productos",IF('Pegar ML'!H182="",0,'Pegar ML'!H182),IF('Pegar ML'!H183="",0,'Pegar ML'!H183))</f>
        <v>0</v>
      </c>
      <c r="I187" s="14">
        <f>IF('Pegar ML'!C182="Paquete de 2 productos",IF('Pegar ML'!O182="",0,'Pegar ML'!O182),IF('Pegar ML'!O183="",0,'Pegar ML'!O183))</f>
        <v>0</v>
      </c>
      <c r="J187" s="14">
        <f>IF('Pegar ML'!C182="Paquete de 2 productos",IF('Pegar ML'!O182="",0,'Pegar ML'!O182),IF('Pegar ML'!O183="",0,'Pegar ML'!O183))</f>
        <v>0</v>
      </c>
      <c r="K187" s="14">
        <f t="shared" si="8"/>
        <v>0</v>
      </c>
      <c r="L187" s="27">
        <f>IF('Pegar ML'!AB183=" ",'Pegar ML'!AB182,'Pegar ML'!AB183)</f>
        <v>0</v>
      </c>
      <c r="M187" s="27" t="str">
        <f>IF('Pegar ML'!AC183=" ",RIGHT('Pegar ML'!AC182,8),RIGHT('Pegar ML'!AC183,8))</f>
        <v/>
      </c>
      <c r="N187" s="27" t="s">
        <v>80</v>
      </c>
      <c r="O187" s="27">
        <f t="shared" si="6"/>
        <v>0</v>
      </c>
      <c r="P187" s="27" t="s">
        <v>80</v>
      </c>
      <c r="Q187" s="55">
        <f>IF('Pegar ML'!AD183=" ",'Pegar ML'!AD182,'Pegar ML'!AD183)</f>
        <v>0</v>
      </c>
      <c r="R187" s="27" t="s">
        <v>80</v>
      </c>
      <c r="S187" s="27" t="s">
        <v>80</v>
      </c>
      <c r="T187" s="27" t="s">
        <v>80</v>
      </c>
      <c r="U187" s="55">
        <f>IF('Pegar ML'!AI183=" ",'Pegar ML'!AI182,'Pegar ML'!AI183)</f>
        <v>0</v>
      </c>
      <c r="V187" s="55">
        <f>IF('Pegar ML'!AK183=" ",'Pegar ML'!AK182,'Pegar ML'!AK183)</f>
        <v>0</v>
      </c>
      <c r="W187" s="55">
        <f>IF('Pegar ML'!AJ183=" ",'Pegar ML'!AJ182,'Pegar ML'!AJ183)</f>
        <v>0</v>
      </c>
      <c r="X187" s="55">
        <f>IF('Pegar ML'!AL183=" ",'Pegar ML'!AL182,'Pegar ML'!AL183)</f>
        <v>0</v>
      </c>
      <c r="Y187" s="27"/>
      <c r="Z187" s="27"/>
      <c r="AA187" s="27"/>
      <c r="AB187" s="27"/>
      <c r="AC187" s="27"/>
      <c r="AD187" s="27"/>
      <c r="AF187" s="8"/>
      <c r="AG187" s="27"/>
      <c r="AH187" s="14">
        <f>+'Pegar ML'!Y183</f>
        <v>0</v>
      </c>
      <c r="AI187" s="13">
        <f t="shared" si="7"/>
        <v>1</v>
      </c>
      <c r="AJ187" s="7">
        <f>+'Pegar ML'!T183</f>
        <v>0</v>
      </c>
      <c r="AK187" s="27"/>
      <c r="AL187" s="27"/>
      <c r="AM187" s="27"/>
      <c r="AN187" s="27"/>
      <c r="AO187" s="27"/>
      <c r="AP187" s="27"/>
      <c r="AQ187" s="27"/>
      <c r="AR187" s="27"/>
      <c r="AS187" s="27">
        <v>17</v>
      </c>
    </row>
    <row r="188" spans="1:45" x14ac:dyDescent="0.25">
      <c r="A188" s="27">
        <f>IF('Pegar ML'!C183="Paquete de 2 productos",'Pegar ML'!A183,IF('Pegar ML'!C182="Paquete de 2 productos",'Pegar ML'!A182,'Pegar ML'!A184))</f>
        <v>0</v>
      </c>
      <c r="B188" s="27"/>
      <c r="C188" s="30" t="e">
        <f>IF(AjusteFecha!I184=0,"",AjusteFecha!I184)</f>
        <v>#N/A</v>
      </c>
      <c r="D188" s="27"/>
      <c r="E188" s="27"/>
      <c r="F188" s="27" t="str">
        <f>IF('Pegar ML'!C184="","",'Pegar ML'!C184)</f>
        <v/>
      </c>
      <c r="G188" s="27" t="str">
        <f>IF('Pegar ML'!G179="ARS","PS","PS")</f>
        <v>PS</v>
      </c>
      <c r="H188" s="14">
        <f>IF('Pegar ML'!C183="Paquete de 2 productos",IF('Pegar ML'!H183="",0,'Pegar ML'!H183),IF('Pegar ML'!H184="",0,'Pegar ML'!H184))</f>
        <v>0</v>
      </c>
      <c r="I188" s="14">
        <f>IF('Pegar ML'!C183="Paquete de 2 productos",IF('Pegar ML'!O183="",0,'Pegar ML'!O183),IF('Pegar ML'!O184="",0,'Pegar ML'!O184))</f>
        <v>0</v>
      </c>
      <c r="J188" s="14">
        <f>IF('Pegar ML'!C183="Paquete de 2 productos",IF('Pegar ML'!O183="",0,'Pegar ML'!O183),IF('Pegar ML'!O184="",0,'Pegar ML'!O184))</f>
        <v>0</v>
      </c>
      <c r="K188" s="14">
        <f t="shared" si="8"/>
        <v>0</v>
      </c>
      <c r="L188" s="27">
        <f>IF('Pegar ML'!AB184=" ",'Pegar ML'!AB183,'Pegar ML'!AB184)</f>
        <v>0</v>
      </c>
      <c r="M188" s="27" t="str">
        <f>IF('Pegar ML'!AC184=" ",RIGHT('Pegar ML'!AC183,8),RIGHT('Pegar ML'!AC184,8))</f>
        <v/>
      </c>
      <c r="N188" s="27" t="s">
        <v>80</v>
      </c>
      <c r="O188" s="27">
        <f t="shared" si="6"/>
        <v>0</v>
      </c>
      <c r="P188" s="27" t="s">
        <v>80</v>
      </c>
      <c r="Q188" s="55">
        <f>IF('Pegar ML'!AD184=" ",'Pegar ML'!AD183,'Pegar ML'!AD184)</f>
        <v>0</v>
      </c>
      <c r="R188" s="27" t="s">
        <v>80</v>
      </c>
      <c r="S188" s="27" t="s">
        <v>80</v>
      </c>
      <c r="T188" s="27" t="s">
        <v>80</v>
      </c>
      <c r="U188" s="55">
        <f>IF('Pegar ML'!AI184=" ",'Pegar ML'!AI183,'Pegar ML'!AI184)</f>
        <v>0</v>
      </c>
      <c r="V188" s="55">
        <f>IF('Pegar ML'!AK184=" ",'Pegar ML'!AK183,'Pegar ML'!AK184)</f>
        <v>0</v>
      </c>
      <c r="W188" s="55">
        <f>IF('Pegar ML'!AJ184=" ",'Pegar ML'!AJ183,'Pegar ML'!AJ184)</f>
        <v>0</v>
      </c>
      <c r="X188" s="55">
        <f>IF('Pegar ML'!AL184=" ",'Pegar ML'!AL183,'Pegar ML'!AL184)</f>
        <v>0</v>
      </c>
      <c r="Y188" s="27"/>
      <c r="Z188" s="27"/>
      <c r="AA188" s="27"/>
      <c r="AB188" s="27"/>
      <c r="AC188" s="27"/>
      <c r="AD188" s="27"/>
      <c r="AF188" s="8"/>
      <c r="AG188" s="27"/>
      <c r="AH188" s="14">
        <f>+'Pegar ML'!Y184</f>
        <v>0</v>
      </c>
      <c r="AI188" s="13">
        <f t="shared" si="7"/>
        <v>1</v>
      </c>
      <c r="AJ188" s="7">
        <f>+'Pegar ML'!T184</f>
        <v>0</v>
      </c>
      <c r="AK188" s="27"/>
      <c r="AL188" s="27"/>
      <c r="AM188" s="27"/>
      <c r="AN188" s="27"/>
      <c r="AO188" s="27"/>
      <c r="AP188" s="27"/>
      <c r="AQ188" s="27"/>
      <c r="AR188" s="27"/>
      <c r="AS188" s="27">
        <v>17</v>
      </c>
    </row>
    <row r="189" spans="1:45" ht="15" customHeight="1" x14ac:dyDescent="0.25">
      <c r="A189" s="27">
        <f>IF('Pegar ML'!C184="Paquete de 2 productos",'Pegar ML'!A184,IF('Pegar ML'!C183="Paquete de 2 productos",'Pegar ML'!A183,'Pegar ML'!A185))</f>
        <v>0</v>
      </c>
      <c r="B189" s="27"/>
      <c r="C189" s="30" t="e">
        <f>IF(AjusteFecha!I185=0,"",AjusteFecha!I185)</f>
        <v>#N/A</v>
      </c>
      <c r="D189" s="27"/>
      <c r="E189" s="27"/>
      <c r="F189" s="27" t="str">
        <f>IF('Pegar ML'!C185="","",'Pegar ML'!C185)</f>
        <v/>
      </c>
      <c r="G189" s="27" t="str">
        <f>IF('Pegar ML'!G180="ARS","PS","PS")</f>
        <v>PS</v>
      </c>
      <c r="H189" s="14">
        <f>IF('Pegar ML'!C184="Paquete de 2 productos",IF('Pegar ML'!H184="",0,'Pegar ML'!H184),IF('Pegar ML'!H185="",0,'Pegar ML'!H185))</f>
        <v>0</v>
      </c>
      <c r="I189" s="14">
        <f>IF('Pegar ML'!C184="Paquete de 2 productos",IF('Pegar ML'!O184="",0,'Pegar ML'!O184),IF('Pegar ML'!O185="",0,'Pegar ML'!O185))</f>
        <v>0</v>
      </c>
      <c r="J189" s="14">
        <f>IF('Pegar ML'!C184="Paquete de 2 productos",IF('Pegar ML'!O184="",0,'Pegar ML'!O184),IF('Pegar ML'!O185="",0,'Pegar ML'!O185))</f>
        <v>0</v>
      </c>
      <c r="K189" s="14">
        <f t="shared" si="8"/>
        <v>0</v>
      </c>
      <c r="L189" s="27">
        <f>IF('Pegar ML'!AB185=" ",'Pegar ML'!AB184,'Pegar ML'!AB185)</f>
        <v>0</v>
      </c>
      <c r="M189" s="27" t="str">
        <f>IF('Pegar ML'!AC185=" ",RIGHT('Pegar ML'!AC184,8),RIGHT('Pegar ML'!AC185,8))</f>
        <v/>
      </c>
      <c r="N189" s="27" t="s">
        <v>80</v>
      </c>
      <c r="O189" s="27">
        <f t="shared" si="6"/>
        <v>0</v>
      </c>
      <c r="P189" s="27" t="s">
        <v>80</v>
      </c>
      <c r="Q189" s="55">
        <f>IF('Pegar ML'!AD185=" ",'Pegar ML'!AD184,'Pegar ML'!AD185)</f>
        <v>0</v>
      </c>
      <c r="R189" s="27" t="s">
        <v>80</v>
      </c>
      <c r="S189" s="27" t="s">
        <v>80</v>
      </c>
      <c r="T189" s="27" t="s">
        <v>80</v>
      </c>
      <c r="U189" s="55">
        <f>IF('Pegar ML'!AI185=" ",'Pegar ML'!AI184,'Pegar ML'!AI185)</f>
        <v>0</v>
      </c>
      <c r="V189" s="55">
        <f>IF('Pegar ML'!AK185=" ",'Pegar ML'!AK184,'Pegar ML'!AK185)</f>
        <v>0</v>
      </c>
      <c r="W189" s="55">
        <f>IF('Pegar ML'!AJ185=" ",'Pegar ML'!AJ184,'Pegar ML'!AJ185)</f>
        <v>0</v>
      </c>
      <c r="X189" s="55">
        <f>IF('Pegar ML'!AL185=" ",'Pegar ML'!AL184,'Pegar ML'!AL185)</f>
        <v>0</v>
      </c>
      <c r="Y189" s="27"/>
      <c r="Z189" s="27"/>
      <c r="AA189" s="27"/>
      <c r="AB189" s="27"/>
      <c r="AC189" s="27"/>
      <c r="AD189" s="27"/>
      <c r="AF189" s="8"/>
      <c r="AG189" s="27"/>
      <c r="AH189" s="14">
        <f>+'Pegar ML'!Y185</f>
        <v>0</v>
      </c>
      <c r="AI189" s="13">
        <f t="shared" si="7"/>
        <v>1</v>
      </c>
      <c r="AJ189" s="7">
        <f>+'Pegar ML'!T185</f>
        <v>0</v>
      </c>
      <c r="AK189" s="27"/>
      <c r="AL189" s="27"/>
      <c r="AM189" s="27"/>
      <c r="AN189" s="27"/>
      <c r="AO189" s="27"/>
      <c r="AP189" s="27"/>
      <c r="AQ189" s="27"/>
      <c r="AR189" s="27"/>
      <c r="AS189" s="27">
        <v>17</v>
      </c>
    </row>
    <row r="190" spans="1:45" x14ac:dyDescent="0.25">
      <c r="A190" s="27">
        <f>IF('Pegar ML'!C185="Paquete de 2 productos",'Pegar ML'!A185,IF('Pegar ML'!C184="Paquete de 2 productos",'Pegar ML'!A184,'Pegar ML'!A186))</f>
        <v>0</v>
      </c>
      <c r="B190" s="27"/>
      <c r="C190" s="30" t="e">
        <f>IF(AjusteFecha!I186=0,"",AjusteFecha!I186)</f>
        <v>#N/A</v>
      </c>
      <c r="D190" s="27"/>
      <c r="E190" s="27"/>
      <c r="F190" s="27" t="str">
        <f>IF('Pegar ML'!C186="","",'Pegar ML'!C186)</f>
        <v/>
      </c>
      <c r="G190" s="27" t="str">
        <f>IF('Pegar ML'!G181="ARS","PS","PS")</f>
        <v>PS</v>
      </c>
      <c r="H190" s="14">
        <f>IF('Pegar ML'!C185="Paquete de 2 productos",IF('Pegar ML'!H185="",0,'Pegar ML'!H185),IF('Pegar ML'!H186="",0,'Pegar ML'!H186))</f>
        <v>0</v>
      </c>
      <c r="I190" s="14">
        <f>IF('Pegar ML'!C185="Paquete de 2 productos",IF('Pegar ML'!O185="",0,'Pegar ML'!O185),IF('Pegar ML'!O186="",0,'Pegar ML'!O186))</f>
        <v>0</v>
      </c>
      <c r="J190" s="14">
        <f>IF('Pegar ML'!C185="Paquete de 2 productos",IF('Pegar ML'!O185="",0,'Pegar ML'!O185),IF('Pegar ML'!O186="",0,'Pegar ML'!O186))</f>
        <v>0</v>
      </c>
      <c r="K190" s="14">
        <f t="shared" si="8"/>
        <v>0</v>
      </c>
      <c r="L190" s="27">
        <f>IF('Pegar ML'!AB186=" ",'Pegar ML'!AB185,'Pegar ML'!AB186)</f>
        <v>0</v>
      </c>
      <c r="M190" s="27" t="str">
        <f>IF('Pegar ML'!AC186=" ",RIGHT('Pegar ML'!AC185,8),RIGHT('Pegar ML'!AC186,8))</f>
        <v/>
      </c>
      <c r="N190" s="27" t="s">
        <v>80</v>
      </c>
      <c r="O190" s="27">
        <f t="shared" si="6"/>
        <v>0</v>
      </c>
      <c r="P190" s="27" t="s">
        <v>80</v>
      </c>
      <c r="Q190" s="55">
        <f>IF('Pegar ML'!AD186=" ",'Pegar ML'!AD185,'Pegar ML'!AD186)</f>
        <v>0</v>
      </c>
      <c r="R190" s="27" t="s">
        <v>80</v>
      </c>
      <c r="S190" s="27" t="s">
        <v>80</v>
      </c>
      <c r="T190" s="27" t="s">
        <v>80</v>
      </c>
      <c r="U190" s="55">
        <f>IF('Pegar ML'!AI186=" ",'Pegar ML'!AI185,'Pegar ML'!AI186)</f>
        <v>0</v>
      </c>
      <c r="V190" s="55">
        <f>IF('Pegar ML'!AK186=" ",'Pegar ML'!AK185,'Pegar ML'!AK186)</f>
        <v>0</v>
      </c>
      <c r="W190" s="55">
        <f>IF('Pegar ML'!AJ186=" ",'Pegar ML'!AJ185,'Pegar ML'!AJ186)</f>
        <v>0</v>
      </c>
      <c r="X190" s="55">
        <f>IF('Pegar ML'!AL186=" ",'Pegar ML'!AL185,'Pegar ML'!AL186)</f>
        <v>0</v>
      </c>
      <c r="Y190" s="27"/>
      <c r="Z190" s="27"/>
      <c r="AA190" s="27"/>
      <c r="AB190" s="27"/>
      <c r="AC190" s="27"/>
      <c r="AD190" s="27"/>
      <c r="AF190" s="8"/>
      <c r="AG190" s="27"/>
      <c r="AH190" s="14">
        <f>+'Pegar ML'!Y186</f>
        <v>0</v>
      </c>
      <c r="AI190" s="13">
        <f t="shared" si="7"/>
        <v>1</v>
      </c>
      <c r="AJ190" s="7">
        <f>+'Pegar ML'!T186</f>
        <v>0</v>
      </c>
      <c r="AK190" s="27"/>
      <c r="AL190" s="27"/>
      <c r="AM190" s="27"/>
      <c r="AN190" s="27"/>
      <c r="AO190" s="27"/>
      <c r="AP190" s="27"/>
      <c r="AQ190" s="27"/>
      <c r="AR190" s="27"/>
      <c r="AS190" s="27">
        <v>17</v>
      </c>
    </row>
    <row r="191" spans="1:45" x14ac:dyDescent="0.25">
      <c r="A191" s="27">
        <f>IF('Pegar ML'!C186="Paquete de 2 productos",'Pegar ML'!A186,IF('Pegar ML'!C185="Paquete de 2 productos",'Pegar ML'!A185,'Pegar ML'!A187))</f>
        <v>0</v>
      </c>
      <c r="B191" s="27"/>
      <c r="C191" s="30" t="e">
        <f>IF(AjusteFecha!I187=0,"",AjusteFecha!I187)</f>
        <v>#N/A</v>
      </c>
      <c r="D191" s="27"/>
      <c r="E191" s="27"/>
      <c r="F191" s="27" t="str">
        <f>IF('Pegar ML'!C187="","",'Pegar ML'!C187)</f>
        <v/>
      </c>
      <c r="G191" s="27" t="str">
        <f>IF('Pegar ML'!G182="ARS","PS","PS")</f>
        <v>PS</v>
      </c>
      <c r="H191" s="14">
        <f>IF('Pegar ML'!C186="Paquete de 2 productos",IF('Pegar ML'!H186="",0,'Pegar ML'!H186),IF('Pegar ML'!H187="",0,'Pegar ML'!H187))</f>
        <v>0</v>
      </c>
      <c r="I191" s="14">
        <f>IF('Pegar ML'!C186="Paquete de 2 productos",IF('Pegar ML'!O186="",0,'Pegar ML'!O186),IF('Pegar ML'!O187="",0,'Pegar ML'!O187))</f>
        <v>0</v>
      </c>
      <c r="J191" s="14">
        <f>IF('Pegar ML'!C186="Paquete de 2 productos",IF('Pegar ML'!O186="",0,'Pegar ML'!O186),IF('Pegar ML'!O187="",0,'Pegar ML'!O187))</f>
        <v>0</v>
      </c>
      <c r="K191" s="14">
        <f t="shared" si="8"/>
        <v>0</v>
      </c>
      <c r="L191" s="27">
        <f>IF('Pegar ML'!AB187=" ",'Pegar ML'!AB186,'Pegar ML'!AB187)</f>
        <v>0</v>
      </c>
      <c r="M191" s="27" t="str">
        <f>IF('Pegar ML'!AC187=" ",RIGHT('Pegar ML'!AC186,8),RIGHT('Pegar ML'!AC187,8))</f>
        <v/>
      </c>
      <c r="N191" s="27" t="s">
        <v>80</v>
      </c>
      <c r="O191" s="27">
        <f t="shared" si="6"/>
        <v>0</v>
      </c>
      <c r="P191" s="27" t="s">
        <v>80</v>
      </c>
      <c r="Q191" s="55">
        <f>IF('Pegar ML'!AD187=" ",'Pegar ML'!AD186,'Pegar ML'!AD187)</f>
        <v>0</v>
      </c>
      <c r="R191" s="27" t="s">
        <v>80</v>
      </c>
      <c r="S191" s="27" t="s">
        <v>80</v>
      </c>
      <c r="T191" s="27" t="s">
        <v>80</v>
      </c>
      <c r="U191" s="55">
        <f>IF('Pegar ML'!AI187=" ",'Pegar ML'!AI186,'Pegar ML'!AI187)</f>
        <v>0</v>
      </c>
      <c r="V191" s="55">
        <f>IF('Pegar ML'!AK187=" ",'Pegar ML'!AK186,'Pegar ML'!AK187)</f>
        <v>0</v>
      </c>
      <c r="W191" s="55">
        <f>IF('Pegar ML'!AJ187=" ",'Pegar ML'!AJ186,'Pegar ML'!AJ187)</f>
        <v>0</v>
      </c>
      <c r="X191" s="55">
        <f>IF('Pegar ML'!AL187=" ",'Pegar ML'!AL186,'Pegar ML'!AL187)</f>
        <v>0</v>
      </c>
      <c r="Y191" s="27"/>
      <c r="Z191" s="27"/>
      <c r="AA191" s="27"/>
      <c r="AB191" s="27"/>
      <c r="AC191" s="27"/>
      <c r="AD191" s="27"/>
      <c r="AF191" s="8"/>
      <c r="AG191" s="27"/>
      <c r="AH191" s="14">
        <f>+'Pegar ML'!Y187</f>
        <v>0</v>
      </c>
      <c r="AI191" s="13">
        <f t="shared" si="7"/>
        <v>1</v>
      </c>
      <c r="AJ191" s="7">
        <f>+'Pegar ML'!T187</f>
        <v>0</v>
      </c>
      <c r="AK191" s="27"/>
      <c r="AL191" s="27"/>
      <c r="AM191" s="27"/>
      <c r="AN191" s="27"/>
      <c r="AO191" s="27"/>
      <c r="AP191" s="27"/>
      <c r="AQ191" s="27"/>
      <c r="AR191" s="27"/>
      <c r="AS191" s="27">
        <v>17</v>
      </c>
    </row>
    <row r="192" spans="1:45" x14ac:dyDescent="0.25">
      <c r="A192" s="27">
        <f>IF('Pegar ML'!C187="Paquete de 2 productos",'Pegar ML'!A187,IF('Pegar ML'!C186="Paquete de 2 productos",'Pegar ML'!A186,'Pegar ML'!A188))</f>
        <v>0</v>
      </c>
      <c r="B192" s="27"/>
      <c r="C192" s="30" t="e">
        <f>IF(AjusteFecha!I188=0,"",AjusteFecha!I188)</f>
        <v>#N/A</v>
      </c>
      <c r="D192" s="27"/>
      <c r="E192" s="27"/>
      <c r="F192" s="27" t="str">
        <f>IF('Pegar ML'!C188="","",'Pegar ML'!C188)</f>
        <v/>
      </c>
      <c r="G192" s="27" t="str">
        <f>IF('Pegar ML'!G183="ARS","PS","PS")</f>
        <v>PS</v>
      </c>
      <c r="H192" s="14">
        <f>IF('Pegar ML'!C187="Paquete de 2 productos",IF('Pegar ML'!H187="",0,'Pegar ML'!H187),IF('Pegar ML'!H188="",0,'Pegar ML'!H188))</f>
        <v>0</v>
      </c>
      <c r="I192" s="14">
        <f>IF('Pegar ML'!C187="Paquete de 2 productos",IF('Pegar ML'!O187="",0,'Pegar ML'!O187),IF('Pegar ML'!O188="",0,'Pegar ML'!O188))</f>
        <v>0</v>
      </c>
      <c r="J192" s="14">
        <f>IF('Pegar ML'!C187="Paquete de 2 productos",IF('Pegar ML'!O187="",0,'Pegar ML'!O187),IF('Pegar ML'!O188="",0,'Pegar ML'!O188))</f>
        <v>0</v>
      </c>
      <c r="K192" s="14">
        <f t="shared" si="8"/>
        <v>0</v>
      </c>
      <c r="L192" s="27">
        <f>IF('Pegar ML'!AB188=" ",'Pegar ML'!AB187,'Pegar ML'!AB188)</f>
        <v>0</v>
      </c>
      <c r="M192" s="27" t="str">
        <f>IF('Pegar ML'!AC188=" ",RIGHT('Pegar ML'!AC187,8),RIGHT('Pegar ML'!AC188,8))</f>
        <v/>
      </c>
      <c r="N192" s="27" t="s">
        <v>80</v>
      </c>
      <c r="O192" s="27">
        <f t="shared" si="6"/>
        <v>0</v>
      </c>
      <c r="P192" s="27" t="s">
        <v>80</v>
      </c>
      <c r="Q192" s="55">
        <f>IF('Pegar ML'!AD188=" ",'Pegar ML'!AD187,'Pegar ML'!AD188)</f>
        <v>0</v>
      </c>
      <c r="R192" s="27" t="s">
        <v>80</v>
      </c>
      <c r="S192" s="27" t="s">
        <v>80</v>
      </c>
      <c r="T192" s="27" t="s">
        <v>80</v>
      </c>
      <c r="U192" s="55">
        <f>IF('Pegar ML'!AI188=" ",'Pegar ML'!AI187,'Pegar ML'!AI188)</f>
        <v>0</v>
      </c>
      <c r="V192" s="55">
        <f>IF('Pegar ML'!AK188=" ",'Pegar ML'!AK187,'Pegar ML'!AK188)</f>
        <v>0</v>
      </c>
      <c r="W192" s="55">
        <f>IF('Pegar ML'!AJ188=" ",'Pegar ML'!AJ187,'Pegar ML'!AJ188)</f>
        <v>0</v>
      </c>
      <c r="X192" s="55">
        <f>IF('Pegar ML'!AL188=" ",'Pegar ML'!AL187,'Pegar ML'!AL188)</f>
        <v>0</v>
      </c>
      <c r="Y192" s="27"/>
      <c r="Z192" s="27"/>
      <c r="AA192" s="27"/>
      <c r="AB192" s="27"/>
      <c r="AC192" s="27"/>
      <c r="AD192" s="27"/>
      <c r="AF192" s="8"/>
      <c r="AG192" s="27"/>
      <c r="AH192" s="14">
        <f>+'Pegar ML'!Y188</f>
        <v>0</v>
      </c>
      <c r="AI192" s="13">
        <f t="shared" si="7"/>
        <v>1</v>
      </c>
      <c r="AJ192" s="7">
        <f>+'Pegar ML'!T188</f>
        <v>0</v>
      </c>
      <c r="AK192" s="27"/>
      <c r="AL192" s="27"/>
      <c r="AM192" s="27"/>
      <c r="AN192" s="27"/>
      <c r="AO192" s="27"/>
      <c r="AP192" s="27"/>
      <c r="AQ192" s="27"/>
      <c r="AR192" s="27"/>
      <c r="AS192" s="27">
        <v>17</v>
      </c>
    </row>
    <row r="193" spans="1:45" x14ac:dyDescent="0.25">
      <c r="A193" s="27">
        <f>IF('Pegar ML'!C188="Paquete de 2 productos",'Pegar ML'!A188,IF('Pegar ML'!C187="Paquete de 2 productos",'Pegar ML'!A187,'Pegar ML'!A189))</f>
        <v>0</v>
      </c>
      <c r="B193" s="27"/>
      <c r="C193" s="30" t="e">
        <f>IF(AjusteFecha!I189=0,"",AjusteFecha!I189)</f>
        <v>#N/A</v>
      </c>
      <c r="D193" s="27"/>
      <c r="E193" s="27"/>
      <c r="F193" s="27" t="str">
        <f>IF('Pegar ML'!C189="","",'Pegar ML'!C189)</f>
        <v/>
      </c>
      <c r="G193" s="27" t="str">
        <f>IF('Pegar ML'!G184="ARS","PS","PS")</f>
        <v>PS</v>
      </c>
      <c r="H193" s="14">
        <f>IF('Pegar ML'!C188="Paquete de 2 productos",IF('Pegar ML'!H188="",0,'Pegar ML'!H188),IF('Pegar ML'!H189="",0,'Pegar ML'!H189))</f>
        <v>0</v>
      </c>
      <c r="I193" s="14">
        <f>IF('Pegar ML'!C188="Paquete de 2 productos",IF('Pegar ML'!O188="",0,'Pegar ML'!O188),IF('Pegar ML'!O189="",0,'Pegar ML'!O189))</f>
        <v>0</v>
      </c>
      <c r="J193" s="14">
        <f>IF('Pegar ML'!C188="Paquete de 2 productos",IF('Pegar ML'!O188="",0,'Pegar ML'!O188),IF('Pegar ML'!O189="",0,'Pegar ML'!O189))</f>
        <v>0</v>
      </c>
      <c r="K193" s="14">
        <f t="shared" si="8"/>
        <v>0</v>
      </c>
      <c r="L193" s="27">
        <f>IF('Pegar ML'!AB189=" ",'Pegar ML'!AB188,'Pegar ML'!AB189)</f>
        <v>0</v>
      </c>
      <c r="M193" s="27" t="str">
        <f>IF('Pegar ML'!AC189=" ",RIGHT('Pegar ML'!AC188,8),RIGHT('Pegar ML'!AC189,8))</f>
        <v/>
      </c>
      <c r="N193" s="27" t="s">
        <v>80</v>
      </c>
      <c r="O193" s="27">
        <f t="shared" si="6"/>
        <v>0</v>
      </c>
      <c r="P193" s="27" t="s">
        <v>80</v>
      </c>
      <c r="Q193" s="55">
        <f>IF('Pegar ML'!AD189=" ",'Pegar ML'!AD188,'Pegar ML'!AD189)</f>
        <v>0</v>
      </c>
      <c r="R193" s="27" t="s">
        <v>80</v>
      </c>
      <c r="S193" s="27" t="s">
        <v>80</v>
      </c>
      <c r="T193" s="27" t="s">
        <v>80</v>
      </c>
      <c r="U193" s="55">
        <f>IF('Pegar ML'!AI189=" ",'Pegar ML'!AI188,'Pegar ML'!AI189)</f>
        <v>0</v>
      </c>
      <c r="V193" s="55">
        <f>IF('Pegar ML'!AK189=" ",'Pegar ML'!AK188,'Pegar ML'!AK189)</f>
        <v>0</v>
      </c>
      <c r="W193" s="55">
        <f>IF('Pegar ML'!AJ189=" ",'Pegar ML'!AJ188,'Pegar ML'!AJ189)</f>
        <v>0</v>
      </c>
      <c r="X193" s="55">
        <f>IF('Pegar ML'!AL189=" ",'Pegar ML'!AL188,'Pegar ML'!AL189)</f>
        <v>0</v>
      </c>
      <c r="Y193" s="27"/>
      <c r="Z193" s="27"/>
      <c r="AA193" s="27"/>
      <c r="AB193" s="27"/>
      <c r="AC193" s="27"/>
      <c r="AD193" s="27"/>
      <c r="AF193" s="8"/>
      <c r="AG193" s="27"/>
      <c r="AH193" s="14">
        <f>+'Pegar ML'!Y189</f>
        <v>0</v>
      </c>
      <c r="AI193" s="13">
        <f t="shared" si="7"/>
        <v>1</v>
      </c>
      <c r="AJ193" s="7">
        <f>+'Pegar ML'!T189</f>
        <v>0</v>
      </c>
      <c r="AK193" s="27"/>
      <c r="AL193" s="27"/>
      <c r="AM193" s="27"/>
      <c r="AN193" s="27"/>
      <c r="AO193" s="27"/>
      <c r="AP193" s="27"/>
      <c r="AQ193" s="27"/>
      <c r="AR193" s="27"/>
      <c r="AS193" s="27">
        <v>17</v>
      </c>
    </row>
    <row r="194" spans="1:45" x14ac:dyDescent="0.25">
      <c r="A194" s="27">
        <f>IF('Pegar ML'!C189="Paquete de 2 productos",'Pegar ML'!A189,IF('Pegar ML'!C188="Paquete de 2 productos",'Pegar ML'!A188,'Pegar ML'!A190))</f>
        <v>0</v>
      </c>
      <c r="B194" s="27"/>
      <c r="C194" s="30" t="e">
        <f>IF(AjusteFecha!I190=0,"",AjusteFecha!I190)</f>
        <v>#N/A</v>
      </c>
      <c r="D194" s="27"/>
      <c r="E194" s="27"/>
      <c r="F194" s="27" t="str">
        <f>IF('Pegar ML'!C190="","",'Pegar ML'!C190)</f>
        <v/>
      </c>
      <c r="G194" s="27" t="str">
        <f>IF('Pegar ML'!G185="ARS","PS","PS")</f>
        <v>PS</v>
      </c>
      <c r="H194" s="14">
        <f>IF('Pegar ML'!C189="Paquete de 2 productos",IF('Pegar ML'!H189="",0,'Pegar ML'!H189),IF('Pegar ML'!H190="",0,'Pegar ML'!H190))</f>
        <v>0</v>
      </c>
      <c r="I194" s="14">
        <f>IF('Pegar ML'!C189="Paquete de 2 productos",IF('Pegar ML'!O189="",0,'Pegar ML'!O189),IF('Pegar ML'!O190="",0,'Pegar ML'!O190))</f>
        <v>0</v>
      </c>
      <c r="J194" s="14">
        <f>IF('Pegar ML'!C189="Paquete de 2 productos",IF('Pegar ML'!O189="",0,'Pegar ML'!O189),IF('Pegar ML'!O190="",0,'Pegar ML'!O190))</f>
        <v>0</v>
      </c>
      <c r="K194" s="14">
        <f t="shared" si="8"/>
        <v>0</v>
      </c>
      <c r="L194" s="27">
        <f>IF('Pegar ML'!AB190=" ",'Pegar ML'!AB189,'Pegar ML'!AB190)</f>
        <v>0</v>
      </c>
      <c r="M194" s="27" t="str">
        <f>IF('Pegar ML'!AC190=" ",RIGHT('Pegar ML'!AC189,8),RIGHT('Pegar ML'!AC190,8))</f>
        <v/>
      </c>
      <c r="N194" s="27" t="s">
        <v>80</v>
      </c>
      <c r="O194" s="27">
        <f t="shared" si="6"/>
        <v>0</v>
      </c>
      <c r="P194" s="27" t="s">
        <v>80</v>
      </c>
      <c r="Q194" s="55">
        <f>IF('Pegar ML'!AD190=" ",'Pegar ML'!AD189,'Pegar ML'!AD190)</f>
        <v>0</v>
      </c>
      <c r="R194" s="27" t="s">
        <v>80</v>
      </c>
      <c r="S194" s="27" t="s">
        <v>80</v>
      </c>
      <c r="T194" s="27" t="s">
        <v>80</v>
      </c>
      <c r="U194" s="55">
        <f>IF('Pegar ML'!AI190=" ",'Pegar ML'!AI189,'Pegar ML'!AI190)</f>
        <v>0</v>
      </c>
      <c r="V194" s="55">
        <f>IF('Pegar ML'!AK190=" ",'Pegar ML'!AK189,'Pegar ML'!AK190)</f>
        <v>0</v>
      </c>
      <c r="W194" s="55">
        <f>IF('Pegar ML'!AJ190=" ",'Pegar ML'!AJ189,'Pegar ML'!AJ190)</f>
        <v>0</v>
      </c>
      <c r="X194" s="55">
        <f>IF('Pegar ML'!AL190=" ",'Pegar ML'!AL189,'Pegar ML'!AL190)</f>
        <v>0</v>
      </c>
      <c r="Y194" s="27"/>
      <c r="Z194" s="27"/>
      <c r="AA194" s="27"/>
      <c r="AB194" s="27"/>
      <c r="AC194" s="27"/>
      <c r="AD194" s="27"/>
      <c r="AF194" s="8"/>
      <c r="AG194" s="27"/>
      <c r="AH194" s="14">
        <f>+'Pegar ML'!Y190</f>
        <v>0</v>
      </c>
      <c r="AI194" s="13">
        <f t="shared" si="7"/>
        <v>1</v>
      </c>
      <c r="AJ194" s="7">
        <f>+'Pegar ML'!T190</f>
        <v>0</v>
      </c>
      <c r="AK194" s="27"/>
      <c r="AL194" s="27"/>
      <c r="AM194" s="27"/>
      <c r="AN194" s="27"/>
      <c r="AO194" s="27"/>
      <c r="AP194" s="27"/>
      <c r="AQ194" s="27"/>
      <c r="AR194" s="27"/>
      <c r="AS194" s="27">
        <v>17</v>
      </c>
    </row>
    <row r="195" spans="1:45" ht="15" customHeight="1" x14ac:dyDescent="0.25">
      <c r="A195" s="27">
        <f>IF('Pegar ML'!C190="Paquete de 2 productos",'Pegar ML'!A190,IF('Pegar ML'!C189="Paquete de 2 productos",'Pegar ML'!A189,'Pegar ML'!A191))</f>
        <v>0</v>
      </c>
      <c r="B195" s="27"/>
      <c r="C195" s="30" t="e">
        <f>IF(AjusteFecha!I191=0,"",AjusteFecha!I191)</f>
        <v>#N/A</v>
      </c>
      <c r="D195" s="27"/>
      <c r="E195" s="27"/>
      <c r="F195" s="27" t="str">
        <f>IF('Pegar ML'!C191="","",'Pegar ML'!C191)</f>
        <v/>
      </c>
      <c r="G195" s="27" t="str">
        <f>IF('Pegar ML'!G186="ARS","PS","PS")</f>
        <v>PS</v>
      </c>
      <c r="H195" s="14">
        <f>IF('Pegar ML'!C190="Paquete de 2 productos",IF('Pegar ML'!H190="",0,'Pegar ML'!H190),IF('Pegar ML'!H191="",0,'Pegar ML'!H191))</f>
        <v>0</v>
      </c>
      <c r="I195" s="14">
        <f>IF('Pegar ML'!C190="Paquete de 2 productos",IF('Pegar ML'!O190="",0,'Pegar ML'!O190),IF('Pegar ML'!O191="",0,'Pegar ML'!O191))</f>
        <v>0</v>
      </c>
      <c r="J195" s="14">
        <f>IF('Pegar ML'!C190="Paquete de 2 productos",IF('Pegar ML'!O190="",0,'Pegar ML'!O190),IF('Pegar ML'!O191="",0,'Pegar ML'!O191))</f>
        <v>0</v>
      </c>
      <c r="K195" s="14">
        <f t="shared" si="8"/>
        <v>0</v>
      </c>
      <c r="L195" s="27">
        <f>IF('Pegar ML'!AB191=" ",'Pegar ML'!AB190,'Pegar ML'!AB191)</f>
        <v>0</v>
      </c>
      <c r="M195" s="27" t="str">
        <f>IF('Pegar ML'!AC191=" ",RIGHT('Pegar ML'!AC190,8),RIGHT('Pegar ML'!AC191,8))</f>
        <v/>
      </c>
      <c r="N195" s="27" t="s">
        <v>80</v>
      </c>
      <c r="O195" s="27">
        <f t="shared" si="6"/>
        <v>0</v>
      </c>
      <c r="P195" s="27" t="s">
        <v>80</v>
      </c>
      <c r="Q195" s="55">
        <f>IF('Pegar ML'!AD191=" ",'Pegar ML'!AD190,'Pegar ML'!AD191)</f>
        <v>0</v>
      </c>
      <c r="R195" s="27" t="s">
        <v>80</v>
      </c>
      <c r="S195" s="27" t="s">
        <v>80</v>
      </c>
      <c r="T195" s="27" t="s">
        <v>80</v>
      </c>
      <c r="U195" s="55">
        <f>IF('Pegar ML'!AI191=" ",'Pegar ML'!AI190,'Pegar ML'!AI191)</f>
        <v>0</v>
      </c>
      <c r="V195" s="55">
        <f>IF('Pegar ML'!AK191=" ",'Pegar ML'!AK190,'Pegar ML'!AK191)</f>
        <v>0</v>
      </c>
      <c r="W195" s="55">
        <f>IF('Pegar ML'!AJ191=" ",'Pegar ML'!AJ190,'Pegar ML'!AJ191)</f>
        <v>0</v>
      </c>
      <c r="X195" s="55">
        <f>IF('Pegar ML'!AL191=" ",'Pegar ML'!AL190,'Pegar ML'!AL191)</f>
        <v>0</v>
      </c>
      <c r="Y195" s="27"/>
      <c r="Z195" s="27"/>
      <c r="AA195" s="27"/>
      <c r="AB195" s="27"/>
      <c r="AC195" s="27"/>
      <c r="AD195" s="27"/>
      <c r="AF195" s="8"/>
      <c r="AG195" s="27"/>
      <c r="AH195" s="14">
        <f>+'Pegar ML'!Y191</f>
        <v>0</v>
      </c>
      <c r="AI195" s="13">
        <f t="shared" si="7"/>
        <v>1</v>
      </c>
      <c r="AJ195" s="7">
        <f>+'Pegar ML'!T191</f>
        <v>0</v>
      </c>
      <c r="AK195" s="27"/>
      <c r="AL195" s="27"/>
      <c r="AM195" s="27"/>
      <c r="AN195" s="27"/>
      <c r="AO195" s="27"/>
      <c r="AP195" s="27"/>
      <c r="AQ195" s="27"/>
      <c r="AR195" s="27"/>
      <c r="AS195" s="27">
        <v>17</v>
      </c>
    </row>
    <row r="196" spans="1:45" x14ac:dyDescent="0.25">
      <c r="A196" s="27">
        <f>IF('Pegar ML'!C191="Paquete de 2 productos",'Pegar ML'!A191,IF('Pegar ML'!C190="Paquete de 2 productos",'Pegar ML'!A190,'Pegar ML'!A192))</f>
        <v>0</v>
      </c>
      <c r="B196" s="27"/>
      <c r="C196" s="30" t="e">
        <f>IF(AjusteFecha!I192=0,"",AjusteFecha!I192)</f>
        <v>#N/A</v>
      </c>
      <c r="D196" s="27"/>
      <c r="E196" s="27"/>
      <c r="F196" s="27" t="str">
        <f>IF('Pegar ML'!C192="","",'Pegar ML'!C192)</f>
        <v/>
      </c>
      <c r="G196" s="27" t="str">
        <f>IF('Pegar ML'!G187="ARS","PS","PS")</f>
        <v>PS</v>
      </c>
      <c r="H196" s="14">
        <f>IF('Pegar ML'!C191="Paquete de 2 productos",IF('Pegar ML'!H191="",0,'Pegar ML'!H191),IF('Pegar ML'!H192="",0,'Pegar ML'!H192))</f>
        <v>0</v>
      </c>
      <c r="I196" s="14">
        <f>IF('Pegar ML'!C191="Paquete de 2 productos",IF('Pegar ML'!O191="",0,'Pegar ML'!O191),IF('Pegar ML'!O192="",0,'Pegar ML'!O192))</f>
        <v>0</v>
      </c>
      <c r="J196" s="14">
        <f>IF('Pegar ML'!C191="Paquete de 2 productos",IF('Pegar ML'!O191="",0,'Pegar ML'!O191),IF('Pegar ML'!O192="",0,'Pegar ML'!O192))</f>
        <v>0</v>
      </c>
      <c r="K196" s="14">
        <f t="shared" si="8"/>
        <v>0</v>
      </c>
      <c r="L196" s="27">
        <f>IF('Pegar ML'!AB192=" ",'Pegar ML'!AB191,'Pegar ML'!AB192)</f>
        <v>0</v>
      </c>
      <c r="M196" s="27" t="str">
        <f>IF('Pegar ML'!AC192=" ",RIGHT('Pegar ML'!AC191,8),RIGHT('Pegar ML'!AC192,8))</f>
        <v/>
      </c>
      <c r="N196" s="27" t="s">
        <v>80</v>
      </c>
      <c r="O196" s="27">
        <f t="shared" si="6"/>
        <v>0</v>
      </c>
      <c r="P196" s="27" t="s">
        <v>80</v>
      </c>
      <c r="Q196" s="55">
        <f>IF('Pegar ML'!AD192=" ",'Pegar ML'!AD191,'Pegar ML'!AD192)</f>
        <v>0</v>
      </c>
      <c r="R196" s="27" t="s">
        <v>80</v>
      </c>
      <c r="S196" s="27" t="s">
        <v>80</v>
      </c>
      <c r="T196" s="27" t="s">
        <v>80</v>
      </c>
      <c r="U196" s="55">
        <f>IF('Pegar ML'!AI192=" ",'Pegar ML'!AI191,'Pegar ML'!AI192)</f>
        <v>0</v>
      </c>
      <c r="V196" s="55">
        <f>IF('Pegar ML'!AK192=" ",'Pegar ML'!AK191,'Pegar ML'!AK192)</f>
        <v>0</v>
      </c>
      <c r="W196" s="55">
        <f>IF('Pegar ML'!AJ192=" ",'Pegar ML'!AJ191,'Pegar ML'!AJ192)</f>
        <v>0</v>
      </c>
      <c r="X196" s="55">
        <f>IF('Pegar ML'!AL192=" ",'Pegar ML'!AL191,'Pegar ML'!AL192)</f>
        <v>0</v>
      </c>
      <c r="Y196" s="27"/>
      <c r="Z196" s="27"/>
      <c r="AA196" s="27"/>
      <c r="AB196" s="27"/>
      <c r="AC196" s="27"/>
      <c r="AD196" s="27"/>
      <c r="AF196" s="8"/>
      <c r="AG196" s="27"/>
      <c r="AH196" s="14">
        <f>+'Pegar ML'!Y192</f>
        <v>0</v>
      </c>
      <c r="AI196" s="13">
        <f t="shared" si="7"/>
        <v>1</v>
      </c>
      <c r="AJ196" s="7">
        <f>+'Pegar ML'!T192</f>
        <v>0</v>
      </c>
      <c r="AK196" s="27"/>
      <c r="AL196" s="27"/>
      <c r="AM196" s="27"/>
      <c r="AN196" s="27"/>
      <c r="AO196" s="27"/>
      <c r="AP196" s="27"/>
      <c r="AQ196" s="27"/>
      <c r="AR196" s="27"/>
      <c r="AS196" s="27">
        <v>17</v>
      </c>
    </row>
    <row r="197" spans="1:45" x14ac:dyDescent="0.25">
      <c r="A197" s="27">
        <f>IF('Pegar ML'!C192="Paquete de 2 productos",'Pegar ML'!A192,IF('Pegar ML'!C191="Paquete de 2 productos",'Pegar ML'!A191,'Pegar ML'!A193))</f>
        <v>0</v>
      </c>
      <c r="B197" s="27"/>
      <c r="C197" s="30" t="e">
        <f>IF(AjusteFecha!I193=0,"",AjusteFecha!I193)</f>
        <v>#N/A</v>
      </c>
      <c r="D197" s="27"/>
      <c r="E197" s="27"/>
      <c r="F197" s="27" t="str">
        <f>IF('Pegar ML'!C193="","",'Pegar ML'!C193)</f>
        <v/>
      </c>
      <c r="G197" s="27" t="str">
        <f>IF('Pegar ML'!G188="ARS","PS","PS")</f>
        <v>PS</v>
      </c>
      <c r="H197" s="14">
        <f>IF('Pegar ML'!C192="Paquete de 2 productos",IF('Pegar ML'!H192="",0,'Pegar ML'!H192),IF('Pegar ML'!H193="",0,'Pegar ML'!H193))</f>
        <v>0</v>
      </c>
      <c r="I197" s="14">
        <f>IF('Pegar ML'!C192="Paquete de 2 productos",IF('Pegar ML'!O192="",0,'Pegar ML'!O192),IF('Pegar ML'!O193="",0,'Pegar ML'!O193))</f>
        <v>0</v>
      </c>
      <c r="J197" s="14">
        <f>IF('Pegar ML'!C192="Paquete de 2 productos",IF('Pegar ML'!O192="",0,'Pegar ML'!O192),IF('Pegar ML'!O193="",0,'Pegar ML'!O193))</f>
        <v>0</v>
      </c>
      <c r="K197" s="14">
        <f t="shared" si="8"/>
        <v>0</v>
      </c>
      <c r="L197" s="27">
        <f>IF('Pegar ML'!AB193=" ",'Pegar ML'!AB192,'Pegar ML'!AB193)</f>
        <v>0</v>
      </c>
      <c r="M197" s="27" t="str">
        <f>IF('Pegar ML'!AC193=" ",RIGHT('Pegar ML'!AC192,8),RIGHT('Pegar ML'!AC193,8))</f>
        <v/>
      </c>
      <c r="N197" s="27" t="s">
        <v>80</v>
      </c>
      <c r="O197" s="27">
        <f t="shared" si="6"/>
        <v>0</v>
      </c>
      <c r="P197" s="27" t="s">
        <v>80</v>
      </c>
      <c r="Q197" s="55">
        <f>IF('Pegar ML'!AD193=" ",'Pegar ML'!AD192,'Pegar ML'!AD193)</f>
        <v>0</v>
      </c>
      <c r="R197" s="27" t="s">
        <v>80</v>
      </c>
      <c r="S197" s="27" t="s">
        <v>80</v>
      </c>
      <c r="T197" s="27" t="s">
        <v>80</v>
      </c>
      <c r="U197" s="55">
        <f>IF('Pegar ML'!AI193=" ",'Pegar ML'!AI192,'Pegar ML'!AI193)</f>
        <v>0</v>
      </c>
      <c r="V197" s="55">
        <f>IF('Pegar ML'!AK193=" ",'Pegar ML'!AK192,'Pegar ML'!AK193)</f>
        <v>0</v>
      </c>
      <c r="W197" s="55">
        <f>IF('Pegar ML'!AJ193=" ",'Pegar ML'!AJ192,'Pegar ML'!AJ193)</f>
        <v>0</v>
      </c>
      <c r="X197" s="55">
        <f>IF('Pegar ML'!AL193=" ",'Pegar ML'!AL192,'Pegar ML'!AL193)</f>
        <v>0</v>
      </c>
      <c r="Y197" s="27"/>
      <c r="Z197" s="27"/>
      <c r="AA197" s="27"/>
      <c r="AB197" s="27"/>
      <c r="AC197" s="27"/>
      <c r="AD197" s="27"/>
      <c r="AF197" s="8"/>
      <c r="AG197" s="27"/>
      <c r="AH197" s="14">
        <f>+'Pegar ML'!Y193</f>
        <v>0</v>
      </c>
      <c r="AI197" s="13">
        <f t="shared" si="7"/>
        <v>1</v>
      </c>
      <c r="AJ197" s="7">
        <f>+'Pegar ML'!T193</f>
        <v>0</v>
      </c>
      <c r="AK197" s="27"/>
      <c r="AL197" s="27"/>
      <c r="AM197" s="27"/>
      <c r="AN197" s="27"/>
      <c r="AO197" s="27"/>
      <c r="AP197" s="27"/>
      <c r="AQ197" s="27"/>
      <c r="AR197" s="27"/>
      <c r="AS197" s="27">
        <v>17</v>
      </c>
    </row>
    <row r="198" spans="1:45" x14ac:dyDescent="0.25">
      <c r="A198" s="27">
        <f>IF('Pegar ML'!C193="Paquete de 2 productos",'Pegar ML'!A193,IF('Pegar ML'!C192="Paquete de 2 productos",'Pegar ML'!A192,'Pegar ML'!A194))</f>
        <v>0</v>
      </c>
      <c r="B198" s="27"/>
      <c r="C198" s="30" t="e">
        <f>IF(AjusteFecha!I194=0,"",AjusteFecha!I194)</f>
        <v>#N/A</v>
      </c>
      <c r="D198" s="27"/>
      <c r="E198" s="27"/>
      <c r="F198" s="27" t="str">
        <f>IF('Pegar ML'!C194="","",'Pegar ML'!C194)</f>
        <v/>
      </c>
      <c r="G198" s="27" t="str">
        <f>IF('Pegar ML'!G189="ARS","PS","PS")</f>
        <v>PS</v>
      </c>
      <c r="H198" s="14">
        <f>IF('Pegar ML'!C193="Paquete de 2 productos",IF('Pegar ML'!H193="",0,'Pegar ML'!H193),IF('Pegar ML'!H194="",0,'Pegar ML'!H194))</f>
        <v>0</v>
      </c>
      <c r="I198" s="14">
        <f>IF('Pegar ML'!C193="Paquete de 2 productos",IF('Pegar ML'!O193="",0,'Pegar ML'!O193),IF('Pegar ML'!O194="",0,'Pegar ML'!O194))</f>
        <v>0</v>
      </c>
      <c r="J198" s="14">
        <f>IF('Pegar ML'!C193="Paquete de 2 productos",IF('Pegar ML'!O193="",0,'Pegar ML'!O193),IF('Pegar ML'!O194="",0,'Pegar ML'!O194))</f>
        <v>0</v>
      </c>
      <c r="K198" s="14">
        <f t="shared" si="8"/>
        <v>0</v>
      </c>
      <c r="L198" s="27">
        <f>IF('Pegar ML'!AB194=" ",'Pegar ML'!AB193,'Pegar ML'!AB194)</f>
        <v>0</v>
      </c>
      <c r="M198" s="27" t="str">
        <f>IF('Pegar ML'!AC194=" ",RIGHT('Pegar ML'!AC193,8),RIGHT('Pegar ML'!AC194,8))</f>
        <v/>
      </c>
      <c r="N198" s="27" t="s">
        <v>80</v>
      </c>
      <c r="O198" s="27">
        <f t="shared" si="6"/>
        <v>0</v>
      </c>
      <c r="P198" s="27" t="s">
        <v>80</v>
      </c>
      <c r="Q198" s="55">
        <f>IF('Pegar ML'!AD194=" ",'Pegar ML'!AD193,'Pegar ML'!AD194)</f>
        <v>0</v>
      </c>
      <c r="R198" s="27" t="s">
        <v>80</v>
      </c>
      <c r="S198" s="27" t="s">
        <v>80</v>
      </c>
      <c r="T198" s="27" t="s">
        <v>80</v>
      </c>
      <c r="U198" s="55">
        <f>IF('Pegar ML'!AI194=" ",'Pegar ML'!AI193,'Pegar ML'!AI194)</f>
        <v>0</v>
      </c>
      <c r="V198" s="55">
        <f>IF('Pegar ML'!AK194=" ",'Pegar ML'!AK193,'Pegar ML'!AK194)</f>
        <v>0</v>
      </c>
      <c r="W198" s="55">
        <f>IF('Pegar ML'!AJ194=" ",'Pegar ML'!AJ193,'Pegar ML'!AJ194)</f>
        <v>0</v>
      </c>
      <c r="X198" s="55">
        <f>IF('Pegar ML'!AL194=" ",'Pegar ML'!AL193,'Pegar ML'!AL194)</f>
        <v>0</v>
      </c>
      <c r="Y198" s="27"/>
      <c r="Z198" s="27"/>
      <c r="AA198" s="27"/>
      <c r="AB198" s="27"/>
      <c r="AC198" s="27"/>
      <c r="AD198" s="27"/>
      <c r="AF198" s="8"/>
      <c r="AG198" s="27"/>
      <c r="AH198" s="14">
        <f>+'Pegar ML'!Y194</f>
        <v>0</v>
      </c>
      <c r="AI198" s="13">
        <f t="shared" si="7"/>
        <v>1</v>
      </c>
      <c r="AJ198" s="7">
        <f>+'Pegar ML'!T194</f>
        <v>0</v>
      </c>
      <c r="AK198" s="27"/>
      <c r="AL198" s="27"/>
      <c r="AM198" s="27"/>
      <c r="AN198" s="27"/>
      <c r="AO198" s="27"/>
      <c r="AP198" s="27"/>
      <c r="AQ198" s="27"/>
      <c r="AR198" s="27"/>
      <c r="AS198" s="27">
        <v>17</v>
      </c>
    </row>
    <row r="199" spans="1:45" x14ac:dyDescent="0.25">
      <c r="A199" s="27">
        <f>IF('Pegar ML'!C194="Paquete de 2 productos",'Pegar ML'!A194,IF('Pegar ML'!C193="Paquete de 2 productos",'Pegar ML'!A193,'Pegar ML'!A195))</f>
        <v>0</v>
      </c>
      <c r="B199" s="27"/>
      <c r="C199" s="30" t="e">
        <f>IF(AjusteFecha!I195=0,"",AjusteFecha!I195)</f>
        <v>#N/A</v>
      </c>
      <c r="D199" s="27"/>
      <c r="E199" s="27"/>
      <c r="F199" s="27" t="str">
        <f>IF('Pegar ML'!C195="","",'Pegar ML'!C195)</f>
        <v/>
      </c>
      <c r="G199" s="27" t="str">
        <f>IF('Pegar ML'!G190="ARS","PS","PS")</f>
        <v>PS</v>
      </c>
      <c r="H199" s="14">
        <f>IF('Pegar ML'!C194="Paquete de 2 productos",IF('Pegar ML'!H194="",0,'Pegar ML'!H194),IF('Pegar ML'!H195="",0,'Pegar ML'!H195))</f>
        <v>0</v>
      </c>
      <c r="I199" s="14">
        <f>IF('Pegar ML'!C194="Paquete de 2 productos",IF('Pegar ML'!O194="",0,'Pegar ML'!O194),IF('Pegar ML'!O195="",0,'Pegar ML'!O195))</f>
        <v>0</v>
      </c>
      <c r="J199" s="14">
        <f>IF('Pegar ML'!C194="Paquete de 2 productos",IF('Pegar ML'!O194="",0,'Pegar ML'!O194),IF('Pegar ML'!O195="",0,'Pegar ML'!O195))</f>
        <v>0</v>
      </c>
      <c r="K199" s="14">
        <f t="shared" si="8"/>
        <v>0</v>
      </c>
      <c r="L199" s="27">
        <f>IF('Pegar ML'!AB195=" ",'Pegar ML'!AB194,'Pegar ML'!AB195)</f>
        <v>0</v>
      </c>
      <c r="M199" s="27" t="str">
        <f>IF('Pegar ML'!AC195=" ",RIGHT('Pegar ML'!AC194,8),RIGHT('Pegar ML'!AC195,8))</f>
        <v/>
      </c>
      <c r="N199" s="27" t="s">
        <v>80</v>
      </c>
      <c r="O199" s="27">
        <f t="shared" si="6"/>
        <v>0</v>
      </c>
      <c r="P199" s="27" t="s">
        <v>80</v>
      </c>
      <c r="Q199" s="55">
        <f>IF('Pegar ML'!AD195=" ",'Pegar ML'!AD194,'Pegar ML'!AD195)</f>
        <v>0</v>
      </c>
      <c r="R199" s="27" t="s">
        <v>80</v>
      </c>
      <c r="S199" s="27" t="s">
        <v>80</v>
      </c>
      <c r="T199" s="27" t="s">
        <v>80</v>
      </c>
      <c r="U199" s="55">
        <f>IF('Pegar ML'!AI195=" ",'Pegar ML'!AI194,'Pegar ML'!AI195)</f>
        <v>0</v>
      </c>
      <c r="V199" s="55">
        <f>IF('Pegar ML'!AK195=" ",'Pegar ML'!AK194,'Pegar ML'!AK195)</f>
        <v>0</v>
      </c>
      <c r="W199" s="55">
        <f>IF('Pegar ML'!AJ195=" ",'Pegar ML'!AJ194,'Pegar ML'!AJ195)</f>
        <v>0</v>
      </c>
      <c r="X199" s="55">
        <f>IF('Pegar ML'!AL195=" ",'Pegar ML'!AL194,'Pegar ML'!AL195)</f>
        <v>0</v>
      </c>
      <c r="Y199" s="27"/>
      <c r="Z199" s="27"/>
      <c r="AA199" s="27"/>
      <c r="AB199" s="27"/>
      <c r="AC199" s="27"/>
      <c r="AD199" s="27"/>
      <c r="AF199" s="8"/>
      <c r="AG199" s="27"/>
      <c r="AH199" s="14">
        <f>+'Pegar ML'!Y195</f>
        <v>0</v>
      </c>
      <c r="AI199" s="13">
        <f t="shared" si="7"/>
        <v>1</v>
      </c>
      <c r="AJ199" s="7">
        <f>+'Pegar ML'!T195</f>
        <v>0</v>
      </c>
      <c r="AK199" s="27"/>
      <c r="AL199" s="27"/>
      <c r="AM199" s="27"/>
      <c r="AN199" s="27"/>
      <c r="AO199" s="27"/>
      <c r="AP199" s="27"/>
      <c r="AQ199" s="27"/>
      <c r="AR199" s="27"/>
      <c r="AS199" s="27">
        <v>17</v>
      </c>
    </row>
    <row r="200" spans="1:45" x14ac:dyDescent="0.25">
      <c r="A200" s="27">
        <f>IF('Pegar ML'!C195="Paquete de 2 productos",'Pegar ML'!A195,IF('Pegar ML'!C194="Paquete de 2 productos",'Pegar ML'!A194,'Pegar ML'!A196))</f>
        <v>0</v>
      </c>
      <c r="B200" s="27"/>
      <c r="C200" s="30" t="e">
        <f>IF(AjusteFecha!I196=0,"",AjusteFecha!I196)</f>
        <v>#N/A</v>
      </c>
      <c r="D200" s="27"/>
      <c r="E200" s="27"/>
      <c r="F200" s="27" t="str">
        <f>IF('Pegar ML'!C196="","",'Pegar ML'!C196)</f>
        <v/>
      </c>
      <c r="G200" s="27" t="str">
        <f>IF('Pegar ML'!G191="ARS","PS","PS")</f>
        <v>PS</v>
      </c>
      <c r="H200" s="14">
        <f>IF('Pegar ML'!C195="Paquete de 2 productos",IF('Pegar ML'!H195="",0,'Pegar ML'!H195),IF('Pegar ML'!H196="",0,'Pegar ML'!H196))</f>
        <v>0</v>
      </c>
      <c r="I200" s="14">
        <f>IF('Pegar ML'!C195="Paquete de 2 productos",IF('Pegar ML'!O195="",0,'Pegar ML'!O195),IF('Pegar ML'!O196="",0,'Pegar ML'!O196))</f>
        <v>0</v>
      </c>
      <c r="J200" s="14">
        <f>IF('Pegar ML'!C195="Paquete de 2 productos",IF('Pegar ML'!O195="",0,'Pegar ML'!O195),IF('Pegar ML'!O196="",0,'Pegar ML'!O196))</f>
        <v>0</v>
      </c>
      <c r="K200" s="14">
        <f t="shared" si="8"/>
        <v>0</v>
      </c>
      <c r="L200" s="27">
        <f>IF('Pegar ML'!AB196=" ",'Pegar ML'!AB195,'Pegar ML'!AB196)</f>
        <v>0</v>
      </c>
      <c r="M200" s="27" t="str">
        <f>IF('Pegar ML'!AC196=" ",RIGHT('Pegar ML'!AC195,8),RIGHT('Pegar ML'!AC196,8))</f>
        <v/>
      </c>
      <c r="N200" s="27" t="s">
        <v>80</v>
      </c>
      <c r="O200" s="27">
        <f t="shared" si="6"/>
        <v>0</v>
      </c>
      <c r="P200" s="27" t="s">
        <v>80</v>
      </c>
      <c r="Q200" s="55">
        <f>IF('Pegar ML'!AD196=" ",'Pegar ML'!AD195,'Pegar ML'!AD196)</f>
        <v>0</v>
      </c>
      <c r="R200" s="27" t="s">
        <v>80</v>
      </c>
      <c r="S200" s="27" t="s">
        <v>80</v>
      </c>
      <c r="T200" s="27" t="s">
        <v>80</v>
      </c>
      <c r="U200" s="55">
        <f>IF('Pegar ML'!AI196=" ",'Pegar ML'!AI195,'Pegar ML'!AI196)</f>
        <v>0</v>
      </c>
      <c r="V200" s="55">
        <f>IF('Pegar ML'!AK196=" ",'Pegar ML'!AK195,'Pegar ML'!AK196)</f>
        <v>0</v>
      </c>
      <c r="W200" s="55">
        <f>IF('Pegar ML'!AJ196=" ",'Pegar ML'!AJ195,'Pegar ML'!AJ196)</f>
        <v>0</v>
      </c>
      <c r="X200" s="55">
        <f>IF('Pegar ML'!AL196=" ",'Pegar ML'!AL195,'Pegar ML'!AL196)</f>
        <v>0</v>
      </c>
      <c r="Y200" s="27"/>
      <c r="Z200" s="27"/>
      <c r="AA200" s="27"/>
      <c r="AB200" s="27"/>
      <c r="AC200" s="27"/>
      <c r="AD200" s="27"/>
      <c r="AF200" s="8"/>
      <c r="AG200" s="27"/>
      <c r="AH200" s="14">
        <f>+'Pegar ML'!Y196</f>
        <v>0</v>
      </c>
      <c r="AI200" s="13">
        <f t="shared" si="7"/>
        <v>1</v>
      </c>
      <c r="AJ200" s="7">
        <f>+'Pegar ML'!T196</f>
        <v>0</v>
      </c>
      <c r="AK200" s="27"/>
      <c r="AL200" s="27"/>
      <c r="AM200" s="27"/>
      <c r="AN200" s="27"/>
      <c r="AO200" s="27"/>
      <c r="AP200" s="27"/>
      <c r="AQ200" s="27"/>
      <c r="AR200" s="27"/>
      <c r="AS200" s="27">
        <v>17</v>
      </c>
    </row>
    <row r="201" spans="1:45" x14ac:dyDescent="0.25">
      <c r="A201" s="27">
        <f>IF('Pegar ML'!C196="Paquete de 2 productos",'Pegar ML'!A196,IF('Pegar ML'!C195="Paquete de 2 productos",'Pegar ML'!A195,'Pegar ML'!A197))</f>
        <v>0</v>
      </c>
      <c r="B201" s="27"/>
      <c r="C201" s="30" t="e">
        <f>IF(AjusteFecha!I197=0,"",AjusteFecha!I197)</f>
        <v>#N/A</v>
      </c>
      <c r="D201" s="27"/>
      <c r="E201" s="27"/>
      <c r="F201" s="27" t="str">
        <f>IF('Pegar ML'!C197="","",'Pegar ML'!C197)</f>
        <v/>
      </c>
      <c r="G201" s="27" t="str">
        <f>IF('Pegar ML'!G192="ARS","PS","PS")</f>
        <v>PS</v>
      </c>
      <c r="H201" s="14">
        <f>IF('Pegar ML'!C196="Paquete de 2 productos",IF('Pegar ML'!H196="",0,'Pegar ML'!H196),IF('Pegar ML'!H197="",0,'Pegar ML'!H197))</f>
        <v>0</v>
      </c>
      <c r="I201" s="14">
        <f>IF('Pegar ML'!C196="Paquete de 2 productos",IF('Pegar ML'!O196="",0,'Pegar ML'!O196),IF('Pegar ML'!O197="",0,'Pegar ML'!O197))</f>
        <v>0</v>
      </c>
      <c r="J201" s="14">
        <f>IF('Pegar ML'!C196="Paquete de 2 productos",IF('Pegar ML'!O196="",0,'Pegar ML'!O196),IF('Pegar ML'!O197="",0,'Pegar ML'!O197))</f>
        <v>0</v>
      </c>
      <c r="K201" s="14">
        <f t="shared" si="8"/>
        <v>0</v>
      </c>
      <c r="L201" s="27">
        <f>IF('Pegar ML'!AB197=" ",'Pegar ML'!AB196,'Pegar ML'!AB197)</f>
        <v>0</v>
      </c>
      <c r="M201" s="27" t="str">
        <f>IF('Pegar ML'!AC197=" ",RIGHT('Pegar ML'!AC196,8),RIGHT('Pegar ML'!AC197,8))</f>
        <v/>
      </c>
      <c r="N201" s="27" t="s">
        <v>80</v>
      </c>
      <c r="O201" s="27">
        <f t="shared" si="6"/>
        <v>0</v>
      </c>
      <c r="P201" s="27" t="s">
        <v>80</v>
      </c>
      <c r="Q201" s="55">
        <f>IF('Pegar ML'!AD197=" ",'Pegar ML'!AD196,'Pegar ML'!AD197)</f>
        <v>0</v>
      </c>
      <c r="R201" s="27" t="s">
        <v>80</v>
      </c>
      <c r="S201" s="27" t="s">
        <v>80</v>
      </c>
      <c r="T201" s="27" t="s">
        <v>80</v>
      </c>
      <c r="U201" s="55">
        <f>IF('Pegar ML'!AI197=" ",'Pegar ML'!AI196,'Pegar ML'!AI197)</f>
        <v>0</v>
      </c>
      <c r="V201" s="55">
        <f>IF('Pegar ML'!AK197=" ",'Pegar ML'!AK196,'Pegar ML'!AK197)</f>
        <v>0</v>
      </c>
      <c r="W201" s="55">
        <f>IF('Pegar ML'!AJ197=" ",'Pegar ML'!AJ196,'Pegar ML'!AJ197)</f>
        <v>0</v>
      </c>
      <c r="X201" s="55">
        <f>IF('Pegar ML'!AL197=" ",'Pegar ML'!AL196,'Pegar ML'!AL197)</f>
        <v>0</v>
      </c>
      <c r="Y201" s="27"/>
      <c r="Z201" s="27"/>
      <c r="AA201" s="27"/>
      <c r="AB201" s="27"/>
      <c r="AC201" s="27"/>
      <c r="AD201" s="27"/>
      <c r="AF201" s="8"/>
      <c r="AG201" s="27"/>
      <c r="AH201" s="14">
        <f>+'Pegar ML'!Y197</f>
        <v>0</v>
      </c>
      <c r="AI201" s="13">
        <f t="shared" si="7"/>
        <v>1</v>
      </c>
      <c r="AJ201" s="7">
        <f>+'Pegar ML'!T197</f>
        <v>0</v>
      </c>
      <c r="AK201" s="27"/>
      <c r="AL201" s="27"/>
      <c r="AM201" s="27"/>
      <c r="AN201" s="27"/>
      <c r="AO201" s="27"/>
      <c r="AP201" s="27"/>
      <c r="AQ201" s="27"/>
      <c r="AR201" s="27"/>
      <c r="AS201" s="27">
        <v>17</v>
      </c>
    </row>
    <row r="202" spans="1:45" x14ac:dyDescent="0.25">
      <c r="A202" s="27">
        <f>IF('Pegar ML'!C197="Paquete de 2 productos",'Pegar ML'!A197,IF('Pegar ML'!C196="Paquete de 2 productos",'Pegar ML'!A196,'Pegar ML'!A198))</f>
        <v>0</v>
      </c>
      <c r="B202" s="27"/>
      <c r="C202" s="30" t="e">
        <f>IF(AjusteFecha!I198=0,"",AjusteFecha!I198)</f>
        <v>#N/A</v>
      </c>
      <c r="D202" s="27"/>
      <c r="E202" s="27"/>
      <c r="F202" s="27" t="str">
        <f>IF('Pegar ML'!C198="","",'Pegar ML'!C198)</f>
        <v/>
      </c>
      <c r="G202" s="27" t="str">
        <f>IF('Pegar ML'!G193="ARS","PS","PS")</f>
        <v>PS</v>
      </c>
      <c r="H202" s="14">
        <f>IF('Pegar ML'!C197="Paquete de 2 productos",IF('Pegar ML'!H197="",0,'Pegar ML'!H197),IF('Pegar ML'!H198="",0,'Pegar ML'!H198))</f>
        <v>0</v>
      </c>
      <c r="I202" s="14">
        <f>IF('Pegar ML'!C197="Paquete de 2 productos",IF('Pegar ML'!O197="",0,'Pegar ML'!O197),IF('Pegar ML'!O198="",0,'Pegar ML'!O198))</f>
        <v>0</v>
      </c>
      <c r="J202" s="14">
        <f>IF('Pegar ML'!C197="Paquete de 2 productos",IF('Pegar ML'!O197="",0,'Pegar ML'!O197),IF('Pegar ML'!O198="",0,'Pegar ML'!O198))</f>
        <v>0</v>
      </c>
      <c r="K202" s="14">
        <f t="shared" si="8"/>
        <v>0</v>
      </c>
      <c r="L202" s="27">
        <f>IF('Pegar ML'!AB198=" ",'Pegar ML'!AB197,'Pegar ML'!AB198)</f>
        <v>0</v>
      </c>
      <c r="M202" s="27" t="str">
        <f>IF('Pegar ML'!AC198=" ",RIGHT('Pegar ML'!AC197,8),RIGHT('Pegar ML'!AC198,8))</f>
        <v/>
      </c>
      <c r="N202" s="27" t="s">
        <v>80</v>
      </c>
      <c r="O202" s="27">
        <f t="shared" si="6"/>
        <v>0</v>
      </c>
      <c r="P202" s="27" t="s">
        <v>80</v>
      </c>
      <c r="Q202" s="55">
        <f>IF('Pegar ML'!AD198=" ",'Pegar ML'!AD197,'Pegar ML'!AD198)</f>
        <v>0</v>
      </c>
      <c r="R202" s="27" t="s">
        <v>80</v>
      </c>
      <c r="S202" s="27" t="s">
        <v>80</v>
      </c>
      <c r="T202" s="27" t="s">
        <v>80</v>
      </c>
      <c r="U202" s="55">
        <f>IF('Pegar ML'!AI198=" ",'Pegar ML'!AI197,'Pegar ML'!AI198)</f>
        <v>0</v>
      </c>
      <c r="V202" s="55">
        <f>IF('Pegar ML'!AK198=" ",'Pegar ML'!AK197,'Pegar ML'!AK198)</f>
        <v>0</v>
      </c>
      <c r="W202" s="55">
        <f>IF('Pegar ML'!AJ198=" ",'Pegar ML'!AJ197,'Pegar ML'!AJ198)</f>
        <v>0</v>
      </c>
      <c r="X202" s="55">
        <f>IF('Pegar ML'!AL198=" ",'Pegar ML'!AL197,'Pegar ML'!AL198)</f>
        <v>0</v>
      </c>
      <c r="Y202" s="27"/>
      <c r="Z202" s="27"/>
      <c r="AA202" s="27"/>
      <c r="AB202" s="27"/>
      <c r="AC202" s="27"/>
      <c r="AD202" s="27"/>
      <c r="AF202" s="8"/>
      <c r="AG202" s="27"/>
      <c r="AH202" s="14">
        <f>+'Pegar ML'!Y198</f>
        <v>0</v>
      </c>
      <c r="AI202" s="13">
        <f t="shared" si="7"/>
        <v>1</v>
      </c>
      <c r="AJ202" s="7">
        <f>+'Pegar ML'!T198</f>
        <v>0</v>
      </c>
      <c r="AK202" s="27"/>
      <c r="AL202" s="27"/>
      <c r="AM202" s="27"/>
      <c r="AN202" s="27"/>
      <c r="AO202" s="27"/>
      <c r="AP202" s="27"/>
      <c r="AQ202" s="27"/>
      <c r="AR202" s="27"/>
      <c r="AS202" s="27">
        <v>17</v>
      </c>
    </row>
    <row r="203" spans="1:45" x14ac:dyDescent="0.25">
      <c r="A203" s="27">
        <f>IF('Pegar ML'!C198="Paquete de 2 productos",'Pegar ML'!A198,IF('Pegar ML'!C197="Paquete de 2 productos",'Pegar ML'!A197,'Pegar ML'!A199))</f>
        <v>0</v>
      </c>
      <c r="B203" s="27"/>
      <c r="C203" s="30" t="e">
        <f>IF(AjusteFecha!I199=0,"",AjusteFecha!I199)</f>
        <v>#N/A</v>
      </c>
      <c r="D203" s="27"/>
      <c r="E203" s="27"/>
      <c r="F203" s="27" t="str">
        <f>IF('Pegar ML'!C199="","",'Pegar ML'!C199)</f>
        <v/>
      </c>
      <c r="G203" s="27" t="str">
        <f>IF('Pegar ML'!G194="ARS","PS","PS")</f>
        <v>PS</v>
      </c>
      <c r="H203" s="14">
        <f>IF('Pegar ML'!C198="Paquete de 2 productos",IF('Pegar ML'!H198="",0,'Pegar ML'!H198),IF('Pegar ML'!H199="",0,'Pegar ML'!H199))</f>
        <v>0</v>
      </c>
      <c r="I203" s="14">
        <f>IF('Pegar ML'!C198="Paquete de 2 productos",IF('Pegar ML'!O198="",0,'Pegar ML'!O198),IF('Pegar ML'!O199="",0,'Pegar ML'!O199))</f>
        <v>0</v>
      </c>
      <c r="J203" s="14">
        <f>IF('Pegar ML'!C198="Paquete de 2 productos",IF('Pegar ML'!O198="",0,'Pegar ML'!O198),IF('Pegar ML'!O199="",0,'Pegar ML'!O199))</f>
        <v>0</v>
      </c>
      <c r="K203" s="14">
        <f t="shared" si="8"/>
        <v>0</v>
      </c>
      <c r="L203" s="27">
        <f>IF('Pegar ML'!AB199=" ",'Pegar ML'!AB198,'Pegar ML'!AB199)</f>
        <v>0</v>
      </c>
      <c r="M203" s="27" t="str">
        <f>IF('Pegar ML'!AC199=" ",RIGHT('Pegar ML'!AC198,8),RIGHT('Pegar ML'!AC199,8))</f>
        <v/>
      </c>
      <c r="N203" s="27" t="s">
        <v>80</v>
      </c>
      <c r="O203" s="27">
        <f t="shared" ref="O203:O266" si="9">+L203</f>
        <v>0</v>
      </c>
      <c r="P203" s="27" t="s">
        <v>80</v>
      </c>
      <c r="Q203" s="55">
        <f>IF('Pegar ML'!AD199=" ",'Pegar ML'!AD198,'Pegar ML'!AD199)</f>
        <v>0</v>
      </c>
      <c r="R203" s="27" t="s">
        <v>80</v>
      </c>
      <c r="S203" s="27" t="s">
        <v>80</v>
      </c>
      <c r="T203" s="27" t="s">
        <v>80</v>
      </c>
      <c r="U203" s="55">
        <f>IF('Pegar ML'!AI199=" ",'Pegar ML'!AI198,'Pegar ML'!AI199)</f>
        <v>0</v>
      </c>
      <c r="V203" s="55">
        <f>IF('Pegar ML'!AK199=" ",'Pegar ML'!AK198,'Pegar ML'!AK199)</f>
        <v>0</v>
      </c>
      <c r="W203" s="55">
        <f>IF('Pegar ML'!AJ199=" ",'Pegar ML'!AJ198,'Pegar ML'!AJ199)</f>
        <v>0</v>
      </c>
      <c r="X203" s="55">
        <f>IF('Pegar ML'!AL199=" ",'Pegar ML'!AL198,'Pegar ML'!AL199)</f>
        <v>0</v>
      </c>
      <c r="Y203" s="27"/>
      <c r="Z203" s="27"/>
      <c r="AA203" s="27"/>
      <c r="AB203" s="27"/>
      <c r="AC203" s="27"/>
      <c r="AD203" s="27"/>
      <c r="AF203" s="8"/>
      <c r="AG203" s="27"/>
      <c r="AH203" s="14">
        <f>+'Pegar ML'!Y199</f>
        <v>0</v>
      </c>
      <c r="AI203" s="13">
        <f t="shared" ref="AI203:AI266" si="10">IF(F203="Paquete de 2 productos","",1)</f>
        <v>1</v>
      </c>
      <c r="AJ203" s="7">
        <f>+'Pegar ML'!T199</f>
        <v>0</v>
      </c>
      <c r="AK203" s="27"/>
      <c r="AL203" s="27"/>
      <c r="AM203" s="27"/>
      <c r="AN203" s="27"/>
      <c r="AO203" s="27"/>
      <c r="AP203" s="27"/>
      <c r="AQ203" s="27"/>
      <c r="AR203" s="27"/>
      <c r="AS203" s="27">
        <v>17</v>
      </c>
    </row>
    <row r="204" spans="1:45" ht="15" customHeight="1" x14ac:dyDescent="0.25">
      <c r="A204" s="27">
        <f>IF('Pegar ML'!C199="Paquete de 2 productos",'Pegar ML'!A199,IF('Pegar ML'!C198="Paquete de 2 productos",'Pegar ML'!A198,'Pegar ML'!A200))</f>
        <v>0</v>
      </c>
      <c r="B204" s="27"/>
      <c r="C204" s="30" t="e">
        <f>IF(AjusteFecha!I200=0,"",AjusteFecha!I200)</f>
        <v>#N/A</v>
      </c>
      <c r="D204" s="27"/>
      <c r="E204" s="27"/>
      <c r="F204" s="27" t="str">
        <f>IF('Pegar ML'!C200="","",'Pegar ML'!C200)</f>
        <v/>
      </c>
      <c r="G204" s="27" t="str">
        <f>IF('Pegar ML'!G195="ARS","PS","PS")</f>
        <v>PS</v>
      </c>
      <c r="H204" s="14">
        <f>IF('Pegar ML'!C199="Paquete de 2 productos",IF('Pegar ML'!H199="",0,'Pegar ML'!H199),IF('Pegar ML'!H200="",0,'Pegar ML'!H200))</f>
        <v>0</v>
      </c>
      <c r="I204" s="14">
        <f>IF('Pegar ML'!C199="Paquete de 2 productos",IF('Pegar ML'!O199="",0,'Pegar ML'!O199),IF('Pegar ML'!O200="",0,'Pegar ML'!O200))</f>
        <v>0</v>
      </c>
      <c r="J204" s="14">
        <f>IF('Pegar ML'!C199="Paquete de 2 productos",IF('Pegar ML'!O199="",0,'Pegar ML'!O199),IF('Pegar ML'!O200="",0,'Pegar ML'!O200))</f>
        <v>0</v>
      </c>
      <c r="K204" s="14">
        <f t="shared" ref="K204:K267" si="11">+H204-I204+J204</f>
        <v>0</v>
      </c>
      <c r="L204" s="27">
        <f>IF('Pegar ML'!AB200=" ",'Pegar ML'!AB199,'Pegar ML'!AB200)</f>
        <v>0</v>
      </c>
      <c r="M204" s="27" t="str">
        <f>IF('Pegar ML'!AC200=" ",RIGHT('Pegar ML'!AC199,8),RIGHT('Pegar ML'!AC200,8))</f>
        <v/>
      </c>
      <c r="N204" s="27" t="s">
        <v>80</v>
      </c>
      <c r="O204" s="27">
        <f t="shared" si="9"/>
        <v>0</v>
      </c>
      <c r="P204" s="27" t="s">
        <v>80</v>
      </c>
      <c r="Q204" s="55">
        <f>IF('Pegar ML'!AD200=" ",'Pegar ML'!AD199,'Pegar ML'!AD200)</f>
        <v>0</v>
      </c>
      <c r="R204" s="27" t="s">
        <v>80</v>
      </c>
      <c r="S204" s="27" t="s">
        <v>80</v>
      </c>
      <c r="T204" s="27" t="s">
        <v>80</v>
      </c>
      <c r="U204" s="55">
        <f>IF('Pegar ML'!AI200=" ",'Pegar ML'!AI199,'Pegar ML'!AI200)</f>
        <v>0</v>
      </c>
      <c r="V204" s="55">
        <f>IF('Pegar ML'!AK200=" ",'Pegar ML'!AK199,'Pegar ML'!AK200)</f>
        <v>0</v>
      </c>
      <c r="W204" s="55">
        <f>IF('Pegar ML'!AJ200=" ",'Pegar ML'!AJ199,'Pegar ML'!AJ200)</f>
        <v>0</v>
      </c>
      <c r="X204" s="55">
        <f>IF('Pegar ML'!AL200=" ",'Pegar ML'!AL199,'Pegar ML'!AL200)</f>
        <v>0</v>
      </c>
      <c r="Y204" s="27"/>
      <c r="Z204" s="27"/>
      <c r="AA204" s="27"/>
      <c r="AB204" s="27"/>
      <c r="AC204" s="27"/>
      <c r="AD204" s="27"/>
      <c r="AF204" s="8"/>
      <c r="AG204" s="27"/>
      <c r="AH204" s="14">
        <f>+'Pegar ML'!Y200</f>
        <v>0</v>
      </c>
      <c r="AI204" s="13">
        <f t="shared" si="10"/>
        <v>1</v>
      </c>
      <c r="AJ204" s="7">
        <f>+'Pegar ML'!T200</f>
        <v>0</v>
      </c>
      <c r="AK204" s="27"/>
      <c r="AL204" s="27"/>
      <c r="AM204" s="27"/>
      <c r="AN204" s="27"/>
      <c r="AO204" s="27"/>
      <c r="AP204" s="27"/>
      <c r="AQ204" s="27"/>
      <c r="AR204" s="27"/>
      <c r="AS204" s="27">
        <v>17</v>
      </c>
    </row>
    <row r="205" spans="1:45" ht="15" customHeight="1" x14ac:dyDescent="0.25">
      <c r="A205" s="27">
        <f>IF('Pegar ML'!C200="Paquete de 2 productos",'Pegar ML'!A200,IF('Pegar ML'!C199="Paquete de 2 productos",'Pegar ML'!A199,'Pegar ML'!A201))</f>
        <v>0</v>
      </c>
      <c r="B205" s="27"/>
      <c r="C205" s="30" t="e">
        <f>IF(AjusteFecha!I201=0,"",AjusteFecha!I201)</f>
        <v>#N/A</v>
      </c>
      <c r="D205" s="27"/>
      <c r="E205" s="27"/>
      <c r="F205" s="27" t="str">
        <f>IF('Pegar ML'!C201="","",'Pegar ML'!C201)</f>
        <v/>
      </c>
      <c r="G205" s="27" t="str">
        <f>IF('Pegar ML'!G196="ARS","PS","PS")</f>
        <v>PS</v>
      </c>
      <c r="H205" s="14">
        <f>IF('Pegar ML'!C200="Paquete de 2 productos",IF('Pegar ML'!H200="",0,'Pegar ML'!H200),IF('Pegar ML'!H201="",0,'Pegar ML'!H201))</f>
        <v>0</v>
      </c>
      <c r="I205" s="14">
        <f>IF('Pegar ML'!C200="Paquete de 2 productos",IF('Pegar ML'!O200="",0,'Pegar ML'!O200),IF('Pegar ML'!O201="",0,'Pegar ML'!O201))</f>
        <v>0</v>
      </c>
      <c r="J205" s="14">
        <f>IF('Pegar ML'!C200="Paquete de 2 productos",IF('Pegar ML'!O200="",0,'Pegar ML'!O200),IF('Pegar ML'!O201="",0,'Pegar ML'!O201))</f>
        <v>0</v>
      </c>
      <c r="K205" s="14">
        <f t="shared" si="11"/>
        <v>0</v>
      </c>
      <c r="L205" s="27">
        <f>IF('Pegar ML'!AB201=" ",'Pegar ML'!AB200,'Pegar ML'!AB201)</f>
        <v>0</v>
      </c>
      <c r="M205" s="27" t="str">
        <f>IF('Pegar ML'!AC201=" ",RIGHT('Pegar ML'!AC200,8),RIGHT('Pegar ML'!AC201,8))</f>
        <v/>
      </c>
      <c r="N205" s="27" t="s">
        <v>80</v>
      </c>
      <c r="O205" s="27">
        <f t="shared" si="9"/>
        <v>0</v>
      </c>
      <c r="P205" s="27" t="s">
        <v>80</v>
      </c>
      <c r="Q205" s="55">
        <f>IF('Pegar ML'!AD201=" ",'Pegar ML'!AD200,'Pegar ML'!AD201)</f>
        <v>0</v>
      </c>
      <c r="R205" s="27" t="s">
        <v>80</v>
      </c>
      <c r="S205" s="27" t="s">
        <v>80</v>
      </c>
      <c r="T205" s="27" t="s">
        <v>80</v>
      </c>
      <c r="U205" s="55">
        <f>IF('Pegar ML'!AI201=" ",'Pegar ML'!AI200,'Pegar ML'!AI201)</f>
        <v>0</v>
      </c>
      <c r="V205" s="55">
        <f>IF('Pegar ML'!AK201=" ",'Pegar ML'!AK200,'Pegar ML'!AK201)</f>
        <v>0</v>
      </c>
      <c r="W205" s="55">
        <f>IF('Pegar ML'!AJ201=" ",'Pegar ML'!AJ200,'Pegar ML'!AJ201)</f>
        <v>0</v>
      </c>
      <c r="X205" s="55">
        <f>IF('Pegar ML'!AL201=" ",'Pegar ML'!AL200,'Pegar ML'!AL201)</f>
        <v>0</v>
      </c>
      <c r="Y205" s="27"/>
      <c r="Z205" s="27"/>
      <c r="AA205" s="27"/>
      <c r="AB205" s="27"/>
      <c r="AC205" s="27"/>
      <c r="AD205" s="27"/>
      <c r="AF205" s="8"/>
      <c r="AG205" s="27"/>
      <c r="AH205" s="14">
        <f>+'Pegar ML'!Y201</f>
        <v>0</v>
      </c>
      <c r="AI205" s="13">
        <f t="shared" si="10"/>
        <v>1</v>
      </c>
      <c r="AJ205" s="7">
        <f>+'Pegar ML'!T201</f>
        <v>0</v>
      </c>
      <c r="AK205" s="27"/>
      <c r="AL205" s="27"/>
      <c r="AM205" s="27"/>
      <c r="AN205" s="27"/>
      <c r="AO205" s="27"/>
      <c r="AP205" s="27"/>
      <c r="AQ205" s="27"/>
      <c r="AR205" s="27"/>
      <c r="AS205" s="27">
        <v>17</v>
      </c>
    </row>
    <row r="206" spans="1:45" ht="15" customHeight="1" x14ac:dyDescent="0.25">
      <c r="A206" s="27">
        <f>IF('Pegar ML'!C201="Paquete de 2 productos",'Pegar ML'!A201,IF('Pegar ML'!C200="Paquete de 2 productos",'Pegar ML'!A200,'Pegar ML'!A202))</f>
        <v>0</v>
      </c>
      <c r="B206" s="27"/>
      <c r="C206" s="30" t="e">
        <f>IF(AjusteFecha!I202=0,"",AjusteFecha!I202)</f>
        <v>#N/A</v>
      </c>
      <c r="D206" s="27"/>
      <c r="E206" s="27"/>
      <c r="F206" s="27" t="str">
        <f>IF('Pegar ML'!C202="","",'Pegar ML'!C202)</f>
        <v/>
      </c>
      <c r="G206" s="27" t="str">
        <f>IF('Pegar ML'!G197="ARS","PS","PS")</f>
        <v>PS</v>
      </c>
      <c r="H206" s="14">
        <f>IF('Pegar ML'!C201="Paquete de 2 productos",IF('Pegar ML'!H201="",0,'Pegar ML'!H201),IF('Pegar ML'!H202="",0,'Pegar ML'!H202))</f>
        <v>0</v>
      </c>
      <c r="I206" s="14">
        <f>IF('Pegar ML'!C201="Paquete de 2 productos",IF('Pegar ML'!O201="",0,'Pegar ML'!O201),IF('Pegar ML'!O202="",0,'Pegar ML'!O202))</f>
        <v>0</v>
      </c>
      <c r="J206" s="14">
        <f>IF('Pegar ML'!C201="Paquete de 2 productos",IF('Pegar ML'!O201="",0,'Pegar ML'!O201),IF('Pegar ML'!O202="",0,'Pegar ML'!O202))</f>
        <v>0</v>
      </c>
      <c r="K206" s="14">
        <f t="shared" si="11"/>
        <v>0</v>
      </c>
      <c r="L206" s="27">
        <f>IF('Pegar ML'!AB202=" ",'Pegar ML'!AB201,'Pegar ML'!AB202)</f>
        <v>0</v>
      </c>
      <c r="M206" s="27" t="str">
        <f>IF('Pegar ML'!AC202=" ",RIGHT('Pegar ML'!AC201,8),RIGHT('Pegar ML'!AC202,8))</f>
        <v/>
      </c>
      <c r="N206" s="27" t="s">
        <v>80</v>
      </c>
      <c r="O206" s="27">
        <f t="shared" si="9"/>
        <v>0</v>
      </c>
      <c r="P206" s="27" t="s">
        <v>80</v>
      </c>
      <c r="Q206" s="55">
        <f>IF('Pegar ML'!AD202=" ",'Pegar ML'!AD201,'Pegar ML'!AD202)</f>
        <v>0</v>
      </c>
      <c r="R206" s="27" t="s">
        <v>80</v>
      </c>
      <c r="S206" s="27" t="s">
        <v>80</v>
      </c>
      <c r="T206" s="27" t="s">
        <v>80</v>
      </c>
      <c r="U206" s="55">
        <f>IF('Pegar ML'!AI202=" ",'Pegar ML'!AI201,'Pegar ML'!AI202)</f>
        <v>0</v>
      </c>
      <c r="V206" s="55">
        <f>IF('Pegar ML'!AK202=" ",'Pegar ML'!AK201,'Pegar ML'!AK202)</f>
        <v>0</v>
      </c>
      <c r="W206" s="55">
        <f>IF('Pegar ML'!AJ202=" ",'Pegar ML'!AJ201,'Pegar ML'!AJ202)</f>
        <v>0</v>
      </c>
      <c r="X206" s="55">
        <f>IF('Pegar ML'!AL202=" ",'Pegar ML'!AL201,'Pegar ML'!AL202)</f>
        <v>0</v>
      </c>
      <c r="Y206" s="27"/>
      <c r="Z206" s="27"/>
      <c r="AA206" s="27"/>
      <c r="AB206" s="27"/>
      <c r="AC206" s="27"/>
      <c r="AD206" s="27"/>
      <c r="AF206" s="8"/>
      <c r="AG206" s="27"/>
      <c r="AH206" s="14">
        <f>+'Pegar ML'!Y202</f>
        <v>0</v>
      </c>
      <c r="AI206" s="13">
        <f t="shared" si="10"/>
        <v>1</v>
      </c>
      <c r="AJ206" s="7">
        <f>+'Pegar ML'!T202</f>
        <v>0</v>
      </c>
      <c r="AK206" s="27"/>
      <c r="AL206" s="27"/>
      <c r="AM206" s="27"/>
      <c r="AN206" s="27"/>
      <c r="AO206" s="27"/>
      <c r="AP206" s="27"/>
      <c r="AQ206" s="27"/>
      <c r="AR206" s="27"/>
      <c r="AS206" s="27">
        <v>17</v>
      </c>
    </row>
    <row r="207" spans="1:45" x14ac:dyDescent="0.25">
      <c r="A207" s="27">
        <f>IF('Pegar ML'!C202="Paquete de 2 productos",'Pegar ML'!A202,IF('Pegar ML'!C201="Paquete de 2 productos",'Pegar ML'!A201,'Pegar ML'!A203))</f>
        <v>0</v>
      </c>
      <c r="B207" s="27"/>
      <c r="C207" s="30" t="e">
        <f>IF(AjusteFecha!I203=0,"",AjusteFecha!I203)</f>
        <v>#N/A</v>
      </c>
      <c r="D207" s="27"/>
      <c r="E207" s="27"/>
      <c r="F207" s="27" t="str">
        <f>IF('Pegar ML'!C203="","",'Pegar ML'!C203)</f>
        <v/>
      </c>
      <c r="G207" s="27" t="str">
        <f>IF('Pegar ML'!G198="ARS","PS","PS")</f>
        <v>PS</v>
      </c>
      <c r="H207" s="14">
        <f>IF('Pegar ML'!C202="Paquete de 2 productos",IF('Pegar ML'!H202="",0,'Pegar ML'!H202),IF('Pegar ML'!H203="",0,'Pegar ML'!H203))</f>
        <v>0</v>
      </c>
      <c r="I207" s="14">
        <f>IF('Pegar ML'!C202="Paquete de 2 productos",IF('Pegar ML'!O202="",0,'Pegar ML'!O202),IF('Pegar ML'!O203="",0,'Pegar ML'!O203))</f>
        <v>0</v>
      </c>
      <c r="J207" s="14">
        <f>IF('Pegar ML'!C202="Paquete de 2 productos",IF('Pegar ML'!O202="",0,'Pegar ML'!O202),IF('Pegar ML'!O203="",0,'Pegar ML'!O203))</f>
        <v>0</v>
      </c>
      <c r="K207" s="14">
        <f t="shared" si="11"/>
        <v>0</v>
      </c>
      <c r="L207" s="27">
        <f>IF('Pegar ML'!AB203=" ",'Pegar ML'!AB202,'Pegar ML'!AB203)</f>
        <v>0</v>
      </c>
      <c r="M207" s="27" t="str">
        <f>IF('Pegar ML'!AC203=" ",RIGHT('Pegar ML'!AC202,8),RIGHT('Pegar ML'!AC203,8))</f>
        <v/>
      </c>
      <c r="N207" s="27" t="s">
        <v>80</v>
      </c>
      <c r="O207" s="27">
        <f t="shared" si="9"/>
        <v>0</v>
      </c>
      <c r="P207" s="27" t="s">
        <v>80</v>
      </c>
      <c r="Q207" s="55">
        <f>IF('Pegar ML'!AD203=" ",'Pegar ML'!AD202,'Pegar ML'!AD203)</f>
        <v>0</v>
      </c>
      <c r="R207" s="27" t="s">
        <v>80</v>
      </c>
      <c r="S207" s="27" t="s">
        <v>80</v>
      </c>
      <c r="T207" s="27" t="s">
        <v>80</v>
      </c>
      <c r="U207" s="55">
        <f>IF('Pegar ML'!AI203=" ",'Pegar ML'!AI202,'Pegar ML'!AI203)</f>
        <v>0</v>
      </c>
      <c r="V207" s="55">
        <f>IF('Pegar ML'!AK203=" ",'Pegar ML'!AK202,'Pegar ML'!AK203)</f>
        <v>0</v>
      </c>
      <c r="W207" s="55">
        <f>IF('Pegar ML'!AJ203=" ",'Pegar ML'!AJ202,'Pegar ML'!AJ203)</f>
        <v>0</v>
      </c>
      <c r="X207" s="55">
        <f>IF('Pegar ML'!AL203=" ",'Pegar ML'!AL202,'Pegar ML'!AL203)</f>
        <v>0</v>
      </c>
      <c r="Y207" s="27"/>
      <c r="Z207" s="27"/>
      <c r="AA207" s="27"/>
      <c r="AB207" s="27"/>
      <c r="AC207" s="27"/>
      <c r="AD207" s="27"/>
      <c r="AF207" s="8"/>
      <c r="AG207" s="27"/>
      <c r="AH207" s="14">
        <f>+'Pegar ML'!Y203</f>
        <v>0</v>
      </c>
      <c r="AI207" s="13">
        <f t="shared" si="10"/>
        <v>1</v>
      </c>
      <c r="AJ207" s="7">
        <f>+'Pegar ML'!T203</f>
        <v>0</v>
      </c>
      <c r="AK207" s="27"/>
      <c r="AL207" s="27"/>
      <c r="AM207" s="27"/>
      <c r="AN207" s="27"/>
      <c r="AO207" s="27"/>
      <c r="AP207" s="27"/>
      <c r="AQ207" s="27"/>
      <c r="AR207" s="27"/>
      <c r="AS207" s="27">
        <v>17</v>
      </c>
    </row>
    <row r="208" spans="1:45" x14ac:dyDescent="0.25">
      <c r="A208" s="27">
        <f>IF('Pegar ML'!C203="Paquete de 2 productos",'Pegar ML'!A203,IF('Pegar ML'!C202="Paquete de 2 productos",'Pegar ML'!A202,'Pegar ML'!A204))</f>
        <v>0</v>
      </c>
      <c r="B208" s="27"/>
      <c r="C208" s="30" t="e">
        <f>IF(AjusteFecha!I204=0,"",AjusteFecha!I204)</f>
        <v>#N/A</v>
      </c>
      <c r="D208" s="27"/>
      <c r="E208" s="27"/>
      <c r="F208" s="27" t="str">
        <f>IF('Pegar ML'!C204="","",'Pegar ML'!C204)</f>
        <v/>
      </c>
      <c r="G208" s="27" t="str">
        <f>IF('Pegar ML'!G199="ARS","PS","PS")</f>
        <v>PS</v>
      </c>
      <c r="H208" s="14">
        <f>IF('Pegar ML'!C203="Paquete de 2 productos",IF('Pegar ML'!H203="",0,'Pegar ML'!H203),IF('Pegar ML'!H204="",0,'Pegar ML'!H204))</f>
        <v>0</v>
      </c>
      <c r="I208" s="14">
        <f>IF('Pegar ML'!C203="Paquete de 2 productos",IF('Pegar ML'!O203="",0,'Pegar ML'!O203),IF('Pegar ML'!O204="",0,'Pegar ML'!O204))</f>
        <v>0</v>
      </c>
      <c r="J208" s="14">
        <f>IF('Pegar ML'!C203="Paquete de 2 productos",IF('Pegar ML'!O203="",0,'Pegar ML'!O203),IF('Pegar ML'!O204="",0,'Pegar ML'!O204))</f>
        <v>0</v>
      </c>
      <c r="K208" s="14">
        <f t="shared" si="11"/>
        <v>0</v>
      </c>
      <c r="L208" s="27">
        <f>IF('Pegar ML'!AB204=" ",'Pegar ML'!AB203,'Pegar ML'!AB204)</f>
        <v>0</v>
      </c>
      <c r="M208" s="27" t="str">
        <f>IF('Pegar ML'!AC204=" ",RIGHT('Pegar ML'!AC203,8),RIGHT('Pegar ML'!AC204,8))</f>
        <v/>
      </c>
      <c r="N208" s="27" t="s">
        <v>80</v>
      </c>
      <c r="O208" s="27">
        <f t="shared" si="9"/>
        <v>0</v>
      </c>
      <c r="P208" s="27" t="s">
        <v>80</v>
      </c>
      <c r="Q208" s="55">
        <f>IF('Pegar ML'!AD204=" ",'Pegar ML'!AD203,'Pegar ML'!AD204)</f>
        <v>0</v>
      </c>
      <c r="R208" s="27" t="s">
        <v>80</v>
      </c>
      <c r="S208" s="27" t="s">
        <v>80</v>
      </c>
      <c r="T208" s="27" t="s">
        <v>80</v>
      </c>
      <c r="U208" s="55">
        <f>IF('Pegar ML'!AI204=" ",'Pegar ML'!AI203,'Pegar ML'!AI204)</f>
        <v>0</v>
      </c>
      <c r="V208" s="55">
        <f>IF('Pegar ML'!AK204=" ",'Pegar ML'!AK203,'Pegar ML'!AK204)</f>
        <v>0</v>
      </c>
      <c r="W208" s="55">
        <f>IF('Pegar ML'!AJ204=" ",'Pegar ML'!AJ203,'Pegar ML'!AJ204)</f>
        <v>0</v>
      </c>
      <c r="X208" s="55">
        <f>IF('Pegar ML'!AL204=" ",'Pegar ML'!AL203,'Pegar ML'!AL204)</f>
        <v>0</v>
      </c>
      <c r="Y208" s="27"/>
      <c r="Z208" s="27"/>
      <c r="AA208" s="27"/>
      <c r="AB208" s="27"/>
      <c r="AC208" s="27"/>
      <c r="AD208" s="27"/>
      <c r="AF208" s="8"/>
      <c r="AG208" s="27"/>
      <c r="AH208" s="14">
        <f>+'Pegar ML'!Y204</f>
        <v>0</v>
      </c>
      <c r="AI208" s="13">
        <f t="shared" si="10"/>
        <v>1</v>
      </c>
      <c r="AJ208" s="7">
        <f>+'Pegar ML'!T204</f>
        <v>0</v>
      </c>
      <c r="AK208" s="27"/>
      <c r="AL208" s="27"/>
      <c r="AM208" s="27"/>
      <c r="AN208" s="27"/>
      <c r="AO208" s="27"/>
      <c r="AP208" s="27"/>
      <c r="AQ208" s="27"/>
      <c r="AR208" s="27"/>
      <c r="AS208" s="27">
        <v>17</v>
      </c>
    </row>
    <row r="209" spans="1:45" ht="15" customHeight="1" x14ac:dyDescent="0.25">
      <c r="A209" s="27">
        <f>IF('Pegar ML'!C204="Paquete de 2 productos",'Pegar ML'!A204,IF('Pegar ML'!C203="Paquete de 2 productos",'Pegar ML'!A203,'Pegar ML'!A205))</f>
        <v>0</v>
      </c>
      <c r="B209" s="27"/>
      <c r="C209" s="30" t="e">
        <f>IF(AjusteFecha!I205=0,"",AjusteFecha!I205)</f>
        <v>#N/A</v>
      </c>
      <c r="D209" s="27"/>
      <c r="E209" s="27"/>
      <c r="F209" s="27" t="str">
        <f>IF('Pegar ML'!C205="","",'Pegar ML'!C205)</f>
        <v/>
      </c>
      <c r="G209" s="27" t="str">
        <f>IF('Pegar ML'!G200="ARS","PS","PS")</f>
        <v>PS</v>
      </c>
      <c r="H209" s="14">
        <f>IF('Pegar ML'!C204="Paquete de 2 productos",IF('Pegar ML'!H204="",0,'Pegar ML'!H204),IF('Pegar ML'!H205="",0,'Pegar ML'!H205))</f>
        <v>0</v>
      </c>
      <c r="I209" s="14">
        <f>IF('Pegar ML'!C204="Paquete de 2 productos",IF('Pegar ML'!O204="",0,'Pegar ML'!O204),IF('Pegar ML'!O205="",0,'Pegar ML'!O205))</f>
        <v>0</v>
      </c>
      <c r="J209" s="14">
        <f>IF('Pegar ML'!C204="Paquete de 2 productos",IF('Pegar ML'!O204="",0,'Pegar ML'!O204),IF('Pegar ML'!O205="",0,'Pegar ML'!O205))</f>
        <v>0</v>
      </c>
      <c r="K209" s="14">
        <f t="shared" si="11"/>
        <v>0</v>
      </c>
      <c r="L209" s="27">
        <f>IF('Pegar ML'!AB205=" ",'Pegar ML'!AB204,'Pegar ML'!AB205)</f>
        <v>0</v>
      </c>
      <c r="M209" s="27" t="str">
        <f>IF('Pegar ML'!AC205=" ",RIGHT('Pegar ML'!AC204,8),RIGHT('Pegar ML'!AC205,8))</f>
        <v/>
      </c>
      <c r="N209" s="27" t="s">
        <v>80</v>
      </c>
      <c r="O209" s="27">
        <f t="shared" si="9"/>
        <v>0</v>
      </c>
      <c r="P209" s="27" t="s">
        <v>80</v>
      </c>
      <c r="Q209" s="55">
        <f>IF('Pegar ML'!AD205=" ",'Pegar ML'!AD204,'Pegar ML'!AD205)</f>
        <v>0</v>
      </c>
      <c r="R209" s="27" t="s">
        <v>80</v>
      </c>
      <c r="S209" s="27" t="s">
        <v>80</v>
      </c>
      <c r="T209" s="27" t="s">
        <v>80</v>
      </c>
      <c r="U209" s="55">
        <f>IF('Pegar ML'!AI205=" ",'Pegar ML'!AI204,'Pegar ML'!AI205)</f>
        <v>0</v>
      </c>
      <c r="V209" s="55">
        <f>IF('Pegar ML'!AK205=" ",'Pegar ML'!AK204,'Pegar ML'!AK205)</f>
        <v>0</v>
      </c>
      <c r="W209" s="55">
        <f>IF('Pegar ML'!AJ205=" ",'Pegar ML'!AJ204,'Pegar ML'!AJ205)</f>
        <v>0</v>
      </c>
      <c r="X209" s="55">
        <f>IF('Pegar ML'!AL205=" ",'Pegar ML'!AL204,'Pegar ML'!AL205)</f>
        <v>0</v>
      </c>
      <c r="Y209" s="27"/>
      <c r="Z209" s="27"/>
      <c r="AA209" s="27"/>
      <c r="AB209" s="27"/>
      <c r="AC209" s="27"/>
      <c r="AD209" s="27"/>
      <c r="AF209" s="8"/>
      <c r="AG209" s="27"/>
      <c r="AH209" s="14">
        <f>+'Pegar ML'!Y205</f>
        <v>0</v>
      </c>
      <c r="AI209" s="13">
        <f t="shared" si="10"/>
        <v>1</v>
      </c>
      <c r="AJ209" s="7">
        <f>+'Pegar ML'!T205</f>
        <v>0</v>
      </c>
      <c r="AK209" s="27"/>
      <c r="AL209" s="27"/>
      <c r="AM209" s="27"/>
      <c r="AN209" s="27"/>
      <c r="AO209" s="27"/>
      <c r="AP209" s="27"/>
      <c r="AQ209" s="27"/>
      <c r="AR209" s="27"/>
      <c r="AS209" s="27">
        <v>17</v>
      </c>
    </row>
    <row r="210" spans="1:45" x14ac:dyDescent="0.25">
      <c r="A210" s="27">
        <f>IF('Pegar ML'!C205="Paquete de 2 productos",'Pegar ML'!A205,IF('Pegar ML'!C204="Paquete de 2 productos",'Pegar ML'!A204,'Pegar ML'!A206))</f>
        <v>0</v>
      </c>
      <c r="B210" s="27"/>
      <c r="C210" s="30" t="e">
        <f>IF(AjusteFecha!I206=0,"",AjusteFecha!I206)</f>
        <v>#N/A</v>
      </c>
      <c r="D210" s="27"/>
      <c r="E210" s="27"/>
      <c r="F210" s="27" t="str">
        <f>IF('Pegar ML'!C206="","",'Pegar ML'!C206)</f>
        <v/>
      </c>
      <c r="G210" s="27" t="str">
        <f>IF('Pegar ML'!G201="ARS","PS","PS")</f>
        <v>PS</v>
      </c>
      <c r="H210" s="14">
        <f>IF('Pegar ML'!C205="Paquete de 2 productos",IF('Pegar ML'!H205="",0,'Pegar ML'!H205),IF('Pegar ML'!H206="",0,'Pegar ML'!H206))</f>
        <v>0</v>
      </c>
      <c r="I210" s="14">
        <f>IF('Pegar ML'!C205="Paquete de 2 productos",IF('Pegar ML'!O205="",0,'Pegar ML'!O205),IF('Pegar ML'!O206="",0,'Pegar ML'!O206))</f>
        <v>0</v>
      </c>
      <c r="J210" s="14">
        <f>IF('Pegar ML'!C205="Paquete de 2 productos",IF('Pegar ML'!O205="",0,'Pegar ML'!O205),IF('Pegar ML'!O206="",0,'Pegar ML'!O206))</f>
        <v>0</v>
      </c>
      <c r="K210" s="14">
        <f t="shared" si="11"/>
        <v>0</v>
      </c>
      <c r="L210" s="27">
        <f>IF('Pegar ML'!AB206=" ",'Pegar ML'!AB205,'Pegar ML'!AB206)</f>
        <v>0</v>
      </c>
      <c r="M210" s="27" t="str">
        <f>IF('Pegar ML'!AC206=" ",RIGHT('Pegar ML'!AC205,8),RIGHT('Pegar ML'!AC206,8))</f>
        <v/>
      </c>
      <c r="N210" s="27" t="s">
        <v>80</v>
      </c>
      <c r="O210" s="27">
        <f t="shared" si="9"/>
        <v>0</v>
      </c>
      <c r="P210" s="27" t="s">
        <v>80</v>
      </c>
      <c r="Q210" s="55">
        <f>IF('Pegar ML'!AD206=" ",'Pegar ML'!AD205,'Pegar ML'!AD206)</f>
        <v>0</v>
      </c>
      <c r="R210" s="27" t="s">
        <v>80</v>
      </c>
      <c r="S210" s="27" t="s">
        <v>80</v>
      </c>
      <c r="T210" s="27" t="s">
        <v>80</v>
      </c>
      <c r="U210" s="55">
        <f>IF('Pegar ML'!AI206=" ",'Pegar ML'!AI205,'Pegar ML'!AI206)</f>
        <v>0</v>
      </c>
      <c r="V210" s="55">
        <f>IF('Pegar ML'!AK206=" ",'Pegar ML'!AK205,'Pegar ML'!AK206)</f>
        <v>0</v>
      </c>
      <c r="W210" s="55">
        <f>IF('Pegar ML'!AJ206=" ",'Pegar ML'!AJ205,'Pegar ML'!AJ206)</f>
        <v>0</v>
      </c>
      <c r="X210" s="55">
        <f>IF('Pegar ML'!AL206=" ",'Pegar ML'!AL205,'Pegar ML'!AL206)</f>
        <v>0</v>
      </c>
      <c r="Y210" s="27"/>
      <c r="Z210" s="27"/>
      <c r="AA210" s="27"/>
      <c r="AB210" s="27"/>
      <c r="AC210" s="27"/>
      <c r="AD210" s="27"/>
      <c r="AF210" s="8"/>
      <c r="AG210" s="27"/>
      <c r="AH210" s="14">
        <f>+'Pegar ML'!Y206</f>
        <v>0</v>
      </c>
      <c r="AI210" s="13">
        <f t="shared" si="10"/>
        <v>1</v>
      </c>
      <c r="AJ210" s="7">
        <f>+'Pegar ML'!T206</f>
        <v>0</v>
      </c>
      <c r="AK210" s="27"/>
      <c r="AL210" s="27"/>
      <c r="AM210" s="27"/>
      <c r="AN210" s="27"/>
      <c r="AO210" s="27"/>
      <c r="AP210" s="27"/>
      <c r="AQ210" s="27"/>
      <c r="AR210" s="27"/>
      <c r="AS210" s="27">
        <v>17</v>
      </c>
    </row>
    <row r="211" spans="1:45" x14ac:dyDescent="0.25">
      <c r="A211" s="27">
        <f>IF('Pegar ML'!C206="Paquete de 2 productos",'Pegar ML'!A206,IF('Pegar ML'!C205="Paquete de 2 productos",'Pegar ML'!A205,'Pegar ML'!A207))</f>
        <v>0</v>
      </c>
      <c r="B211" s="27"/>
      <c r="C211" s="30" t="e">
        <f>IF(AjusteFecha!I207=0,"",AjusteFecha!I207)</f>
        <v>#N/A</v>
      </c>
      <c r="D211" s="27"/>
      <c r="E211" s="27"/>
      <c r="F211" s="27" t="str">
        <f>IF('Pegar ML'!C207="","",'Pegar ML'!C207)</f>
        <v/>
      </c>
      <c r="G211" s="27" t="str">
        <f>IF('Pegar ML'!G202="ARS","PS","PS")</f>
        <v>PS</v>
      </c>
      <c r="H211" s="14">
        <f>IF('Pegar ML'!C206="Paquete de 2 productos",IF('Pegar ML'!H206="",0,'Pegar ML'!H206),IF('Pegar ML'!H207="",0,'Pegar ML'!H207))</f>
        <v>0</v>
      </c>
      <c r="I211" s="14">
        <f>IF('Pegar ML'!C206="Paquete de 2 productos",IF('Pegar ML'!O206="",0,'Pegar ML'!O206),IF('Pegar ML'!O207="",0,'Pegar ML'!O207))</f>
        <v>0</v>
      </c>
      <c r="J211" s="14">
        <f>IF('Pegar ML'!C206="Paquete de 2 productos",IF('Pegar ML'!O206="",0,'Pegar ML'!O206),IF('Pegar ML'!O207="",0,'Pegar ML'!O207))</f>
        <v>0</v>
      </c>
      <c r="K211" s="14">
        <f t="shared" si="11"/>
        <v>0</v>
      </c>
      <c r="L211" s="27">
        <f>IF('Pegar ML'!AB207=" ",'Pegar ML'!AB206,'Pegar ML'!AB207)</f>
        <v>0</v>
      </c>
      <c r="M211" s="27" t="str">
        <f>IF('Pegar ML'!AC207=" ",RIGHT('Pegar ML'!AC206,8),RIGHT('Pegar ML'!AC207,8))</f>
        <v/>
      </c>
      <c r="N211" s="27" t="s">
        <v>80</v>
      </c>
      <c r="O211" s="27">
        <f t="shared" si="9"/>
        <v>0</v>
      </c>
      <c r="P211" s="27" t="s">
        <v>80</v>
      </c>
      <c r="Q211" s="55">
        <f>IF('Pegar ML'!AD207=" ",'Pegar ML'!AD206,'Pegar ML'!AD207)</f>
        <v>0</v>
      </c>
      <c r="R211" s="27" t="s">
        <v>80</v>
      </c>
      <c r="S211" s="27" t="s">
        <v>80</v>
      </c>
      <c r="T211" s="27" t="s">
        <v>80</v>
      </c>
      <c r="U211" s="55">
        <f>IF('Pegar ML'!AI207=" ",'Pegar ML'!AI206,'Pegar ML'!AI207)</f>
        <v>0</v>
      </c>
      <c r="V211" s="55">
        <f>IF('Pegar ML'!AK207=" ",'Pegar ML'!AK206,'Pegar ML'!AK207)</f>
        <v>0</v>
      </c>
      <c r="W211" s="55">
        <f>IF('Pegar ML'!AJ207=" ",'Pegar ML'!AJ206,'Pegar ML'!AJ207)</f>
        <v>0</v>
      </c>
      <c r="X211" s="55">
        <f>IF('Pegar ML'!AL207=" ",'Pegar ML'!AL206,'Pegar ML'!AL207)</f>
        <v>0</v>
      </c>
      <c r="Y211" s="27"/>
      <c r="Z211" s="27"/>
      <c r="AA211" s="27"/>
      <c r="AB211" s="27"/>
      <c r="AC211" s="27"/>
      <c r="AD211" s="27"/>
      <c r="AF211" s="8"/>
      <c r="AG211" s="27"/>
      <c r="AH211" s="14">
        <f>+'Pegar ML'!Y207</f>
        <v>0</v>
      </c>
      <c r="AI211" s="13">
        <f t="shared" si="10"/>
        <v>1</v>
      </c>
      <c r="AJ211" s="7">
        <f>+'Pegar ML'!T207</f>
        <v>0</v>
      </c>
      <c r="AK211" s="27"/>
      <c r="AL211" s="27"/>
      <c r="AM211" s="27"/>
      <c r="AN211" s="27"/>
      <c r="AO211" s="27"/>
      <c r="AP211" s="27"/>
      <c r="AQ211" s="27"/>
      <c r="AR211" s="27"/>
      <c r="AS211" s="27">
        <v>17</v>
      </c>
    </row>
    <row r="212" spans="1:45" x14ac:dyDescent="0.25">
      <c r="A212" s="27">
        <f>IF('Pegar ML'!C207="Paquete de 2 productos",'Pegar ML'!A207,IF('Pegar ML'!C206="Paquete de 2 productos",'Pegar ML'!A206,'Pegar ML'!A208))</f>
        <v>0</v>
      </c>
      <c r="B212" s="27"/>
      <c r="C212" s="30" t="e">
        <f>IF(AjusteFecha!I208=0,"",AjusteFecha!I208)</f>
        <v>#N/A</v>
      </c>
      <c r="D212" s="27"/>
      <c r="E212" s="27"/>
      <c r="F212" s="27" t="str">
        <f>IF('Pegar ML'!C208="","",'Pegar ML'!C208)</f>
        <v/>
      </c>
      <c r="G212" s="27" t="str">
        <f>IF('Pegar ML'!G203="ARS","PS","PS")</f>
        <v>PS</v>
      </c>
      <c r="H212" s="14">
        <f>IF('Pegar ML'!C207="Paquete de 2 productos",IF('Pegar ML'!H207="",0,'Pegar ML'!H207),IF('Pegar ML'!H208="",0,'Pegar ML'!H208))</f>
        <v>0</v>
      </c>
      <c r="I212" s="14">
        <f>IF('Pegar ML'!C207="Paquete de 2 productos",IF('Pegar ML'!O207="",0,'Pegar ML'!O207),IF('Pegar ML'!O208="",0,'Pegar ML'!O208))</f>
        <v>0</v>
      </c>
      <c r="J212" s="14">
        <f>IF('Pegar ML'!C207="Paquete de 2 productos",IF('Pegar ML'!O207="",0,'Pegar ML'!O207),IF('Pegar ML'!O208="",0,'Pegar ML'!O208))</f>
        <v>0</v>
      </c>
      <c r="K212" s="14">
        <f t="shared" si="11"/>
        <v>0</v>
      </c>
      <c r="L212" s="27">
        <f>IF('Pegar ML'!AB208=" ",'Pegar ML'!AB207,'Pegar ML'!AB208)</f>
        <v>0</v>
      </c>
      <c r="M212" s="27" t="str">
        <f>IF('Pegar ML'!AC208=" ",RIGHT('Pegar ML'!AC207,8),RIGHT('Pegar ML'!AC208,8))</f>
        <v/>
      </c>
      <c r="N212" s="27" t="s">
        <v>80</v>
      </c>
      <c r="O212" s="27">
        <f t="shared" si="9"/>
        <v>0</v>
      </c>
      <c r="P212" s="27" t="s">
        <v>80</v>
      </c>
      <c r="Q212" s="55">
        <f>IF('Pegar ML'!AD208=" ",'Pegar ML'!AD207,'Pegar ML'!AD208)</f>
        <v>0</v>
      </c>
      <c r="R212" s="27" t="s">
        <v>80</v>
      </c>
      <c r="S212" s="27" t="s">
        <v>80</v>
      </c>
      <c r="T212" s="27" t="s">
        <v>80</v>
      </c>
      <c r="U212" s="55">
        <f>IF('Pegar ML'!AI208=" ",'Pegar ML'!AI207,'Pegar ML'!AI208)</f>
        <v>0</v>
      </c>
      <c r="V212" s="55">
        <f>IF('Pegar ML'!AK208=" ",'Pegar ML'!AK207,'Pegar ML'!AK208)</f>
        <v>0</v>
      </c>
      <c r="W212" s="55">
        <f>IF('Pegar ML'!AJ208=" ",'Pegar ML'!AJ207,'Pegar ML'!AJ208)</f>
        <v>0</v>
      </c>
      <c r="X212" s="55">
        <f>IF('Pegar ML'!AL208=" ",'Pegar ML'!AL207,'Pegar ML'!AL208)</f>
        <v>0</v>
      </c>
      <c r="Y212" s="27"/>
      <c r="Z212" s="27"/>
      <c r="AA212" s="27"/>
      <c r="AB212" s="27"/>
      <c r="AC212" s="27"/>
      <c r="AD212" s="27"/>
      <c r="AF212" s="8"/>
      <c r="AG212" s="27"/>
      <c r="AH212" s="14">
        <f>+'Pegar ML'!Y208</f>
        <v>0</v>
      </c>
      <c r="AI212" s="13">
        <f t="shared" si="10"/>
        <v>1</v>
      </c>
      <c r="AJ212" s="7">
        <f>+'Pegar ML'!T208</f>
        <v>0</v>
      </c>
      <c r="AK212" s="27"/>
      <c r="AL212" s="27"/>
      <c r="AM212" s="27"/>
      <c r="AN212" s="27"/>
      <c r="AO212" s="27"/>
      <c r="AP212" s="27"/>
      <c r="AQ212" s="27"/>
      <c r="AR212" s="27"/>
      <c r="AS212" s="27">
        <v>17</v>
      </c>
    </row>
    <row r="213" spans="1:45" x14ac:dyDescent="0.25">
      <c r="A213" s="27">
        <f>IF('Pegar ML'!C208="Paquete de 2 productos",'Pegar ML'!A208,IF('Pegar ML'!C207="Paquete de 2 productos",'Pegar ML'!A207,'Pegar ML'!A209))</f>
        <v>0</v>
      </c>
      <c r="B213" s="27"/>
      <c r="C213" s="30" t="e">
        <f>IF(AjusteFecha!I209=0,"",AjusteFecha!I209)</f>
        <v>#N/A</v>
      </c>
      <c r="D213" s="27"/>
      <c r="E213" s="27"/>
      <c r="F213" s="27" t="str">
        <f>IF('Pegar ML'!C209="","",'Pegar ML'!C209)</f>
        <v/>
      </c>
      <c r="G213" s="27" t="str">
        <f>IF('Pegar ML'!G204="ARS","PS","PS")</f>
        <v>PS</v>
      </c>
      <c r="H213" s="14">
        <f>IF('Pegar ML'!C208="Paquete de 2 productos",IF('Pegar ML'!H208="",0,'Pegar ML'!H208),IF('Pegar ML'!H209="",0,'Pegar ML'!H209))</f>
        <v>0</v>
      </c>
      <c r="I213" s="14">
        <f>IF('Pegar ML'!C208="Paquete de 2 productos",IF('Pegar ML'!O208="",0,'Pegar ML'!O208),IF('Pegar ML'!O209="",0,'Pegar ML'!O209))</f>
        <v>0</v>
      </c>
      <c r="J213" s="14">
        <f>IF('Pegar ML'!C208="Paquete de 2 productos",IF('Pegar ML'!O208="",0,'Pegar ML'!O208),IF('Pegar ML'!O209="",0,'Pegar ML'!O209))</f>
        <v>0</v>
      </c>
      <c r="K213" s="14">
        <f t="shared" si="11"/>
        <v>0</v>
      </c>
      <c r="L213" s="27">
        <f>IF('Pegar ML'!AB209=" ",'Pegar ML'!AB208,'Pegar ML'!AB209)</f>
        <v>0</v>
      </c>
      <c r="M213" s="27" t="str">
        <f>IF('Pegar ML'!AC209=" ",RIGHT('Pegar ML'!AC208,8),RIGHT('Pegar ML'!AC209,8))</f>
        <v/>
      </c>
      <c r="N213" s="27" t="s">
        <v>80</v>
      </c>
      <c r="O213" s="27">
        <f t="shared" si="9"/>
        <v>0</v>
      </c>
      <c r="P213" s="27" t="s">
        <v>80</v>
      </c>
      <c r="Q213" s="55">
        <f>IF('Pegar ML'!AD209=" ",'Pegar ML'!AD208,'Pegar ML'!AD209)</f>
        <v>0</v>
      </c>
      <c r="R213" s="27" t="s">
        <v>80</v>
      </c>
      <c r="S213" s="27" t="s">
        <v>80</v>
      </c>
      <c r="T213" s="27" t="s">
        <v>80</v>
      </c>
      <c r="U213" s="55">
        <f>IF('Pegar ML'!AI209=" ",'Pegar ML'!AI208,'Pegar ML'!AI209)</f>
        <v>0</v>
      </c>
      <c r="V213" s="55">
        <f>IF('Pegar ML'!AK209=" ",'Pegar ML'!AK208,'Pegar ML'!AK209)</f>
        <v>0</v>
      </c>
      <c r="W213" s="55">
        <f>IF('Pegar ML'!AJ209=" ",'Pegar ML'!AJ208,'Pegar ML'!AJ209)</f>
        <v>0</v>
      </c>
      <c r="X213" s="55">
        <f>IF('Pegar ML'!AL209=" ",'Pegar ML'!AL208,'Pegar ML'!AL209)</f>
        <v>0</v>
      </c>
      <c r="Y213" s="27"/>
      <c r="Z213" s="27"/>
      <c r="AA213" s="27"/>
      <c r="AB213" s="27"/>
      <c r="AC213" s="27"/>
      <c r="AD213" s="27"/>
      <c r="AF213" s="8"/>
      <c r="AG213" s="27"/>
      <c r="AH213" s="14">
        <f>+'Pegar ML'!Y209</f>
        <v>0</v>
      </c>
      <c r="AI213" s="13">
        <f t="shared" si="10"/>
        <v>1</v>
      </c>
      <c r="AJ213" s="7">
        <f>+'Pegar ML'!T209</f>
        <v>0</v>
      </c>
      <c r="AK213" s="27"/>
      <c r="AL213" s="27"/>
      <c r="AM213" s="27"/>
      <c r="AN213" s="27"/>
      <c r="AO213" s="27"/>
      <c r="AP213" s="27"/>
      <c r="AQ213" s="27"/>
      <c r="AR213" s="27"/>
      <c r="AS213" s="27">
        <v>17</v>
      </c>
    </row>
    <row r="214" spans="1:45" x14ac:dyDescent="0.25">
      <c r="A214" s="27">
        <f>IF('Pegar ML'!C209="Paquete de 2 productos",'Pegar ML'!A209,IF('Pegar ML'!C208="Paquete de 2 productos",'Pegar ML'!A208,'Pegar ML'!A210))</f>
        <v>0</v>
      </c>
      <c r="B214" s="27"/>
      <c r="C214" s="30" t="e">
        <f>IF(AjusteFecha!I210=0,"",AjusteFecha!I210)</f>
        <v>#N/A</v>
      </c>
      <c r="D214" s="27"/>
      <c r="E214" s="27"/>
      <c r="F214" s="27" t="str">
        <f>IF('Pegar ML'!C210="","",'Pegar ML'!C210)</f>
        <v/>
      </c>
      <c r="G214" s="27" t="str">
        <f>IF('Pegar ML'!G205="ARS","PS","PS")</f>
        <v>PS</v>
      </c>
      <c r="H214" s="14">
        <f>IF('Pegar ML'!C209="Paquete de 2 productos",IF('Pegar ML'!H209="",0,'Pegar ML'!H209),IF('Pegar ML'!H210="",0,'Pegar ML'!H210))</f>
        <v>0</v>
      </c>
      <c r="I214" s="14">
        <f>IF('Pegar ML'!C209="Paquete de 2 productos",IF('Pegar ML'!O209="",0,'Pegar ML'!O209),IF('Pegar ML'!O210="",0,'Pegar ML'!O210))</f>
        <v>0</v>
      </c>
      <c r="J214" s="14">
        <f>IF('Pegar ML'!C209="Paquete de 2 productos",IF('Pegar ML'!O209="",0,'Pegar ML'!O209),IF('Pegar ML'!O210="",0,'Pegar ML'!O210))</f>
        <v>0</v>
      </c>
      <c r="K214" s="14">
        <f t="shared" si="11"/>
        <v>0</v>
      </c>
      <c r="L214" s="27">
        <f>IF('Pegar ML'!AB210=" ",'Pegar ML'!AB209,'Pegar ML'!AB210)</f>
        <v>0</v>
      </c>
      <c r="M214" s="27" t="str">
        <f>IF('Pegar ML'!AC210=" ",RIGHT('Pegar ML'!AC209,8),RIGHT('Pegar ML'!AC210,8))</f>
        <v/>
      </c>
      <c r="N214" s="27" t="s">
        <v>80</v>
      </c>
      <c r="O214" s="27">
        <f t="shared" si="9"/>
        <v>0</v>
      </c>
      <c r="P214" s="27" t="s">
        <v>80</v>
      </c>
      <c r="Q214" s="55">
        <f>IF('Pegar ML'!AD210=" ",'Pegar ML'!AD209,'Pegar ML'!AD210)</f>
        <v>0</v>
      </c>
      <c r="R214" s="27" t="s">
        <v>80</v>
      </c>
      <c r="S214" s="27" t="s">
        <v>80</v>
      </c>
      <c r="T214" s="27" t="s">
        <v>80</v>
      </c>
      <c r="U214" s="55">
        <f>IF('Pegar ML'!AI210=" ",'Pegar ML'!AI209,'Pegar ML'!AI210)</f>
        <v>0</v>
      </c>
      <c r="V214" s="55">
        <f>IF('Pegar ML'!AK210=" ",'Pegar ML'!AK209,'Pegar ML'!AK210)</f>
        <v>0</v>
      </c>
      <c r="W214" s="55">
        <f>IF('Pegar ML'!AJ210=" ",'Pegar ML'!AJ209,'Pegar ML'!AJ210)</f>
        <v>0</v>
      </c>
      <c r="X214" s="55">
        <f>IF('Pegar ML'!AL210=" ",'Pegar ML'!AL209,'Pegar ML'!AL210)</f>
        <v>0</v>
      </c>
      <c r="Y214" s="27"/>
      <c r="Z214" s="27"/>
      <c r="AA214" s="27"/>
      <c r="AB214" s="27"/>
      <c r="AC214" s="27"/>
      <c r="AD214" s="27"/>
      <c r="AF214" s="8"/>
      <c r="AG214" s="27"/>
      <c r="AH214" s="14">
        <f>+'Pegar ML'!Y210</f>
        <v>0</v>
      </c>
      <c r="AI214" s="13">
        <f t="shared" si="10"/>
        <v>1</v>
      </c>
      <c r="AJ214" s="7">
        <f>+'Pegar ML'!T210</f>
        <v>0</v>
      </c>
      <c r="AK214" s="27"/>
      <c r="AL214" s="27"/>
      <c r="AM214" s="27"/>
      <c r="AN214" s="27"/>
      <c r="AO214" s="27"/>
      <c r="AP214" s="27"/>
      <c r="AQ214" s="27"/>
      <c r="AR214" s="27"/>
      <c r="AS214" s="27">
        <v>17</v>
      </c>
    </row>
    <row r="215" spans="1:45" x14ac:dyDescent="0.25">
      <c r="A215" s="27">
        <f>IF('Pegar ML'!C210="Paquete de 2 productos",'Pegar ML'!A210,IF('Pegar ML'!C209="Paquete de 2 productos",'Pegar ML'!A209,'Pegar ML'!A211))</f>
        <v>0</v>
      </c>
      <c r="B215" s="27"/>
      <c r="C215" s="30" t="e">
        <f>IF(AjusteFecha!I211=0,"",AjusteFecha!I211)</f>
        <v>#N/A</v>
      </c>
      <c r="D215" s="27"/>
      <c r="E215" s="27"/>
      <c r="F215" s="27" t="str">
        <f>IF('Pegar ML'!C211="","",'Pegar ML'!C211)</f>
        <v/>
      </c>
      <c r="G215" s="27" t="str">
        <f>IF('Pegar ML'!G206="ARS","PS","PS")</f>
        <v>PS</v>
      </c>
      <c r="H215" s="14">
        <f>IF('Pegar ML'!C210="Paquete de 2 productos",IF('Pegar ML'!H210="",0,'Pegar ML'!H210),IF('Pegar ML'!H211="",0,'Pegar ML'!H211))</f>
        <v>0</v>
      </c>
      <c r="I215" s="14">
        <f>IF('Pegar ML'!C210="Paquete de 2 productos",IF('Pegar ML'!O210="",0,'Pegar ML'!O210),IF('Pegar ML'!O211="",0,'Pegar ML'!O211))</f>
        <v>0</v>
      </c>
      <c r="J215" s="14">
        <f>IF('Pegar ML'!C210="Paquete de 2 productos",IF('Pegar ML'!O210="",0,'Pegar ML'!O210),IF('Pegar ML'!O211="",0,'Pegar ML'!O211))</f>
        <v>0</v>
      </c>
      <c r="K215" s="14">
        <f t="shared" si="11"/>
        <v>0</v>
      </c>
      <c r="L215" s="27">
        <f>IF('Pegar ML'!AB211=" ",'Pegar ML'!AB210,'Pegar ML'!AB211)</f>
        <v>0</v>
      </c>
      <c r="M215" s="27" t="str">
        <f>IF('Pegar ML'!AC211=" ",RIGHT('Pegar ML'!AC210,8),RIGHT('Pegar ML'!AC211,8))</f>
        <v/>
      </c>
      <c r="N215" s="27" t="s">
        <v>80</v>
      </c>
      <c r="O215" s="27">
        <f t="shared" si="9"/>
        <v>0</v>
      </c>
      <c r="P215" s="27" t="s">
        <v>80</v>
      </c>
      <c r="Q215" s="55">
        <f>IF('Pegar ML'!AD211=" ",'Pegar ML'!AD210,'Pegar ML'!AD211)</f>
        <v>0</v>
      </c>
      <c r="R215" s="27" t="s">
        <v>80</v>
      </c>
      <c r="S215" s="27" t="s">
        <v>80</v>
      </c>
      <c r="T215" s="27" t="s">
        <v>80</v>
      </c>
      <c r="U215" s="55">
        <f>IF('Pegar ML'!AI211=" ",'Pegar ML'!AI210,'Pegar ML'!AI211)</f>
        <v>0</v>
      </c>
      <c r="V215" s="55">
        <f>IF('Pegar ML'!AK211=" ",'Pegar ML'!AK210,'Pegar ML'!AK211)</f>
        <v>0</v>
      </c>
      <c r="W215" s="55">
        <f>IF('Pegar ML'!AJ211=" ",'Pegar ML'!AJ210,'Pegar ML'!AJ211)</f>
        <v>0</v>
      </c>
      <c r="X215" s="55">
        <f>IF('Pegar ML'!AL211=" ",'Pegar ML'!AL210,'Pegar ML'!AL211)</f>
        <v>0</v>
      </c>
      <c r="Y215" s="27"/>
      <c r="Z215" s="27"/>
      <c r="AA215" s="27"/>
      <c r="AB215" s="27"/>
      <c r="AC215" s="27"/>
      <c r="AD215" s="27"/>
      <c r="AF215" s="8"/>
      <c r="AG215" s="27"/>
      <c r="AH215" s="14">
        <f>+'Pegar ML'!Y211</f>
        <v>0</v>
      </c>
      <c r="AI215" s="13">
        <f t="shared" si="10"/>
        <v>1</v>
      </c>
      <c r="AJ215" s="7">
        <f>+'Pegar ML'!T211</f>
        <v>0</v>
      </c>
      <c r="AK215" s="27"/>
      <c r="AL215" s="27"/>
      <c r="AM215" s="27"/>
      <c r="AN215" s="27"/>
      <c r="AO215" s="27"/>
      <c r="AP215" s="27"/>
      <c r="AQ215" s="27"/>
      <c r="AR215" s="27"/>
      <c r="AS215" s="27">
        <v>17</v>
      </c>
    </row>
    <row r="216" spans="1:45" ht="15" customHeight="1" x14ac:dyDescent="0.25">
      <c r="A216" s="27">
        <f>IF('Pegar ML'!C211="Paquete de 2 productos",'Pegar ML'!A211,IF('Pegar ML'!C210="Paquete de 2 productos",'Pegar ML'!A210,'Pegar ML'!A212))</f>
        <v>0</v>
      </c>
      <c r="B216" s="27"/>
      <c r="C216" s="30" t="e">
        <f>IF(AjusteFecha!I212=0,"",AjusteFecha!I212)</f>
        <v>#N/A</v>
      </c>
      <c r="D216" s="27"/>
      <c r="E216" s="27"/>
      <c r="F216" s="27" t="str">
        <f>IF('Pegar ML'!C212="","",'Pegar ML'!C212)</f>
        <v/>
      </c>
      <c r="G216" s="27" t="str">
        <f>IF('Pegar ML'!G207="ARS","PS","PS")</f>
        <v>PS</v>
      </c>
      <c r="H216" s="14">
        <f>IF('Pegar ML'!C211="Paquete de 2 productos",IF('Pegar ML'!H211="",0,'Pegar ML'!H211),IF('Pegar ML'!H212="",0,'Pegar ML'!H212))</f>
        <v>0</v>
      </c>
      <c r="I216" s="14">
        <f>IF('Pegar ML'!C211="Paquete de 2 productos",IF('Pegar ML'!O211="",0,'Pegar ML'!O211),IF('Pegar ML'!O212="",0,'Pegar ML'!O212))</f>
        <v>0</v>
      </c>
      <c r="J216" s="14">
        <f>IF('Pegar ML'!C211="Paquete de 2 productos",IF('Pegar ML'!O211="",0,'Pegar ML'!O211),IF('Pegar ML'!O212="",0,'Pegar ML'!O212))</f>
        <v>0</v>
      </c>
      <c r="K216" s="14">
        <f t="shared" si="11"/>
        <v>0</v>
      </c>
      <c r="L216" s="27">
        <f>IF('Pegar ML'!AB212=" ",'Pegar ML'!AB211,'Pegar ML'!AB212)</f>
        <v>0</v>
      </c>
      <c r="M216" s="27" t="str">
        <f>IF('Pegar ML'!AC212=" ",RIGHT('Pegar ML'!AC211,8),RIGHT('Pegar ML'!AC212,8))</f>
        <v/>
      </c>
      <c r="N216" s="27" t="s">
        <v>80</v>
      </c>
      <c r="O216" s="27">
        <f t="shared" si="9"/>
        <v>0</v>
      </c>
      <c r="P216" s="27" t="s">
        <v>80</v>
      </c>
      <c r="Q216" s="55">
        <f>IF('Pegar ML'!AD212=" ",'Pegar ML'!AD211,'Pegar ML'!AD212)</f>
        <v>0</v>
      </c>
      <c r="R216" s="27" t="s">
        <v>80</v>
      </c>
      <c r="S216" s="27" t="s">
        <v>80</v>
      </c>
      <c r="T216" s="27" t="s">
        <v>80</v>
      </c>
      <c r="U216" s="55">
        <f>IF('Pegar ML'!AI212=" ",'Pegar ML'!AI211,'Pegar ML'!AI212)</f>
        <v>0</v>
      </c>
      <c r="V216" s="55">
        <f>IF('Pegar ML'!AK212=" ",'Pegar ML'!AK211,'Pegar ML'!AK212)</f>
        <v>0</v>
      </c>
      <c r="W216" s="55">
        <f>IF('Pegar ML'!AJ212=" ",'Pegar ML'!AJ211,'Pegar ML'!AJ212)</f>
        <v>0</v>
      </c>
      <c r="X216" s="55">
        <f>IF('Pegar ML'!AL212=" ",'Pegar ML'!AL211,'Pegar ML'!AL212)</f>
        <v>0</v>
      </c>
      <c r="Y216" s="27"/>
      <c r="Z216" s="27"/>
      <c r="AA216" s="27"/>
      <c r="AB216" s="27"/>
      <c r="AC216" s="27"/>
      <c r="AD216" s="27"/>
      <c r="AF216" s="8"/>
      <c r="AG216" s="27"/>
      <c r="AH216" s="14">
        <f>+'Pegar ML'!Y212</f>
        <v>0</v>
      </c>
      <c r="AI216" s="13">
        <f t="shared" si="10"/>
        <v>1</v>
      </c>
      <c r="AJ216" s="7">
        <f>+'Pegar ML'!T212</f>
        <v>0</v>
      </c>
      <c r="AK216" s="27"/>
      <c r="AL216" s="27"/>
      <c r="AM216" s="27"/>
      <c r="AN216" s="27"/>
      <c r="AO216" s="27"/>
      <c r="AP216" s="27"/>
      <c r="AQ216" s="27"/>
      <c r="AR216" s="27"/>
      <c r="AS216" s="27">
        <v>17</v>
      </c>
    </row>
    <row r="217" spans="1:45" x14ac:dyDescent="0.25">
      <c r="A217" s="27">
        <f>IF('Pegar ML'!C212="Paquete de 2 productos",'Pegar ML'!A212,IF('Pegar ML'!C211="Paquete de 2 productos",'Pegar ML'!A211,'Pegar ML'!A213))</f>
        <v>0</v>
      </c>
      <c r="B217" s="27"/>
      <c r="C217" s="30" t="e">
        <f>IF(AjusteFecha!I213=0,"",AjusteFecha!I213)</f>
        <v>#N/A</v>
      </c>
      <c r="D217" s="27"/>
      <c r="E217" s="27"/>
      <c r="F217" s="27" t="str">
        <f>IF('Pegar ML'!C213="","",'Pegar ML'!C213)</f>
        <v/>
      </c>
      <c r="G217" s="27" t="str">
        <f>IF('Pegar ML'!G208="ARS","PS","PS")</f>
        <v>PS</v>
      </c>
      <c r="H217" s="14">
        <f>IF('Pegar ML'!C212="Paquete de 2 productos",IF('Pegar ML'!H212="",0,'Pegar ML'!H212),IF('Pegar ML'!H213="",0,'Pegar ML'!H213))</f>
        <v>0</v>
      </c>
      <c r="I217" s="14">
        <f>IF('Pegar ML'!C212="Paquete de 2 productos",IF('Pegar ML'!O212="",0,'Pegar ML'!O212),IF('Pegar ML'!O213="",0,'Pegar ML'!O213))</f>
        <v>0</v>
      </c>
      <c r="J217" s="14">
        <f>IF('Pegar ML'!C212="Paquete de 2 productos",IF('Pegar ML'!O212="",0,'Pegar ML'!O212),IF('Pegar ML'!O213="",0,'Pegar ML'!O213))</f>
        <v>0</v>
      </c>
      <c r="K217" s="14">
        <f t="shared" si="11"/>
        <v>0</v>
      </c>
      <c r="L217" s="27">
        <f>IF('Pegar ML'!AB213=" ",'Pegar ML'!AB212,'Pegar ML'!AB213)</f>
        <v>0</v>
      </c>
      <c r="M217" s="27" t="str">
        <f>IF('Pegar ML'!AC213=" ",RIGHT('Pegar ML'!AC212,8),RIGHT('Pegar ML'!AC213,8))</f>
        <v/>
      </c>
      <c r="N217" s="27" t="s">
        <v>80</v>
      </c>
      <c r="O217" s="27">
        <f t="shared" si="9"/>
        <v>0</v>
      </c>
      <c r="P217" s="27" t="s">
        <v>80</v>
      </c>
      <c r="Q217" s="55">
        <f>IF('Pegar ML'!AD213=" ",'Pegar ML'!AD212,'Pegar ML'!AD213)</f>
        <v>0</v>
      </c>
      <c r="R217" s="27" t="s">
        <v>80</v>
      </c>
      <c r="S217" s="27" t="s">
        <v>80</v>
      </c>
      <c r="T217" s="27" t="s">
        <v>80</v>
      </c>
      <c r="U217" s="55">
        <f>IF('Pegar ML'!AI213=" ",'Pegar ML'!AI212,'Pegar ML'!AI213)</f>
        <v>0</v>
      </c>
      <c r="V217" s="55">
        <f>IF('Pegar ML'!AK213=" ",'Pegar ML'!AK212,'Pegar ML'!AK213)</f>
        <v>0</v>
      </c>
      <c r="W217" s="55">
        <f>IF('Pegar ML'!AJ213=" ",'Pegar ML'!AJ212,'Pegar ML'!AJ213)</f>
        <v>0</v>
      </c>
      <c r="X217" s="55">
        <f>IF('Pegar ML'!AL213=" ",'Pegar ML'!AL212,'Pegar ML'!AL213)</f>
        <v>0</v>
      </c>
      <c r="Y217" s="27"/>
      <c r="Z217" s="27"/>
      <c r="AA217" s="27"/>
      <c r="AB217" s="27"/>
      <c r="AC217" s="27"/>
      <c r="AD217" s="27"/>
      <c r="AF217" s="8"/>
      <c r="AG217" s="27"/>
      <c r="AH217" s="14">
        <f>+'Pegar ML'!Y213</f>
        <v>0</v>
      </c>
      <c r="AI217" s="13">
        <f t="shared" si="10"/>
        <v>1</v>
      </c>
      <c r="AJ217" s="7">
        <f>+'Pegar ML'!T213</f>
        <v>0</v>
      </c>
      <c r="AK217" s="27"/>
      <c r="AL217" s="27"/>
      <c r="AM217" s="27"/>
      <c r="AN217" s="27"/>
      <c r="AO217" s="27"/>
      <c r="AP217" s="27"/>
      <c r="AQ217" s="27"/>
      <c r="AR217" s="27"/>
      <c r="AS217" s="27">
        <v>17</v>
      </c>
    </row>
    <row r="218" spans="1:45" x14ac:dyDescent="0.25">
      <c r="A218" s="27">
        <f>IF('Pegar ML'!C213="Paquete de 2 productos",'Pegar ML'!A213,IF('Pegar ML'!C212="Paquete de 2 productos",'Pegar ML'!A212,'Pegar ML'!A214))</f>
        <v>0</v>
      </c>
      <c r="B218" s="27"/>
      <c r="C218" s="30" t="e">
        <f>IF(AjusteFecha!I214=0,"",AjusteFecha!I214)</f>
        <v>#N/A</v>
      </c>
      <c r="D218" s="27"/>
      <c r="E218" s="27"/>
      <c r="F218" s="27" t="str">
        <f>IF('Pegar ML'!C214="","",'Pegar ML'!C214)</f>
        <v/>
      </c>
      <c r="G218" s="27" t="str">
        <f>IF('Pegar ML'!G209="ARS","PS","PS")</f>
        <v>PS</v>
      </c>
      <c r="H218" s="14">
        <f>IF('Pegar ML'!C213="Paquete de 2 productos",IF('Pegar ML'!H213="",0,'Pegar ML'!H213),IF('Pegar ML'!H214="",0,'Pegar ML'!H214))</f>
        <v>0</v>
      </c>
      <c r="I218" s="14">
        <f>IF('Pegar ML'!C213="Paquete de 2 productos",IF('Pegar ML'!O213="",0,'Pegar ML'!O213),IF('Pegar ML'!O214="",0,'Pegar ML'!O214))</f>
        <v>0</v>
      </c>
      <c r="J218" s="14">
        <f>IF('Pegar ML'!C213="Paquete de 2 productos",IF('Pegar ML'!O213="",0,'Pegar ML'!O213),IF('Pegar ML'!O214="",0,'Pegar ML'!O214))</f>
        <v>0</v>
      </c>
      <c r="K218" s="14">
        <f t="shared" si="11"/>
        <v>0</v>
      </c>
      <c r="L218" s="27">
        <f>IF('Pegar ML'!AB214=" ",'Pegar ML'!AB213,'Pegar ML'!AB214)</f>
        <v>0</v>
      </c>
      <c r="M218" s="27" t="str">
        <f>IF('Pegar ML'!AC214=" ",RIGHT('Pegar ML'!AC213,8),RIGHT('Pegar ML'!AC214,8))</f>
        <v/>
      </c>
      <c r="N218" s="27" t="s">
        <v>80</v>
      </c>
      <c r="O218" s="27">
        <f t="shared" si="9"/>
        <v>0</v>
      </c>
      <c r="P218" s="27" t="s">
        <v>80</v>
      </c>
      <c r="Q218" s="55">
        <f>IF('Pegar ML'!AD214=" ",'Pegar ML'!AD213,'Pegar ML'!AD214)</f>
        <v>0</v>
      </c>
      <c r="R218" s="27" t="s">
        <v>80</v>
      </c>
      <c r="S218" s="27" t="s">
        <v>80</v>
      </c>
      <c r="T218" s="27" t="s">
        <v>80</v>
      </c>
      <c r="U218" s="55">
        <f>IF('Pegar ML'!AI214=" ",'Pegar ML'!AI213,'Pegar ML'!AI214)</f>
        <v>0</v>
      </c>
      <c r="V218" s="55">
        <f>IF('Pegar ML'!AK214=" ",'Pegar ML'!AK213,'Pegar ML'!AK214)</f>
        <v>0</v>
      </c>
      <c r="W218" s="55">
        <f>IF('Pegar ML'!AJ214=" ",'Pegar ML'!AJ213,'Pegar ML'!AJ214)</f>
        <v>0</v>
      </c>
      <c r="X218" s="55">
        <f>IF('Pegar ML'!AL214=" ",'Pegar ML'!AL213,'Pegar ML'!AL214)</f>
        <v>0</v>
      </c>
      <c r="Y218" s="27"/>
      <c r="Z218" s="27"/>
      <c r="AA218" s="27"/>
      <c r="AB218" s="27"/>
      <c r="AC218" s="27"/>
      <c r="AD218" s="27"/>
      <c r="AF218" s="8"/>
      <c r="AG218" s="27"/>
      <c r="AH218" s="14">
        <f>+'Pegar ML'!Y214</f>
        <v>0</v>
      </c>
      <c r="AI218" s="13">
        <f t="shared" si="10"/>
        <v>1</v>
      </c>
      <c r="AJ218" s="7">
        <f>+'Pegar ML'!T214</f>
        <v>0</v>
      </c>
      <c r="AK218" s="27"/>
      <c r="AL218" s="27"/>
      <c r="AM218" s="27"/>
      <c r="AN218" s="27"/>
      <c r="AO218" s="27"/>
      <c r="AP218" s="27"/>
      <c r="AQ218" s="27"/>
      <c r="AR218" s="27"/>
      <c r="AS218" s="27">
        <v>17</v>
      </c>
    </row>
    <row r="219" spans="1:45" x14ac:dyDescent="0.25">
      <c r="A219" s="27">
        <f>IF('Pegar ML'!C214="Paquete de 2 productos",'Pegar ML'!A214,IF('Pegar ML'!C213="Paquete de 2 productos",'Pegar ML'!A213,'Pegar ML'!A215))</f>
        <v>0</v>
      </c>
      <c r="B219" s="27"/>
      <c r="C219" s="30" t="e">
        <f>IF(AjusteFecha!I215=0,"",AjusteFecha!I215)</f>
        <v>#N/A</v>
      </c>
      <c r="D219" s="27"/>
      <c r="E219" s="27"/>
      <c r="F219" s="27" t="str">
        <f>IF('Pegar ML'!C215="","",'Pegar ML'!C215)</f>
        <v/>
      </c>
      <c r="G219" s="27" t="str">
        <f>IF('Pegar ML'!G210="ARS","PS","PS")</f>
        <v>PS</v>
      </c>
      <c r="H219" s="14">
        <f>IF('Pegar ML'!C214="Paquete de 2 productos",IF('Pegar ML'!H214="",0,'Pegar ML'!H214),IF('Pegar ML'!H215="",0,'Pegar ML'!H215))</f>
        <v>0</v>
      </c>
      <c r="I219" s="14">
        <f>IF('Pegar ML'!C214="Paquete de 2 productos",IF('Pegar ML'!O214="",0,'Pegar ML'!O214),IF('Pegar ML'!O215="",0,'Pegar ML'!O215))</f>
        <v>0</v>
      </c>
      <c r="J219" s="14">
        <f>IF('Pegar ML'!C214="Paquete de 2 productos",IF('Pegar ML'!O214="",0,'Pegar ML'!O214),IF('Pegar ML'!O215="",0,'Pegar ML'!O215))</f>
        <v>0</v>
      </c>
      <c r="K219" s="14">
        <f t="shared" si="11"/>
        <v>0</v>
      </c>
      <c r="L219" s="27">
        <f>IF('Pegar ML'!AB215=" ",'Pegar ML'!AB214,'Pegar ML'!AB215)</f>
        <v>0</v>
      </c>
      <c r="M219" s="27" t="str">
        <f>IF('Pegar ML'!AC215=" ",RIGHT('Pegar ML'!AC214,8),RIGHT('Pegar ML'!AC215,8))</f>
        <v/>
      </c>
      <c r="N219" s="27" t="s">
        <v>80</v>
      </c>
      <c r="O219" s="27">
        <f t="shared" si="9"/>
        <v>0</v>
      </c>
      <c r="P219" s="27" t="s">
        <v>80</v>
      </c>
      <c r="Q219" s="55">
        <f>IF('Pegar ML'!AD215=" ",'Pegar ML'!AD214,'Pegar ML'!AD215)</f>
        <v>0</v>
      </c>
      <c r="R219" s="27" t="s">
        <v>80</v>
      </c>
      <c r="S219" s="27" t="s">
        <v>80</v>
      </c>
      <c r="T219" s="27" t="s">
        <v>80</v>
      </c>
      <c r="U219" s="55">
        <f>IF('Pegar ML'!AI215=" ",'Pegar ML'!AI214,'Pegar ML'!AI215)</f>
        <v>0</v>
      </c>
      <c r="V219" s="55">
        <f>IF('Pegar ML'!AK215=" ",'Pegar ML'!AK214,'Pegar ML'!AK215)</f>
        <v>0</v>
      </c>
      <c r="W219" s="55">
        <f>IF('Pegar ML'!AJ215=" ",'Pegar ML'!AJ214,'Pegar ML'!AJ215)</f>
        <v>0</v>
      </c>
      <c r="X219" s="55">
        <f>IF('Pegar ML'!AL215=" ",'Pegar ML'!AL214,'Pegar ML'!AL215)</f>
        <v>0</v>
      </c>
      <c r="Y219" s="27"/>
      <c r="Z219" s="27"/>
      <c r="AA219" s="27"/>
      <c r="AB219" s="27"/>
      <c r="AC219" s="27"/>
      <c r="AD219" s="27"/>
      <c r="AF219" s="8"/>
      <c r="AG219" s="27"/>
      <c r="AH219" s="14">
        <f>+'Pegar ML'!Y215</f>
        <v>0</v>
      </c>
      <c r="AI219" s="13">
        <f t="shared" si="10"/>
        <v>1</v>
      </c>
      <c r="AJ219" s="7">
        <f>+'Pegar ML'!T215</f>
        <v>0</v>
      </c>
      <c r="AK219" s="27"/>
      <c r="AL219" s="27"/>
      <c r="AM219" s="27"/>
      <c r="AN219" s="27"/>
      <c r="AO219" s="27"/>
      <c r="AP219" s="27"/>
      <c r="AQ219" s="27"/>
      <c r="AR219" s="27"/>
      <c r="AS219" s="27">
        <v>17</v>
      </c>
    </row>
    <row r="220" spans="1:45" x14ac:dyDescent="0.25">
      <c r="A220" s="27">
        <f>IF('Pegar ML'!C215="Paquete de 2 productos",'Pegar ML'!A215,IF('Pegar ML'!C214="Paquete de 2 productos",'Pegar ML'!A214,'Pegar ML'!A216))</f>
        <v>0</v>
      </c>
      <c r="B220" s="27"/>
      <c r="C220" s="30" t="e">
        <f>IF(AjusteFecha!I216=0,"",AjusteFecha!I216)</f>
        <v>#N/A</v>
      </c>
      <c r="D220" s="27"/>
      <c r="E220" s="27"/>
      <c r="F220" s="27" t="str">
        <f>IF('Pegar ML'!C216="","",'Pegar ML'!C216)</f>
        <v/>
      </c>
      <c r="G220" s="27" t="str">
        <f>IF('Pegar ML'!G211="ARS","PS","PS")</f>
        <v>PS</v>
      </c>
      <c r="H220" s="14">
        <f>IF('Pegar ML'!C215="Paquete de 2 productos",IF('Pegar ML'!H215="",0,'Pegar ML'!H215),IF('Pegar ML'!H216="",0,'Pegar ML'!H216))</f>
        <v>0</v>
      </c>
      <c r="I220" s="14">
        <f>IF('Pegar ML'!C215="Paquete de 2 productos",IF('Pegar ML'!O215="",0,'Pegar ML'!O215),IF('Pegar ML'!O216="",0,'Pegar ML'!O216))</f>
        <v>0</v>
      </c>
      <c r="J220" s="14">
        <f>IF('Pegar ML'!C215="Paquete de 2 productos",IF('Pegar ML'!O215="",0,'Pegar ML'!O215),IF('Pegar ML'!O216="",0,'Pegar ML'!O216))</f>
        <v>0</v>
      </c>
      <c r="K220" s="14">
        <f t="shared" si="11"/>
        <v>0</v>
      </c>
      <c r="L220" s="27">
        <f>IF('Pegar ML'!AB216=" ",'Pegar ML'!AB215,'Pegar ML'!AB216)</f>
        <v>0</v>
      </c>
      <c r="M220" s="27" t="str">
        <f>IF('Pegar ML'!AC216=" ",RIGHT('Pegar ML'!AC215,8),RIGHT('Pegar ML'!AC216,8))</f>
        <v/>
      </c>
      <c r="N220" s="27" t="s">
        <v>80</v>
      </c>
      <c r="O220" s="27">
        <f t="shared" si="9"/>
        <v>0</v>
      </c>
      <c r="P220" s="27" t="s">
        <v>80</v>
      </c>
      <c r="Q220" s="55">
        <f>IF('Pegar ML'!AD216=" ",'Pegar ML'!AD215,'Pegar ML'!AD216)</f>
        <v>0</v>
      </c>
      <c r="R220" s="27" t="s">
        <v>80</v>
      </c>
      <c r="S220" s="27" t="s">
        <v>80</v>
      </c>
      <c r="T220" s="27" t="s">
        <v>80</v>
      </c>
      <c r="U220" s="55">
        <f>IF('Pegar ML'!AI216=" ",'Pegar ML'!AI215,'Pegar ML'!AI216)</f>
        <v>0</v>
      </c>
      <c r="V220" s="55">
        <f>IF('Pegar ML'!AK216=" ",'Pegar ML'!AK215,'Pegar ML'!AK216)</f>
        <v>0</v>
      </c>
      <c r="W220" s="55">
        <f>IF('Pegar ML'!AJ216=" ",'Pegar ML'!AJ215,'Pegar ML'!AJ216)</f>
        <v>0</v>
      </c>
      <c r="X220" s="55">
        <f>IF('Pegar ML'!AL216=" ",'Pegar ML'!AL215,'Pegar ML'!AL216)</f>
        <v>0</v>
      </c>
      <c r="Y220" s="27"/>
      <c r="Z220" s="27"/>
      <c r="AA220" s="27"/>
      <c r="AB220" s="27"/>
      <c r="AC220" s="27"/>
      <c r="AD220" s="27"/>
      <c r="AF220" s="8"/>
      <c r="AG220" s="27"/>
      <c r="AH220" s="14">
        <f>+'Pegar ML'!Y216</f>
        <v>0</v>
      </c>
      <c r="AI220" s="13">
        <f t="shared" si="10"/>
        <v>1</v>
      </c>
      <c r="AJ220" s="7">
        <f>+'Pegar ML'!T216</f>
        <v>0</v>
      </c>
      <c r="AK220" s="27"/>
      <c r="AL220" s="27"/>
      <c r="AM220" s="27"/>
      <c r="AN220" s="27"/>
      <c r="AO220" s="27"/>
      <c r="AP220" s="27"/>
      <c r="AQ220" s="27"/>
      <c r="AR220" s="27"/>
      <c r="AS220" s="27">
        <v>17</v>
      </c>
    </row>
    <row r="221" spans="1:45" x14ac:dyDescent="0.25">
      <c r="A221" s="27">
        <f>IF('Pegar ML'!C216="Paquete de 2 productos",'Pegar ML'!A216,IF('Pegar ML'!C215="Paquete de 2 productos",'Pegar ML'!A215,'Pegar ML'!A217))</f>
        <v>0</v>
      </c>
      <c r="B221" s="27"/>
      <c r="C221" s="30" t="e">
        <f>IF(AjusteFecha!I217=0,"",AjusteFecha!I217)</f>
        <v>#N/A</v>
      </c>
      <c r="D221" s="27"/>
      <c r="E221" s="27"/>
      <c r="F221" s="27" t="str">
        <f>IF('Pegar ML'!C217="","",'Pegar ML'!C217)</f>
        <v/>
      </c>
      <c r="G221" s="27" t="str">
        <f>IF('Pegar ML'!G212="ARS","PS","PS")</f>
        <v>PS</v>
      </c>
      <c r="H221" s="14">
        <f>IF('Pegar ML'!C216="Paquete de 2 productos",IF('Pegar ML'!H216="",0,'Pegar ML'!H216),IF('Pegar ML'!H217="",0,'Pegar ML'!H217))</f>
        <v>0</v>
      </c>
      <c r="I221" s="14">
        <f>IF('Pegar ML'!C216="Paquete de 2 productos",IF('Pegar ML'!O216="",0,'Pegar ML'!O216),IF('Pegar ML'!O217="",0,'Pegar ML'!O217))</f>
        <v>0</v>
      </c>
      <c r="J221" s="14">
        <f>IF('Pegar ML'!C216="Paquete de 2 productos",IF('Pegar ML'!O216="",0,'Pegar ML'!O216),IF('Pegar ML'!O217="",0,'Pegar ML'!O217))</f>
        <v>0</v>
      </c>
      <c r="K221" s="14">
        <f t="shared" si="11"/>
        <v>0</v>
      </c>
      <c r="L221" s="27">
        <f>IF('Pegar ML'!AB217=" ",'Pegar ML'!AB216,'Pegar ML'!AB217)</f>
        <v>0</v>
      </c>
      <c r="M221" s="27" t="str">
        <f>IF('Pegar ML'!AC217=" ",RIGHT('Pegar ML'!AC216,8),RIGHT('Pegar ML'!AC217,8))</f>
        <v/>
      </c>
      <c r="N221" s="27" t="s">
        <v>80</v>
      </c>
      <c r="O221" s="27">
        <f t="shared" si="9"/>
        <v>0</v>
      </c>
      <c r="P221" s="27" t="s">
        <v>80</v>
      </c>
      <c r="Q221" s="55">
        <f>IF('Pegar ML'!AD217=" ",'Pegar ML'!AD216,'Pegar ML'!AD217)</f>
        <v>0</v>
      </c>
      <c r="R221" s="27" t="s">
        <v>80</v>
      </c>
      <c r="S221" s="27" t="s">
        <v>80</v>
      </c>
      <c r="T221" s="27" t="s">
        <v>80</v>
      </c>
      <c r="U221" s="55">
        <f>IF('Pegar ML'!AI217=" ",'Pegar ML'!AI216,'Pegar ML'!AI217)</f>
        <v>0</v>
      </c>
      <c r="V221" s="55">
        <f>IF('Pegar ML'!AK217=" ",'Pegar ML'!AK216,'Pegar ML'!AK217)</f>
        <v>0</v>
      </c>
      <c r="W221" s="55">
        <f>IF('Pegar ML'!AJ217=" ",'Pegar ML'!AJ216,'Pegar ML'!AJ217)</f>
        <v>0</v>
      </c>
      <c r="X221" s="55">
        <f>IF('Pegar ML'!AL217=" ",'Pegar ML'!AL216,'Pegar ML'!AL217)</f>
        <v>0</v>
      </c>
      <c r="Y221" s="27"/>
      <c r="Z221" s="27"/>
      <c r="AA221" s="27"/>
      <c r="AB221" s="27"/>
      <c r="AC221" s="27"/>
      <c r="AD221" s="27"/>
      <c r="AF221" s="8"/>
      <c r="AG221" s="27"/>
      <c r="AH221" s="14">
        <f>+'Pegar ML'!Y217</f>
        <v>0</v>
      </c>
      <c r="AI221" s="13">
        <f t="shared" si="10"/>
        <v>1</v>
      </c>
      <c r="AJ221" s="7">
        <f>+'Pegar ML'!T217</f>
        <v>0</v>
      </c>
      <c r="AK221" s="27"/>
      <c r="AL221" s="27"/>
      <c r="AM221" s="27"/>
      <c r="AN221" s="27"/>
      <c r="AO221" s="27"/>
      <c r="AP221" s="27"/>
      <c r="AQ221" s="27"/>
      <c r="AR221" s="27"/>
      <c r="AS221" s="27">
        <v>17</v>
      </c>
    </row>
    <row r="222" spans="1:45" x14ac:dyDescent="0.25">
      <c r="A222" s="27">
        <f>IF('Pegar ML'!C217="Paquete de 2 productos",'Pegar ML'!A217,IF('Pegar ML'!C216="Paquete de 2 productos",'Pegar ML'!A216,'Pegar ML'!A218))</f>
        <v>0</v>
      </c>
      <c r="B222" s="27"/>
      <c r="C222" s="30" t="e">
        <f>IF(AjusteFecha!I218=0,"",AjusteFecha!I218)</f>
        <v>#N/A</v>
      </c>
      <c r="D222" s="27"/>
      <c r="E222" s="27"/>
      <c r="F222" s="27" t="str">
        <f>IF('Pegar ML'!C218="","",'Pegar ML'!C218)</f>
        <v/>
      </c>
      <c r="G222" s="27" t="str">
        <f>IF('Pegar ML'!G213="ARS","PS","PS")</f>
        <v>PS</v>
      </c>
      <c r="H222" s="14">
        <f>IF('Pegar ML'!C217="Paquete de 2 productos",IF('Pegar ML'!H217="",0,'Pegar ML'!H217),IF('Pegar ML'!H218="",0,'Pegar ML'!H218))</f>
        <v>0</v>
      </c>
      <c r="I222" s="14">
        <f>IF('Pegar ML'!C217="Paquete de 2 productos",IF('Pegar ML'!O217="",0,'Pegar ML'!O217),IF('Pegar ML'!O218="",0,'Pegar ML'!O218))</f>
        <v>0</v>
      </c>
      <c r="J222" s="14">
        <f>IF('Pegar ML'!C217="Paquete de 2 productos",IF('Pegar ML'!O217="",0,'Pegar ML'!O217),IF('Pegar ML'!O218="",0,'Pegar ML'!O218))</f>
        <v>0</v>
      </c>
      <c r="K222" s="14">
        <f t="shared" si="11"/>
        <v>0</v>
      </c>
      <c r="L222" s="27">
        <f>IF('Pegar ML'!AB218=" ",'Pegar ML'!AB217,'Pegar ML'!AB218)</f>
        <v>0</v>
      </c>
      <c r="M222" s="27" t="str">
        <f>IF('Pegar ML'!AC218=" ",RIGHT('Pegar ML'!AC217,8),RIGHT('Pegar ML'!AC218,8))</f>
        <v/>
      </c>
      <c r="N222" s="27" t="s">
        <v>80</v>
      </c>
      <c r="O222" s="27">
        <f t="shared" si="9"/>
        <v>0</v>
      </c>
      <c r="P222" s="27" t="s">
        <v>80</v>
      </c>
      <c r="Q222" s="55">
        <f>IF('Pegar ML'!AD218=" ",'Pegar ML'!AD217,'Pegar ML'!AD218)</f>
        <v>0</v>
      </c>
      <c r="R222" s="27" t="s">
        <v>80</v>
      </c>
      <c r="S222" s="27" t="s">
        <v>80</v>
      </c>
      <c r="T222" s="27" t="s">
        <v>80</v>
      </c>
      <c r="U222" s="55">
        <f>IF('Pegar ML'!AI218=" ",'Pegar ML'!AI217,'Pegar ML'!AI218)</f>
        <v>0</v>
      </c>
      <c r="V222" s="55">
        <f>IF('Pegar ML'!AK218=" ",'Pegar ML'!AK217,'Pegar ML'!AK218)</f>
        <v>0</v>
      </c>
      <c r="W222" s="55">
        <f>IF('Pegar ML'!AJ218=" ",'Pegar ML'!AJ217,'Pegar ML'!AJ218)</f>
        <v>0</v>
      </c>
      <c r="X222" s="55">
        <f>IF('Pegar ML'!AL218=" ",'Pegar ML'!AL217,'Pegar ML'!AL218)</f>
        <v>0</v>
      </c>
      <c r="Y222" s="27"/>
      <c r="Z222" s="27"/>
      <c r="AA222" s="27"/>
      <c r="AB222" s="27"/>
      <c r="AC222" s="27"/>
      <c r="AD222" s="27"/>
      <c r="AF222" s="8"/>
      <c r="AG222" s="27"/>
      <c r="AH222" s="14">
        <f>+'Pegar ML'!Y218</f>
        <v>0</v>
      </c>
      <c r="AI222" s="13">
        <f t="shared" si="10"/>
        <v>1</v>
      </c>
      <c r="AJ222" s="7">
        <f>+'Pegar ML'!T218</f>
        <v>0</v>
      </c>
      <c r="AK222" s="27"/>
      <c r="AL222" s="27"/>
      <c r="AM222" s="27"/>
      <c r="AN222" s="27"/>
      <c r="AO222" s="27"/>
      <c r="AP222" s="27"/>
      <c r="AQ222" s="27"/>
      <c r="AR222" s="27"/>
      <c r="AS222" s="27">
        <v>17</v>
      </c>
    </row>
    <row r="223" spans="1:45" ht="15" customHeight="1" x14ac:dyDescent="0.25">
      <c r="A223" s="27">
        <f>IF('Pegar ML'!C218="Paquete de 2 productos",'Pegar ML'!A218,IF('Pegar ML'!C217="Paquete de 2 productos",'Pegar ML'!A217,'Pegar ML'!A219))</f>
        <v>0</v>
      </c>
      <c r="B223" s="27"/>
      <c r="C223" s="30" t="e">
        <f>IF(AjusteFecha!I219=0,"",AjusteFecha!I219)</f>
        <v>#N/A</v>
      </c>
      <c r="D223" s="27"/>
      <c r="E223" s="27"/>
      <c r="F223" s="27" t="str">
        <f>IF('Pegar ML'!C219="","",'Pegar ML'!C219)</f>
        <v/>
      </c>
      <c r="G223" s="27" t="str">
        <f>IF('Pegar ML'!G214="ARS","PS","PS")</f>
        <v>PS</v>
      </c>
      <c r="H223" s="14">
        <f>IF('Pegar ML'!C218="Paquete de 2 productos",IF('Pegar ML'!H218="",0,'Pegar ML'!H218),IF('Pegar ML'!H219="",0,'Pegar ML'!H219))</f>
        <v>0</v>
      </c>
      <c r="I223" s="14">
        <f>IF('Pegar ML'!C218="Paquete de 2 productos",IF('Pegar ML'!O218="",0,'Pegar ML'!O218),IF('Pegar ML'!O219="",0,'Pegar ML'!O219))</f>
        <v>0</v>
      </c>
      <c r="J223" s="14">
        <f>IF('Pegar ML'!C218="Paquete de 2 productos",IF('Pegar ML'!O218="",0,'Pegar ML'!O218),IF('Pegar ML'!O219="",0,'Pegar ML'!O219))</f>
        <v>0</v>
      </c>
      <c r="K223" s="14">
        <f t="shared" si="11"/>
        <v>0</v>
      </c>
      <c r="L223" s="27">
        <f>IF('Pegar ML'!AB219=" ",'Pegar ML'!AB218,'Pegar ML'!AB219)</f>
        <v>0</v>
      </c>
      <c r="M223" s="27" t="str">
        <f>IF('Pegar ML'!AC219=" ",RIGHT('Pegar ML'!AC218,8),RIGHT('Pegar ML'!AC219,8))</f>
        <v/>
      </c>
      <c r="N223" s="27" t="s">
        <v>80</v>
      </c>
      <c r="O223" s="27">
        <f t="shared" si="9"/>
        <v>0</v>
      </c>
      <c r="P223" s="27" t="s">
        <v>80</v>
      </c>
      <c r="Q223" s="55">
        <f>IF('Pegar ML'!AD219=" ",'Pegar ML'!AD218,'Pegar ML'!AD219)</f>
        <v>0</v>
      </c>
      <c r="R223" s="27" t="s">
        <v>80</v>
      </c>
      <c r="S223" s="27" t="s">
        <v>80</v>
      </c>
      <c r="T223" s="27" t="s">
        <v>80</v>
      </c>
      <c r="U223" s="55">
        <f>IF('Pegar ML'!AI219=" ",'Pegar ML'!AI218,'Pegar ML'!AI219)</f>
        <v>0</v>
      </c>
      <c r="V223" s="55">
        <f>IF('Pegar ML'!AK219=" ",'Pegar ML'!AK218,'Pegar ML'!AK219)</f>
        <v>0</v>
      </c>
      <c r="W223" s="55">
        <f>IF('Pegar ML'!AJ219=" ",'Pegar ML'!AJ218,'Pegar ML'!AJ219)</f>
        <v>0</v>
      </c>
      <c r="X223" s="55">
        <f>IF('Pegar ML'!AL219=" ",'Pegar ML'!AL218,'Pegar ML'!AL219)</f>
        <v>0</v>
      </c>
      <c r="Y223" s="27"/>
      <c r="Z223" s="27"/>
      <c r="AA223" s="27"/>
      <c r="AB223" s="27"/>
      <c r="AC223" s="27"/>
      <c r="AD223" s="27"/>
      <c r="AF223" s="8"/>
      <c r="AG223" s="27"/>
      <c r="AH223" s="14">
        <f>+'Pegar ML'!Y219</f>
        <v>0</v>
      </c>
      <c r="AI223" s="13">
        <f t="shared" si="10"/>
        <v>1</v>
      </c>
      <c r="AJ223" s="7">
        <f>+'Pegar ML'!T219</f>
        <v>0</v>
      </c>
      <c r="AK223" s="27"/>
      <c r="AL223" s="27"/>
      <c r="AM223" s="27"/>
      <c r="AN223" s="27"/>
      <c r="AO223" s="27"/>
      <c r="AP223" s="27"/>
      <c r="AQ223" s="27"/>
      <c r="AR223" s="27"/>
      <c r="AS223" s="27">
        <v>17</v>
      </c>
    </row>
    <row r="224" spans="1:45" x14ac:dyDescent="0.25">
      <c r="A224" s="27">
        <f>IF('Pegar ML'!C219="Paquete de 2 productos",'Pegar ML'!A219,IF('Pegar ML'!C218="Paquete de 2 productos",'Pegar ML'!A218,'Pegar ML'!A220))</f>
        <v>0</v>
      </c>
      <c r="B224" s="27"/>
      <c r="C224" s="30" t="e">
        <f>IF(AjusteFecha!I220=0,"",AjusteFecha!I220)</f>
        <v>#N/A</v>
      </c>
      <c r="D224" s="27"/>
      <c r="E224" s="27"/>
      <c r="F224" s="27" t="str">
        <f>IF('Pegar ML'!C220="","",'Pegar ML'!C220)</f>
        <v/>
      </c>
      <c r="G224" s="27" t="str">
        <f>IF('Pegar ML'!G215="ARS","PS","PS")</f>
        <v>PS</v>
      </c>
      <c r="H224" s="14">
        <f>IF('Pegar ML'!C219="Paquete de 2 productos",IF('Pegar ML'!H219="",0,'Pegar ML'!H219),IF('Pegar ML'!H220="",0,'Pegar ML'!H220))</f>
        <v>0</v>
      </c>
      <c r="I224" s="14">
        <f>IF('Pegar ML'!C219="Paquete de 2 productos",IF('Pegar ML'!O219="",0,'Pegar ML'!O219),IF('Pegar ML'!O220="",0,'Pegar ML'!O220))</f>
        <v>0</v>
      </c>
      <c r="J224" s="14">
        <f>IF('Pegar ML'!C219="Paquete de 2 productos",IF('Pegar ML'!O219="",0,'Pegar ML'!O219),IF('Pegar ML'!O220="",0,'Pegar ML'!O220))</f>
        <v>0</v>
      </c>
      <c r="K224" s="14">
        <f t="shared" si="11"/>
        <v>0</v>
      </c>
      <c r="L224" s="27">
        <f>IF('Pegar ML'!AB220=" ",'Pegar ML'!AB219,'Pegar ML'!AB220)</f>
        <v>0</v>
      </c>
      <c r="M224" s="27" t="str">
        <f>IF('Pegar ML'!AC220=" ",RIGHT('Pegar ML'!AC219,8),RIGHT('Pegar ML'!AC220,8))</f>
        <v/>
      </c>
      <c r="N224" s="27" t="s">
        <v>80</v>
      </c>
      <c r="O224" s="27">
        <f t="shared" si="9"/>
        <v>0</v>
      </c>
      <c r="P224" s="27" t="s">
        <v>80</v>
      </c>
      <c r="Q224" s="55">
        <f>IF('Pegar ML'!AD220=" ",'Pegar ML'!AD219,'Pegar ML'!AD220)</f>
        <v>0</v>
      </c>
      <c r="R224" s="27" t="s">
        <v>80</v>
      </c>
      <c r="S224" s="27" t="s">
        <v>80</v>
      </c>
      <c r="T224" s="27" t="s">
        <v>80</v>
      </c>
      <c r="U224" s="55">
        <f>IF('Pegar ML'!AI220=" ",'Pegar ML'!AI219,'Pegar ML'!AI220)</f>
        <v>0</v>
      </c>
      <c r="V224" s="55">
        <f>IF('Pegar ML'!AK220=" ",'Pegar ML'!AK219,'Pegar ML'!AK220)</f>
        <v>0</v>
      </c>
      <c r="W224" s="55">
        <f>IF('Pegar ML'!AJ220=" ",'Pegar ML'!AJ219,'Pegar ML'!AJ220)</f>
        <v>0</v>
      </c>
      <c r="X224" s="55">
        <f>IF('Pegar ML'!AL220=" ",'Pegar ML'!AL219,'Pegar ML'!AL220)</f>
        <v>0</v>
      </c>
      <c r="Y224" s="27"/>
      <c r="Z224" s="27"/>
      <c r="AA224" s="27"/>
      <c r="AB224" s="27"/>
      <c r="AC224" s="27"/>
      <c r="AD224" s="27"/>
      <c r="AF224" s="8"/>
      <c r="AG224" s="27"/>
      <c r="AH224" s="14">
        <f>+'Pegar ML'!Y220</f>
        <v>0</v>
      </c>
      <c r="AI224" s="13">
        <f t="shared" si="10"/>
        <v>1</v>
      </c>
      <c r="AJ224" s="7">
        <f>+'Pegar ML'!T220</f>
        <v>0</v>
      </c>
      <c r="AK224" s="27"/>
      <c r="AL224" s="27"/>
      <c r="AM224" s="27"/>
      <c r="AN224" s="27"/>
      <c r="AO224" s="27"/>
      <c r="AP224" s="27"/>
      <c r="AQ224" s="27"/>
      <c r="AR224" s="27"/>
      <c r="AS224" s="27">
        <v>17</v>
      </c>
    </row>
    <row r="225" spans="1:45" x14ac:dyDescent="0.25">
      <c r="A225" s="27">
        <f>IF('Pegar ML'!C220="Paquete de 2 productos",'Pegar ML'!A220,IF('Pegar ML'!C219="Paquete de 2 productos",'Pegar ML'!A219,'Pegar ML'!A221))</f>
        <v>0</v>
      </c>
      <c r="B225" s="27"/>
      <c r="C225" s="30" t="e">
        <f>IF(AjusteFecha!I221=0,"",AjusteFecha!I221)</f>
        <v>#N/A</v>
      </c>
      <c r="D225" s="27"/>
      <c r="E225" s="27"/>
      <c r="F225" s="27" t="str">
        <f>IF('Pegar ML'!C221="","",'Pegar ML'!C221)</f>
        <v/>
      </c>
      <c r="G225" s="27" t="str">
        <f>IF('Pegar ML'!G216="ARS","PS","PS")</f>
        <v>PS</v>
      </c>
      <c r="H225" s="14">
        <f>IF('Pegar ML'!C220="Paquete de 2 productos",IF('Pegar ML'!H220="",0,'Pegar ML'!H220),IF('Pegar ML'!H221="",0,'Pegar ML'!H221))</f>
        <v>0</v>
      </c>
      <c r="I225" s="14">
        <f>IF('Pegar ML'!C220="Paquete de 2 productos",IF('Pegar ML'!O220="",0,'Pegar ML'!O220),IF('Pegar ML'!O221="",0,'Pegar ML'!O221))</f>
        <v>0</v>
      </c>
      <c r="J225" s="14">
        <f>IF('Pegar ML'!C220="Paquete de 2 productos",IF('Pegar ML'!O220="",0,'Pegar ML'!O220),IF('Pegar ML'!O221="",0,'Pegar ML'!O221))</f>
        <v>0</v>
      </c>
      <c r="K225" s="14">
        <f t="shared" si="11"/>
        <v>0</v>
      </c>
      <c r="L225" s="27">
        <f>IF('Pegar ML'!AB221=" ",'Pegar ML'!AB220,'Pegar ML'!AB221)</f>
        <v>0</v>
      </c>
      <c r="M225" s="27" t="str">
        <f>IF('Pegar ML'!AC221=" ",RIGHT('Pegar ML'!AC220,8),RIGHT('Pegar ML'!AC221,8))</f>
        <v/>
      </c>
      <c r="N225" s="27" t="s">
        <v>80</v>
      </c>
      <c r="O225" s="27">
        <f t="shared" si="9"/>
        <v>0</v>
      </c>
      <c r="P225" s="27" t="s">
        <v>80</v>
      </c>
      <c r="Q225" s="55">
        <f>IF('Pegar ML'!AD221=" ",'Pegar ML'!AD220,'Pegar ML'!AD221)</f>
        <v>0</v>
      </c>
      <c r="R225" s="27" t="s">
        <v>80</v>
      </c>
      <c r="S225" s="27" t="s">
        <v>80</v>
      </c>
      <c r="T225" s="27" t="s">
        <v>80</v>
      </c>
      <c r="U225" s="55">
        <f>IF('Pegar ML'!AI221=" ",'Pegar ML'!AI220,'Pegar ML'!AI221)</f>
        <v>0</v>
      </c>
      <c r="V225" s="55">
        <f>IF('Pegar ML'!AK221=" ",'Pegar ML'!AK220,'Pegar ML'!AK221)</f>
        <v>0</v>
      </c>
      <c r="W225" s="55">
        <f>IF('Pegar ML'!AJ221=" ",'Pegar ML'!AJ220,'Pegar ML'!AJ221)</f>
        <v>0</v>
      </c>
      <c r="X225" s="55">
        <f>IF('Pegar ML'!AL221=" ",'Pegar ML'!AL220,'Pegar ML'!AL221)</f>
        <v>0</v>
      </c>
      <c r="Y225" s="27"/>
      <c r="Z225" s="27"/>
      <c r="AA225" s="27"/>
      <c r="AB225" s="27"/>
      <c r="AC225" s="27"/>
      <c r="AD225" s="27"/>
      <c r="AF225" s="8"/>
      <c r="AG225" s="27"/>
      <c r="AH225" s="14">
        <f>+'Pegar ML'!Y221</f>
        <v>0</v>
      </c>
      <c r="AI225" s="13">
        <f t="shared" si="10"/>
        <v>1</v>
      </c>
      <c r="AJ225" s="7">
        <f>+'Pegar ML'!T221</f>
        <v>0</v>
      </c>
      <c r="AK225" s="27"/>
      <c r="AL225" s="27"/>
      <c r="AM225" s="27"/>
      <c r="AN225" s="27"/>
      <c r="AO225" s="27"/>
      <c r="AP225" s="27"/>
      <c r="AQ225" s="27"/>
      <c r="AR225" s="27"/>
      <c r="AS225" s="27">
        <v>17</v>
      </c>
    </row>
    <row r="226" spans="1:45" x14ac:dyDescent="0.25">
      <c r="A226" s="27">
        <f>IF('Pegar ML'!C221="Paquete de 2 productos",'Pegar ML'!A221,IF('Pegar ML'!C220="Paquete de 2 productos",'Pegar ML'!A220,'Pegar ML'!A222))</f>
        <v>0</v>
      </c>
      <c r="B226" s="27"/>
      <c r="C226" s="30" t="e">
        <f>IF(AjusteFecha!I222=0,"",AjusteFecha!I222)</f>
        <v>#N/A</v>
      </c>
      <c r="D226" s="27"/>
      <c r="E226" s="27"/>
      <c r="F226" s="27" t="str">
        <f>IF('Pegar ML'!C222="","",'Pegar ML'!C222)</f>
        <v/>
      </c>
      <c r="G226" s="27" t="str">
        <f>IF('Pegar ML'!G217="ARS","PS","PS")</f>
        <v>PS</v>
      </c>
      <c r="H226" s="14">
        <f>IF('Pegar ML'!C221="Paquete de 2 productos",IF('Pegar ML'!H221="",0,'Pegar ML'!H221),IF('Pegar ML'!H222="",0,'Pegar ML'!H222))</f>
        <v>0</v>
      </c>
      <c r="I226" s="14">
        <f>IF('Pegar ML'!C221="Paquete de 2 productos",IF('Pegar ML'!O221="",0,'Pegar ML'!O221),IF('Pegar ML'!O222="",0,'Pegar ML'!O222))</f>
        <v>0</v>
      </c>
      <c r="J226" s="14">
        <f>IF('Pegar ML'!C221="Paquete de 2 productos",IF('Pegar ML'!O221="",0,'Pegar ML'!O221),IF('Pegar ML'!O222="",0,'Pegar ML'!O222))</f>
        <v>0</v>
      </c>
      <c r="K226" s="14">
        <f t="shared" si="11"/>
        <v>0</v>
      </c>
      <c r="L226" s="27">
        <f>IF('Pegar ML'!AB222=" ",'Pegar ML'!AB221,'Pegar ML'!AB222)</f>
        <v>0</v>
      </c>
      <c r="M226" s="27" t="str">
        <f>IF('Pegar ML'!AC222=" ",RIGHT('Pegar ML'!AC221,8),RIGHT('Pegar ML'!AC222,8))</f>
        <v/>
      </c>
      <c r="N226" s="27" t="s">
        <v>80</v>
      </c>
      <c r="O226" s="27">
        <f t="shared" si="9"/>
        <v>0</v>
      </c>
      <c r="P226" s="27" t="s">
        <v>80</v>
      </c>
      <c r="Q226" s="55">
        <f>IF('Pegar ML'!AD222=" ",'Pegar ML'!AD221,'Pegar ML'!AD222)</f>
        <v>0</v>
      </c>
      <c r="R226" s="27" t="s">
        <v>80</v>
      </c>
      <c r="S226" s="27" t="s">
        <v>80</v>
      </c>
      <c r="T226" s="27" t="s">
        <v>80</v>
      </c>
      <c r="U226" s="55">
        <f>IF('Pegar ML'!AI222=" ",'Pegar ML'!AI221,'Pegar ML'!AI222)</f>
        <v>0</v>
      </c>
      <c r="V226" s="55">
        <f>IF('Pegar ML'!AK222=" ",'Pegar ML'!AK221,'Pegar ML'!AK222)</f>
        <v>0</v>
      </c>
      <c r="W226" s="55">
        <f>IF('Pegar ML'!AJ222=" ",'Pegar ML'!AJ221,'Pegar ML'!AJ222)</f>
        <v>0</v>
      </c>
      <c r="X226" s="55">
        <f>IF('Pegar ML'!AL222=" ",'Pegar ML'!AL221,'Pegar ML'!AL222)</f>
        <v>0</v>
      </c>
      <c r="Y226" s="27"/>
      <c r="Z226" s="27"/>
      <c r="AA226" s="27"/>
      <c r="AB226" s="27"/>
      <c r="AC226" s="27"/>
      <c r="AD226" s="27"/>
      <c r="AF226" s="8"/>
      <c r="AG226" s="27"/>
      <c r="AH226" s="14">
        <f>+'Pegar ML'!Y222</f>
        <v>0</v>
      </c>
      <c r="AI226" s="13">
        <f t="shared" si="10"/>
        <v>1</v>
      </c>
      <c r="AJ226" s="7">
        <f>+'Pegar ML'!T222</f>
        <v>0</v>
      </c>
      <c r="AK226" s="27"/>
      <c r="AL226" s="27"/>
      <c r="AM226" s="27"/>
      <c r="AN226" s="27"/>
      <c r="AO226" s="27"/>
      <c r="AP226" s="27"/>
      <c r="AQ226" s="27"/>
      <c r="AR226" s="27"/>
      <c r="AS226" s="27">
        <v>17</v>
      </c>
    </row>
    <row r="227" spans="1:45" x14ac:dyDescent="0.25">
      <c r="A227" s="27">
        <f>IF('Pegar ML'!C222="Paquete de 2 productos",'Pegar ML'!A222,IF('Pegar ML'!C221="Paquete de 2 productos",'Pegar ML'!A221,'Pegar ML'!A223))</f>
        <v>0</v>
      </c>
      <c r="B227" s="27"/>
      <c r="C227" s="30" t="e">
        <f>IF(AjusteFecha!I223=0,"",AjusteFecha!I223)</f>
        <v>#N/A</v>
      </c>
      <c r="D227" s="27"/>
      <c r="E227" s="27"/>
      <c r="F227" s="27" t="str">
        <f>IF('Pegar ML'!C223="","",'Pegar ML'!C223)</f>
        <v/>
      </c>
      <c r="G227" s="27" t="str">
        <f>IF('Pegar ML'!G218="ARS","PS","PS")</f>
        <v>PS</v>
      </c>
      <c r="H227" s="14">
        <f>IF('Pegar ML'!C222="Paquete de 2 productos",IF('Pegar ML'!H222="",0,'Pegar ML'!H222),IF('Pegar ML'!H223="",0,'Pegar ML'!H223))</f>
        <v>0</v>
      </c>
      <c r="I227" s="14">
        <f>IF('Pegar ML'!C222="Paquete de 2 productos",IF('Pegar ML'!O222="",0,'Pegar ML'!O222),IF('Pegar ML'!O223="",0,'Pegar ML'!O223))</f>
        <v>0</v>
      </c>
      <c r="J227" s="14">
        <f>IF('Pegar ML'!C222="Paquete de 2 productos",IF('Pegar ML'!O222="",0,'Pegar ML'!O222),IF('Pegar ML'!O223="",0,'Pegar ML'!O223))</f>
        <v>0</v>
      </c>
      <c r="K227" s="14">
        <f t="shared" si="11"/>
        <v>0</v>
      </c>
      <c r="L227" s="27">
        <f>IF('Pegar ML'!AB223=" ",'Pegar ML'!AB222,'Pegar ML'!AB223)</f>
        <v>0</v>
      </c>
      <c r="M227" s="27" t="str">
        <f>IF('Pegar ML'!AC223=" ",RIGHT('Pegar ML'!AC222,8),RIGHT('Pegar ML'!AC223,8))</f>
        <v/>
      </c>
      <c r="N227" s="27" t="s">
        <v>80</v>
      </c>
      <c r="O227" s="27">
        <f t="shared" si="9"/>
        <v>0</v>
      </c>
      <c r="P227" s="27" t="s">
        <v>80</v>
      </c>
      <c r="Q227" s="55">
        <f>IF('Pegar ML'!AD223=" ",'Pegar ML'!AD222,'Pegar ML'!AD223)</f>
        <v>0</v>
      </c>
      <c r="R227" s="27" t="s">
        <v>80</v>
      </c>
      <c r="S227" s="27" t="s">
        <v>80</v>
      </c>
      <c r="T227" s="27" t="s">
        <v>80</v>
      </c>
      <c r="U227" s="55">
        <f>IF('Pegar ML'!AI223=" ",'Pegar ML'!AI222,'Pegar ML'!AI223)</f>
        <v>0</v>
      </c>
      <c r="V227" s="55">
        <f>IF('Pegar ML'!AK223=" ",'Pegar ML'!AK222,'Pegar ML'!AK223)</f>
        <v>0</v>
      </c>
      <c r="W227" s="55">
        <f>IF('Pegar ML'!AJ223=" ",'Pegar ML'!AJ222,'Pegar ML'!AJ223)</f>
        <v>0</v>
      </c>
      <c r="X227" s="55">
        <f>IF('Pegar ML'!AL223=" ",'Pegar ML'!AL222,'Pegar ML'!AL223)</f>
        <v>0</v>
      </c>
      <c r="Y227" s="27"/>
      <c r="Z227" s="27"/>
      <c r="AA227" s="27"/>
      <c r="AB227" s="27"/>
      <c r="AC227" s="27"/>
      <c r="AD227" s="27"/>
      <c r="AF227" s="8"/>
      <c r="AG227" s="27"/>
      <c r="AH227" s="14">
        <f>+'Pegar ML'!Y223</f>
        <v>0</v>
      </c>
      <c r="AI227" s="13">
        <f t="shared" si="10"/>
        <v>1</v>
      </c>
      <c r="AJ227" s="7">
        <f>+'Pegar ML'!T223</f>
        <v>0</v>
      </c>
      <c r="AK227" s="27"/>
      <c r="AL227" s="27"/>
      <c r="AM227" s="27"/>
      <c r="AN227" s="27"/>
      <c r="AO227" s="27"/>
      <c r="AP227" s="27"/>
      <c r="AQ227" s="27"/>
      <c r="AR227" s="27"/>
      <c r="AS227" s="27">
        <v>17</v>
      </c>
    </row>
    <row r="228" spans="1:45" x14ac:dyDescent="0.25">
      <c r="A228" s="27">
        <f>IF('Pegar ML'!C223="Paquete de 2 productos",'Pegar ML'!A223,IF('Pegar ML'!C222="Paquete de 2 productos",'Pegar ML'!A222,'Pegar ML'!A224))</f>
        <v>0</v>
      </c>
      <c r="B228" s="27"/>
      <c r="C228" s="30" t="e">
        <f>IF(AjusteFecha!I224=0,"",AjusteFecha!I224)</f>
        <v>#N/A</v>
      </c>
      <c r="D228" s="27"/>
      <c r="E228" s="27"/>
      <c r="F228" s="27" t="str">
        <f>IF('Pegar ML'!C224="","",'Pegar ML'!C224)</f>
        <v/>
      </c>
      <c r="G228" s="27" t="str">
        <f>IF('Pegar ML'!G219="ARS","PS","PS")</f>
        <v>PS</v>
      </c>
      <c r="H228" s="14">
        <f>IF('Pegar ML'!C223="Paquete de 2 productos",IF('Pegar ML'!H223="",0,'Pegar ML'!H223),IF('Pegar ML'!H224="",0,'Pegar ML'!H224))</f>
        <v>0</v>
      </c>
      <c r="I228" s="14">
        <f>IF('Pegar ML'!C223="Paquete de 2 productos",IF('Pegar ML'!O223="",0,'Pegar ML'!O223),IF('Pegar ML'!O224="",0,'Pegar ML'!O224))</f>
        <v>0</v>
      </c>
      <c r="J228" s="14">
        <f>IF('Pegar ML'!C223="Paquete de 2 productos",IF('Pegar ML'!O223="",0,'Pegar ML'!O223),IF('Pegar ML'!O224="",0,'Pegar ML'!O224))</f>
        <v>0</v>
      </c>
      <c r="K228" s="14">
        <f t="shared" si="11"/>
        <v>0</v>
      </c>
      <c r="L228" s="27">
        <f>IF('Pegar ML'!AB224=" ",'Pegar ML'!AB223,'Pegar ML'!AB224)</f>
        <v>0</v>
      </c>
      <c r="M228" s="27" t="str">
        <f>IF('Pegar ML'!AC224=" ",RIGHT('Pegar ML'!AC223,8),RIGHT('Pegar ML'!AC224,8))</f>
        <v/>
      </c>
      <c r="N228" s="27" t="s">
        <v>80</v>
      </c>
      <c r="O228" s="27">
        <f t="shared" si="9"/>
        <v>0</v>
      </c>
      <c r="P228" s="27" t="s">
        <v>80</v>
      </c>
      <c r="Q228" s="55">
        <f>IF('Pegar ML'!AD224=" ",'Pegar ML'!AD223,'Pegar ML'!AD224)</f>
        <v>0</v>
      </c>
      <c r="R228" s="27" t="s">
        <v>80</v>
      </c>
      <c r="S228" s="27" t="s">
        <v>80</v>
      </c>
      <c r="T228" s="27" t="s">
        <v>80</v>
      </c>
      <c r="U228" s="55">
        <f>IF('Pegar ML'!AI224=" ",'Pegar ML'!AI223,'Pegar ML'!AI224)</f>
        <v>0</v>
      </c>
      <c r="V228" s="55">
        <f>IF('Pegar ML'!AK224=" ",'Pegar ML'!AK223,'Pegar ML'!AK224)</f>
        <v>0</v>
      </c>
      <c r="W228" s="55">
        <f>IF('Pegar ML'!AJ224=" ",'Pegar ML'!AJ223,'Pegar ML'!AJ224)</f>
        <v>0</v>
      </c>
      <c r="X228" s="55">
        <f>IF('Pegar ML'!AL224=" ",'Pegar ML'!AL223,'Pegar ML'!AL224)</f>
        <v>0</v>
      </c>
      <c r="Y228" s="27"/>
      <c r="Z228" s="27"/>
      <c r="AA228" s="27"/>
      <c r="AB228" s="27"/>
      <c r="AC228" s="27"/>
      <c r="AD228" s="27"/>
      <c r="AF228" s="8"/>
      <c r="AG228" s="27"/>
      <c r="AH228" s="14">
        <f>+'Pegar ML'!Y224</f>
        <v>0</v>
      </c>
      <c r="AI228" s="13">
        <f t="shared" si="10"/>
        <v>1</v>
      </c>
      <c r="AJ228" s="7">
        <f>+'Pegar ML'!T224</f>
        <v>0</v>
      </c>
      <c r="AK228" s="27"/>
      <c r="AL228" s="27"/>
      <c r="AM228" s="27"/>
      <c r="AN228" s="27"/>
      <c r="AO228" s="27"/>
      <c r="AP228" s="27"/>
      <c r="AQ228" s="27"/>
      <c r="AR228" s="27"/>
      <c r="AS228" s="27">
        <v>17</v>
      </c>
    </row>
    <row r="229" spans="1:45" x14ac:dyDescent="0.25">
      <c r="A229" s="27">
        <f>IF('Pegar ML'!C224="Paquete de 2 productos",'Pegar ML'!A224,IF('Pegar ML'!C223="Paquete de 2 productos",'Pegar ML'!A223,'Pegar ML'!A225))</f>
        <v>0</v>
      </c>
      <c r="B229" s="27"/>
      <c r="C229" s="30" t="e">
        <f>IF(AjusteFecha!I225=0,"",AjusteFecha!I225)</f>
        <v>#N/A</v>
      </c>
      <c r="D229" s="27"/>
      <c r="E229" s="27"/>
      <c r="F229" s="27" t="str">
        <f>IF('Pegar ML'!C225="","",'Pegar ML'!C225)</f>
        <v/>
      </c>
      <c r="G229" s="27" t="str">
        <f>IF('Pegar ML'!G220="ARS","PS","PS")</f>
        <v>PS</v>
      </c>
      <c r="H229" s="14">
        <f>IF('Pegar ML'!C224="Paquete de 2 productos",IF('Pegar ML'!H224="",0,'Pegar ML'!H224),IF('Pegar ML'!H225="",0,'Pegar ML'!H225))</f>
        <v>0</v>
      </c>
      <c r="I229" s="14">
        <f>IF('Pegar ML'!C224="Paquete de 2 productos",IF('Pegar ML'!O224="",0,'Pegar ML'!O224),IF('Pegar ML'!O225="",0,'Pegar ML'!O225))</f>
        <v>0</v>
      </c>
      <c r="J229" s="14">
        <f>IF('Pegar ML'!C224="Paquete de 2 productos",IF('Pegar ML'!O224="",0,'Pegar ML'!O224),IF('Pegar ML'!O225="",0,'Pegar ML'!O225))</f>
        <v>0</v>
      </c>
      <c r="K229" s="14">
        <f t="shared" si="11"/>
        <v>0</v>
      </c>
      <c r="L229" s="27">
        <f>IF('Pegar ML'!AB225=" ",'Pegar ML'!AB224,'Pegar ML'!AB225)</f>
        <v>0</v>
      </c>
      <c r="M229" s="27" t="str">
        <f>IF('Pegar ML'!AC225=" ",RIGHT('Pegar ML'!AC224,8),RIGHT('Pegar ML'!AC225,8))</f>
        <v/>
      </c>
      <c r="N229" s="27" t="s">
        <v>80</v>
      </c>
      <c r="O229" s="27">
        <f t="shared" si="9"/>
        <v>0</v>
      </c>
      <c r="P229" s="27" t="s">
        <v>80</v>
      </c>
      <c r="Q229" s="55">
        <f>IF('Pegar ML'!AD225=" ",'Pegar ML'!AD224,'Pegar ML'!AD225)</f>
        <v>0</v>
      </c>
      <c r="R229" s="27" t="s">
        <v>80</v>
      </c>
      <c r="S229" s="27" t="s">
        <v>80</v>
      </c>
      <c r="T229" s="27" t="s">
        <v>80</v>
      </c>
      <c r="U229" s="55">
        <f>IF('Pegar ML'!AI225=" ",'Pegar ML'!AI224,'Pegar ML'!AI225)</f>
        <v>0</v>
      </c>
      <c r="V229" s="55">
        <f>IF('Pegar ML'!AK225=" ",'Pegar ML'!AK224,'Pegar ML'!AK225)</f>
        <v>0</v>
      </c>
      <c r="W229" s="55">
        <f>IF('Pegar ML'!AJ225=" ",'Pegar ML'!AJ224,'Pegar ML'!AJ225)</f>
        <v>0</v>
      </c>
      <c r="X229" s="55">
        <f>IF('Pegar ML'!AL225=" ",'Pegar ML'!AL224,'Pegar ML'!AL225)</f>
        <v>0</v>
      </c>
      <c r="Y229" s="27"/>
      <c r="Z229" s="27"/>
      <c r="AA229" s="27"/>
      <c r="AB229" s="27"/>
      <c r="AC229" s="27"/>
      <c r="AD229" s="27"/>
      <c r="AF229" s="8"/>
      <c r="AG229" s="27"/>
      <c r="AH229" s="14">
        <f>+'Pegar ML'!Y225</f>
        <v>0</v>
      </c>
      <c r="AI229" s="13">
        <f t="shared" si="10"/>
        <v>1</v>
      </c>
      <c r="AJ229" s="7">
        <f>+'Pegar ML'!T225</f>
        <v>0</v>
      </c>
      <c r="AK229" s="27"/>
      <c r="AL229" s="27"/>
      <c r="AM229" s="27"/>
      <c r="AN229" s="27"/>
      <c r="AO229" s="27"/>
      <c r="AP229" s="27"/>
      <c r="AQ229" s="27"/>
      <c r="AR229" s="27"/>
      <c r="AS229" s="27">
        <v>17</v>
      </c>
    </row>
    <row r="230" spans="1:45" x14ac:dyDescent="0.25">
      <c r="A230" s="27">
        <f>IF('Pegar ML'!C225="Paquete de 2 productos",'Pegar ML'!A225,IF('Pegar ML'!C224="Paquete de 2 productos",'Pegar ML'!A224,'Pegar ML'!A226))</f>
        <v>0</v>
      </c>
      <c r="B230" s="27"/>
      <c r="C230" s="30" t="e">
        <f>IF(AjusteFecha!I226=0,"",AjusteFecha!I226)</f>
        <v>#N/A</v>
      </c>
      <c r="D230" s="27"/>
      <c r="E230" s="27"/>
      <c r="F230" s="27" t="str">
        <f>IF('Pegar ML'!C226="","",'Pegar ML'!C226)</f>
        <v/>
      </c>
      <c r="G230" s="27" t="str">
        <f>IF('Pegar ML'!G221="ARS","PS","PS")</f>
        <v>PS</v>
      </c>
      <c r="H230" s="14">
        <f>IF('Pegar ML'!C225="Paquete de 2 productos",IF('Pegar ML'!H225="",0,'Pegar ML'!H225),IF('Pegar ML'!H226="",0,'Pegar ML'!H226))</f>
        <v>0</v>
      </c>
      <c r="I230" s="14">
        <f>IF('Pegar ML'!C225="Paquete de 2 productos",IF('Pegar ML'!O225="",0,'Pegar ML'!O225),IF('Pegar ML'!O226="",0,'Pegar ML'!O226))</f>
        <v>0</v>
      </c>
      <c r="J230" s="14">
        <f>IF('Pegar ML'!C225="Paquete de 2 productos",IF('Pegar ML'!O225="",0,'Pegar ML'!O225),IF('Pegar ML'!O226="",0,'Pegar ML'!O226))</f>
        <v>0</v>
      </c>
      <c r="K230" s="14">
        <f t="shared" si="11"/>
        <v>0</v>
      </c>
      <c r="L230" s="27">
        <f>IF('Pegar ML'!AB226=" ",'Pegar ML'!AB225,'Pegar ML'!AB226)</f>
        <v>0</v>
      </c>
      <c r="M230" s="27" t="str">
        <f>IF('Pegar ML'!AC226=" ",RIGHT('Pegar ML'!AC225,8),RIGHT('Pegar ML'!AC226,8))</f>
        <v/>
      </c>
      <c r="N230" s="27" t="s">
        <v>80</v>
      </c>
      <c r="O230" s="27">
        <f t="shared" si="9"/>
        <v>0</v>
      </c>
      <c r="P230" s="27" t="s">
        <v>80</v>
      </c>
      <c r="Q230" s="55">
        <f>IF('Pegar ML'!AD226=" ",'Pegar ML'!AD225,'Pegar ML'!AD226)</f>
        <v>0</v>
      </c>
      <c r="R230" s="27" t="s">
        <v>80</v>
      </c>
      <c r="S230" s="27" t="s">
        <v>80</v>
      </c>
      <c r="T230" s="27" t="s">
        <v>80</v>
      </c>
      <c r="U230" s="55">
        <f>IF('Pegar ML'!AI226=" ",'Pegar ML'!AI225,'Pegar ML'!AI226)</f>
        <v>0</v>
      </c>
      <c r="V230" s="55">
        <f>IF('Pegar ML'!AK226=" ",'Pegar ML'!AK225,'Pegar ML'!AK226)</f>
        <v>0</v>
      </c>
      <c r="W230" s="55">
        <f>IF('Pegar ML'!AJ226=" ",'Pegar ML'!AJ225,'Pegar ML'!AJ226)</f>
        <v>0</v>
      </c>
      <c r="X230" s="55">
        <f>IF('Pegar ML'!AL226=" ",'Pegar ML'!AL225,'Pegar ML'!AL226)</f>
        <v>0</v>
      </c>
      <c r="Y230" s="27"/>
      <c r="Z230" s="27"/>
      <c r="AA230" s="27"/>
      <c r="AB230" s="27"/>
      <c r="AC230" s="27"/>
      <c r="AD230" s="27"/>
      <c r="AF230" s="8"/>
      <c r="AG230" s="27"/>
      <c r="AH230" s="14">
        <f>+'Pegar ML'!Y226</f>
        <v>0</v>
      </c>
      <c r="AI230" s="13">
        <f t="shared" si="10"/>
        <v>1</v>
      </c>
      <c r="AJ230" s="7">
        <f>+'Pegar ML'!T226</f>
        <v>0</v>
      </c>
      <c r="AK230" s="27"/>
      <c r="AL230" s="27"/>
      <c r="AM230" s="27"/>
      <c r="AN230" s="27"/>
      <c r="AO230" s="27"/>
      <c r="AP230" s="27"/>
      <c r="AQ230" s="27"/>
      <c r="AR230" s="27"/>
      <c r="AS230" s="27">
        <v>17</v>
      </c>
    </row>
    <row r="231" spans="1:45" ht="15" customHeight="1" x14ac:dyDescent="0.25">
      <c r="A231" s="27">
        <f>IF('Pegar ML'!C226="Paquete de 2 productos",'Pegar ML'!A226,IF('Pegar ML'!C225="Paquete de 2 productos",'Pegar ML'!A225,'Pegar ML'!A227))</f>
        <v>0</v>
      </c>
      <c r="B231" s="27"/>
      <c r="C231" s="30" t="e">
        <f>IF(AjusteFecha!I227=0,"",AjusteFecha!I227)</f>
        <v>#N/A</v>
      </c>
      <c r="D231" s="27"/>
      <c r="E231" s="27"/>
      <c r="F231" s="27" t="str">
        <f>IF('Pegar ML'!C227="","",'Pegar ML'!C227)</f>
        <v/>
      </c>
      <c r="G231" s="27" t="str">
        <f>IF('Pegar ML'!G222="ARS","PS","PS")</f>
        <v>PS</v>
      </c>
      <c r="H231" s="14">
        <f>IF('Pegar ML'!C226="Paquete de 2 productos",IF('Pegar ML'!H226="",0,'Pegar ML'!H226),IF('Pegar ML'!H227="",0,'Pegar ML'!H227))</f>
        <v>0</v>
      </c>
      <c r="I231" s="14">
        <f>IF('Pegar ML'!C226="Paquete de 2 productos",IF('Pegar ML'!O226="",0,'Pegar ML'!O226),IF('Pegar ML'!O227="",0,'Pegar ML'!O227))</f>
        <v>0</v>
      </c>
      <c r="J231" s="14">
        <f>IF('Pegar ML'!C226="Paquete de 2 productos",IF('Pegar ML'!O226="",0,'Pegar ML'!O226),IF('Pegar ML'!O227="",0,'Pegar ML'!O227))</f>
        <v>0</v>
      </c>
      <c r="K231" s="14">
        <f t="shared" si="11"/>
        <v>0</v>
      </c>
      <c r="L231" s="27">
        <f>IF('Pegar ML'!AB227=" ",'Pegar ML'!AB226,'Pegar ML'!AB227)</f>
        <v>0</v>
      </c>
      <c r="M231" s="27" t="str">
        <f>IF('Pegar ML'!AC227=" ",RIGHT('Pegar ML'!AC226,8),RIGHT('Pegar ML'!AC227,8))</f>
        <v/>
      </c>
      <c r="N231" s="27" t="s">
        <v>80</v>
      </c>
      <c r="O231" s="27">
        <f t="shared" si="9"/>
        <v>0</v>
      </c>
      <c r="P231" s="27" t="s">
        <v>80</v>
      </c>
      <c r="Q231" s="55">
        <f>IF('Pegar ML'!AD227=" ",'Pegar ML'!AD226,'Pegar ML'!AD227)</f>
        <v>0</v>
      </c>
      <c r="R231" s="27" t="s">
        <v>80</v>
      </c>
      <c r="S231" s="27" t="s">
        <v>80</v>
      </c>
      <c r="T231" s="27" t="s">
        <v>80</v>
      </c>
      <c r="U231" s="55">
        <f>IF('Pegar ML'!AI227=" ",'Pegar ML'!AI226,'Pegar ML'!AI227)</f>
        <v>0</v>
      </c>
      <c r="V231" s="55">
        <f>IF('Pegar ML'!AK227=" ",'Pegar ML'!AK226,'Pegar ML'!AK227)</f>
        <v>0</v>
      </c>
      <c r="W231" s="55">
        <f>IF('Pegar ML'!AJ227=" ",'Pegar ML'!AJ226,'Pegar ML'!AJ227)</f>
        <v>0</v>
      </c>
      <c r="X231" s="55">
        <f>IF('Pegar ML'!AL227=" ",'Pegar ML'!AL226,'Pegar ML'!AL227)</f>
        <v>0</v>
      </c>
      <c r="Y231" s="27"/>
      <c r="Z231" s="27"/>
      <c r="AA231" s="27"/>
      <c r="AB231" s="27"/>
      <c r="AC231" s="27"/>
      <c r="AD231" s="27"/>
      <c r="AF231" s="8"/>
      <c r="AG231" s="27"/>
      <c r="AH231" s="14">
        <f>+'Pegar ML'!Y227</f>
        <v>0</v>
      </c>
      <c r="AI231" s="13">
        <f t="shared" si="10"/>
        <v>1</v>
      </c>
      <c r="AJ231" s="7">
        <f>+'Pegar ML'!T227</f>
        <v>0</v>
      </c>
      <c r="AK231" s="27"/>
      <c r="AL231" s="27"/>
      <c r="AM231" s="27"/>
      <c r="AN231" s="27"/>
      <c r="AO231" s="27"/>
      <c r="AP231" s="27"/>
      <c r="AQ231" s="27"/>
      <c r="AR231" s="27"/>
      <c r="AS231" s="27">
        <v>17</v>
      </c>
    </row>
    <row r="232" spans="1:45" x14ac:dyDescent="0.25">
      <c r="A232" s="27">
        <f>IF('Pegar ML'!C227="Paquete de 2 productos",'Pegar ML'!A227,IF('Pegar ML'!C226="Paquete de 2 productos",'Pegar ML'!A226,'Pegar ML'!A228))</f>
        <v>0</v>
      </c>
      <c r="B232" s="27"/>
      <c r="C232" s="30" t="e">
        <f>IF(AjusteFecha!I228=0,"",AjusteFecha!I228)</f>
        <v>#N/A</v>
      </c>
      <c r="D232" s="27"/>
      <c r="E232" s="27"/>
      <c r="F232" s="27" t="str">
        <f>IF('Pegar ML'!C228="","",'Pegar ML'!C228)</f>
        <v/>
      </c>
      <c r="G232" s="27" t="str">
        <f>IF('Pegar ML'!G223="ARS","PS","PS")</f>
        <v>PS</v>
      </c>
      <c r="H232" s="14">
        <f>IF('Pegar ML'!C227="Paquete de 2 productos",IF('Pegar ML'!H227="",0,'Pegar ML'!H227),IF('Pegar ML'!H228="",0,'Pegar ML'!H228))</f>
        <v>0</v>
      </c>
      <c r="I232" s="14">
        <f>IF('Pegar ML'!C227="Paquete de 2 productos",IF('Pegar ML'!O227="",0,'Pegar ML'!O227),IF('Pegar ML'!O228="",0,'Pegar ML'!O228))</f>
        <v>0</v>
      </c>
      <c r="J232" s="14">
        <f>IF('Pegar ML'!C227="Paquete de 2 productos",IF('Pegar ML'!O227="",0,'Pegar ML'!O227),IF('Pegar ML'!O228="",0,'Pegar ML'!O228))</f>
        <v>0</v>
      </c>
      <c r="K232" s="14">
        <f t="shared" si="11"/>
        <v>0</v>
      </c>
      <c r="L232" s="27">
        <f>IF('Pegar ML'!AB228=" ",'Pegar ML'!AB227,'Pegar ML'!AB228)</f>
        <v>0</v>
      </c>
      <c r="M232" s="27" t="str">
        <f>IF('Pegar ML'!AC228=" ",RIGHT('Pegar ML'!AC227,8),RIGHT('Pegar ML'!AC228,8))</f>
        <v/>
      </c>
      <c r="N232" s="27" t="s">
        <v>80</v>
      </c>
      <c r="O232" s="27">
        <f t="shared" si="9"/>
        <v>0</v>
      </c>
      <c r="P232" s="27" t="s">
        <v>80</v>
      </c>
      <c r="Q232" s="55">
        <f>IF('Pegar ML'!AD228=" ",'Pegar ML'!AD227,'Pegar ML'!AD228)</f>
        <v>0</v>
      </c>
      <c r="R232" s="27" t="s">
        <v>80</v>
      </c>
      <c r="S232" s="27" t="s">
        <v>80</v>
      </c>
      <c r="T232" s="27" t="s">
        <v>80</v>
      </c>
      <c r="U232" s="55">
        <f>IF('Pegar ML'!AI228=" ",'Pegar ML'!AI227,'Pegar ML'!AI228)</f>
        <v>0</v>
      </c>
      <c r="V232" s="55">
        <f>IF('Pegar ML'!AK228=" ",'Pegar ML'!AK227,'Pegar ML'!AK228)</f>
        <v>0</v>
      </c>
      <c r="W232" s="55">
        <f>IF('Pegar ML'!AJ228=" ",'Pegar ML'!AJ227,'Pegar ML'!AJ228)</f>
        <v>0</v>
      </c>
      <c r="X232" s="55">
        <f>IF('Pegar ML'!AL228=" ",'Pegar ML'!AL227,'Pegar ML'!AL228)</f>
        <v>0</v>
      </c>
      <c r="Y232" s="27"/>
      <c r="Z232" s="27"/>
      <c r="AA232" s="27"/>
      <c r="AB232" s="27"/>
      <c r="AC232" s="27"/>
      <c r="AD232" s="27"/>
      <c r="AF232" s="8"/>
      <c r="AG232" s="27"/>
      <c r="AH232" s="14">
        <f>+'Pegar ML'!Y228</f>
        <v>0</v>
      </c>
      <c r="AI232" s="13">
        <f t="shared" si="10"/>
        <v>1</v>
      </c>
      <c r="AJ232" s="7">
        <f>+'Pegar ML'!T228</f>
        <v>0</v>
      </c>
      <c r="AK232" s="27"/>
      <c r="AL232" s="27"/>
      <c r="AM232" s="27"/>
      <c r="AN232" s="27"/>
      <c r="AO232" s="27"/>
      <c r="AP232" s="27"/>
      <c r="AQ232" s="27"/>
      <c r="AR232" s="27"/>
      <c r="AS232" s="27">
        <v>17</v>
      </c>
    </row>
    <row r="233" spans="1:45" x14ac:dyDescent="0.25">
      <c r="A233" s="27">
        <f>IF('Pegar ML'!C228="Paquete de 2 productos",'Pegar ML'!A228,IF('Pegar ML'!C227="Paquete de 2 productos",'Pegar ML'!A227,'Pegar ML'!A229))</f>
        <v>0</v>
      </c>
      <c r="B233" s="27"/>
      <c r="C233" s="30" t="e">
        <f>IF(AjusteFecha!I229=0,"",AjusteFecha!I229)</f>
        <v>#N/A</v>
      </c>
      <c r="D233" s="27"/>
      <c r="E233" s="27"/>
      <c r="F233" s="27" t="str">
        <f>IF('Pegar ML'!C229="","",'Pegar ML'!C229)</f>
        <v/>
      </c>
      <c r="G233" s="27" t="str">
        <f>IF('Pegar ML'!G224="ARS","PS","PS")</f>
        <v>PS</v>
      </c>
      <c r="H233" s="14">
        <f>IF('Pegar ML'!C228="Paquete de 2 productos",IF('Pegar ML'!H228="",0,'Pegar ML'!H228),IF('Pegar ML'!H229="",0,'Pegar ML'!H229))</f>
        <v>0</v>
      </c>
      <c r="I233" s="14">
        <f>IF('Pegar ML'!C228="Paquete de 2 productos",IF('Pegar ML'!O228="",0,'Pegar ML'!O228),IF('Pegar ML'!O229="",0,'Pegar ML'!O229))</f>
        <v>0</v>
      </c>
      <c r="J233" s="14">
        <f>IF('Pegar ML'!C228="Paquete de 2 productos",IF('Pegar ML'!O228="",0,'Pegar ML'!O228),IF('Pegar ML'!O229="",0,'Pegar ML'!O229))</f>
        <v>0</v>
      </c>
      <c r="K233" s="14">
        <f t="shared" si="11"/>
        <v>0</v>
      </c>
      <c r="L233" s="27">
        <f>IF('Pegar ML'!AB229=" ",'Pegar ML'!AB228,'Pegar ML'!AB229)</f>
        <v>0</v>
      </c>
      <c r="M233" s="27" t="str">
        <f>IF('Pegar ML'!AC229=" ",RIGHT('Pegar ML'!AC228,8),RIGHT('Pegar ML'!AC229,8))</f>
        <v/>
      </c>
      <c r="N233" s="27" t="s">
        <v>80</v>
      </c>
      <c r="O233" s="27">
        <f t="shared" si="9"/>
        <v>0</v>
      </c>
      <c r="P233" s="27" t="s">
        <v>80</v>
      </c>
      <c r="Q233" s="55">
        <f>IF('Pegar ML'!AD229=" ",'Pegar ML'!AD228,'Pegar ML'!AD229)</f>
        <v>0</v>
      </c>
      <c r="R233" s="27" t="s">
        <v>80</v>
      </c>
      <c r="S233" s="27" t="s">
        <v>80</v>
      </c>
      <c r="T233" s="27" t="s">
        <v>80</v>
      </c>
      <c r="U233" s="55">
        <f>IF('Pegar ML'!AI229=" ",'Pegar ML'!AI228,'Pegar ML'!AI229)</f>
        <v>0</v>
      </c>
      <c r="V233" s="55">
        <f>IF('Pegar ML'!AK229=" ",'Pegar ML'!AK228,'Pegar ML'!AK229)</f>
        <v>0</v>
      </c>
      <c r="W233" s="55">
        <f>IF('Pegar ML'!AJ229=" ",'Pegar ML'!AJ228,'Pegar ML'!AJ229)</f>
        <v>0</v>
      </c>
      <c r="X233" s="55">
        <f>IF('Pegar ML'!AL229=" ",'Pegar ML'!AL228,'Pegar ML'!AL229)</f>
        <v>0</v>
      </c>
      <c r="Y233" s="27"/>
      <c r="Z233" s="27"/>
      <c r="AA233" s="27"/>
      <c r="AB233" s="27"/>
      <c r="AC233" s="27"/>
      <c r="AD233" s="27"/>
      <c r="AF233" s="8"/>
      <c r="AG233" s="27"/>
      <c r="AH233" s="14">
        <f>+'Pegar ML'!Y229</f>
        <v>0</v>
      </c>
      <c r="AI233" s="13">
        <f t="shared" si="10"/>
        <v>1</v>
      </c>
      <c r="AJ233" s="7">
        <f>+'Pegar ML'!T229</f>
        <v>0</v>
      </c>
      <c r="AK233" s="27"/>
      <c r="AL233" s="27"/>
      <c r="AM233" s="27"/>
      <c r="AN233" s="27"/>
      <c r="AO233" s="27"/>
      <c r="AP233" s="27"/>
      <c r="AQ233" s="27"/>
      <c r="AR233" s="27"/>
      <c r="AS233" s="27">
        <v>17</v>
      </c>
    </row>
    <row r="234" spans="1:45" x14ac:dyDescent="0.25">
      <c r="A234" s="27">
        <f>IF('Pegar ML'!C229="Paquete de 2 productos",'Pegar ML'!A229,IF('Pegar ML'!C228="Paquete de 2 productos",'Pegar ML'!A228,'Pegar ML'!A230))</f>
        <v>0</v>
      </c>
      <c r="B234" s="27"/>
      <c r="C234" s="30" t="e">
        <f>IF(AjusteFecha!I230=0,"",AjusteFecha!I230)</f>
        <v>#N/A</v>
      </c>
      <c r="D234" s="27"/>
      <c r="E234" s="27"/>
      <c r="F234" s="27" t="str">
        <f>IF('Pegar ML'!C230="","",'Pegar ML'!C230)</f>
        <v/>
      </c>
      <c r="G234" s="27" t="str">
        <f>IF('Pegar ML'!G225="ARS","PS","PS")</f>
        <v>PS</v>
      </c>
      <c r="H234" s="14">
        <f>IF('Pegar ML'!C229="Paquete de 2 productos",IF('Pegar ML'!H229="",0,'Pegar ML'!H229),IF('Pegar ML'!H230="",0,'Pegar ML'!H230))</f>
        <v>0</v>
      </c>
      <c r="I234" s="14">
        <f>IF('Pegar ML'!C229="Paquete de 2 productos",IF('Pegar ML'!O229="",0,'Pegar ML'!O229),IF('Pegar ML'!O230="",0,'Pegar ML'!O230))</f>
        <v>0</v>
      </c>
      <c r="J234" s="14">
        <f>IF('Pegar ML'!C229="Paquete de 2 productos",IF('Pegar ML'!O229="",0,'Pegar ML'!O229),IF('Pegar ML'!O230="",0,'Pegar ML'!O230))</f>
        <v>0</v>
      </c>
      <c r="K234" s="14">
        <f t="shared" si="11"/>
        <v>0</v>
      </c>
      <c r="L234" s="27">
        <f>IF('Pegar ML'!AB230=" ",'Pegar ML'!AB229,'Pegar ML'!AB230)</f>
        <v>0</v>
      </c>
      <c r="M234" s="27" t="str">
        <f>IF('Pegar ML'!AC230=" ",RIGHT('Pegar ML'!AC229,8),RIGHT('Pegar ML'!AC230,8))</f>
        <v/>
      </c>
      <c r="N234" s="27" t="s">
        <v>80</v>
      </c>
      <c r="O234" s="27">
        <f t="shared" si="9"/>
        <v>0</v>
      </c>
      <c r="P234" s="27" t="s">
        <v>80</v>
      </c>
      <c r="Q234" s="55">
        <f>IF('Pegar ML'!AD230=" ",'Pegar ML'!AD229,'Pegar ML'!AD230)</f>
        <v>0</v>
      </c>
      <c r="R234" s="27" t="s">
        <v>80</v>
      </c>
      <c r="S234" s="27" t="s">
        <v>80</v>
      </c>
      <c r="T234" s="27" t="s">
        <v>80</v>
      </c>
      <c r="U234" s="55">
        <f>IF('Pegar ML'!AI230=" ",'Pegar ML'!AI229,'Pegar ML'!AI230)</f>
        <v>0</v>
      </c>
      <c r="V234" s="55">
        <f>IF('Pegar ML'!AK230=" ",'Pegar ML'!AK229,'Pegar ML'!AK230)</f>
        <v>0</v>
      </c>
      <c r="W234" s="55">
        <f>IF('Pegar ML'!AJ230=" ",'Pegar ML'!AJ229,'Pegar ML'!AJ230)</f>
        <v>0</v>
      </c>
      <c r="X234" s="55">
        <f>IF('Pegar ML'!AL230=" ",'Pegar ML'!AL229,'Pegar ML'!AL230)</f>
        <v>0</v>
      </c>
      <c r="Y234" s="27"/>
      <c r="Z234" s="27"/>
      <c r="AA234" s="27"/>
      <c r="AB234" s="27"/>
      <c r="AC234" s="27"/>
      <c r="AD234" s="27"/>
      <c r="AF234" s="8"/>
      <c r="AG234" s="27"/>
      <c r="AH234" s="14">
        <f>+'Pegar ML'!Y230</f>
        <v>0</v>
      </c>
      <c r="AI234" s="13">
        <f t="shared" si="10"/>
        <v>1</v>
      </c>
      <c r="AJ234" s="7">
        <f>+'Pegar ML'!T230</f>
        <v>0</v>
      </c>
      <c r="AK234" s="27"/>
      <c r="AL234" s="27"/>
      <c r="AM234" s="27"/>
      <c r="AN234" s="27"/>
      <c r="AO234" s="27"/>
      <c r="AP234" s="27"/>
      <c r="AQ234" s="27"/>
      <c r="AR234" s="27"/>
      <c r="AS234" s="27">
        <v>17</v>
      </c>
    </row>
    <row r="235" spans="1:45" x14ac:dyDescent="0.25">
      <c r="A235" s="27">
        <f>IF('Pegar ML'!C230="Paquete de 2 productos",'Pegar ML'!A230,IF('Pegar ML'!C229="Paquete de 2 productos",'Pegar ML'!A229,'Pegar ML'!A231))</f>
        <v>0</v>
      </c>
      <c r="B235" s="27"/>
      <c r="C235" s="30" t="e">
        <f>IF(AjusteFecha!I231=0,"",AjusteFecha!I231)</f>
        <v>#N/A</v>
      </c>
      <c r="D235" s="27"/>
      <c r="E235" s="27"/>
      <c r="F235" s="27" t="str">
        <f>IF('Pegar ML'!C231="","",'Pegar ML'!C231)</f>
        <v/>
      </c>
      <c r="G235" s="27" t="str">
        <f>IF('Pegar ML'!G226="ARS","PS","PS")</f>
        <v>PS</v>
      </c>
      <c r="H235" s="14">
        <f>IF('Pegar ML'!C230="Paquete de 2 productos",IF('Pegar ML'!H230="",0,'Pegar ML'!H230),IF('Pegar ML'!H231="",0,'Pegar ML'!H231))</f>
        <v>0</v>
      </c>
      <c r="I235" s="14">
        <f>IF('Pegar ML'!C230="Paquete de 2 productos",IF('Pegar ML'!O230="",0,'Pegar ML'!O230),IF('Pegar ML'!O231="",0,'Pegar ML'!O231))</f>
        <v>0</v>
      </c>
      <c r="J235" s="14">
        <f>IF('Pegar ML'!C230="Paquete de 2 productos",IF('Pegar ML'!O230="",0,'Pegar ML'!O230),IF('Pegar ML'!O231="",0,'Pegar ML'!O231))</f>
        <v>0</v>
      </c>
      <c r="K235" s="14">
        <f t="shared" si="11"/>
        <v>0</v>
      </c>
      <c r="L235" s="27">
        <f>IF('Pegar ML'!AB231=" ",'Pegar ML'!AB230,'Pegar ML'!AB231)</f>
        <v>0</v>
      </c>
      <c r="M235" s="27" t="str">
        <f>IF('Pegar ML'!AC231=" ",RIGHT('Pegar ML'!AC230,8),RIGHT('Pegar ML'!AC231,8))</f>
        <v/>
      </c>
      <c r="N235" s="27" t="s">
        <v>80</v>
      </c>
      <c r="O235" s="27">
        <f t="shared" si="9"/>
        <v>0</v>
      </c>
      <c r="P235" s="27" t="s">
        <v>80</v>
      </c>
      <c r="Q235" s="55">
        <f>IF('Pegar ML'!AD231=" ",'Pegar ML'!AD230,'Pegar ML'!AD231)</f>
        <v>0</v>
      </c>
      <c r="R235" s="27" t="s">
        <v>80</v>
      </c>
      <c r="S235" s="27" t="s">
        <v>80</v>
      </c>
      <c r="T235" s="27" t="s">
        <v>80</v>
      </c>
      <c r="U235" s="55">
        <f>IF('Pegar ML'!AI231=" ",'Pegar ML'!AI230,'Pegar ML'!AI231)</f>
        <v>0</v>
      </c>
      <c r="V235" s="55">
        <f>IF('Pegar ML'!AK231=" ",'Pegar ML'!AK230,'Pegar ML'!AK231)</f>
        <v>0</v>
      </c>
      <c r="W235" s="55">
        <f>IF('Pegar ML'!AJ231=" ",'Pegar ML'!AJ230,'Pegar ML'!AJ231)</f>
        <v>0</v>
      </c>
      <c r="X235" s="55">
        <f>IF('Pegar ML'!AL231=" ",'Pegar ML'!AL230,'Pegar ML'!AL231)</f>
        <v>0</v>
      </c>
      <c r="Y235" s="27"/>
      <c r="Z235" s="27"/>
      <c r="AA235" s="27"/>
      <c r="AB235" s="27"/>
      <c r="AC235" s="27"/>
      <c r="AD235" s="27"/>
      <c r="AF235" s="8"/>
      <c r="AG235" s="27"/>
      <c r="AH235" s="14">
        <f>+'Pegar ML'!Y231</f>
        <v>0</v>
      </c>
      <c r="AI235" s="13">
        <f t="shared" si="10"/>
        <v>1</v>
      </c>
      <c r="AJ235" s="7">
        <f>+'Pegar ML'!T231</f>
        <v>0</v>
      </c>
      <c r="AK235" s="27"/>
      <c r="AL235" s="27"/>
      <c r="AM235" s="27"/>
      <c r="AN235" s="27"/>
      <c r="AO235" s="27"/>
      <c r="AP235" s="27"/>
      <c r="AQ235" s="27"/>
      <c r="AR235" s="27"/>
      <c r="AS235" s="27">
        <v>17</v>
      </c>
    </row>
    <row r="236" spans="1:45" x14ac:dyDescent="0.25">
      <c r="A236" s="27">
        <f>IF('Pegar ML'!C231="Paquete de 2 productos",'Pegar ML'!A231,IF('Pegar ML'!C230="Paquete de 2 productos",'Pegar ML'!A230,'Pegar ML'!A232))</f>
        <v>0</v>
      </c>
      <c r="B236" s="27"/>
      <c r="C236" s="30" t="e">
        <f>IF(AjusteFecha!I232=0,"",AjusteFecha!I232)</f>
        <v>#N/A</v>
      </c>
      <c r="D236" s="27"/>
      <c r="E236" s="27"/>
      <c r="F236" s="27" t="str">
        <f>IF('Pegar ML'!C232="","",'Pegar ML'!C232)</f>
        <v/>
      </c>
      <c r="G236" s="27" t="str">
        <f>IF('Pegar ML'!G227="ARS","PS","PS")</f>
        <v>PS</v>
      </c>
      <c r="H236" s="14">
        <f>IF('Pegar ML'!C231="Paquete de 2 productos",IF('Pegar ML'!H231="",0,'Pegar ML'!H231),IF('Pegar ML'!H232="",0,'Pegar ML'!H232))</f>
        <v>0</v>
      </c>
      <c r="I236" s="14">
        <f>IF('Pegar ML'!C231="Paquete de 2 productos",IF('Pegar ML'!O231="",0,'Pegar ML'!O231),IF('Pegar ML'!O232="",0,'Pegar ML'!O232))</f>
        <v>0</v>
      </c>
      <c r="J236" s="14">
        <f>IF('Pegar ML'!C231="Paquete de 2 productos",IF('Pegar ML'!O231="",0,'Pegar ML'!O231),IF('Pegar ML'!O232="",0,'Pegar ML'!O232))</f>
        <v>0</v>
      </c>
      <c r="K236" s="14">
        <f t="shared" si="11"/>
        <v>0</v>
      </c>
      <c r="L236" s="27">
        <f>IF('Pegar ML'!AB232=" ",'Pegar ML'!AB231,'Pegar ML'!AB232)</f>
        <v>0</v>
      </c>
      <c r="M236" s="27" t="str">
        <f>IF('Pegar ML'!AC232=" ",RIGHT('Pegar ML'!AC231,8),RIGHT('Pegar ML'!AC232,8))</f>
        <v/>
      </c>
      <c r="N236" s="27" t="s">
        <v>80</v>
      </c>
      <c r="O236" s="27">
        <f t="shared" si="9"/>
        <v>0</v>
      </c>
      <c r="P236" s="27" t="s">
        <v>80</v>
      </c>
      <c r="Q236" s="55">
        <f>IF('Pegar ML'!AD232=" ",'Pegar ML'!AD231,'Pegar ML'!AD232)</f>
        <v>0</v>
      </c>
      <c r="R236" s="27" t="s">
        <v>80</v>
      </c>
      <c r="S236" s="27" t="s">
        <v>80</v>
      </c>
      <c r="T236" s="27" t="s">
        <v>80</v>
      </c>
      <c r="U236" s="55">
        <f>IF('Pegar ML'!AI232=" ",'Pegar ML'!AI231,'Pegar ML'!AI232)</f>
        <v>0</v>
      </c>
      <c r="V236" s="55">
        <f>IF('Pegar ML'!AK232=" ",'Pegar ML'!AK231,'Pegar ML'!AK232)</f>
        <v>0</v>
      </c>
      <c r="W236" s="55">
        <f>IF('Pegar ML'!AJ232=" ",'Pegar ML'!AJ231,'Pegar ML'!AJ232)</f>
        <v>0</v>
      </c>
      <c r="X236" s="55">
        <f>IF('Pegar ML'!AL232=" ",'Pegar ML'!AL231,'Pegar ML'!AL232)</f>
        <v>0</v>
      </c>
      <c r="Y236" s="27"/>
      <c r="Z236" s="27"/>
      <c r="AA236" s="27"/>
      <c r="AB236" s="27"/>
      <c r="AC236" s="27"/>
      <c r="AD236" s="27"/>
      <c r="AF236" s="8"/>
      <c r="AG236" s="27"/>
      <c r="AH236" s="14">
        <f>+'Pegar ML'!Y232</f>
        <v>0</v>
      </c>
      <c r="AI236" s="13">
        <f t="shared" si="10"/>
        <v>1</v>
      </c>
      <c r="AJ236" s="7">
        <f>+'Pegar ML'!T232</f>
        <v>0</v>
      </c>
      <c r="AK236" s="27"/>
      <c r="AL236" s="27"/>
      <c r="AM236" s="27"/>
      <c r="AN236" s="27"/>
      <c r="AO236" s="27"/>
      <c r="AP236" s="27"/>
      <c r="AQ236" s="27"/>
      <c r="AR236" s="27"/>
      <c r="AS236" s="27">
        <v>17</v>
      </c>
    </row>
    <row r="237" spans="1:45" x14ac:dyDescent="0.25">
      <c r="A237" s="27">
        <f>IF('Pegar ML'!C232="Paquete de 2 productos",'Pegar ML'!A232,IF('Pegar ML'!C231="Paquete de 2 productos",'Pegar ML'!A231,'Pegar ML'!A233))</f>
        <v>0</v>
      </c>
      <c r="B237" s="27"/>
      <c r="C237" s="30" t="e">
        <f>IF(AjusteFecha!I233=0,"",AjusteFecha!I233)</f>
        <v>#N/A</v>
      </c>
      <c r="D237" s="27"/>
      <c r="E237" s="27"/>
      <c r="F237" s="27" t="str">
        <f>IF('Pegar ML'!C233="","",'Pegar ML'!C233)</f>
        <v/>
      </c>
      <c r="G237" s="27" t="str">
        <f>IF('Pegar ML'!G228="ARS","PS","PS")</f>
        <v>PS</v>
      </c>
      <c r="H237" s="14">
        <f>IF('Pegar ML'!C232="Paquete de 2 productos",IF('Pegar ML'!H232="",0,'Pegar ML'!H232),IF('Pegar ML'!H233="",0,'Pegar ML'!H233))</f>
        <v>0</v>
      </c>
      <c r="I237" s="14">
        <f>IF('Pegar ML'!C232="Paquete de 2 productos",IF('Pegar ML'!O232="",0,'Pegar ML'!O232),IF('Pegar ML'!O233="",0,'Pegar ML'!O233))</f>
        <v>0</v>
      </c>
      <c r="J237" s="14">
        <f>IF('Pegar ML'!C232="Paquete de 2 productos",IF('Pegar ML'!O232="",0,'Pegar ML'!O232),IF('Pegar ML'!O233="",0,'Pegar ML'!O233))</f>
        <v>0</v>
      </c>
      <c r="K237" s="14">
        <f t="shared" si="11"/>
        <v>0</v>
      </c>
      <c r="L237" s="27">
        <f>IF('Pegar ML'!AB233=" ",'Pegar ML'!AB232,'Pegar ML'!AB233)</f>
        <v>0</v>
      </c>
      <c r="M237" s="27" t="str">
        <f>IF('Pegar ML'!AC233=" ",RIGHT('Pegar ML'!AC232,8),RIGHT('Pegar ML'!AC233,8))</f>
        <v/>
      </c>
      <c r="N237" s="27" t="s">
        <v>80</v>
      </c>
      <c r="O237" s="27">
        <f t="shared" si="9"/>
        <v>0</v>
      </c>
      <c r="P237" s="27" t="s">
        <v>80</v>
      </c>
      <c r="Q237" s="55">
        <f>IF('Pegar ML'!AD233=" ",'Pegar ML'!AD232,'Pegar ML'!AD233)</f>
        <v>0</v>
      </c>
      <c r="R237" s="27" t="s">
        <v>80</v>
      </c>
      <c r="S237" s="27" t="s">
        <v>80</v>
      </c>
      <c r="T237" s="27" t="s">
        <v>80</v>
      </c>
      <c r="U237" s="55">
        <f>IF('Pegar ML'!AI233=" ",'Pegar ML'!AI232,'Pegar ML'!AI233)</f>
        <v>0</v>
      </c>
      <c r="V237" s="55">
        <f>IF('Pegar ML'!AK233=" ",'Pegar ML'!AK232,'Pegar ML'!AK233)</f>
        <v>0</v>
      </c>
      <c r="W237" s="55">
        <f>IF('Pegar ML'!AJ233=" ",'Pegar ML'!AJ232,'Pegar ML'!AJ233)</f>
        <v>0</v>
      </c>
      <c r="X237" s="55">
        <f>IF('Pegar ML'!AL233=" ",'Pegar ML'!AL232,'Pegar ML'!AL233)</f>
        <v>0</v>
      </c>
      <c r="Y237" s="27"/>
      <c r="Z237" s="27"/>
      <c r="AA237" s="27"/>
      <c r="AB237" s="27"/>
      <c r="AC237" s="27"/>
      <c r="AD237" s="27"/>
      <c r="AF237" s="8"/>
      <c r="AG237" s="27"/>
      <c r="AH237" s="14">
        <f>+'Pegar ML'!Y233</f>
        <v>0</v>
      </c>
      <c r="AI237" s="13">
        <f t="shared" si="10"/>
        <v>1</v>
      </c>
      <c r="AJ237" s="7">
        <f>+'Pegar ML'!T233</f>
        <v>0</v>
      </c>
      <c r="AK237" s="27"/>
      <c r="AL237" s="27"/>
      <c r="AM237" s="27"/>
      <c r="AN237" s="27"/>
      <c r="AO237" s="27"/>
      <c r="AP237" s="27"/>
      <c r="AQ237" s="27"/>
      <c r="AR237" s="27"/>
      <c r="AS237" s="27">
        <v>17</v>
      </c>
    </row>
    <row r="238" spans="1:45" x14ac:dyDescent="0.25">
      <c r="A238" s="27">
        <f>IF('Pegar ML'!C233="Paquete de 2 productos",'Pegar ML'!A233,IF('Pegar ML'!C232="Paquete de 2 productos",'Pegar ML'!A232,'Pegar ML'!A234))</f>
        <v>0</v>
      </c>
      <c r="B238" s="27"/>
      <c r="C238" s="30" t="e">
        <f>IF(AjusteFecha!I234=0,"",AjusteFecha!I234)</f>
        <v>#N/A</v>
      </c>
      <c r="D238" s="27"/>
      <c r="E238" s="27"/>
      <c r="F238" s="27" t="str">
        <f>IF('Pegar ML'!C234="","",'Pegar ML'!C234)</f>
        <v/>
      </c>
      <c r="G238" s="27" t="str">
        <f>IF('Pegar ML'!G229="ARS","PS","PS")</f>
        <v>PS</v>
      </c>
      <c r="H238" s="14">
        <f>IF('Pegar ML'!C233="Paquete de 2 productos",IF('Pegar ML'!H233="",0,'Pegar ML'!H233),IF('Pegar ML'!H234="",0,'Pegar ML'!H234))</f>
        <v>0</v>
      </c>
      <c r="I238" s="14">
        <f>IF('Pegar ML'!C233="Paquete de 2 productos",IF('Pegar ML'!O233="",0,'Pegar ML'!O233),IF('Pegar ML'!O234="",0,'Pegar ML'!O234))</f>
        <v>0</v>
      </c>
      <c r="J238" s="14">
        <f>IF('Pegar ML'!C233="Paquete de 2 productos",IF('Pegar ML'!O233="",0,'Pegar ML'!O233),IF('Pegar ML'!O234="",0,'Pegar ML'!O234))</f>
        <v>0</v>
      </c>
      <c r="K238" s="14">
        <f t="shared" si="11"/>
        <v>0</v>
      </c>
      <c r="L238" s="27">
        <f>IF('Pegar ML'!AB234=" ",'Pegar ML'!AB233,'Pegar ML'!AB234)</f>
        <v>0</v>
      </c>
      <c r="M238" s="27" t="str">
        <f>IF('Pegar ML'!AC234=" ",RIGHT('Pegar ML'!AC233,8),RIGHT('Pegar ML'!AC234,8))</f>
        <v/>
      </c>
      <c r="N238" s="27" t="s">
        <v>80</v>
      </c>
      <c r="O238" s="27">
        <f t="shared" si="9"/>
        <v>0</v>
      </c>
      <c r="P238" s="27" t="s">
        <v>80</v>
      </c>
      <c r="Q238" s="55">
        <f>IF('Pegar ML'!AD234=" ",'Pegar ML'!AD233,'Pegar ML'!AD234)</f>
        <v>0</v>
      </c>
      <c r="R238" s="27" t="s">
        <v>80</v>
      </c>
      <c r="S238" s="27" t="s">
        <v>80</v>
      </c>
      <c r="T238" s="27" t="s">
        <v>80</v>
      </c>
      <c r="U238" s="55">
        <f>IF('Pegar ML'!AI234=" ",'Pegar ML'!AI233,'Pegar ML'!AI234)</f>
        <v>0</v>
      </c>
      <c r="V238" s="55">
        <f>IF('Pegar ML'!AK234=" ",'Pegar ML'!AK233,'Pegar ML'!AK234)</f>
        <v>0</v>
      </c>
      <c r="W238" s="55">
        <f>IF('Pegar ML'!AJ234=" ",'Pegar ML'!AJ233,'Pegar ML'!AJ234)</f>
        <v>0</v>
      </c>
      <c r="X238" s="55">
        <f>IF('Pegar ML'!AL234=" ",'Pegar ML'!AL233,'Pegar ML'!AL234)</f>
        <v>0</v>
      </c>
      <c r="Y238" s="27"/>
      <c r="Z238" s="27"/>
      <c r="AA238" s="27"/>
      <c r="AB238" s="27"/>
      <c r="AC238" s="27"/>
      <c r="AD238" s="27"/>
      <c r="AF238" s="8"/>
      <c r="AG238" s="27"/>
      <c r="AH238" s="14">
        <f>+'Pegar ML'!Y234</f>
        <v>0</v>
      </c>
      <c r="AI238" s="13">
        <f t="shared" si="10"/>
        <v>1</v>
      </c>
      <c r="AJ238" s="7">
        <f>+'Pegar ML'!T234</f>
        <v>0</v>
      </c>
      <c r="AK238" s="27"/>
      <c r="AL238" s="27"/>
      <c r="AM238" s="27"/>
      <c r="AN238" s="27"/>
      <c r="AO238" s="27"/>
      <c r="AP238" s="27"/>
      <c r="AQ238" s="27"/>
      <c r="AR238" s="27"/>
      <c r="AS238" s="27">
        <v>17</v>
      </c>
    </row>
    <row r="239" spans="1:45" x14ac:dyDescent="0.25">
      <c r="A239" s="27">
        <f>IF('Pegar ML'!C234="Paquete de 2 productos",'Pegar ML'!A234,IF('Pegar ML'!C233="Paquete de 2 productos",'Pegar ML'!A233,'Pegar ML'!A235))</f>
        <v>0</v>
      </c>
      <c r="B239" s="27"/>
      <c r="C239" s="30" t="e">
        <f>IF(AjusteFecha!I235=0,"",AjusteFecha!I235)</f>
        <v>#N/A</v>
      </c>
      <c r="D239" s="27"/>
      <c r="E239" s="27"/>
      <c r="F239" s="27" t="str">
        <f>IF('Pegar ML'!C235="","",'Pegar ML'!C235)</f>
        <v/>
      </c>
      <c r="G239" s="27" t="str">
        <f>IF('Pegar ML'!G230="ARS","PS","PS")</f>
        <v>PS</v>
      </c>
      <c r="H239" s="14">
        <f>IF('Pegar ML'!C234="Paquete de 2 productos",IF('Pegar ML'!H234="",0,'Pegar ML'!H234),IF('Pegar ML'!H235="",0,'Pegar ML'!H235))</f>
        <v>0</v>
      </c>
      <c r="I239" s="14">
        <f>IF('Pegar ML'!C234="Paquete de 2 productos",IF('Pegar ML'!O234="",0,'Pegar ML'!O234),IF('Pegar ML'!O235="",0,'Pegar ML'!O235))</f>
        <v>0</v>
      </c>
      <c r="J239" s="14">
        <f>IF('Pegar ML'!C234="Paquete de 2 productos",IF('Pegar ML'!O234="",0,'Pegar ML'!O234),IF('Pegar ML'!O235="",0,'Pegar ML'!O235))</f>
        <v>0</v>
      </c>
      <c r="K239" s="14">
        <f t="shared" si="11"/>
        <v>0</v>
      </c>
      <c r="L239" s="27">
        <f>IF('Pegar ML'!AB235=" ",'Pegar ML'!AB234,'Pegar ML'!AB235)</f>
        <v>0</v>
      </c>
      <c r="M239" s="27" t="str">
        <f>IF('Pegar ML'!AC235=" ",RIGHT('Pegar ML'!AC234,8),RIGHT('Pegar ML'!AC235,8))</f>
        <v/>
      </c>
      <c r="N239" s="27" t="s">
        <v>80</v>
      </c>
      <c r="O239" s="27">
        <f t="shared" si="9"/>
        <v>0</v>
      </c>
      <c r="P239" s="27" t="s">
        <v>80</v>
      </c>
      <c r="Q239" s="55">
        <f>IF('Pegar ML'!AD235=" ",'Pegar ML'!AD234,'Pegar ML'!AD235)</f>
        <v>0</v>
      </c>
      <c r="R239" s="27" t="s">
        <v>80</v>
      </c>
      <c r="S239" s="27" t="s">
        <v>80</v>
      </c>
      <c r="T239" s="27" t="s">
        <v>80</v>
      </c>
      <c r="U239" s="55">
        <f>IF('Pegar ML'!AI235=" ",'Pegar ML'!AI234,'Pegar ML'!AI235)</f>
        <v>0</v>
      </c>
      <c r="V239" s="55">
        <f>IF('Pegar ML'!AK235=" ",'Pegar ML'!AK234,'Pegar ML'!AK235)</f>
        <v>0</v>
      </c>
      <c r="W239" s="55">
        <f>IF('Pegar ML'!AJ235=" ",'Pegar ML'!AJ234,'Pegar ML'!AJ235)</f>
        <v>0</v>
      </c>
      <c r="X239" s="55">
        <f>IF('Pegar ML'!AL235=" ",'Pegar ML'!AL234,'Pegar ML'!AL235)</f>
        <v>0</v>
      </c>
      <c r="Y239" s="27"/>
      <c r="Z239" s="27"/>
      <c r="AA239" s="27"/>
      <c r="AB239" s="27"/>
      <c r="AC239" s="27"/>
      <c r="AD239" s="27"/>
      <c r="AF239" s="8"/>
      <c r="AG239" s="27"/>
      <c r="AH239" s="14">
        <f>+'Pegar ML'!Y235</f>
        <v>0</v>
      </c>
      <c r="AI239" s="13">
        <f t="shared" si="10"/>
        <v>1</v>
      </c>
      <c r="AJ239" s="7">
        <f>+'Pegar ML'!T235</f>
        <v>0</v>
      </c>
      <c r="AK239" s="27"/>
      <c r="AL239" s="27"/>
      <c r="AM239" s="27"/>
      <c r="AN239" s="27"/>
      <c r="AO239" s="27"/>
      <c r="AP239" s="27"/>
      <c r="AQ239" s="27"/>
      <c r="AR239" s="27"/>
      <c r="AS239" s="27">
        <v>17</v>
      </c>
    </row>
    <row r="240" spans="1:45" x14ac:dyDescent="0.25">
      <c r="A240" s="27">
        <f>IF('Pegar ML'!C235="Paquete de 2 productos",'Pegar ML'!A235,IF('Pegar ML'!C234="Paquete de 2 productos",'Pegar ML'!A234,'Pegar ML'!A236))</f>
        <v>0</v>
      </c>
      <c r="B240" s="27"/>
      <c r="C240" s="30" t="e">
        <f>IF(AjusteFecha!I236=0,"",AjusteFecha!I236)</f>
        <v>#N/A</v>
      </c>
      <c r="D240" s="27"/>
      <c r="E240" s="27"/>
      <c r="F240" s="27" t="str">
        <f>IF('Pegar ML'!C236="","",'Pegar ML'!C236)</f>
        <v/>
      </c>
      <c r="G240" s="27" t="str">
        <f>IF('Pegar ML'!G231="ARS","PS","PS")</f>
        <v>PS</v>
      </c>
      <c r="H240" s="14">
        <f>IF('Pegar ML'!C235="Paquete de 2 productos",IF('Pegar ML'!H235="",0,'Pegar ML'!H235),IF('Pegar ML'!H236="",0,'Pegar ML'!H236))</f>
        <v>0</v>
      </c>
      <c r="I240" s="14">
        <f>IF('Pegar ML'!C235="Paquete de 2 productos",IF('Pegar ML'!O235="",0,'Pegar ML'!O235),IF('Pegar ML'!O236="",0,'Pegar ML'!O236))</f>
        <v>0</v>
      </c>
      <c r="J240" s="14">
        <f>IF('Pegar ML'!C235="Paquete de 2 productos",IF('Pegar ML'!O235="",0,'Pegar ML'!O235),IF('Pegar ML'!O236="",0,'Pegar ML'!O236))</f>
        <v>0</v>
      </c>
      <c r="K240" s="14">
        <f t="shared" si="11"/>
        <v>0</v>
      </c>
      <c r="L240" s="27">
        <f>IF('Pegar ML'!AB236=" ",'Pegar ML'!AB235,'Pegar ML'!AB236)</f>
        <v>0</v>
      </c>
      <c r="M240" s="27" t="str">
        <f>IF('Pegar ML'!AC236=" ",RIGHT('Pegar ML'!AC235,8),RIGHT('Pegar ML'!AC236,8))</f>
        <v/>
      </c>
      <c r="N240" s="27" t="s">
        <v>80</v>
      </c>
      <c r="O240" s="27">
        <f t="shared" si="9"/>
        <v>0</v>
      </c>
      <c r="P240" s="27" t="s">
        <v>80</v>
      </c>
      <c r="Q240" s="55">
        <f>IF('Pegar ML'!AD236=" ",'Pegar ML'!AD235,'Pegar ML'!AD236)</f>
        <v>0</v>
      </c>
      <c r="R240" s="27" t="s">
        <v>80</v>
      </c>
      <c r="S240" s="27" t="s">
        <v>80</v>
      </c>
      <c r="T240" s="27" t="s">
        <v>80</v>
      </c>
      <c r="U240" s="55">
        <f>IF('Pegar ML'!AI236=" ",'Pegar ML'!AI235,'Pegar ML'!AI236)</f>
        <v>0</v>
      </c>
      <c r="V240" s="55">
        <f>IF('Pegar ML'!AK236=" ",'Pegar ML'!AK235,'Pegar ML'!AK236)</f>
        <v>0</v>
      </c>
      <c r="W240" s="55">
        <f>IF('Pegar ML'!AJ236=" ",'Pegar ML'!AJ235,'Pegar ML'!AJ236)</f>
        <v>0</v>
      </c>
      <c r="X240" s="55">
        <f>IF('Pegar ML'!AL236=" ",'Pegar ML'!AL235,'Pegar ML'!AL236)</f>
        <v>0</v>
      </c>
      <c r="Y240" s="27"/>
      <c r="Z240" s="27"/>
      <c r="AA240" s="27"/>
      <c r="AB240" s="27"/>
      <c r="AC240" s="27"/>
      <c r="AD240" s="27"/>
      <c r="AF240" s="8"/>
      <c r="AG240" s="27"/>
      <c r="AH240" s="14">
        <f>+'Pegar ML'!Y236</f>
        <v>0</v>
      </c>
      <c r="AI240" s="13">
        <f t="shared" si="10"/>
        <v>1</v>
      </c>
      <c r="AJ240" s="7">
        <f>+'Pegar ML'!T236</f>
        <v>0</v>
      </c>
      <c r="AK240" s="27"/>
      <c r="AL240" s="27"/>
      <c r="AM240" s="27"/>
      <c r="AN240" s="27"/>
      <c r="AO240" s="27"/>
      <c r="AP240" s="27"/>
      <c r="AQ240" s="27"/>
      <c r="AR240" s="27"/>
      <c r="AS240" s="27">
        <v>17</v>
      </c>
    </row>
    <row r="241" spans="1:45" x14ac:dyDescent="0.25">
      <c r="A241" s="27">
        <f>IF('Pegar ML'!C236="Paquete de 2 productos",'Pegar ML'!A236,IF('Pegar ML'!C235="Paquete de 2 productos",'Pegar ML'!A235,'Pegar ML'!A237))</f>
        <v>0</v>
      </c>
      <c r="B241" s="27"/>
      <c r="C241" s="30" t="e">
        <f>IF(AjusteFecha!I237=0,"",AjusteFecha!I237)</f>
        <v>#N/A</v>
      </c>
      <c r="D241" s="27"/>
      <c r="E241" s="27"/>
      <c r="F241" s="27" t="str">
        <f>IF('Pegar ML'!C237="","",'Pegar ML'!C237)</f>
        <v/>
      </c>
      <c r="G241" s="27" t="str">
        <f>IF('Pegar ML'!G232="ARS","PS","PS")</f>
        <v>PS</v>
      </c>
      <c r="H241" s="14">
        <f>IF('Pegar ML'!C236="Paquete de 2 productos",IF('Pegar ML'!H236="",0,'Pegar ML'!H236),IF('Pegar ML'!H237="",0,'Pegar ML'!H237))</f>
        <v>0</v>
      </c>
      <c r="I241" s="14">
        <f>IF('Pegar ML'!C236="Paquete de 2 productos",IF('Pegar ML'!O236="",0,'Pegar ML'!O236),IF('Pegar ML'!O237="",0,'Pegar ML'!O237))</f>
        <v>0</v>
      </c>
      <c r="J241" s="14">
        <f>IF('Pegar ML'!C236="Paquete de 2 productos",IF('Pegar ML'!O236="",0,'Pegar ML'!O236),IF('Pegar ML'!O237="",0,'Pegar ML'!O237))</f>
        <v>0</v>
      </c>
      <c r="K241" s="14">
        <f t="shared" si="11"/>
        <v>0</v>
      </c>
      <c r="L241" s="27">
        <f>IF('Pegar ML'!AB237=" ",'Pegar ML'!AB236,'Pegar ML'!AB237)</f>
        <v>0</v>
      </c>
      <c r="M241" s="27" t="str">
        <f>IF('Pegar ML'!AC237=" ",RIGHT('Pegar ML'!AC236,8),RIGHT('Pegar ML'!AC237,8))</f>
        <v/>
      </c>
      <c r="N241" s="27" t="s">
        <v>80</v>
      </c>
      <c r="O241" s="27">
        <f t="shared" si="9"/>
        <v>0</v>
      </c>
      <c r="P241" s="27" t="s">
        <v>80</v>
      </c>
      <c r="Q241" s="55">
        <f>IF('Pegar ML'!AD237=" ",'Pegar ML'!AD236,'Pegar ML'!AD237)</f>
        <v>0</v>
      </c>
      <c r="R241" s="27" t="s">
        <v>80</v>
      </c>
      <c r="S241" s="27" t="s">
        <v>80</v>
      </c>
      <c r="T241" s="27" t="s">
        <v>80</v>
      </c>
      <c r="U241" s="55">
        <f>IF('Pegar ML'!AI237=" ",'Pegar ML'!AI236,'Pegar ML'!AI237)</f>
        <v>0</v>
      </c>
      <c r="V241" s="55">
        <f>IF('Pegar ML'!AK237=" ",'Pegar ML'!AK236,'Pegar ML'!AK237)</f>
        <v>0</v>
      </c>
      <c r="W241" s="55">
        <f>IF('Pegar ML'!AJ237=" ",'Pegar ML'!AJ236,'Pegar ML'!AJ237)</f>
        <v>0</v>
      </c>
      <c r="X241" s="55">
        <f>IF('Pegar ML'!AL237=" ",'Pegar ML'!AL236,'Pegar ML'!AL237)</f>
        <v>0</v>
      </c>
      <c r="Y241" s="27"/>
      <c r="Z241" s="27"/>
      <c r="AA241" s="27"/>
      <c r="AB241" s="27"/>
      <c r="AC241" s="27"/>
      <c r="AD241" s="27"/>
      <c r="AF241" s="8"/>
      <c r="AG241" s="27"/>
      <c r="AH241" s="14">
        <f>+'Pegar ML'!Y237</f>
        <v>0</v>
      </c>
      <c r="AI241" s="13">
        <f t="shared" si="10"/>
        <v>1</v>
      </c>
      <c r="AJ241" s="7">
        <f>+'Pegar ML'!T237</f>
        <v>0</v>
      </c>
      <c r="AK241" s="27"/>
      <c r="AL241" s="27"/>
      <c r="AM241" s="27"/>
      <c r="AN241" s="27"/>
      <c r="AO241" s="27"/>
      <c r="AP241" s="27"/>
      <c r="AQ241" s="27"/>
      <c r="AR241" s="27"/>
      <c r="AS241" s="27">
        <v>17</v>
      </c>
    </row>
    <row r="242" spans="1:45" x14ac:dyDescent="0.25">
      <c r="A242" s="27">
        <f>IF('Pegar ML'!C237="Paquete de 2 productos",'Pegar ML'!A237,IF('Pegar ML'!C236="Paquete de 2 productos",'Pegar ML'!A236,'Pegar ML'!A238))</f>
        <v>0</v>
      </c>
      <c r="B242" s="27"/>
      <c r="C242" s="30" t="e">
        <f>IF(AjusteFecha!I238=0,"",AjusteFecha!I238)</f>
        <v>#N/A</v>
      </c>
      <c r="D242" s="27"/>
      <c r="E242" s="27"/>
      <c r="F242" s="27" t="str">
        <f>IF('Pegar ML'!C238="","",'Pegar ML'!C238)</f>
        <v/>
      </c>
      <c r="G242" s="27" t="str">
        <f>IF('Pegar ML'!G233="ARS","PS","PS")</f>
        <v>PS</v>
      </c>
      <c r="H242" s="14">
        <f>IF('Pegar ML'!C237="Paquete de 2 productos",IF('Pegar ML'!H237="",0,'Pegar ML'!H237),IF('Pegar ML'!H238="",0,'Pegar ML'!H238))</f>
        <v>0</v>
      </c>
      <c r="I242" s="14">
        <f>IF('Pegar ML'!C237="Paquete de 2 productos",IF('Pegar ML'!O237="",0,'Pegar ML'!O237),IF('Pegar ML'!O238="",0,'Pegar ML'!O238))</f>
        <v>0</v>
      </c>
      <c r="J242" s="14">
        <f>IF('Pegar ML'!C237="Paquete de 2 productos",IF('Pegar ML'!O237="",0,'Pegar ML'!O237),IF('Pegar ML'!O238="",0,'Pegar ML'!O238))</f>
        <v>0</v>
      </c>
      <c r="K242" s="14">
        <f t="shared" si="11"/>
        <v>0</v>
      </c>
      <c r="L242" s="27">
        <f>IF('Pegar ML'!AB238=" ",'Pegar ML'!AB237,'Pegar ML'!AB238)</f>
        <v>0</v>
      </c>
      <c r="M242" s="27" t="str">
        <f>IF('Pegar ML'!AC238=" ",RIGHT('Pegar ML'!AC237,8),RIGHT('Pegar ML'!AC238,8))</f>
        <v/>
      </c>
      <c r="N242" s="27" t="s">
        <v>80</v>
      </c>
      <c r="O242" s="27">
        <f t="shared" si="9"/>
        <v>0</v>
      </c>
      <c r="P242" s="27" t="s">
        <v>80</v>
      </c>
      <c r="Q242" s="55">
        <f>IF('Pegar ML'!AD238=" ",'Pegar ML'!AD237,'Pegar ML'!AD238)</f>
        <v>0</v>
      </c>
      <c r="R242" s="27" t="s">
        <v>80</v>
      </c>
      <c r="S242" s="27" t="s">
        <v>80</v>
      </c>
      <c r="T242" s="27" t="s">
        <v>80</v>
      </c>
      <c r="U242" s="55">
        <f>IF('Pegar ML'!AI238=" ",'Pegar ML'!AI237,'Pegar ML'!AI238)</f>
        <v>0</v>
      </c>
      <c r="V242" s="55">
        <f>IF('Pegar ML'!AK238=" ",'Pegar ML'!AK237,'Pegar ML'!AK238)</f>
        <v>0</v>
      </c>
      <c r="W242" s="55">
        <f>IF('Pegar ML'!AJ238=" ",'Pegar ML'!AJ237,'Pegar ML'!AJ238)</f>
        <v>0</v>
      </c>
      <c r="X242" s="55">
        <f>IF('Pegar ML'!AL238=" ",'Pegar ML'!AL237,'Pegar ML'!AL238)</f>
        <v>0</v>
      </c>
      <c r="Y242" s="27"/>
      <c r="Z242" s="27"/>
      <c r="AA242" s="27"/>
      <c r="AB242" s="27"/>
      <c r="AC242" s="27"/>
      <c r="AD242" s="27"/>
      <c r="AF242" s="8"/>
      <c r="AG242" s="27"/>
      <c r="AH242" s="14">
        <f>+'Pegar ML'!Y238</f>
        <v>0</v>
      </c>
      <c r="AI242" s="13">
        <f t="shared" si="10"/>
        <v>1</v>
      </c>
      <c r="AJ242" s="7">
        <f>+'Pegar ML'!T238</f>
        <v>0</v>
      </c>
      <c r="AK242" s="27"/>
      <c r="AL242" s="27"/>
      <c r="AM242" s="27"/>
      <c r="AN242" s="27"/>
      <c r="AO242" s="27"/>
      <c r="AP242" s="27"/>
      <c r="AQ242" s="27"/>
      <c r="AR242" s="27"/>
      <c r="AS242" s="27">
        <v>17</v>
      </c>
    </row>
    <row r="243" spans="1:45" x14ac:dyDescent="0.25">
      <c r="A243" s="27">
        <f>IF('Pegar ML'!C238="Paquete de 2 productos",'Pegar ML'!A238,IF('Pegar ML'!C237="Paquete de 2 productos",'Pegar ML'!A237,'Pegar ML'!A239))</f>
        <v>0</v>
      </c>
      <c r="B243" s="27"/>
      <c r="C243" s="30" t="e">
        <f>IF(AjusteFecha!I239=0,"",AjusteFecha!I239)</f>
        <v>#N/A</v>
      </c>
      <c r="D243" s="27"/>
      <c r="E243" s="27"/>
      <c r="F243" s="27" t="str">
        <f>IF('Pegar ML'!C239="","",'Pegar ML'!C239)</f>
        <v/>
      </c>
      <c r="G243" s="27" t="str">
        <f>IF('Pegar ML'!G234="ARS","PS","PS")</f>
        <v>PS</v>
      </c>
      <c r="H243" s="14">
        <f>IF('Pegar ML'!C238="Paquete de 2 productos",IF('Pegar ML'!H238="",0,'Pegar ML'!H238),IF('Pegar ML'!H239="",0,'Pegar ML'!H239))</f>
        <v>0</v>
      </c>
      <c r="I243" s="14">
        <f>IF('Pegar ML'!C238="Paquete de 2 productos",IF('Pegar ML'!O238="",0,'Pegar ML'!O238),IF('Pegar ML'!O239="",0,'Pegar ML'!O239))</f>
        <v>0</v>
      </c>
      <c r="J243" s="14">
        <f>IF('Pegar ML'!C238="Paquete de 2 productos",IF('Pegar ML'!O238="",0,'Pegar ML'!O238),IF('Pegar ML'!O239="",0,'Pegar ML'!O239))</f>
        <v>0</v>
      </c>
      <c r="K243" s="14">
        <f t="shared" si="11"/>
        <v>0</v>
      </c>
      <c r="L243" s="27">
        <f>IF('Pegar ML'!AB239=" ",'Pegar ML'!AB238,'Pegar ML'!AB239)</f>
        <v>0</v>
      </c>
      <c r="M243" s="27" t="str">
        <f>IF('Pegar ML'!AC239=" ",RIGHT('Pegar ML'!AC238,8),RIGHT('Pegar ML'!AC239,8))</f>
        <v/>
      </c>
      <c r="N243" s="27" t="s">
        <v>80</v>
      </c>
      <c r="O243" s="27">
        <f t="shared" si="9"/>
        <v>0</v>
      </c>
      <c r="P243" s="27" t="s">
        <v>80</v>
      </c>
      <c r="Q243" s="55">
        <f>IF('Pegar ML'!AD239=" ",'Pegar ML'!AD238,'Pegar ML'!AD239)</f>
        <v>0</v>
      </c>
      <c r="R243" s="27" t="s">
        <v>80</v>
      </c>
      <c r="S243" s="27" t="s">
        <v>80</v>
      </c>
      <c r="T243" s="27" t="s">
        <v>80</v>
      </c>
      <c r="U243" s="55">
        <f>IF('Pegar ML'!AI239=" ",'Pegar ML'!AI238,'Pegar ML'!AI239)</f>
        <v>0</v>
      </c>
      <c r="V243" s="55">
        <f>IF('Pegar ML'!AK239=" ",'Pegar ML'!AK238,'Pegar ML'!AK239)</f>
        <v>0</v>
      </c>
      <c r="W243" s="55">
        <f>IF('Pegar ML'!AJ239=" ",'Pegar ML'!AJ238,'Pegar ML'!AJ239)</f>
        <v>0</v>
      </c>
      <c r="X243" s="55">
        <f>IF('Pegar ML'!AL239=" ",'Pegar ML'!AL238,'Pegar ML'!AL239)</f>
        <v>0</v>
      </c>
      <c r="Y243" s="27"/>
      <c r="Z243" s="27"/>
      <c r="AA243" s="27"/>
      <c r="AB243" s="27"/>
      <c r="AC243" s="27"/>
      <c r="AD243" s="27"/>
      <c r="AF243" s="8"/>
      <c r="AG243" s="27"/>
      <c r="AH243" s="14">
        <f>+'Pegar ML'!Y239</f>
        <v>0</v>
      </c>
      <c r="AI243" s="13">
        <f t="shared" si="10"/>
        <v>1</v>
      </c>
      <c r="AJ243" s="7">
        <f>+'Pegar ML'!T239</f>
        <v>0</v>
      </c>
      <c r="AK243" s="27"/>
      <c r="AL243" s="27"/>
      <c r="AM243" s="27"/>
      <c r="AN243" s="27"/>
      <c r="AO243" s="27"/>
      <c r="AP243" s="27"/>
      <c r="AQ243" s="27"/>
      <c r="AR243" s="27"/>
      <c r="AS243" s="27">
        <v>17</v>
      </c>
    </row>
    <row r="244" spans="1:45" x14ac:dyDescent="0.25">
      <c r="A244" s="27">
        <f>IF('Pegar ML'!C239="Paquete de 2 productos",'Pegar ML'!A239,IF('Pegar ML'!C238="Paquete de 2 productos",'Pegar ML'!A238,'Pegar ML'!A240))</f>
        <v>0</v>
      </c>
      <c r="B244" s="27"/>
      <c r="C244" s="30" t="e">
        <f>IF(AjusteFecha!I240=0,"",AjusteFecha!I240)</f>
        <v>#N/A</v>
      </c>
      <c r="D244" s="27"/>
      <c r="E244" s="27"/>
      <c r="F244" s="27" t="str">
        <f>IF('Pegar ML'!C240="","",'Pegar ML'!C240)</f>
        <v/>
      </c>
      <c r="G244" s="27" t="str">
        <f>IF('Pegar ML'!G235="ARS","PS","PS")</f>
        <v>PS</v>
      </c>
      <c r="H244" s="14">
        <f>IF('Pegar ML'!C239="Paquete de 2 productos",IF('Pegar ML'!H239="",0,'Pegar ML'!H239),IF('Pegar ML'!H240="",0,'Pegar ML'!H240))</f>
        <v>0</v>
      </c>
      <c r="I244" s="14">
        <f>IF('Pegar ML'!C239="Paquete de 2 productos",IF('Pegar ML'!O239="",0,'Pegar ML'!O239),IF('Pegar ML'!O240="",0,'Pegar ML'!O240))</f>
        <v>0</v>
      </c>
      <c r="J244" s="14">
        <f>IF('Pegar ML'!C239="Paquete de 2 productos",IF('Pegar ML'!O239="",0,'Pegar ML'!O239),IF('Pegar ML'!O240="",0,'Pegar ML'!O240))</f>
        <v>0</v>
      </c>
      <c r="K244" s="14">
        <f t="shared" si="11"/>
        <v>0</v>
      </c>
      <c r="L244" s="27">
        <f>IF('Pegar ML'!AB240=" ",'Pegar ML'!AB239,'Pegar ML'!AB240)</f>
        <v>0</v>
      </c>
      <c r="M244" s="27" t="str">
        <f>IF('Pegar ML'!AC240=" ",RIGHT('Pegar ML'!AC239,8),RIGHT('Pegar ML'!AC240,8))</f>
        <v/>
      </c>
      <c r="N244" s="27" t="s">
        <v>80</v>
      </c>
      <c r="O244" s="27">
        <f t="shared" si="9"/>
        <v>0</v>
      </c>
      <c r="P244" s="27" t="s">
        <v>80</v>
      </c>
      <c r="Q244" s="55">
        <f>IF('Pegar ML'!AD240=" ",'Pegar ML'!AD239,'Pegar ML'!AD240)</f>
        <v>0</v>
      </c>
      <c r="R244" s="27" t="s">
        <v>80</v>
      </c>
      <c r="S244" s="27" t="s">
        <v>80</v>
      </c>
      <c r="T244" s="27" t="s">
        <v>80</v>
      </c>
      <c r="U244" s="55">
        <f>IF('Pegar ML'!AI240=" ",'Pegar ML'!AI239,'Pegar ML'!AI240)</f>
        <v>0</v>
      </c>
      <c r="V244" s="55">
        <f>IF('Pegar ML'!AK240=" ",'Pegar ML'!AK239,'Pegar ML'!AK240)</f>
        <v>0</v>
      </c>
      <c r="W244" s="55">
        <f>IF('Pegar ML'!AJ240=" ",'Pegar ML'!AJ239,'Pegar ML'!AJ240)</f>
        <v>0</v>
      </c>
      <c r="X244" s="55">
        <f>IF('Pegar ML'!AL240=" ",'Pegar ML'!AL239,'Pegar ML'!AL240)</f>
        <v>0</v>
      </c>
      <c r="Y244" s="27"/>
      <c r="Z244" s="27"/>
      <c r="AA244" s="27"/>
      <c r="AB244" s="27"/>
      <c r="AC244" s="27"/>
      <c r="AD244" s="27"/>
      <c r="AF244" s="8"/>
      <c r="AG244" s="27"/>
      <c r="AH244" s="14">
        <f>+'Pegar ML'!Y240</f>
        <v>0</v>
      </c>
      <c r="AI244" s="13">
        <f t="shared" si="10"/>
        <v>1</v>
      </c>
      <c r="AJ244" s="7">
        <f>+'Pegar ML'!T240</f>
        <v>0</v>
      </c>
      <c r="AK244" s="27"/>
      <c r="AL244" s="27"/>
      <c r="AM244" s="27"/>
      <c r="AN244" s="27"/>
      <c r="AO244" s="27"/>
      <c r="AP244" s="27"/>
      <c r="AQ244" s="27"/>
      <c r="AR244" s="27"/>
      <c r="AS244" s="27">
        <v>17</v>
      </c>
    </row>
    <row r="245" spans="1:45" x14ac:dyDescent="0.25">
      <c r="A245" s="27">
        <f>IF('Pegar ML'!C240="Paquete de 2 productos",'Pegar ML'!A240,IF('Pegar ML'!C239="Paquete de 2 productos",'Pegar ML'!A239,'Pegar ML'!A241))</f>
        <v>0</v>
      </c>
      <c r="B245" s="27"/>
      <c r="C245" s="30" t="e">
        <f>IF(AjusteFecha!I241=0,"",AjusteFecha!I241)</f>
        <v>#N/A</v>
      </c>
      <c r="D245" s="27"/>
      <c r="E245" s="27"/>
      <c r="F245" s="27" t="str">
        <f>IF('Pegar ML'!C241="","",'Pegar ML'!C241)</f>
        <v/>
      </c>
      <c r="G245" s="27" t="str">
        <f>IF('Pegar ML'!G236="ARS","PS","PS")</f>
        <v>PS</v>
      </c>
      <c r="H245" s="14">
        <f>IF('Pegar ML'!C240="Paquete de 2 productos",IF('Pegar ML'!H240="",0,'Pegar ML'!H240),IF('Pegar ML'!H241="",0,'Pegar ML'!H241))</f>
        <v>0</v>
      </c>
      <c r="I245" s="14">
        <f>IF('Pegar ML'!C240="Paquete de 2 productos",IF('Pegar ML'!O240="",0,'Pegar ML'!O240),IF('Pegar ML'!O241="",0,'Pegar ML'!O241))</f>
        <v>0</v>
      </c>
      <c r="J245" s="14">
        <f>IF('Pegar ML'!C240="Paquete de 2 productos",IF('Pegar ML'!O240="",0,'Pegar ML'!O240),IF('Pegar ML'!O241="",0,'Pegar ML'!O241))</f>
        <v>0</v>
      </c>
      <c r="K245" s="14">
        <f t="shared" si="11"/>
        <v>0</v>
      </c>
      <c r="L245" s="27">
        <f>IF('Pegar ML'!AB241=" ",'Pegar ML'!AB240,'Pegar ML'!AB241)</f>
        <v>0</v>
      </c>
      <c r="M245" s="27" t="str">
        <f>IF('Pegar ML'!AC241=" ",RIGHT('Pegar ML'!AC240,8),RIGHT('Pegar ML'!AC241,8))</f>
        <v/>
      </c>
      <c r="N245" s="27" t="s">
        <v>80</v>
      </c>
      <c r="O245" s="27">
        <f t="shared" si="9"/>
        <v>0</v>
      </c>
      <c r="P245" s="27" t="s">
        <v>80</v>
      </c>
      <c r="Q245" s="55">
        <f>IF('Pegar ML'!AD241=" ",'Pegar ML'!AD240,'Pegar ML'!AD241)</f>
        <v>0</v>
      </c>
      <c r="R245" s="27" t="s">
        <v>80</v>
      </c>
      <c r="S245" s="27" t="s">
        <v>80</v>
      </c>
      <c r="T245" s="27" t="s">
        <v>80</v>
      </c>
      <c r="U245" s="55">
        <f>IF('Pegar ML'!AI241=" ",'Pegar ML'!AI240,'Pegar ML'!AI241)</f>
        <v>0</v>
      </c>
      <c r="V245" s="55">
        <f>IF('Pegar ML'!AK241=" ",'Pegar ML'!AK240,'Pegar ML'!AK241)</f>
        <v>0</v>
      </c>
      <c r="W245" s="55">
        <f>IF('Pegar ML'!AJ241=" ",'Pegar ML'!AJ240,'Pegar ML'!AJ241)</f>
        <v>0</v>
      </c>
      <c r="X245" s="55">
        <f>IF('Pegar ML'!AL241=" ",'Pegar ML'!AL240,'Pegar ML'!AL241)</f>
        <v>0</v>
      </c>
      <c r="Y245" s="27"/>
      <c r="Z245" s="27"/>
      <c r="AA245" s="27"/>
      <c r="AB245" s="27"/>
      <c r="AC245" s="27"/>
      <c r="AD245" s="27"/>
      <c r="AF245" s="8"/>
      <c r="AG245" s="27"/>
      <c r="AH245" s="14">
        <f>+'Pegar ML'!Y241</f>
        <v>0</v>
      </c>
      <c r="AI245" s="13">
        <f t="shared" si="10"/>
        <v>1</v>
      </c>
      <c r="AJ245" s="7">
        <f>+'Pegar ML'!T241</f>
        <v>0</v>
      </c>
      <c r="AK245" s="27"/>
      <c r="AL245" s="27"/>
      <c r="AM245" s="27"/>
      <c r="AN245" s="27"/>
      <c r="AO245" s="27"/>
      <c r="AP245" s="27"/>
      <c r="AQ245" s="27"/>
      <c r="AR245" s="27"/>
      <c r="AS245" s="27">
        <v>17</v>
      </c>
    </row>
    <row r="246" spans="1:45" x14ac:dyDescent="0.25">
      <c r="A246" s="27">
        <f>IF('Pegar ML'!C241="Paquete de 2 productos",'Pegar ML'!A241,IF('Pegar ML'!C240="Paquete de 2 productos",'Pegar ML'!A240,'Pegar ML'!A242))</f>
        <v>0</v>
      </c>
      <c r="B246" s="27"/>
      <c r="C246" s="30" t="e">
        <f>IF(AjusteFecha!I242=0,"",AjusteFecha!I242)</f>
        <v>#N/A</v>
      </c>
      <c r="D246" s="27"/>
      <c r="E246" s="27"/>
      <c r="F246" s="27" t="str">
        <f>IF('Pegar ML'!C242="","",'Pegar ML'!C242)</f>
        <v/>
      </c>
      <c r="G246" s="27" t="str">
        <f>IF('Pegar ML'!G237="ARS","PS","PS")</f>
        <v>PS</v>
      </c>
      <c r="H246" s="14">
        <f>IF('Pegar ML'!C241="Paquete de 2 productos",IF('Pegar ML'!H241="",0,'Pegar ML'!H241),IF('Pegar ML'!H242="",0,'Pegar ML'!H242))</f>
        <v>0</v>
      </c>
      <c r="I246" s="14">
        <f>IF('Pegar ML'!C241="Paquete de 2 productos",IF('Pegar ML'!O241="",0,'Pegar ML'!O241),IF('Pegar ML'!O242="",0,'Pegar ML'!O242))</f>
        <v>0</v>
      </c>
      <c r="J246" s="14">
        <f>IF('Pegar ML'!C241="Paquete de 2 productos",IF('Pegar ML'!O241="",0,'Pegar ML'!O241),IF('Pegar ML'!O242="",0,'Pegar ML'!O242))</f>
        <v>0</v>
      </c>
      <c r="K246" s="14">
        <f t="shared" si="11"/>
        <v>0</v>
      </c>
      <c r="L246" s="27">
        <f>IF('Pegar ML'!AB242=" ",'Pegar ML'!AB241,'Pegar ML'!AB242)</f>
        <v>0</v>
      </c>
      <c r="M246" s="27" t="str">
        <f>IF('Pegar ML'!AC242=" ",RIGHT('Pegar ML'!AC241,8),RIGHT('Pegar ML'!AC242,8))</f>
        <v/>
      </c>
      <c r="N246" s="27" t="s">
        <v>80</v>
      </c>
      <c r="O246" s="27">
        <f t="shared" si="9"/>
        <v>0</v>
      </c>
      <c r="P246" s="27" t="s">
        <v>80</v>
      </c>
      <c r="Q246" s="55">
        <f>IF('Pegar ML'!AD242=" ",'Pegar ML'!AD241,'Pegar ML'!AD242)</f>
        <v>0</v>
      </c>
      <c r="R246" s="27" t="s">
        <v>80</v>
      </c>
      <c r="S246" s="27" t="s">
        <v>80</v>
      </c>
      <c r="T246" s="27" t="s">
        <v>80</v>
      </c>
      <c r="U246" s="55">
        <f>IF('Pegar ML'!AI242=" ",'Pegar ML'!AI241,'Pegar ML'!AI242)</f>
        <v>0</v>
      </c>
      <c r="V246" s="55">
        <f>IF('Pegar ML'!AK242=" ",'Pegar ML'!AK241,'Pegar ML'!AK242)</f>
        <v>0</v>
      </c>
      <c r="W246" s="55">
        <f>IF('Pegar ML'!AJ242=" ",'Pegar ML'!AJ241,'Pegar ML'!AJ242)</f>
        <v>0</v>
      </c>
      <c r="X246" s="55">
        <f>IF('Pegar ML'!AL242=" ",'Pegar ML'!AL241,'Pegar ML'!AL242)</f>
        <v>0</v>
      </c>
      <c r="Y246" s="27"/>
      <c r="Z246" s="27"/>
      <c r="AA246" s="27"/>
      <c r="AB246" s="27"/>
      <c r="AC246" s="27"/>
      <c r="AD246" s="27"/>
      <c r="AF246" s="8"/>
      <c r="AG246" s="27"/>
      <c r="AH246" s="14">
        <f>+'Pegar ML'!Y242</f>
        <v>0</v>
      </c>
      <c r="AI246" s="13">
        <f t="shared" si="10"/>
        <v>1</v>
      </c>
      <c r="AJ246" s="7">
        <f>+'Pegar ML'!T242</f>
        <v>0</v>
      </c>
      <c r="AK246" s="27"/>
      <c r="AL246" s="27"/>
      <c r="AM246" s="27"/>
      <c r="AN246" s="27"/>
      <c r="AO246" s="27"/>
      <c r="AP246" s="27"/>
      <c r="AQ246" s="27"/>
      <c r="AR246" s="27"/>
      <c r="AS246" s="27">
        <v>17</v>
      </c>
    </row>
    <row r="247" spans="1:45" x14ac:dyDescent="0.25">
      <c r="A247" s="27">
        <f>IF('Pegar ML'!C242="Paquete de 2 productos",'Pegar ML'!A242,IF('Pegar ML'!C241="Paquete de 2 productos",'Pegar ML'!A241,'Pegar ML'!A243))</f>
        <v>0</v>
      </c>
      <c r="B247" s="27"/>
      <c r="C247" s="30" t="e">
        <f>IF(AjusteFecha!I243=0,"",AjusteFecha!I243)</f>
        <v>#N/A</v>
      </c>
      <c r="D247" s="27"/>
      <c r="E247" s="27"/>
      <c r="F247" s="27" t="str">
        <f>IF('Pegar ML'!C243="","",'Pegar ML'!C243)</f>
        <v/>
      </c>
      <c r="G247" s="27" t="str">
        <f>IF('Pegar ML'!G238="ARS","PS","PS")</f>
        <v>PS</v>
      </c>
      <c r="H247" s="14">
        <f>IF('Pegar ML'!C242="Paquete de 2 productos",IF('Pegar ML'!H242="",0,'Pegar ML'!H242),IF('Pegar ML'!H243="",0,'Pegar ML'!H243))</f>
        <v>0</v>
      </c>
      <c r="I247" s="14">
        <f>IF('Pegar ML'!C242="Paquete de 2 productos",IF('Pegar ML'!O242="",0,'Pegar ML'!O242),IF('Pegar ML'!O243="",0,'Pegar ML'!O243))</f>
        <v>0</v>
      </c>
      <c r="J247" s="14">
        <f>IF('Pegar ML'!C242="Paquete de 2 productos",IF('Pegar ML'!O242="",0,'Pegar ML'!O242),IF('Pegar ML'!O243="",0,'Pegar ML'!O243))</f>
        <v>0</v>
      </c>
      <c r="K247" s="14">
        <f t="shared" si="11"/>
        <v>0</v>
      </c>
      <c r="L247" s="27">
        <f>IF('Pegar ML'!AB243=" ",'Pegar ML'!AB242,'Pegar ML'!AB243)</f>
        <v>0</v>
      </c>
      <c r="M247" s="27" t="str">
        <f>IF('Pegar ML'!AC243=" ",RIGHT('Pegar ML'!AC242,8),RIGHT('Pegar ML'!AC243,8))</f>
        <v/>
      </c>
      <c r="N247" s="27" t="s">
        <v>80</v>
      </c>
      <c r="O247" s="27">
        <f t="shared" si="9"/>
        <v>0</v>
      </c>
      <c r="P247" s="27" t="s">
        <v>80</v>
      </c>
      <c r="Q247" s="55">
        <f>IF('Pegar ML'!AD243=" ",'Pegar ML'!AD242,'Pegar ML'!AD243)</f>
        <v>0</v>
      </c>
      <c r="R247" s="27" t="s">
        <v>80</v>
      </c>
      <c r="S247" s="27" t="s">
        <v>80</v>
      </c>
      <c r="T247" s="27" t="s">
        <v>80</v>
      </c>
      <c r="U247" s="55">
        <f>IF('Pegar ML'!AI243=" ",'Pegar ML'!AI242,'Pegar ML'!AI243)</f>
        <v>0</v>
      </c>
      <c r="V247" s="55">
        <f>IF('Pegar ML'!AK243=" ",'Pegar ML'!AK242,'Pegar ML'!AK243)</f>
        <v>0</v>
      </c>
      <c r="W247" s="55">
        <f>IF('Pegar ML'!AJ243=" ",'Pegar ML'!AJ242,'Pegar ML'!AJ243)</f>
        <v>0</v>
      </c>
      <c r="X247" s="55">
        <f>IF('Pegar ML'!AL243=" ",'Pegar ML'!AL242,'Pegar ML'!AL243)</f>
        <v>0</v>
      </c>
      <c r="Y247" s="27"/>
      <c r="Z247" s="27"/>
      <c r="AA247" s="27"/>
      <c r="AB247" s="27"/>
      <c r="AC247" s="27"/>
      <c r="AD247" s="27"/>
      <c r="AF247" s="8"/>
      <c r="AG247" s="27"/>
      <c r="AH247" s="14">
        <f>+'Pegar ML'!Y243</f>
        <v>0</v>
      </c>
      <c r="AI247" s="13">
        <f t="shared" si="10"/>
        <v>1</v>
      </c>
      <c r="AJ247" s="7">
        <f>+'Pegar ML'!T243</f>
        <v>0</v>
      </c>
      <c r="AK247" s="27"/>
      <c r="AL247" s="27"/>
      <c r="AM247" s="27"/>
      <c r="AN247" s="27"/>
      <c r="AO247" s="27"/>
      <c r="AP247" s="27"/>
      <c r="AQ247" s="27"/>
      <c r="AR247" s="27"/>
      <c r="AS247" s="27">
        <v>17</v>
      </c>
    </row>
    <row r="248" spans="1:45" x14ac:dyDescent="0.25">
      <c r="A248" s="27">
        <f>IF('Pegar ML'!C243="Paquete de 2 productos",'Pegar ML'!A243,IF('Pegar ML'!C242="Paquete de 2 productos",'Pegar ML'!A242,'Pegar ML'!A244))</f>
        <v>0</v>
      </c>
      <c r="B248" s="27"/>
      <c r="C248" s="30" t="e">
        <f>IF(AjusteFecha!I244=0,"",AjusteFecha!I244)</f>
        <v>#N/A</v>
      </c>
      <c r="D248" s="27"/>
      <c r="E248" s="27"/>
      <c r="F248" s="27" t="str">
        <f>IF('Pegar ML'!C244="","",'Pegar ML'!C244)</f>
        <v/>
      </c>
      <c r="G248" s="27" t="str">
        <f>IF('Pegar ML'!G239="ARS","PS","PS")</f>
        <v>PS</v>
      </c>
      <c r="H248" s="14">
        <f>IF('Pegar ML'!C243="Paquete de 2 productos",IF('Pegar ML'!H243="",0,'Pegar ML'!H243),IF('Pegar ML'!H244="",0,'Pegar ML'!H244))</f>
        <v>0</v>
      </c>
      <c r="I248" s="14">
        <f>IF('Pegar ML'!C243="Paquete de 2 productos",IF('Pegar ML'!O243="",0,'Pegar ML'!O243),IF('Pegar ML'!O244="",0,'Pegar ML'!O244))</f>
        <v>0</v>
      </c>
      <c r="J248" s="14">
        <f>IF('Pegar ML'!C243="Paquete de 2 productos",IF('Pegar ML'!O243="",0,'Pegar ML'!O243),IF('Pegar ML'!O244="",0,'Pegar ML'!O244))</f>
        <v>0</v>
      </c>
      <c r="K248" s="14">
        <f t="shared" si="11"/>
        <v>0</v>
      </c>
      <c r="L248" s="27">
        <f>IF('Pegar ML'!AB244=" ",'Pegar ML'!AB243,'Pegar ML'!AB244)</f>
        <v>0</v>
      </c>
      <c r="M248" s="27" t="str">
        <f>IF('Pegar ML'!AC244=" ",RIGHT('Pegar ML'!AC243,8),RIGHT('Pegar ML'!AC244,8))</f>
        <v/>
      </c>
      <c r="N248" s="27" t="s">
        <v>80</v>
      </c>
      <c r="O248" s="27">
        <f t="shared" si="9"/>
        <v>0</v>
      </c>
      <c r="P248" s="27" t="s">
        <v>80</v>
      </c>
      <c r="Q248" s="55">
        <f>IF('Pegar ML'!AD244=" ",'Pegar ML'!AD243,'Pegar ML'!AD244)</f>
        <v>0</v>
      </c>
      <c r="R248" s="27" t="s">
        <v>80</v>
      </c>
      <c r="S248" s="27" t="s">
        <v>80</v>
      </c>
      <c r="T248" s="27" t="s">
        <v>80</v>
      </c>
      <c r="U248" s="55">
        <f>IF('Pegar ML'!AI244=" ",'Pegar ML'!AI243,'Pegar ML'!AI244)</f>
        <v>0</v>
      </c>
      <c r="V248" s="55">
        <f>IF('Pegar ML'!AK244=" ",'Pegar ML'!AK243,'Pegar ML'!AK244)</f>
        <v>0</v>
      </c>
      <c r="W248" s="55">
        <f>IF('Pegar ML'!AJ244=" ",'Pegar ML'!AJ243,'Pegar ML'!AJ244)</f>
        <v>0</v>
      </c>
      <c r="X248" s="55">
        <f>IF('Pegar ML'!AL244=" ",'Pegar ML'!AL243,'Pegar ML'!AL244)</f>
        <v>0</v>
      </c>
      <c r="Y248" s="27"/>
      <c r="Z248" s="27"/>
      <c r="AA248" s="27"/>
      <c r="AB248" s="27"/>
      <c r="AC248" s="27"/>
      <c r="AD248" s="27"/>
      <c r="AF248" s="8"/>
      <c r="AG248" s="27"/>
      <c r="AH248" s="14">
        <f>+'Pegar ML'!Y244</f>
        <v>0</v>
      </c>
      <c r="AI248" s="13">
        <f t="shared" si="10"/>
        <v>1</v>
      </c>
      <c r="AJ248" s="7">
        <f>+'Pegar ML'!T244</f>
        <v>0</v>
      </c>
      <c r="AK248" s="27"/>
      <c r="AL248" s="27"/>
      <c r="AM248" s="27"/>
      <c r="AN248" s="27"/>
      <c r="AO248" s="27"/>
      <c r="AP248" s="27"/>
      <c r="AQ248" s="27"/>
      <c r="AR248" s="27"/>
      <c r="AS248" s="27">
        <v>17</v>
      </c>
    </row>
    <row r="249" spans="1:45" x14ac:dyDescent="0.25">
      <c r="A249" s="27">
        <f>IF('Pegar ML'!C244="Paquete de 2 productos",'Pegar ML'!A244,IF('Pegar ML'!C243="Paquete de 2 productos",'Pegar ML'!A243,'Pegar ML'!A245))</f>
        <v>0</v>
      </c>
      <c r="B249" s="27"/>
      <c r="C249" s="30" t="e">
        <f>IF(AjusteFecha!I245=0,"",AjusteFecha!I245)</f>
        <v>#N/A</v>
      </c>
      <c r="D249" s="27"/>
      <c r="E249" s="27"/>
      <c r="F249" s="27" t="str">
        <f>IF('Pegar ML'!C245="","",'Pegar ML'!C245)</f>
        <v/>
      </c>
      <c r="G249" s="27" t="str">
        <f>IF('Pegar ML'!G240="ARS","PS","PS")</f>
        <v>PS</v>
      </c>
      <c r="H249" s="14">
        <f>IF('Pegar ML'!C244="Paquete de 2 productos",IF('Pegar ML'!H244="",0,'Pegar ML'!H244),IF('Pegar ML'!H245="",0,'Pegar ML'!H245))</f>
        <v>0</v>
      </c>
      <c r="I249" s="14">
        <f>IF('Pegar ML'!C244="Paquete de 2 productos",IF('Pegar ML'!O244="",0,'Pegar ML'!O244),IF('Pegar ML'!O245="",0,'Pegar ML'!O245))</f>
        <v>0</v>
      </c>
      <c r="J249" s="14">
        <f>IF('Pegar ML'!C244="Paquete de 2 productos",IF('Pegar ML'!O244="",0,'Pegar ML'!O244),IF('Pegar ML'!O245="",0,'Pegar ML'!O245))</f>
        <v>0</v>
      </c>
      <c r="K249" s="14">
        <f t="shared" si="11"/>
        <v>0</v>
      </c>
      <c r="L249" s="27">
        <f>IF('Pegar ML'!AB245=" ",'Pegar ML'!AB244,'Pegar ML'!AB245)</f>
        <v>0</v>
      </c>
      <c r="M249" s="27" t="str">
        <f>IF('Pegar ML'!AC245=" ",RIGHT('Pegar ML'!AC244,8),RIGHT('Pegar ML'!AC245,8))</f>
        <v/>
      </c>
      <c r="N249" s="27" t="s">
        <v>80</v>
      </c>
      <c r="O249" s="27">
        <f t="shared" si="9"/>
        <v>0</v>
      </c>
      <c r="P249" s="27" t="s">
        <v>80</v>
      </c>
      <c r="Q249" s="55">
        <f>IF('Pegar ML'!AD245=" ",'Pegar ML'!AD244,'Pegar ML'!AD245)</f>
        <v>0</v>
      </c>
      <c r="R249" s="27" t="s">
        <v>80</v>
      </c>
      <c r="S249" s="27" t="s">
        <v>80</v>
      </c>
      <c r="T249" s="27" t="s">
        <v>80</v>
      </c>
      <c r="U249" s="55">
        <f>IF('Pegar ML'!AI245=" ",'Pegar ML'!AI244,'Pegar ML'!AI245)</f>
        <v>0</v>
      </c>
      <c r="V249" s="55">
        <f>IF('Pegar ML'!AK245=" ",'Pegar ML'!AK244,'Pegar ML'!AK245)</f>
        <v>0</v>
      </c>
      <c r="W249" s="55">
        <f>IF('Pegar ML'!AJ245=" ",'Pegar ML'!AJ244,'Pegar ML'!AJ245)</f>
        <v>0</v>
      </c>
      <c r="X249" s="55">
        <f>IF('Pegar ML'!AL245=" ",'Pegar ML'!AL244,'Pegar ML'!AL245)</f>
        <v>0</v>
      </c>
      <c r="Y249" s="27"/>
      <c r="Z249" s="27"/>
      <c r="AA249" s="27"/>
      <c r="AB249" s="27"/>
      <c r="AC249" s="27"/>
      <c r="AD249" s="27"/>
      <c r="AF249" s="8"/>
      <c r="AG249" s="27"/>
      <c r="AH249" s="14">
        <f>+'Pegar ML'!Y245</f>
        <v>0</v>
      </c>
      <c r="AI249" s="13">
        <f t="shared" si="10"/>
        <v>1</v>
      </c>
      <c r="AJ249" s="7">
        <f>+'Pegar ML'!T245</f>
        <v>0</v>
      </c>
      <c r="AK249" s="27"/>
      <c r="AL249" s="27"/>
      <c r="AM249" s="27"/>
      <c r="AN249" s="27"/>
      <c r="AO249" s="27"/>
      <c r="AP249" s="27"/>
      <c r="AQ249" s="27"/>
      <c r="AR249" s="27"/>
      <c r="AS249" s="27">
        <v>17</v>
      </c>
    </row>
    <row r="250" spans="1:45" x14ac:dyDescent="0.25">
      <c r="A250" s="27">
        <f>IF('Pegar ML'!C245="Paquete de 2 productos",'Pegar ML'!A245,IF('Pegar ML'!C244="Paquete de 2 productos",'Pegar ML'!A244,'Pegar ML'!A246))</f>
        <v>0</v>
      </c>
      <c r="B250" s="27"/>
      <c r="C250" s="30" t="e">
        <f>IF(AjusteFecha!I246=0,"",AjusteFecha!I246)</f>
        <v>#N/A</v>
      </c>
      <c r="D250" s="27"/>
      <c r="E250" s="27"/>
      <c r="F250" s="27" t="str">
        <f>IF('Pegar ML'!C246="","",'Pegar ML'!C246)</f>
        <v/>
      </c>
      <c r="G250" s="27" t="str">
        <f>IF('Pegar ML'!G241="ARS","PS","PS")</f>
        <v>PS</v>
      </c>
      <c r="H250" s="14">
        <f>IF('Pegar ML'!C245="Paquete de 2 productos",IF('Pegar ML'!H245="",0,'Pegar ML'!H245),IF('Pegar ML'!H246="",0,'Pegar ML'!H246))</f>
        <v>0</v>
      </c>
      <c r="I250" s="14">
        <f>IF('Pegar ML'!C245="Paquete de 2 productos",IF('Pegar ML'!O245="",0,'Pegar ML'!O245),IF('Pegar ML'!O246="",0,'Pegar ML'!O246))</f>
        <v>0</v>
      </c>
      <c r="J250" s="14">
        <f>IF('Pegar ML'!C245="Paquete de 2 productos",IF('Pegar ML'!O245="",0,'Pegar ML'!O245),IF('Pegar ML'!O246="",0,'Pegar ML'!O246))</f>
        <v>0</v>
      </c>
      <c r="K250" s="14">
        <f t="shared" si="11"/>
        <v>0</v>
      </c>
      <c r="L250" s="27">
        <f>IF('Pegar ML'!AB246=" ",'Pegar ML'!AB245,'Pegar ML'!AB246)</f>
        <v>0</v>
      </c>
      <c r="M250" s="27" t="str">
        <f>IF('Pegar ML'!AC246=" ",RIGHT('Pegar ML'!AC245,8),RIGHT('Pegar ML'!AC246,8))</f>
        <v/>
      </c>
      <c r="N250" s="27" t="s">
        <v>80</v>
      </c>
      <c r="O250" s="27">
        <f t="shared" si="9"/>
        <v>0</v>
      </c>
      <c r="P250" s="27" t="s">
        <v>80</v>
      </c>
      <c r="Q250" s="55">
        <f>IF('Pegar ML'!AD246=" ",'Pegar ML'!AD245,'Pegar ML'!AD246)</f>
        <v>0</v>
      </c>
      <c r="R250" s="27" t="s">
        <v>80</v>
      </c>
      <c r="S250" s="27" t="s">
        <v>80</v>
      </c>
      <c r="T250" s="27" t="s">
        <v>80</v>
      </c>
      <c r="U250" s="55">
        <f>IF('Pegar ML'!AI246=" ",'Pegar ML'!AI245,'Pegar ML'!AI246)</f>
        <v>0</v>
      </c>
      <c r="V250" s="55">
        <f>IF('Pegar ML'!AK246=" ",'Pegar ML'!AK245,'Pegar ML'!AK246)</f>
        <v>0</v>
      </c>
      <c r="W250" s="55">
        <f>IF('Pegar ML'!AJ246=" ",'Pegar ML'!AJ245,'Pegar ML'!AJ246)</f>
        <v>0</v>
      </c>
      <c r="X250" s="55">
        <f>IF('Pegar ML'!AL246=" ",'Pegar ML'!AL245,'Pegar ML'!AL246)</f>
        <v>0</v>
      </c>
      <c r="Y250" s="27"/>
      <c r="Z250" s="27"/>
      <c r="AA250" s="27"/>
      <c r="AB250" s="27"/>
      <c r="AC250" s="27"/>
      <c r="AD250" s="27"/>
      <c r="AF250" s="8"/>
      <c r="AG250" s="27"/>
      <c r="AH250" s="14">
        <f>+'Pegar ML'!Y246</f>
        <v>0</v>
      </c>
      <c r="AI250" s="13">
        <f t="shared" si="10"/>
        <v>1</v>
      </c>
      <c r="AJ250" s="7">
        <f>+'Pegar ML'!T246</f>
        <v>0</v>
      </c>
      <c r="AK250" s="27"/>
      <c r="AL250" s="27"/>
      <c r="AM250" s="27"/>
      <c r="AN250" s="27"/>
      <c r="AO250" s="27"/>
      <c r="AP250" s="27"/>
      <c r="AQ250" s="27"/>
      <c r="AR250" s="27"/>
      <c r="AS250" s="27">
        <v>17</v>
      </c>
    </row>
    <row r="251" spans="1:45" x14ac:dyDescent="0.25">
      <c r="A251" s="27">
        <f>IF('Pegar ML'!C246="Paquete de 2 productos",'Pegar ML'!A246,IF('Pegar ML'!C245="Paquete de 2 productos",'Pegar ML'!A245,'Pegar ML'!A247))</f>
        <v>0</v>
      </c>
      <c r="B251" s="27"/>
      <c r="C251" s="30" t="e">
        <f>IF(AjusteFecha!I247=0,"",AjusteFecha!I247)</f>
        <v>#N/A</v>
      </c>
      <c r="D251" s="27"/>
      <c r="E251" s="27"/>
      <c r="F251" s="27" t="str">
        <f>IF('Pegar ML'!C247="","",'Pegar ML'!C247)</f>
        <v/>
      </c>
      <c r="G251" s="27" t="str">
        <f>IF('Pegar ML'!G242="ARS","PS","PS")</f>
        <v>PS</v>
      </c>
      <c r="H251" s="14">
        <f>IF('Pegar ML'!C246="Paquete de 2 productos",IF('Pegar ML'!H246="",0,'Pegar ML'!H246),IF('Pegar ML'!H247="",0,'Pegar ML'!H247))</f>
        <v>0</v>
      </c>
      <c r="I251" s="14">
        <f>IF('Pegar ML'!C246="Paquete de 2 productos",IF('Pegar ML'!O246="",0,'Pegar ML'!O246),IF('Pegar ML'!O247="",0,'Pegar ML'!O247))</f>
        <v>0</v>
      </c>
      <c r="J251" s="14">
        <f>IF('Pegar ML'!C246="Paquete de 2 productos",IF('Pegar ML'!O246="",0,'Pegar ML'!O246),IF('Pegar ML'!O247="",0,'Pegar ML'!O247))</f>
        <v>0</v>
      </c>
      <c r="K251" s="14">
        <f t="shared" si="11"/>
        <v>0</v>
      </c>
      <c r="L251" s="27">
        <f>IF('Pegar ML'!AB247=" ",'Pegar ML'!AB246,'Pegar ML'!AB247)</f>
        <v>0</v>
      </c>
      <c r="M251" s="27" t="str">
        <f>IF('Pegar ML'!AC247=" ",RIGHT('Pegar ML'!AC246,8),RIGHT('Pegar ML'!AC247,8))</f>
        <v/>
      </c>
      <c r="N251" s="27" t="s">
        <v>80</v>
      </c>
      <c r="O251" s="27">
        <f t="shared" si="9"/>
        <v>0</v>
      </c>
      <c r="P251" s="27" t="s">
        <v>80</v>
      </c>
      <c r="Q251" s="55">
        <f>IF('Pegar ML'!AD247=" ",'Pegar ML'!AD246,'Pegar ML'!AD247)</f>
        <v>0</v>
      </c>
      <c r="R251" s="27" t="s">
        <v>80</v>
      </c>
      <c r="S251" s="27" t="s">
        <v>80</v>
      </c>
      <c r="T251" s="27" t="s">
        <v>80</v>
      </c>
      <c r="U251" s="55">
        <f>IF('Pegar ML'!AI247=" ",'Pegar ML'!AI246,'Pegar ML'!AI247)</f>
        <v>0</v>
      </c>
      <c r="V251" s="55">
        <f>IF('Pegar ML'!AK247=" ",'Pegar ML'!AK246,'Pegar ML'!AK247)</f>
        <v>0</v>
      </c>
      <c r="W251" s="55">
        <f>IF('Pegar ML'!AJ247=" ",'Pegar ML'!AJ246,'Pegar ML'!AJ247)</f>
        <v>0</v>
      </c>
      <c r="X251" s="55">
        <f>IF('Pegar ML'!AL247=" ",'Pegar ML'!AL246,'Pegar ML'!AL247)</f>
        <v>0</v>
      </c>
      <c r="Y251" s="27"/>
      <c r="Z251" s="27"/>
      <c r="AA251" s="27"/>
      <c r="AB251" s="27"/>
      <c r="AC251" s="27"/>
      <c r="AD251" s="27"/>
      <c r="AF251" s="8"/>
      <c r="AG251" s="27"/>
      <c r="AH251" s="14">
        <f>+'Pegar ML'!Y247</f>
        <v>0</v>
      </c>
      <c r="AI251" s="13">
        <f t="shared" si="10"/>
        <v>1</v>
      </c>
      <c r="AJ251" s="7">
        <f>+'Pegar ML'!T247</f>
        <v>0</v>
      </c>
      <c r="AK251" s="27"/>
      <c r="AL251" s="27"/>
      <c r="AM251" s="27"/>
      <c r="AN251" s="27"/>
      <c r="AO251" s="27"/>
      <c r="AP251" s="27"/>
      <c r="AQ251" s="27"/>
      <c r="AR251" s="27"/>
      <c r="AS251" s="27">
        <v>17</v>
      </c>
    </row>
    <row r="252" spans="1:45" x14ac:dyDescent="0.25">
      <c r="A252" s="27">
        <f>IF('Pegar ML'!C247="Paquete de 2 productos",'Pegar ML'!A247,IF('Pegar ML'!C246="Paquete de 2 productos",'Pegar ML'!A246,'Pegar ML'!A248))</f>
        <v>0</v>
      </c>
      <c r="B252" s="27"/>
      <c r="C252" s="30" t="e">
        <f>IF(AjusteFecha!I248=0,"",AjusteFecha!I248)</f>
        <v>#N/A</v>
      </c>
      <c r="D252" s="27"/>
      <c r="E252" s="27"/>
      <c r="F252" s="27" t="str">
        <f>IF('Pegar ML'!C248="","",'Pegar ML'!C248)</f>
        <v/>
      </c>
      <c r="G252" s="27" t="str">
        <f>IF('Pegar ML'!G243="ARS","PS","PS")</f>
        <v>PS</v>
      </c>
      <c r="H252" s="14">
        <f>IF('Pegar ML'!C247="Paquete de 2 productos",IF('Pegar ML'!H247="",0,'Pegar ML'!H247),IF('Pegar ML'!H248="",0,'Pegar ML'!H248))</f>
        <v>0</v>
      </c>
      <c r="I252" s="14">
        <f>IF('Pegar ML'!C247="Paquete de 2 productos",IF('Pegar ML'!O247="",0,'Pegar ML'!O247),IF('Pegar ML'!O248="",0,'Pegar ML'!O248))</f>
        <v>0</v>
      </c>
      <c r="J252" s="14">
        <f>IF('Pegar ML'!C247="Paquete de 2 productos",IF('Pegar ML'!O247="",0,'Pegar ML'!O247),IF('Pegar ML'!O248="",0,'Pegar ML'!O248))</f>
        <v>0</v>
      </c>
      <c r="K252" s="14">
        <f t="shared" si="11"/>
        <v>0</v>
      </c>
      <c r="L252" s="27">
        <f>IF('Pegar ML'!AB248=" ",'Pegar ML'!AB247,'Pegar ML'!AB248)</f>
        <v>0</v>
      </c>
      <c r="M252" s="27" t="str">
        <f>IF('Pegar ML'!AC248=" ",RIGHT('Pegar ML'!AC247,8),RIGHT('Pegar ML'!AC248,8))</f>
        <v/>
      </c>
      <c r="N252" s="27" t="s">
        <v>80</v>
      </c>
      <c r="O252" s="27">
        <f t="shared" si="9"/>
        <v>0</v>
      </c>
      <c r="P252" s="27" t="s">
        <v>80</v>
      </c>
      <c r="Q252" s="55">
        <f>IF('Pegar ML'!AD248=" ",'Pegar ML'!AD247,'Pegar ML'!AD248)</f>
        <v>0</v>
      </c>
      <c r="R252" s="27" t="s">
        <v>80</v>
      </c>
      <c r="S252" s="27" t="s">
        <v>80</v>
      </c>
      <c r="T252" s="27" t="s">
        <v>80</v>
      </c>
      <c r="U252" s="55">
        <f>IF('Pegar ML'!AI248=" ",'Pegar ML'!AI247,'Pegar ML'!AI248)</f>
        <v>0</v>
      </c>
      <c r="V252" s="55">
        <f>IF('Pegar ML'!AK248=" ",'Pegar ML'!AK247,'Pegar ML'!AK248)</f>
        <v>0</v>
      </c>
      <c r="W252" s="55">
        <f>IF('Pegar ML'!AJ248=" ",'Pegar ML'!AJ247,'Pegar ML'!AJ248)</f>
        <v>0</v>
      </c>
      <c r="X252" s="55">
        <f>IF('Pegar ML'!AL248=" ",'Pegar ML'!AL247,'Pegar ML'!AL248)</f>
        <v>0</v>
      </c>
      <c r="Y252" s="27"/>
      <c r="Z252" s="27"/>
      <c r="AA252" s="27"/>
      <c r="AB252" s="27"/>
      <c r="AC252" s="27"/>
      <c r="AD252" s="27"/>
      <c r="AF252" s="8"/>
      <c r="AG252" s="27"/>
      <c r="AH252" s="14">
        <f>+'Pegar ML'!Y248</f>
        <v>0</v>
      </c>
      <c r="AI252" s="13">
        <f t="shared" si="10"/>
        <v>1</v>
      </c>
      <c r="AJ252" s="7">
        <f>+'Pegar ML'!T248</f>
        <v>0</v>
      </c>
      <c r="AK252" s="27"/>
      <c r="AL252" s="27"/>
      <c r="AM252" s="27"/>
      <c r="AN252" s="27"/>
      <c r="AO252" s="27"/>
      <c r="AP252" s="27"/>
      <c r="AQ252" s="27"/>
      <c r="AR252" s="27"/>
      <c r="AS252" s="27">
        <v>17</v>
      </c>
    </row>
    <row r="253" spans="1:45" x14ac:dyDescent="0.25">
      <c r="A253" s="27">
        <f>IF('Pegar ML'!C248="Paquete de 2 productos",'Pegar ML'!A248,IF('Pegar ML'!C247="Paquete de 2 productos",'Pegar ML'!A247,'Pegar ML'!A249))</f>
        <v>0</v>
      </c>
      <c r="B253" s="27"/>
      <c r="C253" s="30" t="e">
        <f>IF(AjusteFecha!I249=0,"",AjusteFecha!I249)</f>
        <v>#N/A</v>
      </c>
      <c r="D253" s="27"/>
      <c r="E253" s="27"/>
      <c r="F253" s="27" t="str">
        <f>IF('Pegar ML'!C249="","",'Pegar ML'!C249)</f>
        <v/>
      </c>
      <c r="G253" s="27" t="str">
        <f>IF('Pegar ML'!G244="ARS","PS","PS")</f>
        <v>PS</v>
      </c>
      <c r="H253" s="14">
        <f>IF('Pegar ML'!C248="Paquete de 2 productos",IF('Pegar ML'!H248="",0,'Pegar ML'!H248),IF('Pegar ML'!H249="",0,'Pegar ML'!H249))</f>
        <v>0</v>
      </c>
      <c r="I253" s="14">
        <f>IF('Pegar ML'!C248="Paquete de 2 productos",IF('Pegar ML'!O248="",0,'Pegar ML'!O248),IF('Pegar ML'!O249="",0,'Pegar ML'!O249))</f>
        <v>0</v>
      </c>
      <c r="J253" s="14">
        <f>IF('Pegar ML'!C248="Paquete de 2 productos",IF('Pegar ML'!O248="",0,'Pegar ML'!O248),IF('Pegar ML'!O249="",0,'Pegar ML'!O249))</f>
        <v>0</v>
      </c>
      <c r="K253" s="14">
        <f t="shared" si="11"/>
        <v>0</v>
      </c>
      <c r="L253" s="27">
        <f>IF('Pegar ML'!AB249=" ",'Pegar ML'!AB248,'Pegar ML'!AB249)</f>
        <v>0</v>
      </c>
      <c r="M253" s="27" t="str">
        <f>IF('Pegar ML'!AC249=" ",RIGHT('Pegar ML'!AC248,8),RIGHT('Pegar ML'!AC249,8))</f>
        <v/>
      </c>
      <c r="N253" s="27" t="s">
        <v>80</v>
      </c>
      <c r="O253" s="27">
        <f t="shared" si="9"/>
        <v>0</v>
      </c>
      <c r="P253" s="27" t="s">
        <v>80</v>
      </c>
      <c r="Q253" s="55">
        <f>IF('Pegar ML'!AD249=" ",'Pegar ML'!AD248,'Pegar ML'!AD249)</f>
        <v>0</v>
      </c>
      <c r="R253" s="27" t="s">
        <v>80</v>
      </c>
      <c r="S253" s="27" t="s">
        <v>80</v>
      </c>
      <c r="T253" s="27" t="s">
        <v>80</v>
      </c>
      <c r="U253" s="55">
        <f>IF('Pegar ML'!AI249=" ",'Pegar ML'!AI248,'Pegar ML'!AI249)</f>
        <v>0</v>
      </c>
      <c r="V253" s="55">
        <f>IF('Pegar ML'!AK249=" ",'Pegar ML'!AK248,'Pegar ML'!AK249)</f>
        <v>0</v>
      </c>
      <c r="W253" s="55">
        <f>IF('Pegar ML'!AJ249=" ",'Pegar ML'!AJ248,'Pegar ML'!AJ249)</f>
        <v>0</v>
      </c>
      <c r="X253" s="55">
        <f>IF('Pegar ML'!AL249=" ",'Pegar ML'!AL248,'Pegar ML'!AL249)</f>
        <v>0</v>
      </c>
      <c r="Y253" s="27"/>
      <c r="Z253" s="27"/>
      <c r="AA253" s="27"/>
      <c r="AB253" s="27"/>
      <c r="AC253" s="27"/>
      <c r="AD253" s="27"/>
      <c r="AF253" s="8"/>
      <c r="AG253" s="27"/>
      <c r="AH253" s="14">
        <f>+'Pegar ML'!Y249</f>
        <v>0</v>
      </c>
      <c r="AI253" s="13">
        <f t="shared" si="10"/>
        <v>1</v>
      </c>
      <c r="AJ253" s="7">
        <f>+'Pegar ML'!T249</f>
        <v>0</v>
      </c>
      <c r="AK253" s="27"/>
      <c r="AL253" s="27"/>
      <c r="AM253" s="27"/>
      <c r="AN253" s="27"/>
      <c r="AO253" s="27"/>
      <c r="AP253" s="27"/>
      <c r="AQ253" s="27"/>
      <c r="AR253" s="27"/>
      <c r="AS253" s="27">
        <v>17</v>
      </c>
    </row>
    <row r="254" spans="1:45" x14ac:dyDescent="0.25">
      <c r="A254" s="27">
        <f>IF('Pegar ML'!C249="Paquete de 2 productos",'Pegar ML'!A249,IF('Pegar ML'!C248="Paquete de 2 productos",'Pegar ML'!A248,'Pegar ML'!A250))</f>
        <v>0</v>
      </c>
      <c r="B254" s="27"/>
      <c r="C254" s="30" t="e">
        <f>IF(AjusteFecha!I250=0,"",AjusteFecha!I250)</f>
        <v>#N/A</v>
      </c>
      <c r="D254" s="27"/>
      <c r="E254" s="27"/>
      <c r="F254" s="27" t="str">
        <f>IF('Pegar ML'!C250="","",'Pegar ML'!C250)</f>
        <v/>
      </c>
      <c r="G254" s="27" t="str">
        <f>IF('Pegar ML'!G245="ARS","PS","PS")</f>
        <v>PS</v>
      </c>
      <c r="H254" s="14">
        <f>IF('Pegar ML'!C249="Paquete de 2 productos",IF('Pegar ML'!H249="",0,'Pegar ML'!H249),IF('Pegar ML'!H250="",0,'Pegar ML'!H250))</f>
        <v>0</v>
      </c>
      <c r="I254" s="14">
        <f>IF('Pegar ML'!C249="Paquete de 2 productos",IF('Pegar ML'!O249="",0,'Pegar ML'!O249),IF('Pegar ML'!O250="",0,'Pegar ML'!O250))</f>
        <v>0</v>
      </c>
      <c r="J254" s="14">
        <f>IF('Pegar ML'!C249="Paquete de 2 productos",IF('Pegar ML'!O249="",0,'Pegar ML'!O249),IF('Pegar ML'!O250="",0,'Pegar ML'!O250))</f>
        <v>0</v>
      </c>
      <c r="K254" s="14">
        <f t="shared" si="11"/>
        <v>0</v>
      </c>
      <c r="L254" s="27">
        <f>IF('Pegar ML'!AB250=" ",'Pegar ML'!AB249,'Pegar ML'!AB250)</f>
        <v>0</v>
      </c>
      <c r="M254" s="27" t="str">
        <f>IF('Pegar ML'!AC250=" ",RIGHT('Pegar ML'!AC249,8),RIGHT('Pegar ML'!AC250,8))</f>
        <v/>
      </c>
      <c r="N254" s="27" t="s">
        <v>80</v>
      </c>
      <c r="O254" s="27">
        <f t="shared" si="9"/>
        <v>0</v>
      </c>
      <c r="P254" s="27" t="s">
        <v>80</v>
      </c>
      <c r="Q254" s="55">
        <f>IF('Pegar ML'!AD250=" ",'Pegar ML'!AD249,'Pegar ML'!AD250)</f>
        <v>0</v>
      </c>
      <c r="R254" s="27" t="s">
        <v>80</v>
      </c>
      <c r="S254" s="27" t="s">
        <v>80</v>
      </c>
      <c r="T254" s="27" t="s">
        <v>80</v>
      </c>
      <c r="U254" s="55">
        <f>IF('Pegar ML'!AI250=" ",'Pegar ML'!AI249,'Pegar ML'!AI250)</f>
        <v>0</v>
      </c>
      <c r="V254" s="55">
        <f>IF('Pegar ML'!AK250=" ",'Pegar ML'!AK249,'Pegar ML'!AK250)</f>
        <v>0</v>
      </c>
      <c r="W254" s="55">
        <f>IF('Pegar ML'!AJ250=" ",'Pegar ML'!AJ249,'Pegar ML'!AJ250)</f>
        <v>0</v>
      </c>
      <c r="X254" s="55">
        <f>IF('Pegar ML'!AL250=" ",'Pegar ML'!AL249,'Pegar ML'!AL250)</f>
        <v>0</v>
      </c>
      <c r="Y254" s="27"/>
      <c r="Z254" s="27"/>
      <c r="AA254" s="27"/>
      <c r="AB254" s="27"/>
      <c r="AC254" s="27"/>
      <c r="AD254" s="27"/>
      <c r="AF254" s="8"/>
      <c r="AG254" s="27"/>
      <c r="AH254" s="14">
        <f>+'Pegar ML'!Y250</f>
        <v>0</v>
      </c>
      <c r="AI254" s="13">
        <f t="shared" si="10"/>
        <v>1</v>
      </c>
      <c r="AJ254" s="7">
        <f>+'Pegar ML'!T250</f>
        <v>0</v>
      </c>
      <c r="AK254" s="27"/>
      <c r="AL254" s="27"/>
      <c r="AM254" s="27"/>
      <c r="AN254" s="27"/>
      <c r="AO254" s="27"/>
      <c r="AP254" s="27"/>
      <c r="AQ254" s="27"/>
      <c r="AR254" s="27"/>
      <c r="AS254" s="27">
        <v>17</v>
      </c>
    </row>
    <row r="255" spans="1:45" x14ac:dyDescent="0.25">
      <c r="A255" s="27">
        <f>IF('Pegar ML'!C250="Paquete de 2 productos",'Pegar ML'!A250,IF('Pegar ML'!C249="Paquete de 2 productos",'Pegar ML'!A249,'Pegar ML'!A251))</f>
        <v>0</v>
      </c>
      <c r="B255" s="27"/>
      <c r="C255" s="30" t="e">
        <f>IF(AjusteFecha!I251=0,"",AjusteFecha!I251)</f>
        <v>#N/A</v>
      </c>
      <c r="D255" s="27"/>
      <c r="E255" s="27"/>
      <c r="F255" s="27" t="str">
        <f>IF('Pegar ML'!C251="","",'Pegar ML'!C251)</f>
        <v/>
      </c>
      <c r="G255" s="27" t="str">
        <f>IF('Pegar ML'!G246="ARS","PS","PS")</f>
        <v>PS</v>
      </c>
      <c r="H255" s="14">
        <f>IF('Pegar ML'!C250="Paquete de 2 productos",IF('Pegar ML'!H250="",0,'Pegar ML'!H250),IF('Pegar ML'!H251="",0,'Pegar ML'!H251))</f>
        <v>0</v>
      </c>
      <c r="I255" s="14">
        <f>IF('Pegar ML'!C250="Paquete de 2 productos",IF('Pegar ML'!O250="",0,'Pegar ML'!O250),IF('Pegar ML'!O251="",0,'Pegar ML'!O251))</f>
        <v>0</v>
      </c>
      <c r="J255" s="14">
        <f>IF('Pegar ML'!C250="Paquete de 2 productos",IF('Pegar ML'!O250="",0,'Pegar ML'!O250),IF('Pegar ML'!O251="",0,'Pegar ML'!O251))</f>
        <v>0</v>
      </c>
      <c r="K255" s="14">
        <f t="shared" si="11"/>
        <v>0</v>
      </c>
      <c r="L255" s="27">
        <f>IF('Pegar ML'!AB251=" ",'Pegar ML'!AB250,'Pegar ML'!AB251)</f>
        <v>0</v>
      </c>
      <c r="M255" s="27" t="str">
        <f>IF('Pegar ML'!AC251=" ",RIGHT('Pegar ML'!AC250,8),RIGHT('Pegar ML'!AC251,8))</f>
        <v/>
      </c>
      <c r="N255" s="27" t="s">
        <v>80</v>
      </c>
      <c r="O255" s="27">
        <f t="shared" si="9"/>
        <v>0</v>
      </c>
      <c r="P255" s="27" t="s">
        <v>80</v>
      </c>
      <c r="Q255" s="55">
        <f>IF('Pegar ML'!AD251=" ",'Pegar ML'!AD250,'Pegar ML'!AD251)</f>
        <v>0</v>
      </c>
      <c r="R255" s="27" t="s">
        <v>80</v>
      </c>
      <c r="S255" s="27" t="s">
        <v>80</v>
      </c>
      <c r="T255" s="27" t="s">
        <v>80</v>
      </c>
      <c r="U255" s="55">
        <f>IF('Pegar ML'!AI251=" ",'Pegar ML'!AI250,'Pegar ML'!AI251)</f>
        <v>0</v>
      </c>
      <c r="V255" s="55">
        <f>IF('Pegar ML'!AK251=" ",'Pegar ML'!AK250,'Pegar ML'!AK251)</f>
        <v>0</v>
      </c>
      <c r="W255" s="55">
        <f>IF('Pegar ML'!AJ251=" ",'Pegar ML'!AJ250,'Pegar ML'!AJ251)</f>
        <v>0</v>
      </c>
      <c r="X255" s="55">
        <f>IF('Pegar ML'!AL251=" ",'Pegar ML'!AL250,'Pegar ML'!AL251)</f>
        <v>0</v>
      </c>
      <c r="Y255" s="27"/>
      <c r="Z255" s="27"/>
      <c r="AA255" s="27"/>
      <c r="AB255" s="27"/>
      <c r="AC255" s="27"/>
      <c r="AD255" s="27"/>
      <c r="AF255" s="8"/>
      <c r="AG255" s="27"/>
      <c r="AH255" s="14">
        <f>+'Pegar ML'!Y251</f>
        <v>0</v>
      </c>
      <c r="AI255" s="13">
        <f t="shared" si="10"/>
        <v>1</v>
      </c>
      <c r="AJ255" s="7">
        <f>+'Pegar ML'!T251</f>
        <v>0</v>
      </c>
      <c r="AK255" s="27"/>
      <c r="AL255" s="27"/>
      <c r="AM255" s="27"/>
      <c r="AN255" s="27"/>
      <c r="AO255" s="27"/>
      <c r="AP255" s="27"/>
      <c r="AQ255" s="27"/>
      <c r="AR255" s="27"/>
      <c r="AS255" s="27">
        <v>17</v>
      </c>
    </row>
    <row r="256" spans="1:45" x14ac:dyDescent="0.25">
      <c r="A256" s="27">
        <f>IF('Pegar ML'!C251="Paquete de 2 productos",'Pegar ML'!A251,IF('Pegar ML'!C250="Paquete de 2 productos",'Pegar ML'!A250,'Pegar ML'!A252))</f>
        <v>0</v>
      </c>
      <c r="B256" s="27"/>
      <c r="C256" s="30" t="e">
        <f>IF(AjusteFecha!I252=0,"",AjusteFecha!I252)</f>
        <v>#N/A</v>
      </c>
      <c r="D256" s="27"/>
      <c r="E256" s="27"/>
      <c r="F256" s="27" t="str">
        <f>IF('Pegar ML'!C252="","",'Pegar ML'!C252)</f>
        <v/>
      </c>
      <c r="G256" s="27" t="str">
        <f>IF('Pegar ML'!G247="ARS","PS","PS")</f>
        <v>PS</v>
      </c>
      <c r="H256" s="14">
        <f>IF('Pegar ML'!C251="Paquete de 2 productos",IF('Pegar ML'!H251="",0,'Pegar ML'!H251),IF('Pegar ML'!H252="",0,'Pegar ML'!H252))</f>
        <v>0</v>
      </c>
      <c r="I256" s="14">
        <f>IF('Pegar ML'!C251="Paquete de 2 productos",IF('Pegar ML'!O251="",0,'Pegar ML'!O251),IF('Pegar ML'!O252="",0,'Pegar ML'!O252))</f>
        <v>0</v>
      </c>
      <c r="J256" s="14">
        <f>IF('Pegar ML'!C251="Paquete de 2 productos",IF('Pegar ML'!O251="",0,'Pegar ML'!O251),IF('Pegar ML'!O252="",0,'Pegar ML'!O252))</f>
        <v>0</v>
      </c>
      <c r="K256" s="14">
        <f t="shared" si="11"/>
        <v>0</v>
      </c>
      <c r="L256" s="27">
        <f>IF('Pegar ML'!AB252=" ",'Pegar ML'!AB251,'Pegar ML'!AB252)</f>
        <v>0</v>
      </c>
      <c r="M256" s="27" t="str">
        <f>IF('Pegar ML'!AC252=" ",RIGHT('Pegar ML'!AC251,8),RIGHT('Pegar ML'!AC252,8))</f>
        <v/>
      </c>
      <c r="N256" s="27" t="s">
        <v>80</v>
      </c>
      <c r="O256" s="27">
        <f t="shared" si="9"/>
        <v>0</v>
      </c>
      <c r="P256" s="27" t="s">
        <v>80</v>
      </c>
      <c r="Q256" s="55">
        <f>IF('Pegar ML'!AD252=" ",'Pegar ML'!AD251,'Pegar ML'!AD252)</f>
        <v>0</v>
      </c>
      <c r="R256" s="27" t="s">
        <v>80</v>
      </c>
      <c r="S256" s="27" t="s">
        <v>80</v>
      </c>
      <c r="T256" s="27" t="s">
        <v>80</v>
      </c>
      <c r="U256" s="55">
        <f>IF('Pegar ML'!AI252=" ",'Pegar ML'!AI251,'Pegar ML'!AI252)</f>
        <v>0</v>
      </c>
      <c r="V256" s="55">
        <f>IF('Pegar ML'!AK252=" ",'Pegar ML'!AK251,'Pegar ML'!AK252)</f>
        <v>0</v>
      </c>
      <c r="W256" s="55">
        <f>IF('Pegar ML'!AJ252=" ",'Pegar ML'!AJ251,'Pegar ML'!AJ252)</f>
        <v>0</v>
      </c>
      <c r="X256" s="55">
        <f>IF('Pegar ML'!AL252=" ",'Pegar ML'!AL251,'Pegar ML'!AL252)</f>
        <v>0</v>
      </c>
      <c r="Y256" s="27"/>
      <c r="Z256" s="27"/>
      <c r="AA256" s="27"/>
      <c r="AB256" s="27"/>
      <c r="AC256" s="27"/>
      <c r="AD256" s="27"/>
      <c r="AF256" s="8"/>
      <c r="AG256" s="27"/>
      <c r="AH256" s="14">
        <f>+'Pegar ML'!Y252</f>
        <v>0</v>
      </c>
      <c r="AI256" s="13">
        <f t="shared" si="10"/>
        <v>1</v>
      </c>
      <c r="AJ256" s="7">
        <f>+'Pegar ML'!T252</f>
        <v>0</v>
      </c>
      <c r="AK256" s="27"/>
      <c r="AL256" s="27"/>
      <c r="AM256" s="27"/>
      <c r="AN256" s="27"/>
      <c r="AO256" s="27"/>
      <c r="AP256" s="27"/>
      <c r="AQ256" s="27"/>
      <c r="AR256" s="27"/>
      <c r="AS256" s="27">
        <v>17</v>
      </c>
    </row>
    <row r="257" spans="1:45" x14ac:dyDescent="0.25">
      <c r="A257" s="27">
        <f>IF('Pegar ML'!C252="Paquete de 2 productos",'Pegar ML'!A252,IF('Pegar ML'!C251="Paquete de 2 productos",'Pegar ML'!A251,'Pegar ML'!A253))</f>
        <v>0</v>
      </c>
      <c r="B257" s="27"/>
      <c r="C257" s="30" t="e">
        <f>IF(AjusteFecha!I253=0,"",AjusteFecha!I253)</f>
        <v>#N/A</v>
      </c>
      <c r="D257" s="27"/>
      <c r="E257" s="27"/>
      <c r="F257" s="27" t="str">
        <f>IF('Pegar ML'!C253="","",'Pegar ML'!C253)</f>
        <v/>
      </c>
      <c r="G257" s="27" t="str">
        <f>IF('Pegar ML'!G248="ARS","PS","PS")</f>
        <v>PS</v>
      </c>
      <c r="H257" s="14">
        <f>IF('Pegar ML'!C252="Paquete de 2 productos",IF('Pegar ML'!H252="",0,'Pegar ML'!H252),IF('Pegar ML'!H253="",0,'Pegar ML'!H253))</f>
        <v>0</v>
      </c>
      <c r="I257" s="14">
        <f>IF('Pegar ML'!C252="Paquete de 2 productos",IF('Pegar ML'!O252="",0,'Pegar ML'!O252),IF('Pegar ML'!O253="",0,'Pegar ML'!O253))</f>
        <v>0</v>
      </c>
      <c r="J257" s="14">
        <f>IF('Pegar ML'!C252="Paquete de 2 productos",IF('Pegar ML'!O252="",0,'Pegar ML'!O252),IF('Pegar ML'!O253="",0,'Pegar ML'!O253))</f>
        <v>0</v>
      </c>
      <c r="K257" s="14">
        <f t="shared" si="11"/>
        <v>0</v>
      </c>
      <c r="L257" s="27">
        <f>IF('Pegar ML'!AB253=" ",'Pegar ML'!AB252,'Pegar ML'!AB253)</f>
        <v>0</v>
      </c>
      <c r="M257" s="27" t="str">
        <f>IF('Pegar ML'!AC253=" ",RIGHT('Pegar ML'!AC252,8),RIGHT('Pegar ML'!AC253,8))</f>
        <v/>
      </c>
      <c r="N257" s="27" t="s">
        <v>80</v>
      </c>
      <c r="O257" s="27">
        <f t="shared" si="9"/>
        <v>0</v>
      </c>
      <c r="P257" s="27" t="s">
        <v>80</v>
      </c>
      <c r="Q257" s="55">
        <f>IF('Pegar ML'!AD253=" ",'Pegar ML'!AD252,'Pegar ML'!AD253)</f>
        <v>0</v>
      </c>
      <c r="R257" s="27" t="s">
        <v>80</v>
      </c>
      <c r="S257" s="27" t="s">
        <v>80</v>
      </c>
      <c r="T257" s="27" t="s">
        <v>80</v>
      </c>
      <c r="U257" s="55">
        <f>IF('Pegar ML'!AI253=" ",'Pegar ML'!AI252,'Pegar ML'!AI253)</f>
        <v>0</v>
      </c>
      <c r="V257" s="55">
        <f>IF('Pegar ML'!AK253=" ",'Pegar ML'!AK252,'Pegar ML'!AK253)</f>
        <v>0</v>
      </c>
      <c r="W257" s="55">
        <f>IF('Pegar ML'!AJ253=" ",'Pegar ML'!AJ252,'Pegar ML'!AJ253)</f>
        <v>0</v>
      </c>
      <c r="X257" s="55">
        <f>IF('Pegar ML'!AL253=" ",'Pegar ML'!AL252,'Pegar ML'!AL253)</f>
        <v>0</v>
      </c>
      <c r="Y257" s="27"/>
      <c r="Z257" s="27"/>
      <c r="AA257" s="27"/>
      <c r="AB257" s="27"/>
      <c r="AC257" s="27"/>
      <c r="AD257" s="27"/>
      <c r="AF257" s="8"/>
      <c r="AG257" s="27"/>
      <c r="AH257" s="14">
        <f>+'Pegar ML'!Y253</f>
        <v>0</v>
      </c>
      <c r="AI257" s="13">
        <f t="shared" si="10"/>
        <v>1</v>
      </c>
      <c r="AJ257" s="7">
        <f>+'Pegar ML'!T253</f>
        <v>0</v>
      </c>
      <c r="AK257" s="27"/>
      <c r="AL257" s="27"/>
      <c r="AM257" s="27"/>
      <c r="AN257" s="27"/>
      <c r="AO257" s="27"/>
      <c r="AP257" s="27"/>
      <c r="AQ257" s="27"/>
      <c r="AR257" s="27"/>
      <c r="AS257" s="27">
        <v>17</v>
      </c>
    </row>
    <row r="258" spans="1:45" ht="15" customHeight="1" x14ac:dyDescent="0.25">
      <c r="A258" s="27">
        <f>IF('Pegar ML'!C253="Paquete de 2 productos",'Pegar ML'!A253,IF('Pegar ML'!C252="Paquete de 2 productos",'Pegar ML'!A252,'Pegar ML'!A254))</f>
        <v>0</v>
      </c>
      <c r="B258" s="27"/>
      <c r="C258" s="30" t="e">
        <f>IF(AjusteFecha!I254=0,"",AjusteFecha!I254)</f>
        <v>#N/A</v>
      </c>
      <c r="D258" s="27"/>
      <c r="E258" s="27"/>
      <c r="F258" s="27" t="str">
        <f>IF('Pegar ML'!C254="","",'Pegar ML'!C254)</f>
        <v/>
      </c>
      <c r="G258" s="27" t="str">
        <f>IF('Pegar ML'!G249="ARS","PS","PS")</f>
        <v>PS</v>
      </c>
      <c r="H258" s="14">
        <f>IF('Pegar ML'!C253="Paquete de 2 productos",IF('Pegar ML'!H253="",0,'Pegar ML'!H253),IF('Pegar ML'!H254="",0,'Pegar ML'!H254))</f>
        <v>0</v>
      </c>
      <c r="I258" s="14">
        <f>IF('Pegar ML'!C253="Paquete de 2 productos",IF('Pegar ML'!O253="",0,'Pegar ML'!O253),IF('Pegar ML'!O254="",0,'Pegar ML'!O254))</f>
        <v>0</v>
      </c>
      <c r="J258" s="14">
        <f>IF('Pegar ML'!C253="Paquete de 2 productos",IF('Pegar ML'!O253="",0,'Pegar ML'!O253),IF('Pegar ML'!O254="",0,'Pegar ML'!O254))</f>
        <v>0</v>
      </c>
      <c r="K258" s="14">
        <f t="shared" si="11"/>
        <v>0</v>
      </c>
      <c r="L258" s="27">
        <f>IF('Pegar ML'!AB254=" ",'Pegar ML'!AB253,'Pegar ML'!AB254)</f>
        <v>0</v>
      </c>
      <c r="M258" s="27" t="str">
        <f>IF('Pegar ML'!AC254=" ",RIGHT('Pegar ML'!AC253,8),RIGHT('Pegar ML'!AC254,8))</f>
        <v/>
      </c>
      <c r="N258" s="27" t="s">
        <v>80</v>
      </c>
      <c r="O258" s="27">
        <f t="shared" si="9"/>
        <v>0</v>
      </c>
      <c r="P258" s="27" t="s">
        <v>80</v>
      </c>
      <c r="Q258" s="55">
        <f>IF('Pegar ML'!AD254=" ",'Pegar ML'!AD253,'Pegar ML'!AD254)</f>
        <v>0</v>
      </c>
      <c r="R258" s="27" t="s">
        <v>80</v>
      </c>
      <c r="S258" s="27" t="s">
        <v>80</v>
      </c>
      <c r="T258" s="27" t="s">
        <v>80</v>
      </c>
      <c r="U258" s="55">
        <f>IF('Pegar ML'!AI254=" ",'Pegar ML'!AI253,'Pegar ML'!AI254)</f>
        <v>0</v>
      </c>
      <c r="V258" s="55">
        <f>IF('Pegar ML'!AK254=" ",'Pegar ML'!AK253,'Pegar ML'!AK254)</f>
        <v>0</v>
      </c>
      <c r="W258" s="55">
        <f>IF('Pegar ML'!AJ254=" ",'Pegar ML'!AJ253,'Pegar ML'!AJ254)</f>
        <v>0</v>
      </c>
      <c r="X258" s="55">
        <f>IF('Pegar ML'!AL254=" ",'Pegar ML'!AL253,'Pegar ML'!AL254)</f>
        <v>0</v>
      </c>
      <c r="Y258" s="27"/>
      <c r="Z258" s="27"/>
      <c r="AA258" s="27"/>
      <c r="AB258" s="27"/>
      <c r="AC258" s="27"/>
      <c r="AD258" s="27"/>
      <c r="AF258" s="8"/>
      <c r="AG258" s="27"/>
      <c r="AH258" s="14">
        <f>+'Pegar ML'!Y254</f>
        <v>0</v>
      </c>
      <c r="AI258" s="13">
        <f t="shared" si="10"/>
        <v>1</v>
      </c>
      <c r="AJ258" s="7">
        <f>+'Pegar ML'!T254</f>
        <v>0</v>
      </c>
      <c r="AK258" s="27"/>
      <c r="AL258" s="27"/>
      <c r="AM258" s="27"/>
      <c r="AN258" s="27"/>
      <c r="AO258" s="27"/>
      <c r="AP258" s="27"/>
      <c r="AQ258" s="27"/>
      <c r="AR258" s="27"/>
      <c r="AS258" s="27">
        <v>17</v>
      </c>
    </row>
    <row r="259" spans="1:45" x14ac:dyDescent="0.25">
      <c r="A259" s="27">
        <f>IF('Pegar ML'!C254="Paquete de 2 productos",'Pegar ML'!A254,IF('Pegar ML'!C253="Paquete de 2 productos",'Pegar ML'!A253,'Pegar ML'!A255))</f>
        <v>0</v>
      </c>
      <c r="B259" s="27"/>
      <c r="C259" s="30" t="e">
        <f>IF(AjusteFecha!I255=0,"",AjusteFecha!I255)</f>
        <v>#N/A</v>
      </c>
      <c r="D259" s="27"/>
      <c r="E259" s="27"/>
      <c r="F259" s="27" t="str">
        <f>IF('Pegar ML'!C255="","",'Pegar ML'!C255)</f>
        <v/>
      </c>
      <c r="G259" s="27" t="str">
        <f>IF('Pegar ML'!G250="ARS","PS","PS")</f>
        <v>PS</v>
      </c>
      <c r="H259" s="14">
        <f>IF('Pegar ML'!C254="Paquete de 2 productos",IF('Pegar ML'!H254="",0,'Pegar ML'!H254),IF('Pegar ML'!H255="",0,'Pegar ML'!H255))</f>
        <v>0</v>
      </c>
      <c r="I259" s="14">
        <f>IF('Pegar ML'!C254="Paquete de 2 productos",IF('Pegar ML'!O254="",0,'Pegar ML'!O254),IF('Pegar ML'!O255="",0,'Pegar ML'!O255))</f>
        <v>0</v>
      </c>
      <c r="J259" s="14">
        <f>IF('Pegar ML'!C254="Paquete de 2 productos",IF('Pegar ML'!O254="",0,'Pegar ML'!O254),IF('Pegar ML'!O255="",0,'Pegar ML'!O255))</f>
        <v>0</v>
      </c>
      <c r="K259" s="14">
        <f t="shared" si="11"/>
        <v>0</v>
      </c>
      <c r="L259" s="27">
        <f>IF('Pegar ML'!AB255=" ",'Pegar ML'!AB254,'Pegar ML'!AB255)</f>
        <v>0</v>
      </c>
      <c r="M259" s="27" t="str">
        <f>IF('Pegar ML'!AC255=" ",RIGHT('Pegar ML'!AC254,8),RIGHT('Pegar ML'!AC255,8))</f>
        <v/>
      </c>
      <c r="N259" s="27" t="s">
        <v>80</v>
      </c>
      <c r="O259" s="27">
        <f t="shared" si="9"/>
        <v>0</v>
      </c>
      <c r="P259" s="27" t="s">
        <v>80</v>
      </c>
      <c r="Q259" s="55">
        <f>IF('Pegar ML'!AD255=" ",'Pegar ML'!AD254,'Pegar ML'!AD255)</f>
        <v>0</v>
      </c>
      <c r="R259" s="27" t="s">
        <v>80</v>
      </c>
      <c r="S259" s="27" t="s">
        <v>80</v>
      </c>
      <c r="T259" s="27" t="s">
        <v>80</v>
      </c>
      <c r="U259" s="55">
        <f>IF('Pegar ML'!AI255=" ",'Pegar ML'!AI254,'Pegar ML'!AI255)</f>
        <v>0</v>
      </c>
      <c r="V259" s="55">
        <f>IF('Pegar ML'!AK255=" ",'Pegar ML'!AK254,'Pegar ML'!AK255)</f>
        <v>0</v>
      </c>
      <c r="W259" s="55">
        <f>IF('Pegar ML'!AJ255=" ",'Pegar ML'!AJ254,'Pegar ML'!AJ255)</f>
        <v>0</v>
      </c>
      <c r="X259" s="55">
        <f>IF('Pegar ML'!AL255=" ",'Pegar ML'!AL254,'Pegar ML'!AL255)</f>
        <v>0</v>
      </c>
      <c r="Y259" s="27"/>
      <c r="Z259" s="27"/>
      <c r="AA259" s="27"/>
      <c r="AB259" s="27"/>
      <c r="AC259" s="27"/>
      <c r="AD259" s="27"/>
      <c r="AF259" s="8"/>
      <c r="AG259" s="27"/>
      <c r="AH259" s="14">
        <f>+'Pegar ML'!Y255</f>
        <v>0</v>
      </c>
      <c r="AI259" s="13">
        <f t="shared" si="10"/>
        <v>1</v>
      </c>
      <c r="AJ259" s="7">
        <f>+'Pegar ML'!T255</f>
        <v>0</v>
      </c>
      <c r="AK259" s="27"/>
      <c r="AL259" s="27"/>
      <c r="AM259" s="27"/>
      <c r="AN259" s="27"/>
      <c r="AO259" s="27"/>
      <c r="AP259" s="27"/>
      <c r="AQ259" s="27"/>
      <c r="AR259" s="27"/>
      <c r="AS259" s="27">
        <v>17</v>
      </c>
    </row>
    <row r="260" spans="1:45" x14ac:dyDescent="0.25">
      <c r="A260" s="27">
        <f>IF('Pegar ML'!C255="Paquete de 2 productos",'Pegar ML'!A255,IF('Pegar ML'!C254="Paquete de 2 productos",'Pegar ML'!A254,'Pegar ML'!A256))</f>
        <v>0</v>
      </c>
      <c r="B260" s="27"/>
      <c r="C260" s="30" t="e">
        <f>IF(AjusteFecha!I256=0,"",AjusteFecha!I256)</f>
        <v>#N/A</v>
      </c>
      <c r="D260" s="27"/>
      <c r="E260" s="27"/>
      <c r="F260" s="27" t="str">
        <f>IF('Pegar ML'!C256="","",'Pegar ML'!C256)</f>
        <v/>
      </c>
      <c r="G260" s="27" t="str">
        <f>IF('Pegar ML'!G251="ARS","PS","PS")</f>
        <v>PS</v>
      </c>
      <c r="H260" s="14">
        <f>IF('Pegar ML'!C255="Paquete de 2 productos",IF('Pegar ML'!H255="",0,'Pegar ML'!H255),IF('Pegar ML'!H256="",0,'Pegar ML'!H256))</f>
        <v>0</v>
      </c>
      <c r="I260" s="14">
        <f>IF('Pegar ML'!C255="Paquete de 2 productos",IF('Pegar ML'!O255="",0,'Pegar ML'!O255),IF('Pegar ML'!O256="",0,'Pegar ML'!O256))</f>
        <v>0</v>
      </c>
      <c r="J260" s="14">
        <f>IF('Pegar ML'!C255="Paquete de 2 productos",IF('Pegar ML'!O255="",0,'Pegar ML'!O255),IF('Pegar ML'!O256="",0,'Pegar ML'!O256))</f>
        <v>0</v>
      </c>
      <c r="K260" s="14">
        <f t="shared" si="11"/>
        <v>0</v>
      </c>
      <c r="L260" s="27">
        <f>IF('Pegar ML'!AB256=" ",'Pegar ML'!AB255,'Pegar ML'!AB256)</f>
        <v>0</v>
      </c>
      <c r="M260" s="27" t="str">
        <f>IF('Pegar ML'!AC256=" ",RIGHT('Pegar ML'!AC255,8),RIGHT('Pegar ML'!AC256,8))</f>
        <v/>
      </c>
      <c r="N260" s="27" t="s">
        <v>80</v>
      </c>
      <c r="O260" s="27">
        <f t="shared" si="9"/>
        <v>0</v>
      </c>
      <c r="P260" s="27" t="s">
        <v>80</v>
      </c>
      <c r="Q260" s="55">
        <f>IF('Pegar ML'!AD256=" ",'Pegar ML'!AD255,'Pegar ML'!AD256)</f>
        <v>0</v>
      </c>
      <c r="R260" s="27" t="s">
        <v>80</v>
      </c>
      <c r="S260" s="27" t="s">
        <v>80</v>
      </c>
      <c r="T260" s="27" t="s">
        <v>80</v>
      </c>
      <c r="U260" s="55">
        <f>IF('Pegar ML'!AI256=" ",'Pegar ML'!AI255,'Pegar ML'!AI256)</f>
        <v>0</v>
      </c>
      <c r="V260" s="55">
        <f>IF('Pegar ML'!AK256=" ",'Pegar ML'!AK255,'Pegar ML'!AK256)</f>
        <v>0</v>
      </c>
      <c r="W260" s="55">
        <f>IF('Pegar ML'!AJ256=" ",'Pegar ML'!AJ255,'Pegar ML'!AJ256)</f>
        <v>0</v>
      </c>
      <c r="X260" s="55">
        <f>IF('Pegar ML'!AL256=" ",'Pegar ML'!AL255,'Pegar ML'!AL256)</f>
        <v>0</v>
      </c>
      <c r="Y260" s="27"/>
      <c r="Z260" s="27"/>
      <c r="AA260" s="27"/>
      <c r="AB260" s="27"/>
      <c r="AC260" s="27"/>
      <c r="AD260" s="27"/>
      <c r="AF260" s="8"/>
      <c r="AG260" s="27"/>
      <c r="AH260" s="14">
        <f>+'Pegar ML'!Y256</f>
        <v>0</v>
      </c>
      <c r="AI260" s="13">
        <f t="shared" si="10"/>
        <v>1</v>
      </c>
      <c r="AJ260" s="7">
        <f>+'Pegar ML'!T256</f>
        <v>0</v>
      </c>
      <c r="AK260" s="27"/>
      <c r="AL260" s="27"/>
      <c r="AM260" s="27"/>
      <c r="AN260" s="27"/>
      <c r="AO260" s="27"/>
      <c r="AP260" s="27"/>
      <c r="AQ260" s="27"/>
      <c r="AR260" s="27"/>
      <c r="AS260" s="27">
        <v>17</v>
      </c>
    </row>
    <row r="261" spans="1:45" x14ac:dyDescent="0.25">
      <c r="A261" s="27">
        <f>IF('Pegar ML'!C256="Paquete de 2 productos",'Pegar ML'!A256,IF('Pegar ML'!C255="Paquete de 2 productos",'Pegar ML'!A255,'Pegar ML'!A257))</f>
        <v>0</v>
      </c>
      <c r="B261" s="27"/>
      <c r="C261" s="30" t="e">
        <f>IF(AjusteFecha!I257=0,"",AjusteFecha!I257)</f>
        <v>#N/A</v>
      </c>
      <c r="D261" s="27"/>
      <c r="E261" s="27"/>
      <c r="F261" s="27" t="str">
        <f>IF('Pegar ML'!C257="","",'Pegar ML'!C257)</f>
        <v/>
      </c>
      <c r="G261" s="27" t="str">
        <f>IF('Pegar ML'!G252="ARS","PS","PS")</f>
        <v>PS</v>
      </c>
      <c r="H261" s="14">
        <f>IF('Pegar ML'!C256="Paquete de 2 productos",IF('Pegar ML'!H256="",0,'Pegar ML'!H256),IF('Pegar ML'!H257="",0,'Pegar ML'!H257))</f>
        <v>0</v>
      </c>
      <c r="I261" s="14">
        <f>IF('Pegar ML'!C256="Paquete de 2 productos",IF('Pegar ML'!O256="",0,'Pegar ML'!O256),IF('Pegar ML'!O257="",0,'Pegar ML'!O257))</f>
        <v>0</v>
      </c>
      <c r="J261" s="14">
        <f>IF('Pegar ML'!C256="Paquete de 2 productos",IF('Pegar ML'!O256="",0,'Pegar ML'!O256),IF('Pegar ML'!O257="",0,'Pegar ML'!O257))</f>
        <v>0</v>
      </c>
      <c r="K261" s="14">
        <f t="shared" si="11"/>
        <v>0</v>
      </c>
      <c r="L261" s="27">
        <f>IF('Pegar ML'!AB257=" ",'Pegar ML'!AB256,'Pegar ML'!AB257)</f>
        <v>0</v>
      </c>
      <c r="M261" s="27" t="str">
        <f>IF('Pegar ML'!AC257=" ",RIGHT('Pegar ML'!AC256,8),RIGHT('Pegar ML'!AC257,8))</f>
        <v/>
      </c>
      <c r="N261" s="27" t="s">
        <v>80</v>
      </c>
      <c r="O261" s="27">
        <f t="shared" si="9"/>
        <v>0</v>
      </c>
      <c r="P261" s="27" t="s">
        <v>80</v>
      </c>
      <c r="Q261" s="55">
        <f>IF('Pegar ML'!AD257=" ",'Pegar ML'!AD256,'Pegar ML'!AD257)</f>
        <v>0</v>
      </c>
      <c r="R261" s="27" t="s">
        <v>80</v>
      </c>
      <c r="S261" s="27" t="s">
        <v>80</v>
      </c>
      <c r="T261" s="27" t="s">
        <v>80</v>
      </c>
      <c r="U261" s="55">
        <f>IF('Pegar ML'!AI257=" ",'Pegar ML'!AI256,'Pegar ML'!AI257)</f>
        <v>0</v>
      </c>
      <c r="V261" s="55">
        <f>IF('Pegar ML'!AK257=" ",'Pegar ML'!AK256,'Pegar ML'!AK257)</f>
        <v>0</v>
      </c>
      <c r="W261" s="55">
        <f>IF('Pegar ML'!AJ257=" ",'Pegar ML'!AJ256,'Pegar ML'!AJ257)</f>
        <v>0</v>
      </c>
      <c r="X261" s="55">
        <f>IF('Pegar ML'!AL257=" ",'Pegar ML'!AL256,'Pegar ML'!AL257)</f>
        <v>0</v>
      </c>
      <c r="Y261" s="27"/>
      <c r="Z261" s="27"/>
      <c r="AA261" s="27"/>
      <c r="AB261" s="27"/>
      <c r="AC261" s="27"/>
      <c r="AD261" s="27"/>
      <c r="AF261" s="8"/>
      <c r="AG261" s="27"/>
      <c r="AH261" s="14">
        <f>+'Pegar ML'!Y257</f>
        <v>0</v>
      </c>
      <c r="AI261" s="13">
        <f t="shared" si="10"/>
        <v>1</v>
      </c>
      <c r="AJ261" s="7">
        <f>+'Pegar ML'!T257</f>
        <v>0</v>
      </c>
      <c r="AK261" s="27"/>
      <c r="AL261" s="27"/>
      <c r="AM261" s="27"/>
      <c r="AN261" s="27"/>
      <c r="AO261" s="27"/>
      <c r="AP261" s="27"/>
      <c r="AQ261" s="27"/>
      <c r="AR261" s="27"/>
      <c r="AS261" s="27">
        <v>17</v>
      </c>
    </row>
    <row r="262" spans="1:45" x14ac:dyDescent="0.25">
      <c r="A262" s="27">
        <f>IF('Pegar ML'!C257="Paquete de 2 productos",'Pegar ML'!A257,IF('Pegar ML'!C256="Paquete de 2 productos",'Pegar ML'!A256,'Pegar ML'!A258))</f>
        <v>0</v>
      </c>
      <c r="B262" s="27"/>
      <c r="C262" s="30" t="e">
        <f>IF(AjusteFecha!I258=0,"",AjusteFecha!I258)</f>
        <v>#N/A</v>
      </c>
      <c r="D262" s="27"/>
      <c r="E262" s="27"/>
      <c r="F262" s="27" t="str">
        <f>IF('Pegar ML'!C258="","",'Pegar ML'!C258)</f>
        <v/>
      </c>
      <c r="G262" s="27" t="str">
        <f>IF('Pegar ML'!G253="ARS","PS","PS")</f>
        <v>PS</v>
      </c>
      <c r="H262" s="14">
        <f>IF('Pegar ML'!C257="Paquete de 2 productos",IF('Pegar ML'!H257="",0,'Pegar ML'!H257),IF('Pegar ML'!H258="",0,'Pegar ML'!H258))</f>
        <v>0</v>
      </c>
      <c r="I262" s="14">
        <f>IF('Pegar ML'!C257="Paquete de 2 productos",IF('Pegar ML'!O257="",0,'Pegar ML'!O257),IF('Pegar ML'!O258="",0,'Pegar ML'!O258))</f>
        <v>0</v>
      </c>
      <c r="J262" s="14">
        <f>IF('Pegar ML'!C257="Paquete de 2 productos",IF('Pegar ML'!O257="",0,'Pegar ML'!O257),IF('Pegar ML'!O258="",0,'Pegar ML'!O258))</f>
        <v>0</v>
      </c>
      <c r="K262" s="14">
        <f t="shared" si="11"/>
        <v>0</v>
      </c>
      <c r="L262" s="27">
        <f>IF('Pegar ML'!AB258=" ",'Pegar ML'!AB257,'Pegar ML'!AB258)</f>
        <v>0</v>
      </c>
      <c r="M262" s="27" t="str">
        <f>IF('Pegar ML'!AC258=" ",RIGHT('Pegar ML'!AC257,8),RIGHT('Pegar ML'!AC258,8))</f>
        <v/>
      </c>
      <c r="N262" s="27" t="s">
        <v>80</v>
      </c>
      <c r="O262" s="27">
        <f t="shared" si="9"/>
        <v>0</v>
      </c>
      <c r="P262" s="27" t="s">
        <v>80</v>
      </c>
      <c r="Q262" s="55">
        <f>IF('Pegar ML'!AD258=" ",'Pegar ML'!AD257,'Pegar ML'!AD258)</f>
        <v>0</v>
      </c>
      <c r="R262" s="27" t="s">
        <v>80</v>
      </c>
      <c r="S262" s="27" t="s">
        <v>80</v>
      </c>
      <c r="T262" s="27" t="s">
        <v>80</v>
      </c>
      <c r="U262" s="55">
        <f>IF('Pegar ML'!AI258=" ",'Pegar ML'!AI257,'Pegar ML'!AI258)</f>
        <v>0</v>
      </c>
      <c r="V262" s="55">
        <f>IF('Pegar ML'!AK258=" ",'Pegar ML'!AK257,'Pegar ML'!AK258)</f>
        <v>0</v>
      </c>
      <c r="W262" s="55">
        <f>IF('Pegar ML'!AJ258=" ",'Pegar ML'!AJ257,'Pegar ML'!AJ258)</f>
        <v>0</v>
      </c>
      <c r="X262" s="55">
        <f>IF('Pegar ML'!AL258=" ",'Pegar ML'!AL257,'Pegar ML'!AL258)</f>
        <v>0</v>
      </c>
      <c r="Y262" s="27"/>
      <c r="Z262" s="27"/>
      <c r="AA262" s="27"/>
      <c r="AB262" s="27"/>
      <c r="AC262" s="27"/>
      <c r="AD262" s="27"/>
      <c r="AF262" s="8"/>
      <c r="AG262" s="27"/>
      <c r="AH262" s="14">
        <f>+'Pegar ML'!Y258</f>
        <v>0</v>
      </c>
      <c r="AI262" s="13">
        <f t="shared" si="10"/>
        <v>1</v>
      </c>
      <c r="AJ262" s="7">
        <f>+'Pegar ML'!T258</f>
        <v>0</v>
      </c>
      <c r="AK262" s="27"/>
      <c r="AL262" s="27"/>
      <c r="AM262" s="27"/>
      <c r="AN262" s="27"/>
      <c r="AO262" s="27"/>
      <c r="AP262" s="27"/>
      <c r="AQ262" s="27"/>
      <c r="AR262" s="27"/>
      <c r="AS262" s="27">
        <v>17</v>
      </c>
    </row>
    <row r="263" spans="1:45" x14ac:dyDescent="0.25">
      <c r="A263" s="27">
        <f>IF('Pegar ML'!C258="Paquete de 2 productos",'Pegar ML'!A258,IF('Pegar ML'!C257="Paquete de 2 productos",'Pegar ML'!A257,'Pegar ML'!A259))</f>
        <v>0</v>
      </c>
      <c r="B263" s="27"/>
      <c r="C263" s="30" t="e">
        <f>IF(AjusteFecha!I259=0,"",AjusteFecha!I259)</f>
        <v>#N/A</v>
      </c>
      <c r="D263" s="27"/>
      <c r="E263" s="27"/>
      <c r="F263" s="27" t="str">
        <f>IF('Pegar ML'!C259="","",'Pegar ML'!C259)</f>
        <v/>
      </c>
      <c r="G263" s="27" t="str">
        <f>IF('Pegar ML'!G254="ARS","PS","PS")</f>
        <v>PS</v>
      </c>
      <c r="H263" s="14">
        <f>IF('Pegar ML'!C258="Paquete de 2 productos",IF('Pegar ML'!H258="",0,'Pegar ML'!H258),IF('Pegar ML'!H259="",0,'Pegar ML'!H259))</f>
        <v>0</v>
      </c>
      <c r="I263" s="14">
        <f>IF('Pegar ML'!C258="Paquete de 2 productos",IF('Pegar ML'!O258="",0,'Pegar ML'!O258),IF('Pegar ML'!O259="",0,'Pegar ML'!O259))</f>
        <v>0</v>
      </c>
      <c r="J263" s="14">
        <f>IF('Pegar ML'!C258="Paquete de 2 productos",IF('Pegar ML'!O258="",0,'Pegar ML'!O258),IF('Pegar ML'!O259="",0,'Pegar ML'!O259))</f>
        <v>0</v>
      </c>
      <c r="K263" s="14">
        <f t="shared" si="11"/>
        <v>0</v>
      </c>
      <c r="L263" s="27">
        <f>IF('Pegar ML'!AB259=" ",'Pegar ML'!AB258,'Pegar ML'!AB259)</f>
        <v>0</v>
      </c>
      <c r="M263" s="27" t="str">
        <f>IF('Pegar ML'!AC259=" ",RIGHT('Pegar ML'!AC258,8),RIGHT('Pegar ML'!AC259,8))</f>
        <v/>
      </c>
      <c r="N263" s="27" t="s">
        <v>80</v>
      </c>
      <c r="O263" s="27">
        <f t="shared" si="9"/>
        <v>0</v>
      </c>
      <c r="P263" s="27" t="s">
        <v>80</v>
      </c>
      <c r="Q263" s="55">
        <f>IF('Pegar ML'!AD259=" ",'Pegar ML'!AD258,'Pegar ML'!AD259)</f>
        <v>0</v>
      </c>
      <c r="R263" s="27" t="s">
        <v>80</v>
      </c>
      <c r="S263" s="27" t="s">
        <v>80</v>
      </c>
      <c r="T263" s="27" t="s">
        <v>80</v>
      </c>
      <c r="U263" s="55">
        <f>IF('Pegar ML'!AI259=" ",'Pegar ML'!AI258,'Pegar ML'!AI259)</f>
        <v>0</v>
      </c>
      <c r="V263" s="55">
        <f>IF('Pegar ML'!AK259=" ",'Pegar ML'!AK258,'Pegar ML'!AK259)</f>
        <v>0</v>
      </c>
      <c r="W263" s="55">
        <f>IF('Pegar ML'!AJ259=" ",'Pegar ML'!AJ258,'Pegar ML'!AJ259)</f>
        <v>0</v>
      </c>
      <c r="X263" s="55">
        <f>IF('Pegar ML'!AL259=" ",'Pegar ML'!AL258,'Pegar ML'!AL259)</f>
        <v>0</v>
      </c>
      <c r="Y263" s="27"/>
      <c r="Z263" s="27"/>
      <c r="AA263" s="27"/>
      <c r="AB263" s="27"/>
      <c r="AC263" s="27"/>
      <c r="AD263" s="27"/>
      <c r="AF263" s="8"/>
      <c r="AG263" s="27"/>
      <c r="AH263" s="14">
        <f>+'Pegar ML'!Y259</f>
        <v>0</v>
      </c>
      <c r="AI263" s="13">
        <f t="shared" si="10"/>
        <v>1</v>
      </c>
      <c r="AJ263" s="7">
        <f>+'Pegar ML'!T259</f>
        <v>0</v>
      </c>
      <c r="AK263" s="27"/>
      <c r="AL263" s="27"/>
      <c r="AM263" s="27"/>
      <c r="AN263" s="27"/>
      <c r="AO263" s="27"/>
      <c r="AP263" s="27"/>
      <c r="AQ263" s="27"/>
      <c r="AR263" s="27"/>
      <c r="AS263" s="27">
        <v>17</v>
      </c>
    </row>
    <row r="264" spans="1:45" ht="15" customHeight="1" x14ac:dyDescent="0.25">
      <c r="A264" s="27">
        <f>IF('Pegar ML'!C259="Paquete de 2 productos",'Pegar ML'!A259,IF('Pegar ML'!C258="Paquete de 2 productos",'Pegar ML'!A258,'Pegar ML'!A260))</f>
        <v>0</v>
      </c>
      <c r="B264" s="27"/>
      <c r="C264" s="30" t="e">
        <f>IF(AjusteFecha!I260=0,"",AjusteFecha!I260)</f>
        <v>#N/A</v>
      </c>
      <c r="D264" s="27"/>
      <c r="E264" s="27"/>
      <c r="F264" s="27" t="str">
        <f>IF('Pegar ML'!C260="","",'Pegar ML'!C260)</f>
        <v/>
      </c>
      <c r="G264" s="27" t="str">
        <f>IF('Pegar ML'!G255="ARS","PS","PS")</f>
        <v>PS</v>
      </c>
      <c r="H264" s="14">
        <f>IF('Pegar ML'!C259="Paquete de 2 productos",IF('Pegar ML'!H259="",0,'Pegar ML'!H259),IF('Pegar ML'!H260="",0,'Pegar ML'!H260))</f>
        <v>0</v>
      </c>
      <c r="I264" s="14">
        <f>IF('Pegar ML'!C259="Paquete de 2 productos",IF('Pegar ML'!O259="",0,'Pegar ML'!O259),IF('Pegar ML'!O260="",0,'Pegar ML'!O260))</f>
        <v>0</v>
      </c>
      <c r="J264" s="14">
        <f>IF('Pegar ML'!C259="Paquete de 2 productos",IF('Pegar ML'!O259="",0,'Pegar ML'!O259),IF('Pegar ML'!O260="",0,'Pegar ML'!O260))</f>
        <v>0</v>
      </c>
      <c r="K264" s="14">
        <f t="shared" si="11"/>
        <v>0</v>
      </c>
      <c r="L264" s="27">
        <f>IF('Pegar ML'!AB260=" ",'Pegar ML'!AB259,'Pegar ML'!AB260)</f>
        <v>0</v>
      </c>
      <c r="M264" s="27" t="str">
        <f>IF('Pegar ML'!AC260=" ",RIGHT('Pegar ML'!AC259,8),RIGHT('Pegar ML'!AC260,8))</f>
        <v/>
      </c>
      <c r="N264" s="27" t="s">
        <v>80</v>
      </c>
      <c r="O264" s="27">
        <f t="shared" si="9"/>
        <v>0</v>
      </c>
      <c r="P264" s="27" t="s">
        <v>80</v>
      </c>
      <c r="Q264" s="55">
        <f>IF('Pegar ML'!AD260=" ",'Pegar ML'!AD259,'Pegar ML'!AD260)</f>
        <v>0</v>
      </c>
      <c r="R264" s="27" t="s">
        <v>80</v>
      </c>
      <c r="S264" s="27" t="s">
        <v>80</v>
      </c>
      <c r="T264" s="27" t="s">
        <v>80</v>
      </c>
      <c r="U264" s="55">
        <f>IF('Pegar ML'!AI260=" ",'Pegar ML'!AI259,'Pegar ML'!AI260)</f>
        <v>0</v>
      </c>
      <c r="V264" s="55">
        <f>IF('Pegar ML'!AK260=" ",'Pegar ML'!AK259,'Pegar ML'!AK260)</f>
        <v>0</v>
      </c>
      <c r="W264" s="55">
        <f>IF('Pegar ML'!AJ260=" ",'Pegar ML'!AJ259,'Pegar ML'!AJ260)</f>
        <v>0</v>
      </c>
      <c r="X264" s="55">
        <f>IF('Pegar ML'!AL260=" ",'Pegar ML'!AL259,'Pegar ML'!AL260)</f>
        <v>0</v>
      </c>
      <c r="Y264" s="27"/>
      <c r="Z264" s="27"/>
      <c r="AA264" s="27"/>
      <c r="AB264" s="27"/>
      <c r="AC264" s="27"/>
      <c r="AD264" s="27"/>
      <c r="AF264" s="8"/>
      <c r="AG264" s="27"/>
      <c r="AH264" s="14">
        <f>+'Pegar ML'!Y260</f>
        <v>0</v>
      </c>
      <c r="AI264" s="13">
        <f t="shared" si="10"/>
        <v>1</v>
      </c>
      <c r="AJ264" s="7">
        <f>+'Pegar ML'!T260</f>
        <v>0</v>
      </c>
      <c r="AK264" s="27"/>
      <c r="AL264" s="27"/>
      <c r="AM264" s="27"/>
      <c r="AN264" s="27"/>
      <c r="AO264" s="27"/>
      <c r="AP264" s="27"/>
      <c r="AQ264" s="27"/>
      <c r="AR264" s="27"/>
      <c r="AS264" s="27">
        <v>17</v>
      </c>
    </row>
    <row r="265" spans="1:45" ht="15" customHeight="1" x14ac:dyDescent="0.25">
      <c r="A265" s="27">
        <f>IF('Pegar ML'!C260="Paquete de 2 productos",'Pegar ML'!A260,IF('Pegar ML'!C259="Paquete de 2 productos",'Pegar ML'!A259,'Pegar ML'!A261))</f>
        <v>0</v>
      </c>
      <c r="B265" s="27"/>
      <c r="C265" s="30" t="e">
        <f>IF(AjusteFecha!I261=0,"",AjusteFecha!I261)</f>
        <v>#N/A</v>
      </c>
      <c r="D265" s="27"/>
      <c r="E265" s="27"/>
      <c r="F265" s="27" t="str">
        <f>IF('Pegar ML'!C261="","",'Pegar ML'!C261)</f>
        <v/>
      </c>
      <c r="G265" s="27" t="str">
        <f>IF('Pegar ML'!G256="ARS","PS","PS")</f>
        <v>PS</v>
      </c>
      <c r="H265" s="14">
        <f>IF('Pegar ML'!C260="Paquete de 2 productos",IF('Pegar ML'!H260="",0,'Pegar ML'!H260),IF('Pegar ML'!H261="",0,'Pegar ML'!H261))</f>
        <v>0</v>
      </c>
      <c r="I265" s="14">
        <f>IF('Pegar ML'!C260="Paquete de 2 productos",IF('Pegar ML'!O260="",0,'Pegar ML'!O260),IF('Pegar ML'!O261="",0,'Pegar ML'!O261))</f>
        <v>0</v>
      </c>
      <c r="J265" s="14">
        <f>IF('Pegar ML'!C260="Paquete de 2 productos",IF('Pegar ML'!O260="",0,'Pegar ML'!O260),IF('Pegar ML'!O261="",0,'Pegar ML'!O261))</f>
        <v>0</v>
      </c>
      <c r="K265" s="14">
        <f t="shared" si="11"/>
        <v>0</v>
      </c>
      <c r="L265" s="27">
        <f>IF('Pegar ML'!AB261=" ",'Pegar ML'!AB260,'Pegar ML'!AB261)</f>
        <v>0</v>
      </c>
      <c r="M265" s="27" t="str">
        <f>IF('Pegar ML'!AC261=" ",RIGHT('Pegar ML'!AC260,8),RIGHT('Pegar ML'!AC261,8))</f>
        <v/>
      </c>
      <c r="N265" s="27" t="s">
        <v>80</v>
      </c>
      <c r="O265" s="27">
        <f t="shared" si="9"/>
        <v>0</v>
      </c>
      <c r="P265" s="27" t="s">
        <v>80</v>
      </c>
      <c r="Q265" s="55">
        <f>IF('Pegar ML'!AD261=" ",'Pegar ML'!AD260,'Pegar ML'!AD261)</f>
        <v>0</v>
      </c>
      <c r="R265" s="27" t="s">
        <v>80</v>
      </c>
      <c r="S265" s="27" t="s">
        <v>80</v>
      </c>
      <c r="T265" s="27" t="s">
        <v>80</v>
      </c>
      <c r="U265" s="55">
        <f>IF('Pegar ML'!AI261=" ",'Pegar ML'!AI260,'Pegar ML'!AI261)</f>
        <v>0</v>
      </c>
      <c r="V265" s="55">
        <f>IF('Pegar ML'!AK261=" ",'Pegar ML'!AK260,'Pegar ML'!AK261)</f>
        <v>0</v>
      </c>
      <c r="W265" s="55">
        <f>IF('Pegar ML'!AJ261=" ",'Pegar ML'!AJ260,'Pegar ML'!AJ261)</f>
        <v>0</v>
      </c>
      <c r="X265" s="55">
        <f>IF('Pegar ML'!AL261=" ",'Pegar ML'!AL260,'Pegar ML'!AL261)</f>
        <v>0</v>
      </c>
      <c r="Y265" s="27"/>
      <c r="Z265" s="27"/>
      <c r="AA265" s="27"/>
      <c r="AB265" s="27"/>
      <c r="AC265" s="27"/>
      <c r="AD265" s="27"/>
      <c r="AF265" s="8"/>
      <c r="AG265" s="27"/>
      <c r="AH265" s="14">
        <f>+'Pegar ML'!Y261</f>
        <v>0</v>
      </c>
      <c r="AI265" s="13">
        <f t="shared" si="10"/>
        <v>1</v>
      </c>
      <c r="AJ265" s="7">
        <f>+'Pegar ML'!T261</f>
        <v>0</v>
      </c>
      <c r="AK265" s="27"/>
      <c r="AL265" s="27"/>
      <c r="AM265" s="27"/>
      <c r="AN265" s="27"/>
      <c r="AO265" s="27"/>
      <c r="AP265" s="27"/>
      <c r="AQ265" s="27"/>
      <c r="AR265" s="27"/>
      <c r="AS265" s="27">
        <v>17</v>
      </c>
    </row>
    <row r="266" spans="1:45" ht="15" customHeight="1" x14ac:dyDescent="0.25">
      <c r="A266" s="27">
        <f>IF('Pegar ML'!C261="Paquete de 2 productos",'Pegar ML'!A261,IF('Pegar ML'!C260="Paquete de 2 productos",'Pegar ML'!A260,'Pegar ML'!A262))</f>
        <v>0</v>
      </c>
      <c r="B266" s="27"/>
      <c r="C266" s="30" t="e">
        <f>IF(AjusteFecha!I262=0,"",AjusteFecha!I262)</f>
        <v>#N/A</v>
      </c>
      <c r="D266" s="27"/>
      <c r="E266" s="27"/>
      <c r="F266" s="27" t="str">
        <f>IF('Pegar ML'!C262="","",'Pegar ML'!C262)</f>
        <v/>
      </c>
      <c r="G266" s="27" t="str">
        <f>IF('Pegar ML'!G257="ARS","PS","PS")</f>
        <v>PS</v>
      </c>
      <c r="H266" s="14">
        <f>IF('Pegar ML'!C261="Paquete de 2 productos",IF('Pegar ML'!H261="",0,'Pegar ML'!H261),IF('Pegar ML'!H262="",0,'Pegar ML'!H262))</f>
        <v>0</v>
      </c>
      <c r="I266" s="14">
        <f>IF('Pegar ML'!C261="Paquete de 2 productos",IF('Pegar ML'!O261="",0,'Pegar ML'!O261),IF('Pegar ML'!O262="",0,'Pegar ML'!O262))</f>
        <v>0</v>
      </c>
      <c r="J266" s="14">
        <f>IF('Pegar ML'!C261="Paquete de 2 productos",IF('Pegar ML'!O261="",0,'Pegar ML'!O261),IF('Pegar ML'!O262="",0,'Pegar ML'!O262))</f>
        <v>0</v>
      </c>
      <c r="K266" s="14">
        <f t="shared" si="11"/>
        <v>0</v>
      </c>
      <c r="L266" s="27">
        <f>IF('Pegar ML'!AB262=" ",'Pegar ML'!AB261,'Pegar ML'!AB262)</f>
        <v>0</v>
      </c>
      <c r="M266" s="27" t="str">
        <f>IF('Pegar ML'!AC262=" ",RIGHT('Pegar ML'!AC261,8),RIGHT('Pegar ML'!AC262,8))</f>
        <v/>
      </c>
      <c r="N266" s="27" t="s">
        <v>80</v>
      </c>
      <c r="O266" s="27">
        <f t="shared" si="9"/>
        <v>0</v>
      </c>
      <c r="P266" s="27" t="s">
        <v>80</v>
      </c>
      <c r="Q266" s="55">
        <f>IF('Pegar ML'!AD262=" ",'Pegar ML'!AD261,'Pegar ML'!AD262)</f>
        <v>0</v>
      </c>
      <c r="R266" s="27" t="s">
        <v>80</v>
      </c>
      <c r="S266" s="27" t="s">
        <v>80</v>
      </c>
      <c r="T266" s="27" t="s">
        <v>80</v>
      </c>
      <c r="U266" s="55">
        <f>IF('Pegar ML'!AI262=" ",'Pegar ML'!AI261,'Pegar ML'!AI262)</f>
        <v>0</v>
      </c>
      <c r="V266" s="55">
        <f>IF('Pegar ML'!AK262=" ",'Pegar ML'!AK261,'Pegar ML'!AK262)</f>
        <v>0</v>
      </c>
      <c r="W266" s="55">
        <f>IF('Pegar ML'!AJ262=" ",'Pegar ML'!AJ261,'Pegar ML'!AJ262)</f>
        <v>0</v>
      </c>
      <c r="X266" s="55">
        <f>IF('Pegar ML'!AL262=" ",'Pegar ML'!AL261,'Pegar ML'!AL262)</f>
        <v>0</v>
      </c>
      <c r="Y266" s="27"/>
      <c r="Z266" s="27"/>
      <c r="AA266" s="27"/>
      <c r="AB266" s="27"/>
      <c r="AC266" s="27"/>
      <c r="AD266" s="27"/>
      <c r="AF266" s="8"/>
      <c r="AG266" s="27"/>
      <c r="AH266" s="14">
        <f>+'Pegar ML'!Y262</f>
        <v>0</v>
      </c>
      <c r="AI266" s="13">
        <f t="shared" si="10"/>
        <v>1</v>
      </c>
      <c r="AJ266" s="7">
        <f>+'Pegar ML'!T262</f>
        <v>0</v>
      </c>
      <c r="AK266" s="27"/>
      <c r="AL266" s="27"/>
      <c r="AM266" s="27"/>
      <c r="AN266" s="27"/>
      <c r="AO266" s="27"/>
      <c r="AP266" s="27"/>
      <c r="AQ266" s="27"/>
      <c r="AR266" s="27"/>
      <c r="AS266" s="27">
        <v>17</v>
      </c>
    </row>
    <row r="267" spans="1:45" ht="15" customHeight="1" x14ac:dyDescent="0.25">
      <c r="A267" s="27">
        <f>IF('Pegar ML'!C262="Paquete de 2 productos",'Pegar ML'!A262,IF('Pegar ML'!C261="Paquete de 2 productos",'Pegar ML'!A261,'Pegar ML'!A263))</f>
        <v>0</v>
      </c>
      <c r="B267" s="27"/>
      <c r="C267" s="30" t="e">
        <f>IF(AjusteFecha!I263=0,"",AjusteFecha!I263)</f>
        <v>#N/A</v>
      </c>
      <c r="D267" s="27"/>
      <c r="E267" s="27"/>
      <c r="F267" s="27" t="str">
        <f>IF('Pegar ML'!C263="","",'Pegar ML'!C263)</f>
        <v/>
      </c>
      <c r="G267" s="27" t="str">
        <f>IF('Pegar ML'!G258="ARS","PS","PS")</f>
        <v>PS</v>
      </c>
      <c r="H267" s="14">
        <f>IF('Pegar ML'!C262="Paquete de 2 productos",IF('Pegar ML'!H262="",0,'Pegar ML'!H262),IF('Pegar ML'!H263="",0,'Pegar ML'!H263))</f>
        <v>0</v>
      </c>
      <c r="I267" s="14">
        <f>IF('Pegar ML'!C262="Paquete de 2 productos",IF('Pegar ML'!O262="",0,'Pegar ML'!O262),IF('Pegar ML'!O263="",0,'Pegar ML'!O263))</f>
        <v>0</v>
      </c>
      <c r="J267" s="14">
        <f>IF('Pegar ML'!C262="Paquete de 2 productos",IF('Pegar ML'!O262="",0,'Pegar ML'!O262),IF('Pegar ML'!O263="",0,'Pegar ML'!O263))</f>
        <v>0</v>
      </c>
      <c r="K267" s="14">
        <f t="shared" si="11"/>
        <v>0</v>
      </c>
      <c r="L267" s="27">
        <f>IF('Pegar ML'!AB263=" ",'Pegar ML'!AB262,'Pegar ML'!AB263)</f>
        <v>0</v>
      </c>
      <c r="M267" s="27" t="str">
        <f>IF('Pegar ML'!AC263=" ",RIGHT('Pegar ML'!AC262,8),RIGHT('Pegar ML'!AC263,8))</f>
        <v/>
      </c>
      <c r="N267" s="27" t="s">
        <v>80</v>
      </c>
      <c r="O267" s="27">
        <f t="shared" ref="O267:O330" si="12">+L267</f>
        <v>0</v>
      </c>
      <c r="P267" s="27" t="s">
        <v>80</v>
      </c>
      <c r="Q267" s="55">
        <f>IF('Pegar ML'!AD263=" ",'Pegar ML'!AD262,'Pegar ML'!AD263)</f>
        <v>0</v>
      </c>
      <c r="R267" s="27" t="s">
        <v>80</v>
      </c>
      <c r="S267" s="27" t="s">
        <v>80</v>
      </c>
      <c r="T267" s="27" t="s">
        <v>80</v>
      </c>
      <c r="U267" s="55">
        <f>IF('Pegar ML'!AI263=" ",'Pegar ML'!AI262,'Pegar ML'!AI263)</f>
        <v>0</v>
      </c>
      <c r="V267" s="55">
        <f>IF('Pegar ML'!AK263=" ",'Pegar ML'!AK262,'Pegar ML'!AK263)</f>
        <v>0</v>
      </c>
      <c r="W267" s="55">
        <f>IF('Pegar ML'!AJ263=" ",'Pegar ML'!AJ262,'Pegar ML'!AJ263)</f>
        <v>0</v>
      </c>
      <c r="X267" s="55">
        <f>IF('Pegar ML'!AL263=" ",'Pegar ML'!AL262,'Pegar ML'!AL263)</f>
        <v>0</v>
      </c>
      <c r="Y267" s="27"/>
      <c r="Z267" s="27"/>
      <c r="AA267" s="27"/>
      <c r="AB267" s="27"/>
      <c r="AC267" s="27"/>
      <c r="AD267" s="27"/>
      <c r="AF267" s="8"/>
      <c r="AG267" s="27"/>
      <c r="AH267" s="14">
        <f>+'Pegar ML'!Y263</f>
        <v>0</v>
      </c>
      <c r="AI267" s="13">
        <f t="shared" ref="AI267:AI330" si="13">IF(F267="Paquete de 2 productos","",1)</f>
        <v>1</v>
      </c>
      <c r="AJ267" s="7">
        <f>+'Pegar ML'!T263</f>
        <v>0</v>
      </c>
      <c r="AK267" s="27"/>
      <c r="AL267" s="27"/>
      <c r="AM267" s="27"/>
      <c r="AN267" s="27"/>
      <c r="AO267" s="27"/>
      <c r="AP267" s="27"/>
      <c r="AQ267" s="27"/>
      <c r="AR267" s="27"/>
      <c r="AS267" s="27">
        <v>17</v>
      </c>
    </row>
    <row r="268" spans="1:45" ht="15" customHeight="1" x14ac:dyDescent="0.25">
      <c r="A268" s="27">
        <f>IF('Pegar ML'!C263="Paquete de 2 productos",'Pegar ML'!A263,IF('Pegar ML'!C262="Paquete de 2 productos",'Pegar ML'!A262,'Pegar ML'!A264))</f>
        <v>0</v>
      </c>
      <c r="B268" s="27"/>
      <c r="C268" s="30" t="e">
        <f>IF(AjusteFecha!I264=0,"",AjusteFecha!I264)</f>
        <v>#N/A</v>
      </c>
      <c r="D268" s="27"/>
      <c r="E268" s="27"/>
      <c r="F268" s="27" t="str">
        <f>IF('Pegar ML'!C264="","",'Pegar ML'!C264)</f>
        <v/>
      </c>
      <c r="G268" s="27" t="str">
        <f>IF('Pegar ML'!G259="ARS","PS","PS")</f>
        <v>PS</v>
      </c>
      <c r="H268" s="14">
        <f>IF('Pegar ML'!C263="Paquete de 2 productos",IF('Pegar ML'!H263="",0,'Pegar ML'!H263),IF('Pegar ML'!H264="",0,'Pegar ML'!H264))</f>
        <v>0</v>
      </c>
      <c r="I268" s="14">
        <f>IF('Pegar ML'!C263="Paquete de 2 productos",IF('Pegar ML'!O263="",0,'Pegar ML'!O263),IF('Pegar ML'!O264="",0,'Pegar ML'!O264))</f>
        <v>0</v>
      </c>
      <c r="J268" s="14">
        <f>IF('Pegar ML'!C263="Paquete de 2 productos",IF('Pegar ML'!O263="",0,'Pegar ML'!O263),IF('Pegar ML'!O264="",0,'Pegar ML'!O264))</f>
        <v>0</v>
      </c>
      <c r="K268" s="14">
        <f t="shared" ref="K268:K331" si="14">+H268-I268+J268</f>
        <v>0</v>
      </c>
      <c r="L268" s="27">
        <f>IF('Pegar ML'!AB264=" ",'Pegar ML'!AB263,'Pegar ML'!AB264)</f>
        <v>0</v>
      </c>
      <c r="M268" s="27" t="str">
        <f>IF('Pegar ML'!AC264=" ",RIGHT('Pegar ML'!AC263,8),RIGHT('Pegar ML'!AC264,8))</f>
        <v/>
      </c>
      <c r="N268" s="27" t="s">
        <v>80</v>
      </c>
      <c r="O268" s="27">
        <f t="shared" si="12"/>
        <v>0</v>
      </c>
      <c r="P268" s="27" t="s">
        <v>80</v>
      </c>
      <c r="Q268" s="55">
        <f>IF('Pegar ML'!AD264=" ",'Pegar ML'!AD263,'Pegar ML'!AD264)</f>
        <v>0</v>
      </c>
      <c r="R268" s="27" t="s">
        <v>80</v>
      </c>
      <c r="S268" s="27" t="s">
        <v>80</v>
      </c>
      <c r="T268" s="27" t="s">
        <v>80</v>
      </c>
      <c r="U268" s="55">
        <f>IF('Pegar ML'!AI264=" ",'Pegar ML'!AI263,'Pegar ML'!AI264)</f>
        <v>0</v>
      </c>
      <c r="V268" s="55">
        <f>IF('Pegar ML'!AK264=" ",'Pegar ML'!AK263,'Pegar ML'!AK264)</f>
        <v>0</v>
      </c>
      <c r="W268" s="55">
        <f>IF('Pegar ML'!AJ264=" ",'Pegar ML'!AJ263,'Pegar ML'!AJ264)</f>
        <v>0</v>
      </c>
      <c r="X268" s="55">
        <f>IF('Pegar ML'!AL264=" ",'Pegar ML'!AL263,'Pegar ML'!AL264)</f>
        <v>0</v>
      </c>
      <c r="Y268" s="27"/>
      <c r="Z268" s="27"/>
      <c r="AA268" s="27"/>
      <c r="AB268" s="27"/>
      <c r="AC268" s="27"/>
      <c r="AD268" s="27"/>
      <c r="AF268" s="8"/>
      <c r="AG268" s="27"/>
      <c r="AH268" s="14">
        <f>+'Pegar ML'!Y264</f>
        <v>0</v>
      </c>
      <c r="AI268" s="13">
        <f t="shared" si="13"/>
        <v>1</v>
      </c>
      <c r="AJ268" s="7">
        <f>+'Pegar ML'!T264</f>
        <v>0</v>
      </c>
      <c r="AK268" s="27"/>
      <c r="AL268" s="27"/>
      <c r="AM268" s="27"/>
      <c r="AN268" s="27"/>
      <c r="AO268" s="27"/>
      <c r="AP268" s="27"/>
      <c r="AQ268" s="27"/>
      <c r="AR268" s="27"/>
      <c r="AS268" s="27">
        <v>17</v>
      </c>
    </row>
    <row r="269" spans="1:45" ht="15" customHeight="1" x14ac:dyDescent="0.25">
      <c r="A269" s="27">
        <f>IF('Pegar ML'!C264="Paquete de 2 productos",'Pegar ML'!A264,IF('Pegar ML'!C263="Paquete de 2 productos",'Pegar ML'!A263,'Pegar ML'!A265))</f>
        <v>0</v>
      </c>
      <c r="B269" s="27"/>
      <c r="C269" s="30" t="e">
        <f>IF(AjusteFecha!I265=0,"",AjusteFecha!I265)</f>
        <v>#N/A</v>
      </c>
      <c r="D269" s="27"/>
      <c r="E269" s="27"/>
      <c r="F269" s="27" t="str">
        <f>IF('Pegar ML'!C265="","",'Pegar ML'!C265)</f>
        <v/>
      </c>
      <c r="G269" s="27" t="str">
        <f>IF('Pegar ML'!G260="ARS","PS","PS")</f>
        <v>PS</v>
      </c>
      <c r="H269" s="14">
        <f>IF('Pegar ML'!C264="Paquete de 2 productos",IF('Pegar ML'!H264="",0,'Pegar ML'!H264),IF('Pegar ML'!H265="",0,'Pegar ML'!H265))</f>
        <v>0</v>
      </c>
      <c r="I269" s="14">
        <f>IF('Pegar ML'!C264="Paquete de 2 productos",IF('Pegar ML'!O264="",0,'Pegar ML'!O264),IF('Pegar ML'!O265="",0,'Pegar ML'!O265))</f>
        <v>0</v>
      </c>
      <c r="J269" s="14">
        <f>IF('Pegar ML'!C264="Paquete de 2 productos",IF('Pegar ML'!O264="",0,'Pegar ML'!O264),IF('Pegar ML'!O265="",0,'Pegar ML'!O265))</f>
        <v>0</v>
      </c>
      <c r="K269" s="14">
        <f t="shared" si="14"/>
        <v>0</v>
      </c>
      <c r="L269" s="27">
        <f>IF('Pegar ML'!AB265=" ",'Pegar ML'!AB264,'Pegar ML'!AB265)</f>
        <v>0</v>
      </c>
      <c r="M269" s="27" t="str">
        <f>IF('Pegar ML'!AC265=" ",RIGHT('Pegar ML'!AC264,8),RIGHT('Pegar ML'!AC265,8))</f>
        <v/>
      </c>
      <c r="N269" s="27" t="s">
        <v>80</v>
      </c>
      <c r="O269" s="27">
        <f t="shared" si="12"/>
        <v>0</v>
      </c>
      <c r="P269" s="27" t="s">
        <v>80</v>
      </c>
      <c r="Q269" s="55">
        <f>IF('Pegar ML'!AD265=" ",'Pegar ML'!AD264,'Pegar ML'!AD265)</f>
        <v>0</v>
      </c>
      <c r="R269" s="27" t="s">
        <v>80</v>
      </c>
      <c r="S269" s="27" t="s">
        <v>80</v>
      </c>
      <c r="T269" s="27" t="s">
        <v>80</v>
      </c>
      <c r="U269" s="55">
        <f>IF('Pegar ML'!AI265=" ",'Pegar ML'!AI264,'Pegar ML'!AI265)</f>
        <v>0</v>
      </c>
      <c r="V269" s="55">
        <f>IF('Pegar ML'!AK265=" ",'Pegar ML'!AK264,'Pegar ML'!AK265)</f>
        <v>0</v>
      </c>
      <c r="W269" s="55">
        <f>IF('Pegar ML'!AJ265=" ",'Pegar ML'!AJ264,'Pegar ML'!AJ265)</f>
        <v>0</v>
      </c>
      <c r="X269" s="55">
        <f>IF('Pegar ML'!AL265=" ",'Pegar ML'!AL264,'Pegar ML'!AL265)</f>
        <v>0</v>
      </c>
      <c r="Y269" s="27"/>
      <c r="Z269" s="27"/>
      <c r="AA269" s="27"/>
      <c r="AB269" s="27"/>
      <c r="AC269" s="27"/>
      <c r="AD269" s="27"/>
      <c r="AF269" s="8"/>
      <c r="AG269" s="27"/>
      <c r="AH269" s="14">
        <f>+'Pegar ML'!Y265</f>
        <v>0</v>
      </c>
      <c r="AI269" s="13">
        <f t="shared" si="13"/>
        <v>1</v>
      </c>
      <c r="AJ269" s="7">
        <f>+'Pegar ML'!T265</f>
        <v>0</v>
      </c>
      <c r="AK269" s="27"/>
      <c r="AL269" s="27"/>
      <c r="AM269" s="27"/>
      <c r="AN269" s="27"/>
      <c r="AO269" s="27"/>
      <c r="AP269" s="27"/>
      <c r="AQ269" s="27"/>
      <c r="AR269" s="27"/>
      <c r="AS269" s="27">
        <v>17</v>
      </c>
    </row>
    <row r="270" spans="1:45" ht="15" customHeight="1" x14ac:dyDescent="0.25">
      <c r="A270" s="27">
        <f>IF('Pegar ML'!C265="Paquete de 2 productos",'Pegar ML'!A265,IF('Pegar ML'!C264="Paquete de 2 productos",'Pegar ML'!A264,'Pegar ML'!A266))</f>
        <v>0</v>
      </c>
      <c r="B270" s="27"/>
      <c r="C270" s="30" t="str">
        <f>IF(AjusteFecha!I266=0,"",AjusteFecha!I266)</f>
        <v/>
      </c>
      <c r="D270" s="27"/>
      <c r="E270" s="27"/>
      <c r="F270" s="27" t="str">
        <f>IF('Pegar ML'!C266="","",'Pegar ML'!C266)</f>
        <v/>
      </c>
      <c r="G270" s="27" t="str">
        <f>IF('Pegar ML'!G261="ARS","PS","PS")</f>
        <v>PS</v>
      </c>
      <c r="H270" s="14">
        <f>IF('Pegar ML'!C265="Paquete de 2 productos",IF('Pegar ML'!H265="",0,'Pegar ML'!H265),IF('Pegar ML'!H266="",0,'Pegar ML'!H266))</f>
        <v>0</v>
      </c>
      <c r="I270" s="14">
        <f>IF('Pegar ML'!C265="Paquete de 2 productos",IF('Pegar ML'!O265="",0,'Pegar ML'!O265),IF('Pegar ML'!O266="",0,'Pegar ML'!O266))</f>
        <v>0</v>
      </c>
      <c r="J270" s="14">
        <f>IF('Pegar ML'!C265="Paquete de 2 productos",IF('Pegar ML'!O265="",0,'Pegar ML'!O265),IF('Pegar ML'!O266="",0,'Pegar ML'!O266))</f>
        <v>0</v>
      </c>
      <c r="K270" s="14">
        <f t="shared" si="14"/>
        <v>0</v>
      </c>
      <c r="L270" s="27">
        <f>IF('Pegar ML'!AB266=" ",'Pegar ML'!AB265,'Pegar ML'!AB266)</f>
        <v>0</v>
      </c>
      <c r="M270" s="27" t="str">
        <f>IF('Pegar ML'!AC266=" ",RIGHT('Pegar ML'!AC265,8),RIGHT('Pegar ML'!AC266,8))</f>
        <v/>
      </c>
      <c r="N270" s="27" t="s">
        <v>80</v>
      </c>
      <c r="O270" s="27">
        <f t="shared" si="12"/>
        <v>0</v>
      </c>
      <c r="P270" s="27" t="s">
        <v>80</v>
      </c>
      <c r="Q270" s="55">
        <f>IF('Pegar ML'!AD266=" ",'Pegar ML'!AD265,'Pegar ML'!AD266)</f>
        <v>0</v>
      </c>
      <c r="R270" s="27" t="s">
        <v>80</v>
      </c>
      <c r="S270" s="27" t="s">
        <v>80</v>
      </c>
      <c r="T270" s="27" t="s">
        <v>80</v>
      </c>
      <c r="U270" s="55">
        <f>IF('Pegar ML'!AI266=" ",'Pegar ML'!AI265,'Pegar ML'!AI266)</f>
        <v>0</v>
      </c>
      <c r="V270" s="55">
        <f>IF('Pegar ML'!AK266=" ",'Pegar ML'!AK265,'Pegar ML'!AK266)</f>
        <v>0</v>
      </c>
      <c r="W270" s="55">
        <f>IF('Pegar ML'!AJ266=" ",'Pegar ML'!AJ265,'Pegar ML'!AJ266)</f>
        <v>0</v>
      </c>
      <c r="X270" s="55">
        <f>IF('Pegar ML'!AL266=" ",'Pegar ML'!AL265,'Pegar ML'!AL266)</f>
        <v>0</v>
      </c>
      <c r="Y270" s="27"/>
      <c r="Z270" s="27"/>
      <c r="AA270" s="27"/>
      <c r="AB270" s="27"/>
      <c r="AC270" s="27"/>
      <c r="AD270" s="27"/>
      <c r="AF270" s="8"/>
      <c r="AG270" s="27"/>
      <c r="AH270" s="14">
        <f>+'Pegar ML'!Y266</f>
        <v>0</v>
      </c>
      <c r="AI270" s="13">
        <f t="shared" si="13"/>
        <v>1</v>
      </c>
      <c r="AJ270" s="7">
        <f>+'Pegar ML'!T266</f>
        <v>0</v>
      </c>
      <c r="AK270" s="27"/>
      <c r="AL270" s="27"/>
      <c r="AM270" s="27"/>
      <c r="AN270" s="27"/>
      <c r="AO270" s="27"/>
      <c r="AP270" s="27"/>
      <c r="AQ270" s="27"/>
      <c r="AR270" s="27"/>
      <c r="AS270" s="27">
        <v>17</v>
      </c>
    </row>
    <row r="271" spans="1:45" ht="15" customHeight="1" x14ac:dyDescent="0.25">
      <c r="A271" s="27">
        <f>IF('Pegar ML'!C266="Paquete de 2 productos",'Pegar ML'!A266,IF('Pegar ML'!C265="Paquete de 2 productos",'Pegar ML'!A265,'Pegar ML'!A267))</f>
        <v>0</v>
      </c>
      <c r="B271" s="27"/>
      <c r="C271" s="30" t="str">
        <f>IF(AjusteFecha!I267=0,"",AjusteFecha!I267)</f>
        <v/>
      </c>
      <c r="D271" s="27"/>
      <c r="E271" s="27"/>
      <c r="F271" s="27" t="str">
        <f>IF('Pegar ML'!C267="","",'Pegar ML'!C267)</f>
        <v/>
      </c>
      <c r="G271" s="27" t="str">
        <f>IF('Pegar ML'!G262="ARS","PS","PS")</f>
        <v>PS</v>
      </c>
      <c r="H271" s="14">
        <f>IF('Pegar ML'!C266="Paquete de 2 productos",IF('Pegar ML'!H266="",0,'Pegar ML'!H266),IF('Pegar ML'!H267="",0,'Pegar ML'!H267))</f>
        <v>0</v>
      </c>
      <c r="I271" s="14">
        <f>IF('Pegar ML'!C266="Paquete de 2 productos",IF('Pegar ML'!O266="",0,'Pegar ML'!O266),IF('Pegar ML'!O267="",0,'Pegar ML'!O267))</f>
        <v>0</v>
      </c>
      <c r="J271" s="14">
        <f>IF('Pegar ML'!C266="Paquete de 2 productos",IF('Pegar ML'!O266="",0,'Pegar ML'!O266),IF('Pegar ML'!O267="",0,'Pegar ML'!O267))</f>
        <v>0</v>
      </c>
      <c r="K271" s="14">
        <f t="shared" si="14"/>
        <v>0</v>
      </c>
      <c r="L271" s="27">
        <f>IF('Pegar ML'!AB267=" ",'Pegar ML'!AB266,'Pegar ML'!AB267)</f>
        <v>0</v>
      </c>
      <c r="M271" s="27" t="str">
        <f>IF('Pegar ML'!AC267=" ",RIGHT('Pegar ML'!AC266,8),RIGHT('Pegar ML'!AC267,8))</f>
        <v/>
      </c>
      <c r="N271" s="27" t="s">
        <v>80</v>
      </c>
      <c r="O271" s="27">
        <f t="shared" si="12"/>
        <v>0</v>
      </c>
      <c r="P271" s="27" t="s">
        <v>80</v>
      </c>
      <c r="Q271" s="55">
        <f>IF('Pegar ML'!AD267=" ",'Pegar ML'!AD266,'Pegar ML'!AD267)</f>
        <v>0</v>
      </c>
      <c r="R271" s="27" t="s">
        <v>80</v>
      </c>
      <c r="S271" s="27" t="s">
        <v>80</v>
      </c>
      <c r="T271" s="27" t="s">
        <v>80</v>
      </c>
      <c r="U271" s="55">
        <f>IF('Pegar ML'!AI267=" ",'Pegar ML'!AI266,'Pegar ML'!AI267)</f>
        <v>0</v>
      </c>
      <c r="V271" s="55">
        <f>IF('Pegar ML'!AK267=" ",'Pegar ML'!AK266,'Pegar ML'!AK267)</f>
        <v>0</v>
      </c>
      <c r="W271" s="55">
        <f>IF('Pegar ML'!AJ267=" ",'Pegar ML'!AJ266,'Pegar ML'!AJ267)</f>
        <v>0</v>
      </c>
      <c r="X271" s="55">
        <f>IF('Pegar ML'!AL267=" ",'Pegar ML'!AL266,'Pegar ML'!AL267)</f>
        <v>0</v>
      </c>
      <c r="Y271" s="27"/>
      <c r="Z271" s="27"/>
      <c r="AA271" s="27"/>
      <c r="AB271" s="27"/>
      <c r="AC271" s="27"/>
      <c r="AD271" s="27"/>
      <c r="AF271" s="8"/>
      <c r="AG271" s="27"/>
      <c r="AH271" s="14">
        <f>+'Pegar ML'!Y267</f>
        <v>0</v>
      </c>
      <c r="AI271" s="13">
        <f t="shared" si="13"/>
        <v>1</v>
      </c>
      <c r="AJ271" s="7">
        <f>+'Pegar ML'!T267</f>
        <v>0</v>
      </c>
      <c r="AK271" s="27"/>
      <c r="AL271" s="27"/>
      <c r="AM271" s="27"/>
      <c r="AN271" s="27"/>
      <c r="AO271" s="27"/>
      <c r="AP271" s="27"/>
      <c r="AQ271" s="27"/>
      <c r="AR271" s="27"/>
      <c r="AS271" s="27">
        <v>17</v>
      </c>
    </row>
    <row r="272" spans="1:45" ht="15" customHeight="1" x14ac:dyDescent="0.25">
      <c r="A272" s="27">
        <f>IF('Pegar ML'!C267="Paquete de 2 productos",'Pegar ML'!A267,IF('Pegar ML'!C266="Paquete de 2 productos",'Pegar ML'!A266,'Pegar ML'!A268))</f>
        <v>0</v>
      </c>
      <c r="B272" s="27"/>
      <c r="C272" s="30" t="str">
        <f>IF(AjusteFecha!I268=0,"",AjusteFecha!I268)</f>
        <v/>
      </c>
      <c r="D272" s="27"/>
      <c r="E272" s="27"/>
      <c r="F272" s="27" t="str">
        <f>IF('Pegar ML'!C268="","",'Pegar ML'!C268)</f>
        <v/>
      </c>
      <c r="G272" s="27" t="str">
        <f>IF('Pegar ML'!G263="ARS","PS","PS")</f>
        <v>PS</v>
      </c>
      <c r="H272" s="14">
        <f>IF('Pegar ML'!C267="Paquete de 2 productos",IF('Pegar ML'!H267="",0,'Pegar ML'!H267),IF('Pegar ML'!H268="",0,'Pegar ML'!H268))</f>
        <v>0</v>
      </c>
      <c r="I272" s="14">
        <f>IF('Pegar ML'!C267="Paquete de 2 productos",IF('Pegar ML'!O267="",0,'Pegar ML'!O267),IF('Pegar ML'!O268="",0,'Pegar ML'!O268))</f>
        <v>0</v>
      </c>
      <c r="J272" s="14">
        <f>IF('Pegar ML'!C267="Paquete de 2 productos",IF('Pegar ML'!O267="",0,'Pegar ML'!O267),IF('Pegar ML'!O268="",0,'Pegar ML'!O268))</f>
        <v>0</v>
      </c>
      <c r="K272" s="14">
        <f t="shared" si="14"/>
        <v>0</v>
      </c>
      <c r="L272" s="27">
        <f>IF('Pegar ML'!AB268=" ",'Pegar ML'!AB267,'Pegar ML'!AB268)</f>
        <v>0</v>
      </c>
      <c r="M272" s="27" t="str">
        <f>IF('Pegar ML'!AC268=" ",RIGHT('Pegar ML'!AC267,8),RIGHT('Pegar ML'!AC268,8))</f>
        <v/>
      </c>
      <c r="N272" s="27" t="s">
        <v>80</v>
      </c>
      <c r="O272" s="27">
        <f t="shared" si="12"/>
        <v>0</v>
      </c>
      <c r="P272" s="27" t="s">
        <v>80</v>
      </c>
      <c r="Q272" s="55">
        <f>IF('Pegar ML'!AD268=" ",'Pegar ML'!AD267,'Pegar ML'!AD268)</f>
        <v>0</v>
      </c>
      <c r="R272" s="27" t="s">
        <v>80</v>
      </c>
      <c r="S272" s="27" t="s">
        <v>80</v>
      </c>
      <c r="T272" s="27" t="s">
        <v>80</v>
      </c>
      <c r="U272" s="55">
        <f>IF('Pegar ML'!AI268=" ",'Pegar ML'!AI267,'Pegar ML'!AI268)</f>
        <v>0</v>
      </c>
      <c r="V272" s="55">
        <f>IF('Pegar ML'!AK268=" ",'Pegar ML'!AK267,'Pegar ML'!AK268)</f>
        <v>0</v>
      </c>
      <c r="W272" s="55">
        <f>IF('Pegar ML'!AJ268=" ",'Pegar ML'!AJ267,'Pegar ML'!AJ268)</f>
        <v>0</v>
      </c>
      <c r="X272" s="55">
        <f>IF('Pegar ML'!AL268=" ",'Pegar ML'!AL267,'Pegar ML'!AL268)</f>
        <v>0</v>
      </c>
      <c r="Y272" s="27"/>
      <c r="Z272" s="27"/>
      <c r="AA272" s="27"/>
      <c r="AB272" s="27"/>
      <c r="AC272" s="27"/>
      <c r="AD272" s="27"/>
      <c r="AF272" s="8"/>
      <c r="AG272" s="27"/>
      <c r="AH272" s="14">
        <f>+'Pegar ML'!Y268</f>
        <v>0</v>
      </c>
      <c r="AI272" s="13">
        <f t="shared" si="13"/>
        <v>1</v>
      </c>
      <c r="AJ272" s="7">
        <f>+'Pegar ML'!T268</f>
        <v>0</v>
      </c>
      <c r="AK272" s="27"/>
      <c r="AL272" s="27"/>
      <c r="AM272" s="27"/>
      <c r="AN272" s="27"/>
      <c r="AO272" s="27"/>
      <c r="AP272" s="27"/>
      <c r="AQ272" s="27"/>
      <c r="AR272" s="27"/>
      <c r="AS272" s="27">
        <v>17</v>
      </c>
    </row>
    <row r="273" spans="1:45" ht="15" customHeight="1" x14ac:dyDescent="0.25">
      <c r="A273" s="27">
        <f>IF('Pegar ML'!C268="Paquete de 2 productos",'Pegar ML'!A268,IF('Pegar ML'!C267="Paquete de 2 productos",'Pegar ML'!A267,'Pegar ML'!A269))</f>
        <v>0</v>
      </c>
      <c r="B273" s="27"/>
      <c r="C273" s="30" t="str">
        <f>IF(AjusteFecha!I269=0,"",AjusteFecha!I269)</f>
        <v/>
      </c>
      <c r="D273" s="27"/>
      <c r="E273" s="27"/>
      <c r="F273" s="27" t="str">
        <f>IF('Pegar ML'!C269="","",'Pegar ML'!C269)</f>
        <v/>
      </c>
      <c r="G273" s="27" t="str">
        <f>IF('Pegar ML'!G264="ARS","PS","PS")</f>
        <v>PS</v>
      </c>
      <c r="H273" s="14">
        <f>IF('Pegar ML'!C268="Paquete de 2 productos",IF('Pegar ML'!H268="",0,'Pegar ML'!H268),IF('Pegar ML'!H269="",0,'Pegar ML'!H269))</f>
        <v>0</v>
      </c>
      <c r="I273" s="14">
        <f>IF('Pegar ML'!C268="Paquete de 2 productos",IF('Pegar ML'!O268="",0,'Pegar ML'!O268),IF('Pegar ML'!O269="",0,'Pegar ML'!O269))</f>
        <v>0</v>
      </c>
      <c r="J273" s="14">
        <f>IF('Pegar ML'!C268="Paquete de 2 productos",IF('Pegar ML'!O268="",0,'Pegar ML'!O268),IF('Pegar ML'!O269="",0,'Pegar ML'!O269))</f>
        <v>0</v>
      </c>
      <c r="K273" s="14">
        <f t="shared" si="14"/>
        <v>0</v>
      </c>
      <c r="L273" s="27">
        <f>IF('Pegar ML'!AB269=" ",'Pegar ML'!AB268,'Pegar ML'!AB269)</f>
        <v>0</v>
      </c>
      <c r="M273" s="27" t="str">
        <f>IF('Pegar ML'!AC269=" ",RIGHT('Pegar ML'!AC268,8),RIGHT('Pegar ML'!AC269,8))</f>
        <v/>
      </c>
      <c r="N273" s="27" t="s">
        <v>80</v>
      </c>
      <c r="O273" s="27">
        <f t="shared" si="12"/>
        <v>0</v>
      </c>
      <c r="P273" s="27" t="s">
        <v>80</v>
      </c>
      <c r="Q273" s="55">
        <f>IF('Pegar ML'!AD269=" ",'Pegar ML'!AD268,'Pegar ML'!AD269)</f>
        <v>0</v>
      </c>
      <c r="R273" s="27" t="s">
        <v>80</v>
      </c>
      <c r="S273" s="27" t="s">
        <v>80</v>
      </c>
      <c r="T273" s="27" t="s">
        <v>80</v>
      </c>
      <c r="U273" s="55">
        <f>IF('Pegar ML'!AI269=" ",'Pegar ML'!AI268,'Pegar ML'!AI269)</f>
        <v>0</v>
      </c>
      <c r="V273" s="55">
        <f>IF('Pegar ML'!AK269=" ",'Pegar ML'!AK268,'Pegar ML'!AK269)</f>
        <v>0</v>
      </c>
      <c r="W273" s="55">
        <f>IF('Pegar ML'!AJ269=" ",'Pegar ML'!AJ268,'Pegar ML'!AJ269)</f>
        <v>0</v>
      </c>
      <c r="X273" s="55">
        <f>IF('Pegar ML'!AL269=" ",'Pegar ML'!AL268,'Pegar ML'!AL269)</f>
        <v>0</v>
      </c>
      <c r="Y273" s="27"/>
      <c r="Z273" s="27"/>
      <c r="AA273" s="27"/>
      <c r="AB273" s="27"/>
      <c r="AC273" s="27"/>
      <c r="AD273" s="27"/>
      <c r="AF273" s="8"/>
      <c r="AG273" s="27"/>
      <c r="AH273" s="14">
        <f>+'Pegar ML'!Y269</f>
        <v>0</v>
      </c>
      <c r="AI273" s="13">
        <f t="shared" si="13"/>
        <v>1</v>
      </c>
      <c r="AJ273" s="7">
        <f>+'Pegar ML'!T269</f>
        <v>0</v>
      </c>
      <c r="AK273" s="27"/>
      <c r="AL273" s="27"/>
      <c r="AM273" s="27"/>
      <c r="AN273" s="27"/>
      <c r="AO273" s="27"/>
      <c r="AP273" s="27"/>
      <c r="AQ273" s="27"/>
      <c r="AR273" s="27"/>
      <c r="AS273" s="27">
        <v>17</v>
      </c>
    </row>
    <row r="274" spans="1:45" ht="15" customHeight="1" x14ac:dyDescent="0.25">
      <c r="A274" s="27">
        <f>IF('Pegar ML'!C269="Paquete de 2 productos",'Pegar ML'!A269,IF('Pegar ML'!C268="Paquete de 2 productos",'Pegar ML'!A268,'Pegar ML'!A270))</f>
        <v>0</v>
      </c>
      <c r="B274" s="27"/>
      <c r="C274" s="30" t="str">
        <f>IF(AjusteFecha!I270=0,"",AjusteFecha!I270)</f>
        <v/>
      </c>
      <c r="D274" s="27"/>
      <c r="E274" s="27"/>
      <c r="F274" s="27" t="str">
        <f>IF('Pegar ML'!C270="","",'Pegar ML'!C270)</f>
        <v/>
      </c>
      <c r="G274" s="27" t="str">
        <f>IF('Pegar ML'!G265="ARS","PS","PS")</f>
        <v>PS</v>
      </c>
      <c r="H274" s="14">
        <f>IF('Pegar ML'!C269="Paquete de 2 productos",IF('Pegar ML'!H269="",0,'Pegar ML'!H269),IF('Pegar ML'!H270="",0,'Pegar ML'!H270))</f>
        <v>0</v>
      </c>
      <c r="I274" s="14">
        <f>IF('Pegar ML'!C269="Paquete de 2 productos",IF('Pegar ML'!O269="",0,'Pegar ML'!O269),IF('Pegar ML'!O270="",0,'Pegar ML'!O270))</f>
        <v>0</v>
      </c>
      <c r="J274" s="14">
        <f>IF('Pegar ML'!C269="Paquete de 2 productos",IF('Pegar ML'!O269="",0,'Pegar ML'!O269),IF('Pegar ML'!O270="",0,'Pegar ML'!O270))</f>
        <v>0</v>
      </c>
      <c r="K274" s="14">
        <f t="shared" si="14"/>
        <v>0</v>
      </c>
      <c r="L274" s="27">
        <f>IF('Pegar ML'!AB270=" ",'Pegar ML'!AB269,'Pegar ML'!AB270)</f>
        <v>0</v>
      </c>
      <c r="M274" s="27" t="str">
        <f>IF('Pegar ML'!AC270=" ",RIGHT('Pegar ML'!AC269,8),RIGHT('Pegar ML'!AC270,8))</f>
        <v/>
      </c>
      <c r="N274" s="27" t="s">
        <v>80</v>
      </c>
      <c r="O274" s="27">
        <f t="shared" si="12"/>
        <v>0</v>
      </c>
      <c r="P274" s="27" t="s">
        <v>80</v>
      </c>
      <c r="Q274" s="55">
        <f>IF('Pegar ML'!AD270=" ",'Pegar ML'!AD269,'Pegar ML'!AD270)</f>
        <v>0</v>
      </c>
      <c r="R274" s="27" t="s">
        <v>80</v>
      </c>
      <c r="S274" s="27" t="s">
        <v>80</v>
      </c>
      <c r="T274" s="27" t="s">
        <v>80</v>
      </c>
      <c r="U274" s="55">
        <f>IF('Pegar ML'!AI270=" ",'Pegar ML'!AI269,'Pegar ML'!AI270)</f>
        <v>0</v>
      </c>
      <c r="V274" s="55">
        <f>IF('Pegar ML'!AK270=" ",'Pegar ML'!AK269,'Pegar ML'!AK270)</f>
        <v>0</v>
      </c>
      <c r="W274" s="55">
        <f>IF('Pegar ML'!AJ270=" ",'Pegar ML'!AJ269,'Pegar ML'!AJ270)</f>
        <v>0</v>
      </c>
      <c r="X274" s="55">
        <f>IF('Pegar ML'!AL270=" ",'Pegar ML'!AL269,'Pegar ML'!AL270)</f>
        <v>0</v>
      </c>
      <c r="Y274" s="27"/>
      <c r="Z274" s="27"/>
      <c r="AA274" s="27"/>
      <c r="AB274" s="27"/>
      <c r="AC274" s="27"/>
      <c r="AD274" s="27"/>
      <c r="AF274" s="8"/>
      <c r="AG274" s="27"/>
      <c r="AH274" s="14">
        <f>+'Pegar ML'!Y270</f>
        <v>0</v>
      </c>
      <c r="AI274" s="13">
        <f t="shared" si="13"/>
        <v>1</v>
      </c>
      <c r="AJ274" s="7">
        <f>+'Pegar ML'!T270</f>
        <v>0</v>
      </c>
      <c r="AK274" s="27"/>
      <c r="AL274" s="27"/>
      <c r="AM274" s="27"/>
      <c r="AN274" s="27"/>
      <c r="AO274" s="27"/>
      <c r="AP274" s="27"/>
      <c r="AQ274" s="27"/>
      <c r="AR274" s="27"/>
      <c r="AS274" s="27">
        <v>17</v>
      </c>
    </row>
    <row r="275" spans="1:45" ht="15" customHeight="1" x14ac:dyDescent="0.25">
      <c r="A275" s="27">
        <f>IF('Pegar ML'!C270="Paquete de 2 productos",'Pegar ML'!A270,IF('Pegar ML'!C269="Paquete de 2 productos",'Pegar ML'!A269,'Pegar ML'!A271))</f>
        <v>0</v>
      </c>
      <c r="B275" s="27"/>
      <c r="C275" s="30" t="str">
        <f>IF(AjusteFecha!I271=0,"",AjusteFecha!I271)</f>
        <v/>
      </c>
      <c r="D275" s="27"/>
      <c r="E275" s="27"/>
      <c r="F275" s="27" t="str">
        <f>IF('Pegar ML'!C271="","",'Pegar ML'!C271)</f>
        <v/>
      </c>
      <c r="G275" s="27" t="str">
        <f>IF('Pegar ML'!G266="ARS","PS","PS")</f>
        <v>PS</v>
      </c>
      <c r="H275" s="14">
        <f>IF('Pegar ML'!C270="Paquete de 2 productos",IF('Pegar ML'!H270="",0,'Pegar ML'!H270),IF('Pegar ML'!H271="",0,'Pegar ML'!H271))</f>
        <v>0</v>
      </c>
      <c r="I275" s="14">
        <f>IF('Pegar ML'!C270="Paquete de 2 productos",IF('Pegar ML'!O270="",0,'Pegar ML'!O270),IF('Pegar ML'!O271="",0,'Pegar ML'!O271))</f>
        <v>0</v>
      </c>
      <c r="J275" s="14">
        <f>IF('Pegar ML'!C270="Paquete de 2 productos",IF('Pegar ML'!O270="",0,'Pegar ML'!O270),IF('Pegar ML'!O271="",0,'Pegar ML'!O271))</f>
        <v>0</v>
      </c>
      <c r="K275" s="14">
        <f t="shared" si="14"/>
        <v>0</v>
      </c>
      <c r="L275" s="27">
        <f>IF('Pegar ML'!AB271=" ",'Pegar ML'!AB270,'Pegar ML'!AB271)</f>
        <v>0</v>
      </c>
      <c r="M275" s="27" t="str">
        <f>IF('Pegar ML'!AC271=" ",RIGHT('Pegar ML'!AC270,8),RIGHT('Pegar ML'!AC271,8))</f>
        <v/>
      </c>
      <c r="N275" s="27" t="s">
        <v>80</v>
      </c>
      <c r="O275" s="27">
        <f t="shared" si="12"/>
        <v>0</v>
      </c>
      <c r="P275" s="27" t="s">
        <v>80</v>
      </c>
      <c r="Q275" s="55">
        <f>IF('Pegar ML'!AD271=" ",'Pegar ML'!AD270,'Pegar ML'!AD271)</f>
        <v>0</v>
      </c>
      <c r="R275" s="27" t="s">
        <v>80</v>
      </c>
      <c r="S275" s="27" t="s">
        <v>80</v>
      </c>
      <c r="T275" s="27" t="s">
        <v>80</v>
      </c>
      <c r="U275" s="55">
        <f>IF('Pegar ML'!AI271=" ",'Pegar ML'!AI270,'Pegar ML'!AI271)</f>
        <v>0</v>
      </c>
      <c r="V275" s="55">
        <f>IF('Pegar ML'!AK271=" ",'Pegar ML'!AK270,'Pegar ML'!AK271)</f>
        <v>0</v>
      </c>
      <c r="W275" s="55">
        <f>IF('Pegar ML'!AJ271=" ",'Pegar ML'!AJ270,'Pegar ML'!AJ271)</f>
        <v>0</v>
      </c>
      <c r="X275" s="55">
        <f>IF('Pegar ML'!AL271=" ",'Pegar ML'!AL270,'Pegar ML'!AL271)</f>
        <v>0</v>
      </c>
      <c r="Y275" s="27"/>
      <c r="Z275" s="27"/>
      <c r="AA275" s="27"/>
      <c r="AB275" s="27"/>
      <c r="AC275" s="27"/>
      <c r="AD275" s="27"/>
      <c r="AF275" s="8"/>
      <c r="AG275" s="27"/>
      <c r="AH275" s="14">
        <f>+'Pegar ML'!Y271</f>
        <v>0</v>
      </c>
      <c r="AI275" s="13">
        <f t="shared" si="13"/>
        <v>1</v>
      </c>
      <c r="AJ275" s="7">
        <f>+'Pegar ML'!T271</f>
        <v>0</v>
      </c>
      <c r="AK275" s="27"/>
      <c r="AL275" s="27"/>
      <c r="AM275" s="27"/>
      <c r="AN275" s="27"/>
      <c r="AO275" s="27"/>
      <c r="AP275" s="27"/>
      <c r="AQ275" s="27"/>
      <c r="AR275" s="27"/>
      <c r="AS275" s="27">
        <v>17</v>
      </c>
    </row>
    <row r="276" spans="1:45" ht="15" customHeight="1" x14ac:dyDescent="0.25">
      <c r="A276" s="27">
        <f>IF('Pegar ML'!C271="Paquete de 2 productos",'Pegar ML'!A271,IF('Pegar ML'!C270="Paquete de 2 productos",'Pegar ML'!A270,'Pegar ML'!A272))</f>
        <v>0</v>
      </c>
      <c r="B276" s="27"/>
      <c r="C276" s="30" t="str">
        <f>IF(AjusteFecha!I272=0,"",AjusteFecha!I272)</f>
        <v/>
      </c>
      <c r="D276" s="27"/>
      <c r="E276" s="27"/>
      <c r="F276" s="27" t="str">
        <f>IF('Pegar ML'!C272="","",'Pegar ML'!C272)</f>
        <v/>
      </c>
      <c r="G276" s="27" t="str">
        <f>IF('Pegar ML'!G267="ARS","PS","PS")</f>
        <v>PS</v>
      </c>
      <c r="H276" s="14">
        <f>IF('Pegar ML'!C271="Paquete de 2 productos",IF('Pegar ML'!H271="",0,'Pegar ML'!H271),IF('Pegar ML'!H272="",0,'Pegar ML'!H272))</f>
        <v>0</v>
      </c>
      <c r="I276" s="14">
        <f>IF('Pegar ML'!C271="Paquete de 2 productos",IF('Pegar ML'!O271="",0,'Pegar ML'!O271),IF('Pegar ML'!O272="",0,'Pegar ML'!O272))</f>
        <v>0</v>
      </c>
      <c r="J276" s="14">
        <f>IF('Pegar ML'!C271="Paquete de 2 productos",IF('Pegar ML'!O271="",0,'Pegar ML'!O271),IF('Pegar ML'!O272="",0,'Pegar ML'!O272))</f>
        <v>0</v>
      </c>
      <c r="K276" s="14">
        <f t="shared" si="14"/>
        <v>0</v>
      </c>
      <c r="L276" s="27">
        <f>IF('Pegar ML'!AB272=" ",'Pegar ML'!AB271,'Pegar ML'!AB272)</f>
        <v>0</v>
      </c>
      <c r="M276" s="27" t="str">
        <f>IF('Pegar ML'!AC272=" ",RIGHT('Pegar ML'!AC271,8),RIGHT('Pegar ML'!AC272,8))</f>
        <v/>
      </c>
      <c r="N276" s="27" t="s">
        <v>80</v>
      </c>
      <c r="O276" s="27">
        <f t="shared" si="12"/>
        <v>0</v>
      </c>
      <c r="P276" s="27" t="s">
        <v>80</v>
      </c>
      <c r="Q276" s="55">
        <f>IF('Pegar ML'!AD272=" ",'Pegar ML'!AD271,'Pegar ML'!AD272)</f>
        <v>0</v>
      </c>
      <c r="R276" s="27" t="s">
        <v>80</v>
      </c>
      <c r="S276" s="27" t="s">
        <v>80</v>
      </c>
      <c r="T276" s="27" t="s">
        <v>80</v>
      </c>
      <c r="U276" s="55">
        <f>IF('Pegar ML'!AI272=" ",'Pegar ML'!AI271,'Pegar ML'!AI272)</f>
        <v>0</v>
      </c>
      <c r="V276" s="55">
        <f>IF('Pegar ML'!AK272=" ",'Pegar ML'!AK271,'Pegar ML'!AK272)</f>
        <v>0</v>
      </c>
      <c r="W276" s="55">
        <f>IF('Pegar ML'!AJ272=" ",'Pegar ML'!AJ271,'Pegar ML'!AJ272)</f>
        <v>0</v>
      </c>
      <c r="X276" s="55">
        <f>IF('Pegar ML'!AL272=" ",'Pegar ML'!AL271,'Pegar ML'!AL272)</f>
        <v>0</v>
      </c>
      <c r="Y276" s="27"/>
      <c r="Z276" s="27"/>
      <c r="AA276" s="27"/>
      <c r="AB276" s="27"/>
      <c r="AC276" s="27"/>
      <c r="AD276" s="27"/>
      <c r="AF276" s="8"/>
      <c r="AG276" s="27"/>
      <c r="AH276" s="14">
        <f>+'Pegar ML'!Y272</f>
        <v>0</v>
      </c>
      <c r="AI276" s="13">
        <f t="shared" si="13"/>
        <v>1</v>
      </c>
      <c r="AJ276" s="7">
        <f>+'Pegar ML'!T272</f>
        <v>0</v>
      </c>
      <c r="AK276" s="27"/>
      <c r="AL276" s="27"/>
      <c r="AM276" s="27"/>
      <c r="AN276" s="27"/>
      <c r="AO276" s="27"/>
      <c r="AP276" s="27"/>
      <c r="AQ276" s="27"/>
      <c r="AR276" s="27"/>
      <c r="AS276" s="27">
        <v>17</v>
      </c>
    </row>
    <row r="277" spans="1:45" ht="15" customHeight="1" x14ac:dyDescent="0.25">
      <c r="A277" s="27">
        <f>IF('Pegar ML'!C272="Paquete de 2 productos",'Pegar ML'!A272,IF('Pegar ML'!C271="Paquete de 2 productos",'Pegar ML'!A271,'Pegar ML'!A273))</f>
        <v>0</v>
      </c>
      <c r="B277" s="27"/>
      <c r="C277" s="30" t="str">
        <f>IF(AjusteFecha!I273=0,"",AjusteFecha!I273)</f>
        <v/>
      </c>
      <c r="D277" s="27"/>
      <c r="E277" s="27"/>
      <c r="F277" s="27" t="str">
        <f>IF('Pegar ML'!C273="","",'Pegar ML'!C273)</f>
        <v/>
      </c>
      <c r="G277" s="27" t="str">
        <f>IF('Pegar ML'!G268="ARS","PS","PS")</f>
        <v>PS</v>
      </c>
      <c r="H277" s="14">
        <f>IF('Pegar ML'!C272="Paquete de 2 productos",IF('Pegar ML'!H272="",0,'Pegar ML'!H272),IF('Pegar ML'!H273="",0,'Pegar ML'!H273))</f>
        <v>0</v>
      </c>
      <c r="I277" s="14">
        <f>IF('Pegar ML'!C272="Paquete de 2 productos",IF('Pegar ML'!O272="",0,'Pegar ML'!O272),IF('Pegar ML'!O273="",0,'Pegar ML'!O273))</f>
        <v>0</v>
      </c>
      <c r="J277" s="14">
        <f>IF('Pegar ML'!C272="Paquete de 2 productos",IF('Pegar ML'!O272="",0,'Pegar ML'!O272),IF('Pegar ML'!O273="",0,'Pegar ML'!O273))</f>
        <v>0</v>
      </c>
      <c r="K277" s="14">
        <f t="shared" si="14"/>
        <v>0</v>
      </c>
      <c r="L277" s="27">
        <f>IF('Pegar ML'!AB273=" ",'Pegar ML'!AB272,'Pegar ML'!AB273)</f>
        <v>0</v>
      </c>
      <c r="M277" s="27" t="str">
        <f>IF('Pegar ML'!AC273=" ",RIGHT('Pegar ML'!AC272,8),RIGHT('Pegar ML'!AC273,8))</f>
        <v/>
      </c>
      <c r="N277" s="27" t="s">
        <v>80</v>
      </c>
      <c r="O277" s="27">
        <f t="shared" si="12"/>
        <v>0</v>
      </c>
      <c r="P277" s="27" t="s">
        <v>80</v>
      </c>
      <c r="Q277" s="55">
        <f>IF('Pegar ML'!AD273=" ",'Pegar ML'!AD272,'Pegar ML'!AD273)</f>
        <v>0</v>
      </c>
      <c r="R277" s="27" t="s">
        <v>80</v>
      </c>
      <c r="S277" s="27" t="s">
        <v>80</v>
      </c>
      <c r="T277" s="27" t="s">
        <v>80</v>
      </c>
      <c r="U277" s="55">
        <f>IF('Pegar ML'!AI273=" ",'Pegar ML'!AI272,'Pegar ML'!AI273)</f>
        <v>0</v>
      </c>
      <c r="V277" s="55">
        <f>IF('Pegar ML'!AK273=" ",'Pegar ML'!AK272,'Pegar ML'!AK273)</f>
        <v>0</v>
      </c>
      <c r="W277" s="55">
        <f>IF('Pegar ML'!AJ273=" ",'Pegar ML'!AJ272,'Pegar ML'!AJ273)</f>
        <v>0</v>
      </c>
      <c r="X277" s="55">
        <f>IF('Pegar ML'!AL273=" ",'Pegar ML'!AL272,'Pegar ML'!AL273)</f>
        <v>0</v>
      </c>
      <c r="Y277" s="27"/>
      <c r="Z277" s="27"/>
      <c r="AA277" s="27"/>
      <c r="AB277" s="27"/>
      <c r="AC277" s="27"/>
      <c r="AD277" s="27"/>
      <c r="AF277" s="8"/>
      <c r="AG277" s="27"/>
      <c r="AH277" s="14">
        <f>+'Pegar ML'!Y273</f>
        <v>0</v>
      </c>
      <c r="AI277" s="13">
        <f t="shared" si="13"/>
        <v>1</v>
      </c>
      <c r="AJ277" s="7">
        <f>+'Pegar ML'!T273</f>
        <v>0</v>
      </c>
      <c r="AK277" s="27"/>
      <c r="AL277" s="27"/>
      <c r="AM277" s="27"/>
      <c r="AN277" s="27"/>
      <c r="AO277" s="27"/>
      <c r="AP277" s="27"/>
      <c r="AQ277" s="27"/>
      <c r="AR277" s="27"/>
      <c r="AS277" s="27">
        <v>17</v>
      </c>
    </row>
    <row r="278" spans="1:45" ht="15" customHeight="1" x14ac:dyDescent="0.25">
      <c r="A278" s="27">
        <f>IF('Pegar ML'!C273="Paquete de 2 productos",'Pegar ML'!A273,IF('Pegar ML'!C272="Paquete de 2 productos",'Pegar ML'!A272,'Pegar ML'!A274))</f>
        <v>0</v>
      </c>
      <c r="B278" s="27"/>
      <c r="C278" s="30" t="str">
        <f>IF(AjusteFecha!I274=0,"",AjusteFecha!I274)</f>
        <v/>
      </c>
      <c r="D278" s="27"/>
      <c r="E278" s="27"/>
      <c r="F278" s="27" t="str">
        <f>IF('Pegar ML'!C274="","",'Pegar ML'!C274)</f>
        <v/>
      </c>
      <c r="G278" s="27" t="str">
        <f>IF('Pegar ML'!G269="ARS","PS","PS")</f>
        <v>PS</v>
      </c>
      <c r="H278" s="14">
        <f>IF('Pegar ML'!C273="Paquete de 2 productos",IF('Pegar ML'!H273="",0,'Pegar ML'!H273),IF('Pegar ML'!H274="",0,'Pegar ML'!H274))</f>
        <v>0</v>
      </c>
      <c r="I278" s="14">
        <f>IF('Pegar ML'!C273="Paquete de 2 productos",IF('Pegar ML'!O273="",0,'Pegar ML'!O273),IF('Pegar ML'!O274="",0,'Pegar ML'!O274))</f>
        <v>0</v>
      </c>
      <c r="J278" s="14">
        <f>IF('Pegar ML'!C273="Paquete de 2 productos",IF('Pegar ML'!O273="",0,'Pegar ML'!O273),IF('Pegar ML'!O274="",0,'Pegar ML'!O274))</f>
        <v>0</v>
      </c>
      <c r="K278" s="14">
        <f t="shared" si="14"/>
        <v>0</v>
      </c>
      <c r="L278" s="27">
        <f>IF('Pegar ML'!AB274=" ",'Pegar ML'!AB273,'Pegar ML'!AB274)</f>
        <v>0</v>
      </c>
      <c r="M278" s="27" t="str">
        <f>IF('Pegar ML'!AC274=" ",RIGHT('Pegar ML'!AC273,8),RIGHT('Pegar ML'!AC274,8))</f>
        <v/>
      </c>
      <c r="N278" s="27" t="s">
        <v>80</v>
      </c>
      <c r="O278" s="27">
        <f t="shared" si="12"/>
        <v>0</v>
      </c>
      <c r="P278" s="27" t="s">
        <v>80</v>
      </c>
      <c r="Q278" s="55">
        <f>IF('Pegar ML'!AD274=" ",'Pegar ML'!AD273,'Pegar ML'!AD274)</f>
        <v>0</v>
      </c>
      <c r="R278" s="27" t="s">
        <v>80</v>
      </c>
      <c r="S278" s="27" t="s">
        <v>80</v>
      </c>
      <c r="T278" s="27" t="s">
        <v>80</v>
      </c>
      <c r="U278" s="55">
        <f>IF('Pegar ML'!AI274=" ",'Pegar ML'!AI273,'Pegar ML'!AI274)</f>
        <v>0</v>
      </c>
      <c r="V278" s="55">
        <f>IF('Pegar ML'!AK274=" ",'Pegar ML'!AK273,'Pegar ML'!AK274)</f>
        <v>0</v>
      </c>
      <c r="W278" s="55">
        <f>IF('Pegar ML'!AJ274=" ",'Pegar ML'!AJ273,'Pegar ML'!AJ274)</f>
        <v>0</v>
      </c>
      <c r="X278" s="55">
        <f>IF('Pegar ML'!AL274=" ",'Pegar ML'!AL273,'Pegar ML'!AL274)</f>
        <v>0</v>
      </c>
      <c r="Y278" s="27"/>
      <c r="Z278" s="27"/>
      <c r="AA278" s="27"/>
      <c r="AB278" s="27"/>
      <c r="AC278" s="27"/>
      <c r="AD278" s="27"/>
      <c r="AF278" s="8"/>
      <c r="AG278" s="27"/>
      <c r="AH278" s="14">
        <f>+'Pegar ML'!Y274</f>
        <v>0</v>
      </c>
      <c r="AI278" s="13">
        <f t="shared" si="13"/>
        <v>1</v>
      </c>
      <c r="AJ278" s="7">
        <f>+'Pegar ML'!T274</f>
        <v>0</v>
      </c>
      <c r="AK278" s="27"/>
      <c r="AL278" s="27"/>
      <c r="AM278" s="27"/>
      <c r="AN278" s="27"/>
      <c r="AO278" s="27"/>
      <c r="AP278" s="27"/>
      <c r="AQ278" s="27"/>
      <c r="AR278" s="27"/>
      <c r="AS278" s="27">
        <v>17</v>
      </c>
    </row>
    <row r="279" spans="1:45" ht="15" customHeight="1" x14ac:dyDescent="0.25">
      <c r="A279" s="27">
        <f>IF('Pegar ML'!C274="Paquete de 2 productos",'Pegar ML'!A274,IF('Pegar ML'!C273="Paquete de 2 productos",'Pegar ML'!A273,'Pegar ML'!A275))</f>
        <v>0</v>
      </c>
      <c r="B279" s="27"/>
      <c r="C279" s="30" t="str">
        <f>IF(AjusteFecha!I275=0,"",AjusteFecha!I275)</f>
        <v/>
      </c>
      <c r="D279" s="27"/>
      <c r="E279" s="27"/>
      <c r="F279" s="27" t="str">
        <f>IF('Pegar ML'!C275="","",'Pegar ML'!C275)</f>
        <v/>
      </c>
      <c r="G279" s="27" t="str">
        <f>IF('Pegar ML'!G270="ARS","PS","PS")</f>
        <v>PS</v>
      </c>
      <c r="H279" s="14">
        <f>IF('Pegar ML'!C274="Paquete de 2 productos",IF('Pegar ML'!H274="",0,'Pegar ML'!H274),IF('Pegar ML'!H275="",0,'Pegar ML'!H275))</f>
        <v>0</v>
      </c>
      <c r="I279" s="14">
        <f>IF('Pegar ML'!C274="Paquete de 2 productos",IF('Pegar ML'!O274="",0,'Pegar ML'!O274),IF('Pegar ML'!O275="",0,'Pegar ML'!O275))</f>
        <v>0</v>
      </c>
      <c r="J279" s="14">
        <f>IF('Pegar ML'!C274="Paquete de 2 productos",IF('Pegar ML'!O274="",0,'Pegar ML'!O274),IF('Pegar ML'!O275="",0,'Pegar ML'!O275))</f>
        <v>0</v>
      </c>
      <c r="K279" s="14">
        <f t="shared" si="14"/>
        <v>0</v>
      </c>
      <c r="L279" s="27">
        <f>IF('Pegar ML'!AB275=" ",'Pegar ML'!AB274,'Pegar ML'!AB275)</f>
        <v>0</v>
      </c>
      <c r="M279" s="27" t="str">
        <f>IF('Pegar ML'!AC275=" ",RIGHT('Pegar ML'!AC274,8),RIGHT('Pegar ML'!AC275,8))</f>
        <v/>
      </c>
      <c r="N279" s="27" t="s">
        <v>80</v>
      </c>
      <c r="O279" s="27">
        <f t="shared" si="12"/>
        <v>0</v>
      </c>
      <c r="P279" s="27" t="s">
        <v>80</v>
      </c>
      <c r="Q279" s="55">
        <f>IF('Pegar ML'!AD275=" ",'Pegar ML'!AD274,'Pegar ML'!AD275)</f>
        <v>0</v>
      </c>
      <c r="R279" s="27" t="s">
        <v>80</v>
      </c>
      <c r="S279" s="27" t="s">
        <v>80</v>
      </c>
      <c r="T279" s="27" t="s">
        <v>80</v>
      </c>
      <c r="U279" s="55">
        <f>IF('Pegar ML'!AI275=" ",'Pegar ML'!AI274,'Pegar ML'!AI275)</f>
        <v>0</v>
      </c>
      <c r="V279" s="55">
        <f>IF('Pegar ML'!AK275=" ",'Pegar ML'!AK274,'Pegar ML'!AK275)</f>
        <v>0</v>
      </c>
      <c r="W279" s="55">
        <f>IF('Pegar ML'!AJ275=" ",'Pegar ML'!AJ274,'Pegar ML'!AJ275)</f>
        <v>0</v>
      </c>
      <c r="X279" s="55">
        <f>IF('Pegar ML'!AL275=" ",'Pegar ML'!AL274,'Pegar ML'!AL275)</f>
        <v>0</v>
      </c>
      <c r="Y279" s="27"/>
      <c r="Z279" s="27"/>
      <c r="AA279" s="27"/>
      <c r="AB279" s="27"/>
      <c r="AC279" s="27"/>
      <c r="AD279" s="27"/>
      <c r="AF279" s="8"/>
      <c r="AG279" s="27"/>
      <c r="AH279" s="14">
        <f>+'Pegar ML'!Y275</f>
        <v>0</v>
      </c>
      <c r="AI279" s="13">
        <f t="shared" si="13"/>
        <v>1</v>
      </c>
      <c r="AJ279" s="7">
        <f>+'Pegar ML'!T275</f>
        <v>0</v>
      </c>
      <c r="AK279" s="27"/>
      <c r="AL279" s="27"/>
      <c r="AM279" s="27"/>
      <c r="AN279" s="27"/>
      <c r="AO279" s="27"/>
      <c r="AP279" s="27"/>
      <c r="AQ279" s="27"/>
      <c r="AR279" s="27"/>
      <c r="AS279" s="27">
        <v>17</v>
      </c>
    </row>
    <row r="280" spans="1:45" ht="15" customHeight="1" x14ac:dyDescent="0.25">
      <c r="A280" s="27">
        <f>IF('Pegar ML'!C275="Paquete de 2 productos",'Pegar ML'!A275,IF('Pegar ML'!C274="Paquete de 2 productos",'Pegar ML'!A274,'Pegar ML'!A276))</f>
        <v>0</v>
      </c>
      <c r="B280" s="27"/>
      <c r="C280" s="30" t="str">
        <f>IF(AjusteFecha!I276=0,"",AjusteFecha!I276)</f>
        <v/>
      </c>
      <c r="D280" s="27"/>
      <c r="E280" s="27"/>
      <c r="F280" s="27" t="str">
        <f>IF('Pegar ML'!C276="","",'Pegar ML'!C276)</f>
        <v/>
      </c>
      <c r="G280" s="27" t="str">
        <f>IF('Pegar ML'!G271="ARS","PS","PS")</f>
        <v>PS</v>
      </c>
      <c r="H280" s="14">
        <f>IF('Pegar ML'!C275="Paquete de 2 productos",IF('Pegar ML'!H275="",0,'Pegar ML'!H275),IF('Pegar ML'!H276="",0,'Pegar ML'!H276))</f>
        <v>0</v>
      </c>
      <c r="I280" s="14">
        <f>IF('Pegar ML'!C275="Paquete de 2 productos",IF('Pegar ML'!O275="",0,'Pegar ML'!O275),IF('Pegar ML'!O276="",0,'Pegar ML'!O276))</f>
        <v>0</v>
      </c>
      <c r="J280" s="14">
        <f>IF('Pegar ML'!C275="Paquete de 2 productos",IF('Pegar ML'!O275="",0,'Pegar ML'!O275),IF('Pegar ML'!O276="",0,'Pegar ML'!O276))</f>
        <v>0</v>
      </c>
      <c r="K280" s="14">
        <f t="shared" si="14"/>
        <v>0</v>
      </c>
      <c r="L280" s="27">
        <f>IF('Pegar ML'!AB276=" ",'Pegar ML'!AB275,'Pegar ML'!AB276)</f>
        <v>0</v>
      </c>
      <c r="M280" s="27" t="str">
        <f>IF('Pegar ML'!AC276=" ",RIGHT('Pegar ML'!AC275,8),RIGHT('Pegar ML'!AC276,8))</f>
        <v/>
      </c>
      <c r="N280" s="27" t="s">
        <v>80</v>
      </c>
      <c r="O280" s="27">
        <f t="shared" si="12"/>
        <v>0</v>
      </c>
      <c r="P280" s="27" t="s">
        <v>80</v>
      </c>
      <c r="Q280" s="55">
        <f>IF('Pegar ML'!AD276=" ",'Pegar ML'!AD275,'Pegar ML'!AD276)</f>
        <v>0</v>
      </c>
      <c r="R280" s="27" t="s">
        <v>80</v>
      </c>
      <c r="S280" s="27" t="s">
        <v>80</v>
      </c>
      <c r="T280" s="27" t="s">
        <v>80</v>
      </c>
      <c r="U280" s="55">
        <f>IF('Pegar ML'!AI276=" ",'Pegar ML'!AI275,'Pegar ML'!AI276)</f>
        <v>0</v>
      </c>
      <c r="V280" s="55">
        <f>IF('Pegar ML'!AK276=" ",'Pegar ML'!AK275,'Pegar ML'!AK276)</f>
        <v>0</v>
      </c>
      <c r="W280" s="55">
        <f>IF('Pegar ML'!AJ276=" ",'Pegar ML'!AJ275,'Pegar ML'!AJ276)</f>
        <v>0</v>
      </c>
      <c r="X280" s="55">
        <f>IF('Pegar ML'!AL276=" ",'Pegar ML'!AL275,'Pegar ML'!AL276)</f>
        <v>0</v>
      </c>
      <c r="Y280" s="27"/>
      <c r="Z280" s="27"/>
      <c r="AA280" s="27"/>
      <c r="AB280" s="27"/>
      <c r="AC280" s="27"/>
      <c r="AD280" s="27"/>
      <c r="AF280" s="8"/>
      <c r="AG280" s="27"/>
      <c r="AH280" s="14">
        <f>+'Pegar ML'!Y276</f>
        <v>0</v>
      </c>
      <c r="AI280" s="13">
        <f t="shared" si="13"/>
        <v>1</v>
      </c>
      <c r="AJ280" s="7">
        <f>+'Pegar ML'!T276</f>
        <v>0</v>
      </c>
      <c r="AK280" s="27"/>
      <c r="AL280" s="27"/>
      <c r="AM280" s="27"/>
      <c r="AN280" s="27"/>
      <c r="AO280" s="27"/>
      <c r="AP280" s="27"/>
      <c r="AQ280" s="27"/>
      <c r="AR280" s="27"/>
      <c r="AS280" s="27">
        <v>17</v>
      </c>
    </row>
    <row r="281" spans="1:45" ht="15" customHeight="1" x14ac:dyDescent="0.25">
      <c r="A281" s="27">
        <f>IF('Pegar ML'!C276="Paquete de 2 productos",'Pegar ML'!A276,IF('Pegar ML'!C275="Paquete de 2 productos",'Pegar ML'!A275,'Pegar ML'!A277))</f>
        <v>0</v>
      </c>
      <c r="B281" s="27"/>
      <c r="C281" s="30" t="str">
        <f>IF(AjusteFecha!I277=0,"",AjusteFecha!I277)</f>
        <v/>
      </c>
      <c r="D281" s="27"/>
      <c r="E281" s="27"/>
      <c r="F281" s="27" t="str">
        <f>IF('Pegar ML'!C277="","",'Pegar ML'!C277)</f>
        <v/>
      </c>
      <c r="G281" s="27" t="str">
        <f>IF('Pegar ML'!G272="ARS","PS","PS")</f>
        <v>PS</v>
      </c>
      <c r="H281" s="14">
        <f>IF('Pegar ML'!C276="Paquete de 2 productos",IF('Pegar ML'!H276="",0,'Pegar ML'!H276),IF('Pegar ML'!H277="",0,'Pegar ML'!H277))</f>
        <v>0</v>
      </c>
      <c r="I281" s="14">
        <f>IF('Pegar ML'!C276="Paquete de 2 productos",IF('Pegar ML'!O276="",0,'Pegar ML'!O276),IF('Pegar ML'!O277="",0,'Pegar ML'!O277))</f>
        <v>0</v>
      </c>
      <c r="J281" s="14">
        <f>IF('Pegar ML'!C276="Paquete de 2 productos",IF('Pegar ML'!O276="",0,'Pegar ML'!O276),IF('Pegar ML'!O277="",0,'Pegar ML'!O277))</f>
        <v>0</v>
      </c>
      <c r="K281" s="14">
        <f t="shared" si="14"/>
        <v>0</v>
      </c>
      <c r="L281" s="27">
        <f>IF('Pegar ML'!AB277=" ",'Pegar ML'!AB276,'Pegar ML'!AB277)</f>
        <v>0</v>
      </c>
      <c r="M281" s="27" t="str">
        <f>IF('Pegar ML'!AC277=" ",RIGHT('Pegar ML'!AC276,8),RIGHT('Pegar ML'!AC277,8))</f>
        <v/>
      </c>
      <c r="N281" s="27" t="s">
        <v>80</v>
      </c>
      <c r="O281" s="27">
        <f t="shared" si="12"/>
        <v>0</v>
      </c>
      <c r="P281" s="27" t="s">
        <v>80</v>
      </c>
      <c r="Q281" s="55">
        <f>IF('Pegar ML'!AD277=" ",'Pegar ML'!AD276,'Pegar ML'!AD277)</f>
        <v>0</v>
      </c>
      <c r="R281" s="27" t="s">
        <v>80</v>
      </c>
      <c r="S281" s="27" t="s">
        <v>80</v>
      </c>
      <c r="T281" s="27" t="s">
        <v>80</v>
      </c>
      <c r="U281" s="55">
        <f>IF('Pegar ML'!AI277=" ",'Pegar ML'!AI276,'Pegar ML'!AI277)</f>
        <v>0</v>
      </c>
      <c r="V281" s="55">
        <f>IF('Pegar ML'!AK277=" ",'Pegar ML'!AK276,'Pegar ML'!AK277)</f>
        <v>0</v>
      </c>
      <c r="W281" s="55">
        <f>IF('Pegar ML'!AJ277=" ",'Pegar ML'!AJ276,'Pegar ML'!AJ277)</f>
        <v>0</v>
      </c>
      <c r="X281" s="55">
        <f>IF('Pegar ML'!AL277=" ",'Pegar ML'!AL276,'Pegar ML'!AL277)</f>
        <v>0</v>
      </c>
      <c r="Y281" s="27"/>
      <c r="Z281" s="27"/>
      <c r="AA281" s="27"/>
      <c r="AB281" s="27"/>
      <c r="AC281" s="27"/>
      <c r="AD281" s="27"/>
      <c r="AF281" s="8"/>
      <c r="AG281" s="27"/>
      <c r="AH281" s="14">
        <f>+'Pegar ML'!Y277</f>
        <v>0</v>
      </c>
      <c r="AI281" s="13">
        <f t="shared" si="13"/>
        <v>1</v>
      </c>
      <c r="AJ281" s="7">
        <f>+'Pegar ML'!T277</f>
        <v>0</v>
      </c>
      <c r="AK281" s="27"/>
      <c r="AL281" s="27"/>
      <c r="AM281" s="27"/>
      <c r="AN281" s="27"/>
      <c r="AO281" s="27"/>
      <c r="AP281" s="27"/>
      <c r="AQ281" s="27"/>
      <c r="AR281" s="27"/>
      <c r="AS281" s="27">
        <v>17</v>
      </c>
    </row>
    <row r="282" spans="1:45" ht="15" customHeight="1" x14ac:dyDescent="0.25">
      <c r="A282" s="27">
        <f>IF('Pegar ML'!C277="Paquete de 2 productos",'Pegar ML'!A277,IF('Pegar ML'!C276="Paquete de 2 productos",'Pegar ML'!A276,'Pegar ML'!A278))</f>
        <v>0</v>
      </c>
      <c r="B282" s="27"/>
      <c r="C282" s="30" t="str">
        <f>IF(AjusteFecha!I278=0,"",AjusteFecha!I278)</f>
        <v/>
      </c>
      <c r="D282" s="27"/>
      <c r="E282" s="27"/>
      <c r="F282" s="27" t="str">
        <f>IF('Pegar ML'!C278="","",'Pegar ML'!C278)</f>
        <v/>
      </c>
      <c r="G282" s="27" t="str">
        <f>IF('Pegar ML'!G273="ARS","PS","PS")</f>
        <v>PS</v>
      </c>
      <c r="H282" s="14">
        <f>IF('Pegar ML'!C277="Paquete de 2 productos",IF('Pegar ML'!H277="",0,'Pegar ML'!H277),IF('Pegar ML'!H278="",0,'Pegar ML'!H278))</f>
        <v>0</v>
      </c>
      <c r="I282" s="14">
        <f>IF('Pegar ML'!C277="Paquete de 2 productos",IF('Pegar ML'!O277="",0,'Pegar ML'!O277),IF('Pegar ML'!O278="",0,'Pegar ML'!O278))</f>
        <v>0</v>
      </c>
      <c r="J282" s="14">
        <f>IF('Pegar ML'!C277="Paquete de 2 productos",IF('Pegar ML'!O277="",0,'Pegar ML'!O277),IF('Pegar ML'!O278="",0,'Pegar ML'!O278))</f>
        <v>0</v>
      </c>
      <c r="K282" s="14">
        <f t="shared" si="14"/>
        <v>0</v>
      </c>
      <c r="L282" s="27">
        <f>IF('Pegar ML'!AB278=" ",'Pegar ML'!AB277,'Pegar ML'!AB278)</f>
        <v>0</v>
      </c>
      <c r="M282" s="27" t="str">
        <f>IF('Pegar ML'!AC278=" ",RIGHT('Pegar ML'!AC277,8),RIGHT('Pegar ML'!AC278,8))</f>
        <v/>
      </c>
      <c r="N282" s="27" t="s">
        <v>80</v>
      </c>
      <c r="O282" s="27">
        <f t="shared" si="12"/>
        <v>0</v>
      </c>
      <c r="P282" s="27" t="s">
        <v>80</v>
      </c>
      <c r="Q282" s="55">
        <f>IF('Pegar ML'!AD278=" ",'Pegar ML'!AD277,'Pegar ML'!AD278)</f>
        <v>0</v>
      </c>
      <c r="R282" s="27" t="s">
        <v>80</v>
      </c>
      <c r="S282" s="27" t="s">
        <v>80</v>
      </c>
      <c r="T282" s="27" t="s">
        <v>80</v>
      </c>
      <c r="U282" s="55">
        <f>IF('Pegar ML'!AI278=" ",'Pegar ML'!AI277,'Pegar ML'!AI278)</f>
        <v>0</v>
      </c>
      <c r="V282" s="55">
        <f>IF('Pegar ML'!AK278=" ",'Pegar ML'!AK277,'Pegar ML'!AK278)</f>
        <v>0</v>
      </c>
      <c r="W282" s="55">
        <f>IF('Pegar ML'!AJ278=" ",'Pegar ML'!AJ277,'Pegar ML'!AJ278)</f>
        <v>0</v>
      </c>
      <c r="X282" s="55">
        <f>IF('Pegar ML'!AL278=" ",'Pegar ML'!AL277,'Pegar ML'!AL278)</f>
        <v>0</v>
      </c>
      <c r="Y282" s="27"/>
      <c r="Z282" s="27"/>
      <c r="AA282" s="27"/>
      <c r="AB282" s="27"/>
      <c r="AC282" s="27"/>
      <c r="AD282" s="27"/>
      <c r="AF282" s="8"/>
      <c r="AG282" s="27"/>
      <c r="AH282" s="14">
        <f>+'Pegar ML'!Y278</f>
        <v>0</v>
      </c>
      <c r="AI282" s="13">
        <f t="shared" si="13"/>
        <v>1</v>
      </c>
      <c r="AJ282" s="7">
        <f>+'Pegar ML'!T278</f>
        <v>0</v>
      </c>
      <c r="AK282" s="27"/>
      <c r="AL282" s="27"/>
      <c r="AM282" s="27"/>
      <c r="AN282" s="27"/>
      <c r="AO282" s="27"/>
      <c r="AP282" s="27"/>
      <c r="AQ282" s="27"/>
      <c r="AR282" s="27"/>
      <c r="AS282" s="27">
        <v>17</v>
      </c>
    </row>
    <row r="283" spans="1:45" ht="15" customHeight="1" x14ac:dyDescent="0.25">
      <c r="A283" s="27">
        <f>IF('Pegar ML'!C278="Paquete de 2 productos",'Pegar ML'!A278,IF('Pegar ML'!C277="Paquete de 2 productos",'Pegar ML'!A277,'Pegar ML'!A279))</f>
        <v>0</v>
      </c>
      <c r="B283" s="27"/>
      <c r="C283" s="30" t="str">
        <f>IF(AjusteFecha!I279=0,"",AjusteFecha!I279)</f>
        <v/>
      </c>
      <c r="D283" s="27"/>
      <c r="E283" s="27"/>
      <c r="F283" s="27" t="str">
        <f>IF('Pegar ML'!C279="","",'Pegar ML'!C279)</f>
        <v/>
      </c>
      <c r="G283" s="27" t="str">
        <f>IF('Pegar ML'!G274="ARS","PS","PS")</f>
        <v>PS</v>
      </c>
      <c r="H283" s="14">
        <f>IF('Pegar ML'!C278="Paquete de 2 productos",IF('Pegar ML'!H278="",0,'Pegar ML'!H278),IF('Pegar ML'!H279="",0,'Pegar ML'!H279))</f>
        <v>0</v>
      </c>
      <c r="I283" s="14">
        <f>IF('Pegar ML'!C278="Paquete de 2 productos",IF('Pegar ML'!O278="",0,'Pegar ML'!O278),IF('Pegar ML'!O279="",0,'Pegar ML'!O279))</f>
        <v>0</v>
      </c>
      <c r="J283" s="14">
        <f>IF('Pegar ML'!C278="Paquete de 2 productos",IF('Pegar ML'!O278="",0,'Pegar ML'!O278),IF('Pegar ML'!O279="",0,'Pegar ML'!O279))</f>
        <v>0</v>
      </c>
      <c r="K283" s="14">
        <f t="shared" si="14"/>
        <v>0</v>
      </c>
      <c r="L283" s="27">
        <f>IF('Pegar ML'!AB279=" ",'Pegar ML'!AB278,'Pegar ML'!AB279)</f>
        <v>0</v>
      </c>
      <c r="M283" s="27" t="str">
        <f>IF('Pegar ML'!AC279=" ",RIGHT('Pegar ML'!AC278,8),RIGHT('Pegar ML'!AC279,8))</f>
        <v/>
      </c>
      <c r="N283" s="27" t="s">
        <v>80</v>
      </c>
      <c r="O283" s="27">
        <f t="shared" si="12"/>
        <v>0</v>
      </c>
      <c r="P283" s="27" t="s">
        <v>80</v>
      </c>
      <c r="Q283" s="55">
        <f>IF('Pegar ML'!AD279=" ",'Pegar ML'!AD278,'Pegar ML'!AD279)</f>
        <v>0</v>
      </c>
      <c r="R283" s="27" t="s">
        <v>80</v>
      </c>
      <c r="S283" s="27" t="s">
        <v>80</v>
      </c>
      <c r="T283" s="27" t="s">
        <v>80</v>
      </c>
      <c r="U283" s="55">
        <f>IF('Pegar ML'!AI279=" ",'Pegar ML'!AI278,'Pegar ML'!AI279)</f>
        <v>0</v>
      </c>
      <c r="V283" s="55">
        <f>IF('Pegar ML'!AK279=" ",'Pegar ML'!AK278,'Pegar ML'!AK279)</f>
        <v>0</v>
      </c>
      <c r="W283" s="55">
        <f>IF('Pegar ML'!AJ279=" ",'Pegar ML'!AJ278,'Pegar ML'!AJ279)</f>
        <v>0</v>
      </c>
      <c r="X283" s="55">
        <f>IF('Pegar ML'!AL279=" ",'Pegar ML'!AL278,'Pegar ML'!AL279)</f>
        <v>0</v>
      </c>
      <c r="Y283" s="27"/>
      <c r="Z283" s="27"/>
      <c r="AA283" s="27"/>
      <c r="AB283" s="27"/>
      <c r="AC283" s="27"/>
      <c r="AD283" s="27"/>
      <c r="AF283" s="8"/>
      <c r="AG283" s="27"/>
      <c r="AH283" s="14">
        <f>+'Pegar ML'!Y279</f>
        <v>0</v>
      </c>
      <c r="AI283" s="13">
        <f t="shared" si="13"/>
        <v>1</v>
      </c>
      <c r="AJ283" s="7">
        <f>+'Pegar ML'!T279</f>
        <v>0</v>
      </c>
      <c r="AK283" s="27"/>
      <c r="AL283" s="27"/>
      <c r="AM283" s="27"/>
      <c r="AN283" s="27"/>
      <c r="AO283" s="27"/>
      <c r="AP283" s="27"/>
      <c r="AQ283" s="27"/>
      <c r="AR283" s="27"/>
      <c r="AS283" s="27">
        <v>17</v>
      </c>
    </row>
    <row r="284" spans="1:45" ht="15" customHeight="1" x14ac:dyDescent="0.25">
      <c r="A284" s="27">
        <f>IF('Pegar ML'!C279="Paquete de 2 productos",'Pegar ML'!A279,IF('Pegar ML'!C278="Paquete de 2 productos",'Pegar ML'!A278,'Pegar ML'!A280))</f>
        <v>0</v>
      </c>
      <c r="B284" s="27"/>
      <c r="C284" s="30" t="str">
        <f>IF(AjusteFecha!I280=0,"",AjusteFecha!I280)</f>
        <v/>
      </c>
      <c r="D284" s="27"/>
      <c r="E284" s="27"/>
      <c r="F284" s="27" t="str">
        <f>IF('Pegar ML'!C280="","",'Pegar ML'!C280)</f>
        <v/>
      </c>
      <c r="G284" s="27" t="str">
        <f>IF('Pegar ML'!G275="ARS","PS","PS")</f>
        <v>PS</v>
      </c>
      <c r="H284" s="14">
        <f>IF('Pegar ML'!C279="Paquete de 2 productos",IF('Pegar ML'!H279="",0,'Pegar ML'!H279),IF('Pegar ML'!H280="",0,'Pegar ML'!H280))</f>
        <v>0</v>
      </c>
      <c r="I284" s="14">
        <f>IF('Pegar ML'!C279="Paquete de 2 productos",IF('Pegar ML'!O279="",0,'Pegar ML'!O279),IF('Pegar ML'!O280="",0,'Pegar ML'!O280))</f>
        <v>0</v>
      </c>
      <c r="J284" s="14">
        <f>IF('Pegar ML'!C279="Paquete de 2 productos",IF('Pegar ML'!O279="",0,'Pegar ML'!O279),IF('Pegar ML'!O280="",0,'Pegar ML'!O280))</f>
        <v>0</v>
      </c>
      <c r="K284" s="14">
        <f t="shared" si="14"/>
        <v>0</v>
      </c>
      <c r="L284" s="27">
        <f>IF('Pegar ML'!AB280=" ",'Pegar ML'!AB279,'Pegar ML'!AB280)</f>
        <v>0</v>
      </c>
      <c r="M284" s="27" t="str">
        <f>IF('Pegar ML'!AC280=" ",RIGHT('Pegar ML'!AC279,8),RIGHT('Pegar ML'!AC280,8))</f>
        <v/>
      </c>
      <c r="N284" s="27" t="s">
        <v>80</v>
      </c>
      <c r="O284" s="27">
        <f t="shared" si="12"/>
        <v>0</v>
      </c>
      <c r="P284" s="27" t="s">
        <v>80</v>
      </c>
      <c r="Q284" s="55">
        <f>IF('Pegar ML'!AD280=" ",'Pegar ML'!AD279,'Pegar ML'!AD280)</f>
        <v>0</v>
      </c>
      <c r="R284" s="27" t="s">
        <v>80</v>
      </c>
      <c r="S284" s="27" t="s">
        <v>80</v>
      </c>
      <c r="T284" s="27" t="s">
        <v>80</v>
      </c>
      <c r="U284" s="55">
        <f>IF('Pegar ML'!AI280=" ",'Pegar ML'!AI279,'Pegar ML'!AI280)</f>
        <v>0</v>
      </c>
      <c r="V284" s="55">
        <f>IF('Pegar ML'!AK280=" ",'Pegar ML'!AK279,'Pegar ML'!AK280)</f>
        <v>0</v>
      </c>
      <c r="W284" s="55">
        <f>IF('Pegar ML'!AJ280=" ",'Pegar ML'!AJ279,'Pegar ML'!AJ280)</f>
        <v>0</v>
      </c>
      <c r="X284" s="55">
        <f>IF('Pegar ML'!AL280=" ",'Pegar ML'!AL279,'Pegar ML'!AL280)</f>
        <v>0</v>
      </c>
      <c r="Y284" s="27"/>
      <c r="Z284" s="27"/>
      <c r="AA284" s="27"/>
      <c r="AB284" s="27"/>
      <c r="AC284" s="27"/>
      <c r="AD284" s="27"/>
      <c r="AF284" s="8"/>
      <c r="AG284" s="27"/>
      <c r="AH284" s="14">
        <f>+'Pegar ML'!Y280</f>
        <v>0</v>
      </c>
      <c r="AI284" s="13">
        <f t="shared" si="13"/>
        <v>1</v>
      </c>
      <c r="AJ284" s="7">
        <f>+'Pegar ML'!T280</f>
        <v>0</v>
      </c>
      <c r="AK284" s="27"/>
      <c r="AL284" s="27"/>
      <c r="AM284" s="27"/>
      <c r="AN284" s="27"/>
      <c r="AO284" s="27"/>
      <c r="AP284" s="27"/>
      <c r="AQ284" s="27"/>
      <c r="AR284" s="27"/>
      <c r="AS284" s="27">
        <v>17</v>
      </c>
    </row>
    <row r="285" spans="1:45" ht="15" customHeight="1" x14ac:dyDescent="0.25">
      <c r="A285" s="27">
        <f>IF('Pegar ML'!C280="Paquete de 2 productos",'Pegar ML'!A280,IF('Pegar ML'!C279="Paquete de 2 productos",'Pegar ML'!A279,'Pegar ML'!A281))</f>
        <v>0</v>
      </c>
      <c r="B285" s="27"/>
      <c r="C285" s="30" t="str">
        <f>IF(AjusteFecha!I281=0,"",AjusteFecha!I281)</f>
        <v/>
      </c>
      <c r="D285" s="27"/>
      <c r="E285" s="27"/>
      <c r="F285" s="27" t="str">
        <f>IF('Pegar ML'!C281="","",'Pegar ML'!C281)</f>
        <v/>
      </c>
      <c r="G285" s="27" t="str">
        <f>IF('Pegar ML'!G276="ARS","PS","PS")</f>
        <v>PS</v>
      </c>
      <c r="H285" s="14">
        <f>IF('Pegar ML'!C280="Paquete de 2 productos",IF('Pegar ML'!H280="",0,'Pegar ML'!H280),IF('Pegar ML'!H281="",0,'Pegar ML'!H281))</f>
        <v>0</v>
      </c>
      <c r="I285" s="14">
        <f>IF('Pegar ML'!C280="Paquete de 2 productos",IF('Pegar ML'!O280="",0,'Pegar ML'!O280),IF('Pegar ML'!O281="",0,'Pegar ML'!O281))</f>
        <v>0</v>
      </c>
      <c r="J285" s="14">
        <f>IF('Pegar ML'!C280="Paquete de 2 productos",IF('Pegar ML'!O280="",0,'Pegar ML'!O280),IF('Pegar ML'!O281="",0,'Pegar ML'!O281))</f>
        <v>0</v>
      </c>
      <c r="K285" s="14">
        <f t="shared" si="14"/>
        <v>0</v>
      </c>
      <c r="L285" s="27">
        <f>IF('Pegar ML'!AB281=" ",'Pegar ML'!AB280,'Pegar ML'!AB281)</f>
        <v>0</v>
      </c>
      <c r="M285" s="27" t="str">
        <f>IF('Pegar ML'!AC281=" ",RIGHT('Pegar ML'!AC280,8),RIGHT('Pegar ML'!AC281,8))</f>
        <v/>
      </c>
      <c r="N285" s="27" t="s">
        <v>80</v>
      </c>
      <c r="O285" s="27">
        <f t="shared" si="12"/>
        <v>0</v>
      </c>
      <c r="P285" s="27" t="s">
        <v>80</v>
      </c>
      <c r="Q285" s="55">
        <f>IF('Pegar ML'!AD281=" ",'Pegar ML'!AD280,'Pegar ML'!AD281)</f>
        <v>0</v>
      </c>
      <c r="R285" s="27" t="s">
        <v>80</v>
      </c>
      <c r="S285" s="27" t="s">
        <v>80</v>
      </c>
      <c r="T285" s="27" t="s">
        <v>80</v>
      </c>
      <c r="U285" s="55">
        <f>IF('Pegar ML'!AI281=" ",'Pegar ML'!AI280,'Pegar ML'!AI281)</f>
        <v>0</v>
      </c>
      <c r="V285" s="55">
        <f>IF('Pegar ML'!AK281=" ",'Pegar ML'!AK280,'Pegar ML'!AK281)</f>
        <v>0</v>
      </c>
      <c r="W285" s="55">
        <f>IF('Pegar ML'!AJ281=" ",'Pegar ML'!AJ280,'Pegar ML'!AJ281)</f>
        <v>0</v>
      </c>
      <c r="X285" s="55">
        <f>IF('Pegar ML'!AL281=" ",'Pegar ML'!AL280,'Pegar ML'!AL281)</f>
        <v>0</v>
      </c>
      <c r="Y285" s="27"/>
      <c r="Z285" s="27"/>
      <c r="AA285" s="27"/>
      <c r="AB285" s="27"/>
      <c r="AC285" s="27"/>
      <c r="AD285" s="27"/>
      <c r="AF285" s="8"/>
      <c r="AG285" s="27"/>
      <c r="AH285" s="14">
        <f>+'Pegar ML'!Y281</f>
        <v>0</v>
      </c>
      <c r="AI285" s="13">
        <f t="shared" si="13"/>
        <v>1</v>
      </c>
      <c r="AJ285" s="7">
        <f>+'Pegar ML'!T281</f>
        <v>0</v>
      </c>
      <c r="AK285" s="27"/>
      <c r="AL285" s="27"/>
      <c r="AM285" s="27"/>
      <c r="AN285" s="27"/>
      <c r="AO285" s="27"/>
      <c r="AP285" s="27"/>
      <c r="AQ285" s="27"/>
      <c r="AR285" s="27"/>
      <c r="AS285" s="27">
        <v>17</v>
      </c>
    </row>
    <row r="286" spans="1:45" ht="15" customHeight="1" x14ac:dyDescent="0.25">
      <c r="A286" s="27">
        <f>IF('Pegar ML'!C281="Paquete de 2 productos",'Pegar ML'!A281,IF('Pegar ML'!C280="Paquete de 2 productos",'Pegar ML'!A280,'Pegar ML'!A282))</f>
        <v>0</v>
      </c>
      <c r="B286" s="27"/>
      <c r="C286" s="30" t="str">
        <f>IF(AjusteFecha!I282=0,"",AjusteFecha!I282)</f>
        <v/>
      </c>
      <c r="D286" s="27"/>
      <c r="E286" s="27"/>
      <c r="F286" s="27" t="str">
        <f>IF('Pegar ML'!C282="","",'Pegar ML'!C282)</f>
        <v/>
      </c>
      <c r="G286" s="27" t="str">
        <f>IF('Pegar ML'!G277="ARS","PS","PS")</f>
        <v>PS</v>
      </c>
      <c r="H286" s="14">
        <f>IF('Pegar ML'!C281="Paquete de 2 productos",IF('Pegar ML'!H281="",0,'Pegar ML'!H281),IF('Pegar ML'!H282="",0,'Pegar ML'!H282))</f>
        <v>0</v>
      </c>
      <c r="I286" s="14">
        <f>IF('Pegar ML'!C281="Paquete de 2 productos",IF('Pegar ML'!O281="",0,'Pegar ML'!O281),IF('Pegar ML'!O282="",0,'Pegar ML'!O282))</f>
        <v>0</v>
      </c>
      <c r="J286" s="14">
        <f>IF('Pegar ML'!C281="Paquete de 2 productos",IF('Pegar ML'!O281="",0,'Pegar ML'!O281),IF('Pegar ML'!O282="",0,'Pegar ML'!O282))</f>
        <v>0</v>
      </c>
      <c r="K286" s="14">
        <f t="shared" si="14"/>
        <v>0</v>
      </c>
      <c r="L286" s="27">
        <f>IF('Pegar ML'!AB282=" ",'Pegar ML'!AB281,'Pegar ML'!AB282)</f>
        <v>0</v>
      </c>
      <c r="M286" s="27" t="str">
        <f>IF('Pegar ML'!AC282=" ",RIGHT('Pegar ML'!AC281,8),RIGHT('Pegar ML'!AC282,8))</f>
        <v/>
      </c>
      <c r="N286" s="27" t="s">
        <v>80</v>
      </c>
      <c r="O286" s="27">
        <f t="shared" si="12"/>
        <v>0</v>
      </c>
      <c r="P286" s="27" t="s">
        <v>80</v>
      </c>
      <c r="Q286" s="55">
        <f>IF('Pegar ML'!AD282=" ",'Pegar ML'!AD281,'Pegar ML'!AD282)</f>
        <v>0</v>
      </c>
      <c r="R286" s="27" t="s">
        <v>80</v>
      </c>
      <c r="S286" s="27" t="s">
        <v>80</v>
      </c>
      <c r="T286" s="27" t="s">
        <v>80</v>
      </c>
      <c r="U286" s="55">
        <f>IF('Pegar ML'!AI282=" ",'Pegar ML'!AI281,'Pegar ML'!AI282)</f>
        <v>0</v>
      </c>
      <c r="V286" s="55">
        <f>IF('Pegar ML'!AK282=" ",'Pegar ML'!AK281,'Pegar ML'!AK282)</f>
        <v>0</v>
      </c>
      <c r="W286" s="55">
        <f>IF('Pegar ML'!AJ282=" ",'Pegar ML'!AJ281,'Pegar ML'!AJ282)</f>
        <v>0</v>
      </c>
      <c r="X286" s="55">
        <f>IF('Pegar ML'!AL282=" ",'Pegar ML'!AL281,'Pegar ML'!AL282)</f>
        <v>0</v>
      </c>
      <c r="Y286" s="27"/>
      <c r="Z286" s="27"/>
      <c r="AA286" s="27"/>
      <c r="AB286" s="27"/>
      <c r="AC286" s="27"/>
      <c r="AD286" s="27"/>
      <c r="AF286" s="8"/>
      <c r="AG286" s="27"/>
      <c r="AH286" s="14">
        <f>+'Pegar ML'!Y282</f>
        <v>0</v>
      </c>
      <c r="AI286" s="13">
        <f t="shared" si="13"/>
        <v>1</v>
      </c>
      <c r="AJ286" s="7">
        <f>+'Pegar ML'!T282</f>
        <v>0</v>
      </c>
      <c r="AK286" s="27"/>
      <c r="AL286" s="27"/>
      <c r="AM286" s="27"/>
      <c r="AN286" s="27"/>
      <c r="AO286" s="27"/>
      <c r="AP286" s="27"/>
      <c r="AQ286" s="27"/>
      <c r="AR286" s="27"/>
      <c r="AS286" s="27">
        <v>17</v>
      </c>
    </row>
    <row r="287" spans="1:45" ht="15" customHeight="1" x14ac:dyDescent="0.25">
      <c r="A287" s="27">
        <f>IF('Pegar ML'!C282="Paquete de 2 productos",'Pegar ML'!A282,IF('Pegar ML'!C281="Paquete de 2 productos",'Pegar ML'!A281,'Pegar ML'!A283))</f>
        <v>0</v>
      </c>
      <c r="B287" s="27"/>
      <c r="C287" s="30" t="str">
        <f>IF(AjusteFecha!I283=0,"",AjusteFecha!I283)</f>
        <v/>
      </c>
      <c r="D287" s="27"/>
      <c r="E287" s="27"/>
      <c r="F287" s="27" t="str">
        <f>IF('Pegar ML'!C283="","",'Pegar ML'!C283)</f>
        <v/>
      </c>
      <c r="G287" s="27" t="str">
        <f>IF('Pegar ML'!G278="ARS","PS","PS")</f>
        <v>PS</v>
      </c>
      <c r="H287" s="14">
        <f>IF('Pegar ML'!C282="Paquete de 2 productos",IF('Pegar ML'!H282="",0,'Pegar ML'!H282),IF('Pegar ML'!H283="",0,'Pegar ML'!H283))</f>
        <v>0</v>
      </c>
      <c r="I287" s="14">
        <f>IF('Pegar ML'!C282="Paquete de 2 productos",IF('Pegar ML'!O282="",0,'Pegar ML'!O282),IF('Pegar ML'!O283="",0,'Pegar ML'!O283))</f>
        <v>0</v>
      </c>
      <c r="J287" s="14">
        <f>IF('Pegar ML'!C282="Paquete de 2 productos",IF('Pegar ML'!O282="",0,'Pegar ML'!O282),IF('Pegar ML'!O283="",0,'Pegar ML'!O283))</f>
        <v>0</v>
      </c>
      <c r="K287" s="14">
        <f t="shared" si="14"/>
        <v>0</v>
      </c>
      <c r="L287" s="27">
        <f>IF('Pegar ML'!AB283=" ",'Pegar ML'!AB282,'Pegar ML'!AB283)</f>
        <v>0</v>
      </c>
      <c r="M287" s="27" t="str">
        <f>IF('Pegar ML'!AC283=" ",RIGHT('Pegar ML'!AC282,8),RIGHT('Pegar ML'!AC283,8))</f>
        <v/>
      </c>
      <c r="N287" s="27" t="s">
        <v>80</v>
      </c>
      <c r="O287" s="27">
        <f t="shared" si="12"/>
        <v>0</v>
      </c>
      <c r="P287" s="27" t="s">
        <v>80</v>
      </c>
      <c r="Q287" s="55">
        <f>IF('Pegar ML'!AD283=" ",'Pegar ML'!AD282,'Pegar ML'!AD283)</f>
        <v>0</v>
      </c>
      <c r="R287" s="27" t="s">
        <v>80</v>
      </c>
      <c r="S287" s="27" t="s">
        <v>80</v>
      </c>
      <c r="T287" s="27" t="s">
        <v>80</v>
      </c>
      <c r="U287" s="55">
        <f>IF('Pegar ML'!AI283=" ",'Pegar ML'!AI282,'Pegar ML'!AI283)</f>
        <v>0</v>
      </c>
      <c r="V287" s="55">
        <f>IF('Pegar ML'!AK283=" ",'Pegar ML'!AK282,'Pegar ML'!AK283)</f>
        <v>0</v>
      </c>
      <c r="W287" s="55">
        <f>IF('Pegar ML'!AJ283=" ",'Pegar ML'!AJ282,'Pegar ML'!AJ283)</f>
        <v>0</v>
      </c>
      <c r="X287" s="55">
        <f>IF('Pegar ML'!AL283=" ",'Pegar ML'!AL282,'Pegar ML'!AL283)</f>
        <v>0</v>
      </c>
      <c r="Y287" s="27"/>
      <c r="Z287" s="27"/>
      <c r="AA287" s="27"/>
      <c r="AB287" s="27"/>
      <c r="AC287" s="27"/>
      <c r="AD287" s="27"/>
      <c r="AF287" s="8"/>
      <c r="AG287" s="27"/>
      <c r="AH287" s="14">
        <f>+'Pegar ML'!Y283</f>
        <v>0</v>
      </c>
      <c r="AI287" s="13">
        <f t="shared" si="13"/>
        <v>1</v>
      </c>
      <c r="AJ287" s="7">
        <f>+'Pegar ML'!T283</f>
        <v>0</v>
      </c>
      <c r="AK287" s="27"/>
      <c r="AL287" s="27"/>
      <c r="AM287" s="27"/>
      <c r="AN287" s="27"/>
      <c r="AO287" s="27"/>
      <c r="AP287" s="27"/>
      <c r="AQ287" s="27"/>
      <c r="AR287" s="27"/>
      <c r="AS287" s="27">
        <v>17</v>
      </c>
    </row>
    <row r="288" spans="1:45" ht="15" customHeight="1" x14ac:dyDescent="0.25">
      <c r="A288" s="27">
        <f>IF('Pegar ML'!C283="Paquete de 2 productos",'Pegar ML'!A283,IF('Pegar ML'!C282="Paquete de 2 productos",'Pegar ML'!A282,'Pegar ML'!A284))</f>
        <v>0</v>
      </c>
      <c r="B288" s="27"/>
      <c r="C288" s="30" t="str">
        <f>IF(AjusteFecha!I284=0,"",AjusteFecha!I284)</f>
        <v/>
      </c>
      <c r="D288" s="27"/>
      <c r="E288" s="27"/>
      <c r="F288" s="27" t="str">
        <f>IF('Pegar ML'!C284="","",'Pegar ML'!C284)</f>
        <v/>
      </c>
      <c r="G288" s="27" t="str">
        <f>IF('Pegar ML'!G279="ARS","PS","PS")</f>
        <v>PS</v>
      </c>
      <c r="H288" s="14">
        <f>IF('Pegar ML'!C283="Paquete de 2 productos",IF('Pegar ML'!H283="",0,'Pegar ML'!H283),IF('Pegar ML'!H284="",0,'Pegar ML'!H284))</f>
        <v>0</v>
      </c>
      <c r="I288" s="14">
        <f>IF('Pegar ML'!C283="Paquete de 2 productos",IF('Pegar ML'!O283="",0,'Pegar ML'!O283),IF('Pegar ML'!O284="",0,'Pegar ML'!O284))</f>
        <v>0</v>
      </c>
      <c r="J288" s="14">
        <f>IF('Pegar ML'!C283="Paquete de 2 productos",IF('Pegar ML'!O283="",0,'Pegar ML'!O283),IF('Pegar ML'!O284="",0,'Pegar ML'!O284))</f>
        <v>0</v>
      </c>
      <c r="K288" s="14">
        <f t="shared" si="14"/>
        <v>0</v>
      </c>
      <c r="L288" s="27">
        <f>IF('Pegar ML'!AB284=" ",'Pegar ML'!AB283,'Pegar ML'!AB284)</f>
        <v>0</v>
      </c>
      <c r="M288" s="27" t="str">
        <f>IF('Pegar ML'!AC284=" ",RIGHT('Pegar ML'!AC283,8),RIGHT('Pegar ML'!AC284,8))</f>
        <v/>
      </c>
      <c r="N288" s="27" t="s">
        <v>80</v>
      </c>
      <c r="O288" s="27">
        <f t="shared" si="12"/>
        <v>0</v>
      </c>
      <c r="P288" s="27" t="s">
        <v>80</v>
      </c>
      <c r="Q288" s="55">
        <f>IF('Pegar ML'!AD284=" ",'Pegar ML'!AD283,'Pegar ML'!AD284)</f>
        <v>0</v>
      </c>
      <c r="R288" s="27" t="s">
        <v>80</v>
      </c>
      <c r="S288" s="27" t="s">
        <v>80</v>
      </c>
      <c r="T288" s="27" t="s">
        <v>80</v>
      </c>
      <c r="U288" s="55">
        <f>IF('Pegar ML'!AI284=" ",'Pegar ML'!AI283,'Pegar ML'!AI284)</f>
        <v>0</v>
      </c>
      <c r="V288" s="55">
        <f>IF('Pegar ML'!AK284=" ",'Pegar ML'!AK283,'Pegar ML'!AK284)</f>
        <v>0</v>
      </c>
      <c r="W288" s="55">
        <f>IF('Pegar ML'!AJ284=" ",'Pegar ML'!AJ283,'Pegar ML'!AJ284)</f>
        <v>0</v>
      </c>
      <c r="X288" s="55">
        <f>IF('Pegar ML'!AL284=" ",'Pegar ML'!AL283,'Pegar ML'!AL284)</f>
        <v>0</v>
      </c>
      <c r="Y288" s="27"/>
      <c r="Z288" s="27"/>
      <c r="AA288" s="27"/>
      <c r="AB288" s="27"/>
      <c r="AC288" s="27"/>
      <c r="AD288" s="27"/>
      <c r="AF288" s="8"/>
      <c r="AG288" s="27"/>
      <c r="AH288" s="14">
        <f>+'Pegar ML'!Y284</f>
        <v>0</v>
      </c>
      <c r="AI288" s="13">
        <f t="shared" si="13"/>
        <v>1</v>
      </c>
      <c r="AJ288" s="7">
        <f>+'Pegar ML'!T284</f>
        <v>0</v>
      </c>
      <c r="AK288" s="27"/>
      <c r="AL288" s="27"/>
      <c r="AM288" s="27"/>
      <c r="AN288" s="27"/>
      <c r="AO288" s="27"/>
      <c r="AP288" s="27"/>
      <c r="AQ288" s="27"/>
      <c r="AR288" s="27"/>
      <c r="AS288" s="27">
        <v>17</v>
      </c>
    </row>
    <row r="289" spans="1:45" ht="15" customHeight="1" x14ac:dyDescent="0.25">
      <c r="A289" s="27">
        <f>IF('Pegar ML'!C284="Paquete de 2 productos",'Pegar ML'!A284,IF('Pegar ML'!C283="Paquete de 2 productos",'Pegar ML'!A283,'Pegar ML'!A285))</f>
        <v>0</v>
      </c>
      <c r="B289" s="27"/>
      <c r="C289" s="30" t="str">
        <f>IF(AjusteFecha!I285=0,"",AjusteFecha!I285)</f>
        <v/>
      </c>
      <c r="D289" s="27"/>
      <c r="E289" s="27"/>
      <c r="F289" s="27" t="str">
        <f>IF('Pegar ML'!C285="","",'Pegar ML'!C285)</f>
        <v/>
      </c>
      <c r="G289" s="27" t="str">
        <f>IF('Pegar ML'!G280="ARS","PS","PS")</f>
        <v>PS</v>
      </c>
      <c r="H289" s="14">
        <f>IF('Pegar ML'!C284="Paquete de 2 productos",IF('Pegar ML'!H284="",0,'Pegar ML'!H284),IF('Pegar ML'!H285="",0,'Pegar ML'!H285))</f>
        <v>0</v>
      </c>
      <c r="I289" s="14">
        <f>IF('Pegar ML'!C284="Paquete de 2 productos",IF('Pegar ML'!O284="",0,'Pegar ML'!O284),IF('Pegar ML'!O285="",0,'Pegar ML'!O285))</f>
        <v>0</v>
      </c>
      <c r="J289" s="14">
        <f>IF('Pegar ML'!C284="Paquete de 2 productos",IF('Pegar ML'!O284="",0,'Pegar ML'!O284),IF('Pegar ML'!O285="",0,'Pegar ML'!O285))</f>
        <v>0</v>
      </c>
      <c r="K289" s="14">
        <f t="shared" si="14"/>
        <v>0</v>
      </c>
      <c r="L289" s="27">
        <f>IF('Pegar ML'!AB285=" ",'Pegar ML'!AB284,'Pegar ML'!AB285)</f>
        <v>0</v>
      </c>
      <c r="M289" s="27" t="str">
        <f>IF('Pegar ML'!AC285=" ",RIGHT('Pegar ML'!AC284,8),RIGHT('Pegar ML'!AC285,8))</f>
        <v/>
      </c>
      <c r="N289" s="27" t="s">
        <v>80</v>
      </c>
      <c r="O289" s="27">
        <f t="shared" si="12"/>
        <v>0</v>
      </c>
      <c r="P289" s="27" t="s">
        <v>80</v>
      </c>
      <c r="Q289" s="55">
        <f>IF('Pegar ML'!AD285=" ",'Pegar ML'!AD284,'Pegar ML'!AD285)</f>
        <v>0</v>
      </c>
      <c r="R289" s="27" t="s">
        <v>80</v>
      </c>
      <c r="S289" s="27" t="s">
        <v>80</v>
      </c>
      <c r="T289" s="27" t="s">
        <v>80</v>
      </c>
      <c r="U289" s="55">
        <f>IF('Pegar ML'!AI285=" ",'Pegar ML'!AI284,'Pegar ML'!AI285)</f>
        <v>0</v>
      </c>
      <c r="V289" s="55">
        <f>IF('Pegar ML'!AK285=" ",'Pegar ML'!AK284,'Pegar ML'!AK285)</f>
        <v>0</v>
      </c>
      <c r="W289" s="55">
        <f>IF('Pegar ML'!AJ285=" ",'Pegar ML'!AJ284,'Pegar ML'!AJ285)</f>
        <v>0</v>
      </c>
      <c r="X289" s="55">
        <f>IF('Pegar ML'!AL285=" ",'Pegar ML'!AL284,'Pegar ML'!AL285)</f>
        <v>0</v>
      </c>
      <c r="Y289" s="27"/>
      <c r="Z289" s="27"/>
      <c r="AA289" s="27"/>
      <c r="AB289" s="27"/>
      <c r="AC289" s="27"/>
      <c r="AD289" s="27"/>
      <c r="AF289" s="8"/>
      <c r="AG289" s="27"/>
      <c r="AH289" s="14">
        <f>+'Pegar ML'!Y285</f>
        <v>0</v>
      </c>
      <c r="AI289" s="13">
        <f t="shared" si="13"/>
        <v>1</v>
      </c>
      <c r="AJ289" s="7">
        <f>+'Pegar ML'!T285</f>
        <v>0</v>
      </c>
      <c r="AK289" s="27"/>
      <c r="AL289" s="27"/>
      <c r="AM289" s="27"/>
      <c r="AN289" s="27"/>
      <c r="AO289" s="27"/>
      <c r="AP289" s="27"/>
      <c r="AQ289" s="27"/>
      <c r="AR289" s="27"/>
      <c r="AS289" s="27">
        <v>17</v>
      </c>
    </row>
    <row r="290" spans="1:45" ht="15" customHeight="1" x14ac:dyDescent="0.25">
      <c r="A290" s="27">
        <f>IF('Pegar ML'!C285="Paquete de 2 productos",'Pegar ML'!A285,IF('Pegar ML'!C284="Paquete de 2 productos",'Pegar ML'!A284,'Pegar ML'!A286))</f>
        <v>0</v>
      </c>
      <c r="B290" s="27"/>
      <c r="C290" s="30" t="str">
        <f>IF(AjusteFecha!I286=0,"",AjusteFecha!I286)</f>
        <v/>
      </c>
      <c r="D290" s="27"/>
      <c r="E290" s="27"/>
      <c r="F290" s="27" t="str">
        <f>IF('Pegar ML'!C286="","",'Pegar ML'!C286)</f>
        <v/>
      </c>
      <c r="G290" s="27" t="str">
        <f>IF('Pegar ML'!G281="ARS","PS","PS")</f>
        <v>PS</v>
      </c>
      <c r="H290" s="14">
        <f>IF('Pegar ML'!C285="Paquete de 2 productos",IF('Pegar ML'!H285="",0,'Pegar ML'!H285),IF('Pegar ML'!H286="",0,'Pegar ML'!H286))</f>
        <v>0</v>
      </c>
      <c r="I290" s="14">
        <f>IF('Pegar ML'!C285="Paquete de 2 productos",IF('Pegar ML'!O285="",0,'Pegar ML'!O285),IF('Pegar ML'!O286="",0,'Pegar ML'!O286))</f>
        <v>0</v>
      </c>
      <c r="J290" s="14">
        <f>IF('Pegar ML'!C285="Paquete de 2 productos",IF('Pegar ML'!O285="",0,'Pegar ML'!O285),IF('Pegar ML'!O286="",0,'Pegar ML'!O286))</f>
        <v>0</v>
      </c>
      <c r="K290" s="14">
        <f t="shared" si="14"/>
        <v>0</v>
      </c>
      <c r="L290" s="27">
        <f>IF('Pegar ML'!AB286=" ",'Pegar ML'!AB285,'Pegar ML'!AB286)</f>
        <v>0</v>
      </c>
      <c r="M290" s="27" t="str">
        <f>IF('Pegar ML'!AC286=" ",RIGHT('Pegar ML'!AC285,8),RIGHT('Pegar ML'!AC286,8))</f>
        <v/>
      </c>
      <c r="N290" s="27" t="s">
        <v>80</v>
      </c>
      <c r="O290" s="27">
        <f t="shared" si="12"/>
        <v>0</v>
      </c>
      <c r="P290" s="27" t="s">
        <v>80</v>
      </c>
      <c r="Q290" s="55">
        <f>IF('Pegar ML'!AD286=" ",'Pegar ML'!AD285,'Pegar ML'!AD286)</f>
        <v>0</v>
      </c>
      <c r="R290" s="27" t="s">
        <v>80</v>
      </c>
      <c r="S290" s="27" t="s">
        <v>80</v>
      </c>
      <c r="T290" s="27" t="s">
        <v>80</v>
      </c>
      <c r="U290" s="55">
        <f>IF('Pegar ML'!AI286=" ",'Pegar ML'!AI285,'Pegar ML'!AI286)</f>
        <v>0</v>
      </c>
      <c r="V290" s="55">
        <f>IF('Pegar ML'!AK286=" ",'Pegar ML'!AK285,'Pegar ML'!AK286)</f>
        <v>0</v>
      </c>
      <c r="W290" s="55">
        <f>IF('Pegar ML'!AJ286=" ",'Pegar ML'!AJ285,'Pegar ML'!AJ286)</f>
        <v>0</v>
      </c>
      <c r="X290" s="55">
        <f>IF('Pegar ML'!AL286=" ",'Pegar ML'!AL285,'Pegar ML'!AL286)</f>
        <v>0</v>
      </c>
      <c r="Y290" s="27"/>
      <c r="Z290" s="27"/>
      <c r="AA290" s="27"/>
      <c r="AB290" s="27"/>
      <c r="AC290" s="27"/>
      <c r="AD290" s="27"/>
      <c r="AF290" s="8"/>
      <c r="AG290" s="27"/>
      <c r="AH290" s="14">
        <f>+'Pegar ML'!Y286</f>
        <v>0</v>
      </c>
      <c r="AI290" s="13">
        <f t="shared" si="13"/>
        <v>1</v>
      </c>
      <c r="AJ290" s="7">
        <f>+'Pegar ML'!T286</f>
        <v>0</v>
      </c>
      <c r="AK290" s="27"/>
      <c r="AL290" s="27"/>
      <c r="AM290" s="27"/>
      <c r="AN290" s="27"/>
      <c r="AO290" s="27"/>
      <c r="AP290" s="27"/>
      <c r="AQ290" s="27"/>
      <c r="AR290" s="27"/>
      <c r="AS290" s="27">
        <v>17</v>
      </c>
    </row>
    <row r="291" spans="1:45" ht="15" customHeight="1" x14ac:dyDescent="0.25">
      <c r="A291" s="27">
        <f>IF('Pegar ML'!C286="Paquete de 2 productos",'Pegar ML'!A286,IF('Pegar ML'!C285="Paquete de 2 productos",'Pegar ML'!A285,'Pegar ML'!A287))</f>
        <v>0</v>
      </c>
      <c r="B291" s="27"/>
      <c r="C291" s="30" t="str">
        <f>IF(AjusteFecha!I287=0,"",AjusteFecha!I287)</f>
        <v/>
      </c>
      <c r="D291" s="27"/>
      <c r="E291" s="27"/>
      <c r="F291" s="27" t="str">
        <f>IF('Pegar ML'!C287="","",'Pegar ML'!C287)</f>
        <v/>
      </c>
      <c r="G291" s="27" t="str">
        <f>IF('Pegar ML'!G282="ARS","PS","PS")</f>
        <v>PS</v>
      </c>
      <c r="H291" s="14">
        <f>IF('Pegar ML'!C286="Paquete de 2 productos",IF('Pegar ML'!H286="",0,'Pegar ML'!H286),IF('Pegar ML'!H287="",0,'Pegar ML'!H287))</f>
        <v>0</v>
      </c>
      <c r="I291" s="14">
        <f>IF('Pegar ML'!C286="Paquete de 2 productos",IF('Pegar ML'!O286="",0,'Pegar ML'!O286),IF('Pegar ML'!O287="",0,'Pegar ML'!O287))</f>
        <v>0</v>
      </c>
      <c r="J291" s="14">
        <f>IF('Pegar ML'!C286="Paquete de 2 productos",IF('Pegar ML'!O286="",0,'Pegar ML'!O286),IF('Pegar ML'!O287="",0,'Pegar ML'!O287))</f>
        <v>0</v>
      </c>
      <c r="K291" s="14">
        <f t="shared" si="14"/>
        <v>0</v>
      </c>
      <c r="L291" s="27">
        <f>IF('Pegar ML'!AB287=" ",'Pegar ML'!AB286,'Pegar ML'!AB287)</f>
        <v>0</v>
      </c>
      <c r="M291" s="27" t="str">
        <f>IF('Pegar ML'!AC287=" ",RIGHT('Pegar ML'!AC286,8),RIGHT('Pegar ML'!AC287,8))</f>
        <v/>
      </c>
      <c r="N291" s="27" t="s">
        <v>80</v>
      </c>
      <c r="O291" s="27">
        <f t="shared" si="12"/>
        <v>0</v>
      </c>
      <c r="P291" s="27" t="s">
        <v>80</v>
      </c>
      <c r="Q291" s="55">
        <f>IF('Pegar ML'!AD287=" ",'Pegar ML'!AD286,'Pegar ML'!AD287)</f>
        <v>0</v>
      </c>
      <c r="R291" s="27" t="s">
        <v>80</v>
      </c>
      <c r="S291" s="27" t="s">
        <v>80</v>
      </c>
      <c r="T291" s="27" t="s">
        <v>80</v>
      </c>
      <c r="U291" s="55">
        <f>IF('Pegar ML'!AI287=" ",'Pegar ML'!AI286,'Pegar ML'!AI287)</f>
        <v>0</v>
      </c>
      <c r="V291" s="55">
        <f>IF('Pegar ML'!AK287=" ",'Pegar ML'!AK286,'Pegar ML'!AK287)</f>
        <v>0</v>
      </c>
      <c r="W291" s="55">
        <f>IF('Pegar ML'!AJ287=" ",'Pegar ML'!AJ286,'Pegar ML'!AJ287)</f>
        <v>0</v>
      </c>
      <c r="X291" s="55">
        <f>IF('Pegar ML'!AL287=" ",'Pegar ML'!AL286,'Pegar ML'!AL287)</f>
        <v>0</v>
      </c>
      <c r="Y291" s="27"/>
      <c r="Z291" s="27"/>
      <c r="AA291" s="27"/>
      <c r="AB291" s="27"/>
      <c r="AC291" s="27"/>
      <c r="AD291" s="27"/>
      <c r="AF291" s="8"/>
      <c r="AG291" s="27"/>
      <c r="AH291" s="14">
        <f>+'Pegar ML'!Y287</f>
        <v>0</v>
      </c>
      <c r="AI291" s="13">
        <f t="shared" si="13"/>
        <v>1</v>
      </c>
      <c r="AJ291" s="7">
        <f>+'Pegar ML'!T287</f>
        <v>0</v>
      </c>
      <c r="AK291" s="27"/>
      <c r="AL291" s="27"/>
      <c r="AM291" s="27"/>
      <c r="AN291" s="27"/>
      <c r="AO291" s="27"/>
      <c r="AP291" s="27"/>
      <c r="AQ291" s="27"/>
      <c r="AR291" s="27"/>
      <c r="AS291" s="27">
        <v>17</v>
      </c>
    </row>
    <row r="292" spans="1:45" ht="15" customHeight="1" x14ac:dyDescent="0.25">
      <c r="A292" s="27">
        <f>IF('Pegar ML'!C287="Paquete de 2 productos",'Pegar ML'!A287,IF('Pegar ML'!C286="Paquete de 2 productos",'Pegar ML'!A286,'Pegar ML'!A288))</f>
        <v>0</v>
      </c>
      <c r="B292" s="27"/>
      <c r="C292" s="30" t="str">
        <f>IF(AjusteFecha!I288=0,"",AjusteFecha!I288)</f>
        <v/>
      </c>
      <c r="D292" s="27"/>
      <c r="E292" s="27"/>
      <c r="F292" s="27" t="str">
        <f>IF('Pegar ML'!C288="","",'Pegar ML'!C288)</f>
        <v/>
      </c>
      <c r="G292" s="27" t="str">
        <f>IF('Pegar ML'!G283="ARS","PS","PS")</f>
        <v>PS</v>
      </c>
      <c r="H292" s="14">
        <f>IF('Pegar ML'!C287="Paquete de 2 productos",IF('Pegar ML'!H287="",0,'Pegar ML'!H287),IF('Pegar ML'!H288="",0,'Pegar ML'!H288))</f>
        <v>0</v>
      </c>
      <c r="I292" s="14">
        <f>IF('Pegar ML'!C287="Paquete de 2 productos",IF('Pegar ML'!O287="",0,'Pegar ML'!O287),IF('Pegar ML'!O288="",0,'Pegar ML'!O288))</f>
        <v>0</v>
      </c>
      <c r="J292" s="14">
        <f>IF('Pegar ML'!C287="Paquete de 2 productos",IF('Pegar ML'!O287="",0,'Pegar ML'!O287),IF('Pegar ML'!O288="",0,'Pegar ML'!O288))</f>
        <v>0</v>
      </c>
      <c r="K292" s="14">
        <f t="shared" si="14"/>
        <v>0</v>
      </c>
      <c r="L292" s="27">
        <f>IF('Pegar ML'!AB288=" ",'Pegar ML'!AB287,'Pegar ML'!AB288)</f>
        <v>0</v>
      </c>
      <c r="M292" s="27" t="str">
        <f>IF('Pegar ML'!AC288=" ",RIGHT('Pegar ML'!AC287,8),RIGHT('Pegar ML'!AC288,8))</f>
        <v/>
      </c>
      <c r="N292" s="27" t="s">
        <v>80</v>
      </c>
      <c r="O292" s="27">
        <f t="shared" si="12"/>
        <v>0</v>
      </c>
      <c r="P292" s="27" t="s">
        <v>80</v>
      </c>
      <c r="Q292" s="55">
        <f>IF('Pegar ML'!AD288=" ",'Pegar ML'!AD287,'Pegar ML'!AD288)</f>
        <v>0</v>
      </c>
      <c r="R292" s="27" t="s">
        <v>80</v>
      </c>
      <c r="S292" s="27" t="s">
        <v>80</v>
      </c>
      <c r="T292" s="27" t="s">
        <v>80</v>
      </c>
      <c r="U292" s="55">
        <f>IF('Pegar ML'!AI288=" ",'Pegar ML'!AI287,'Pegar ML'!AI288)</f>
        <v>0</v>
      </c>
      <c r="V292" s="55">
        <f>IF('Pegar ML'!AK288=" ",'Pegar ML'!AK287,'Pegar ML'!AK288)</f>
        <v>0</v>
      </c>
      <c r="W292" s="55">
        <f>IF('Pegar ML'!AJ288=" ",'Pegar ML'!AJ287,'Pegar ML'!AJ288)</f>
        <v>0</v>
      </c>
      <c r="X292" s="55">
        <f>IF('Pegar ML'!AL288=" ",'Pegar ML'!AL287,'Pegar ML'!AL288)</f>
        <v>0</v>
      </c>
      <c r="Y292" s="27"/>
      <c r="Z292" s="27"/>
      <c r="AA292" s="27"/>
      <c r="AB292" s="27"/>
      <c r="AC292" s="27"/>
      <c r="AD292" s="27"/>
      <c r="AF292" s="8"/>
      <c r="AG292" s="27"/>
      <c r="AH292" s="14">
        <f>+'Pegar ML'!Y288</f>
        <v>0</v>
      </c>
      <c r="AI292" s="13">
        <f t="shared" si="13"/>
        <v>1</v>
      </c>
      <c r="AJ292" s="7">
        <f>+'Pegar ML'!T288</f>
        <v>0</v>
      </c>
      <c r="AK292" s="27"/>
      <c r="AL292" s="27"/>
      <c r="AM292" s="27"/>
      <c r="AN292" s="27"/>
      <c r="AO292" s="27"/>
      <c r="AP292" s="27"/>
      <c r="AQ292" s="27"/>
      <c r="AR292" s="27"/>
      <c r="AS292" s="27">
        <v>17</v>
      </c>
    </row>
    <row r="293" spans="1:45" ht="15" customHeight="1" x14ac:dyDescent="0.25">
      <c r="A293" s="27">
        <f>IF('Pegar ML'!C288="Paquete de 2 productos",'Pegar ML'!A288,IF('Pegar ML'!C287="Paquete de 2 productos",'Pegar ML'!A287,'Pegar ML'!A289))</f>
        <v>0</v>
      </c>
      <c r="B293" s="27"/>
      <c r="C293" s="30" t="str">
        <f>IF(AjusteFecha!I289=0,"",AjusteFecha!I289)</f>
        <v/>
      </c>
      <c r="D293" s="27"/>
      <c r="E293" s="27"/>
      <c r="F293" s="27" t="str">
        <f>IF('Pegar ML'!C289="","",'Pegar ML'!C289)</f>
        <v/>
      </c>
      <c r="G293" s="27" t="str">
        <f>IF('Pegar ML'!G284="ARS","PS","PS")</f>
        <v>PS</v>
      </c>
      <c r="H293" s="14">
        <f>IF('Pegar ML'!C288="Paquete de 2 productos",IF('Pegar ML'!H288="",0,'Pegar ML'!H288),IF('Pegar ML'!H289="",0,'Pegar ML'!H289))</f>
        <v>0</v>
      </c>
      <c r="I293" s="14">
        <f>IF('Pegar ML'!C288="Paquete de 2 productos",IF('Pegar ML'!O288="",0,'Pegar ML'!O288),IF('Pegar ML'!O289="",0,'Pegar ML'!O289))</f>
        <v>0</v>
      </c>
      <c r="J293" s="14">
        <f>IF('Pegar ML'!C288="Paquete de 2 productos",IF('Pegar ML'!O288="",0,'Pegar ML'!O288),IF('Pegar ML'!O289="",0,'Pegar ML'!O289))</f>
        <v>0</v>
      </c>
      <c r="K293" s="14">
        <f t="shared" si="14"/>
        <v>0</v>
      </c>
      <c r="L293" s="27">
        <f>IF('Pegar ML'!AB289=" ",'Pegar ML'!AB288,'Pegar ML'!AB289)</f>
        <v>0</v>
      </c>
      <c r="M293" s="27" t="str">
        <f>IF('Pegar ML'!AC289=" ",RIGHT('Pegar ML'!AC288,8),RIGHT('Pegar ML'!AC289,8))</f>
        <v/>
      </c>
      <c r="N293" s="27" t="s">
        <v>80</v>
      </c>
      <c r="O293" s="27">
        <f t="shared" si="12"/>
        <v>0</v>
      </c>
      <c r="P293" s="27" t="s">
        <v>80</v>
      </c>
      <c r="Q293" s="55">
        <f>IF('Pegar ML'!AD289=" ",'Pegar ML'!AD288,'Pegar ML'!AD289)</f>
        <v>0</v>
      </c>
      <c r="R293" s="27" t="s">
        <v>80</v>
      </c>
      <c r="S293" s="27" t="s">
        <v>80</v>
      </c>
      <c r="T293" s="27" t="s">
        <v>80</v>
      </c>
      <c r="U293" s="55">
        <f>IF('Pegar ML'!AI289=" ",'Pegar ML'!AI288,'Pegar ML'!AI289)</f>
        <v>0</v>
      </c>
      <c r="V293" s="55">
        <f>IF('Pegar ML'!AK289=" ",'Pegar ML'!AK288,'Pegar ML'!AK289)</f>
        <v>0</v>
      </c>
      <c r="W293" s="55">
        <f>IF('Pegar ML'!AJ289=" ",'Pegar ML'!AJ288,'Pegar ML'!AJ289)</f>
        <v>0</v>
      </c>
      <c r="X293" s="55">
        <f>IF('Pegar ML'!AL289=" ",'Pegar ML'!AL288,'Pegar ML'!AL289)</f>
        <v>0</v>
      </c>
      <c r="Y293" s="27"/>
      <c r="Z293" s="27"/>
      <c r="AA293" s="27"/>
      <c r="AB293" s="27"/>
      <c r="AC293" s="27"/>
      <c r="AD293" s="27"/>
      <c r="AF293" s="8"/>
      <c r="AG293" s="27"/>
      <c r="AH293" s="14">
        <f>+'Pegar ML'!Y289</f>
        <v>0</v>
      </c>
      <c r="AI293" s="13">
        <f t="shared" si="13"/>
        <v>1</v>
      </c>
      <c r="AJ293" s="7">
        <f>+'Pegar ML'!T289</f>
        <v>0</v>
      </c>
      <c r="AK293" s="27"/>
      <c r="AL293" s="27"/>
      <c r="AM293" s="27"/>
      <c r="AN293" s="27"/>
      <c r="AO293" s="27"/>
      <c r="AP293" s="27"/>
      <c r="AQ293" s="27"/>
      <c r="AR293" s="27"/>
      <c r="AS293" s="27">
        <v>17</v>
      </c>
    </row>
    <row r="294" spans="1:45" ht="15" customHeight="1" x14ac:dyDescent="0.25">
      <c r="A294" s="27">
        <f>IF('Pegar ML'!C289="Paquete de 2 productos",'Pegar ML'!A289,IF('Pegar ML'!C288="Paquete de 2 productos",'Pegar ML'!A288,'Pegar ML'!A290))</f>
        <v>0</v>
      </c>
      <c r="B294" s="27"/>
      <c r="C294" s="30" t="str">
        <f>IF(AjusteFecha!I290=0,"",AjusteFecha!I290)</f>
        <v/>
      </c>
      <c r="D294" s="27"/>
      <c r="E294" s="27"/>
      <c r="F294" s="27" t="str">
        <f>IF('Pegar ML'!C290="","",'Pegar ML'!C290)</f>
        <v/>
      </c>
      <c r="G294" s="27" t="str">
        <f>IF('Pegar ML'!G285="ARS","PS","PS")</f>
        <v>PS</v>
      </c>
      <c r="H294" s="14">
        <f>IF('Pegar ML'!C289="Paquete de 2 productos",IF('Pegar ML'!H289="",0,'Pegar ML'!H289),IF('Pegar ML'!H290="",0,'Pegar ML'!H290))</f>
        <v>0</v>
      </c>
      <c r="I294" s="14">
        <f>IF('Pegar ML'!C289="Paquete de 2 productos",IF('Pegar ML'!O289="",0,'Pegar ML'!O289),IF('Pegar ML'!O290="",0,'Pegar ML'!O290))</f>
        <v>0</v>
      </c>
      <c r="J294" s="14">
        <f>IF('Pegar ML'!C289="Paquete de 2 productos",IF('Pegar ML'!O289="",0,'Pegar ML'!O289),IF('Pegar ML'!O290="",0,'Pegar ML'!O290))</f>
        <v>0</v>
      </c>
      <c r="K294" s="14">
        <f t="shared" si="14"/>
        <v>0</v>
      </c>
      <c r="L294" s="27">
        <f>IF('Pegar ML'!AB290=" ",'Pegar ML'!AB289,'Pegar ML'!AB290)</f>
        <v>0</v>
      </c>
      <c r="M294" s="27" t="str">
        <f>IF('Pegar ML'!AC290=" ",RIGHT('Pegar ML'!AC289,8),RIGHT('Pegar ML'!AC290,8))</f>
        <v/>
      </c>
      <c r="N294" s="27" t="s">
        <v>80</v>
      </c>
      <c r="O294" s="27">
        <f t="shared" si="12"/>
        <v>0</v>
      </c>
      <c r="P294" s="27" t="s">
        <v>80</v>
      </c>
      <c r="Q294" s="55">
        <f>IF('Pegar ML'!AD290=" ",'Pegar ML'!AD289,'Pegar ML'!AD290)</f>
        <v>0</v>
      </c>
      <c r="R294" s="27" t="s">
        <v>80</v>
      </c>
      <c r="S294" s="27" t="s">
        <v>80</v>
      </c>
      <c r="T294" s="27" t="s">
        <v>80</v>
      </c>
      <c r="U294" s="55">
        <f>IF('Pegar ML'!AI290=" ",'Pegar ML'!AI289,'Pegar ML'!AI290)</f>
        <v>0</v>
      </c>
      <c r="V294" s="55">
        <f>IF('Pegar ML'!AK290=" ",'Pegar ML'!AK289,'Pegar ML'!AK290)</f>
        <v>0</v>
      </c>
      <c r="W294" s="55">
        <f>IF('Pegar ML'!AJ290=" ",'Pegar ML'!AJ289,'Pegar ML'!AJ290)</f>
        <v>0</v>
      </c>
      <c r="X294" s="55">
        <f>IF('Pegar ML'!AL290=" ",'Pegar ML'!AL289,'Pegar ML'!AL290)</f>
        <v>0</v>
      </c>
      <c r="Y294" s="27"/>
      <c r="Z294" s="27"/>
      <c r="AA294" s="27"/>
      <c r="AB294" s="27"/>
      <c r="AC294" s="27"/>
      <c r="AD294" s="27"/>
      <c r="AF294" s="8"/>
      <c r="AG294" s="27"/>
      <c r="AH294" s="14">
        <f>+'Pegar ML'!Y290</f>
        <v>0</v>
      </c>
      <c r="AI294" s="13">
        <f t="shared" si="13"/>
        <v>1</v>
      </c>
      <c r="AJ294" s="7">
        <f>+'Pegar ML'!T290</f>
        <v>0</v>
      </c>
      <c r="AK294" s="27"/>
      <c r="AL294" s="27"/>
      <c r="AM294" s="27"/>
      <c r="AN294" s="27"/>
      <c r="AO294" s="27"/>
      <c r="AP294" s="27"/>
      <c r="AQ294" s="27"/>
      <c r="AR294" s="27"/>
      <c r="AS294" s="27">
        <v>17</v>
      </c>
    </row>
    <row r="295" spans="1:45" ht="15" customHeight="1" x14ac:dyDescent="0.25">
      <c r="A295" s="27">
        <f>IF('Pegar ML'!C290="Paquete de 2 productos",'Pegar ML'!A290,IF('Pegar ML'!C289="Paquete de 2 productos",'Pegar ML'!A289,'Pegar ML'!A291))</f>
        <v>0</v>
      </c>
      <c r="B295" s="27"/>
      <c r="C295" s="30" t="str">
        <f>IF(AjusteFecha!I291=0,"",AjusteFecha!I291)</f>
        <v/>
      </c>
      <c r="D295" s="27"/>
      <c r="E295" s="27"/>
      <c r="F295" s="27" t="str">
        <f>IF('Pegar ML'!C291="","",'Pegar ML'!C291)</f>
        <v/>
      </c>
      <c r="G295" s="27" t="str">
        <f>IF('Pegar ML'!G286="ARS","PS","PS")</f>
        <v>PS</v>
      </c>
      <c r="H295" s="14">
        <f>IF('Pegar ML'!C290="Paquete de 2 productos",IF('Pegar ML'!H290="",0,'Pegar ML'!H290),IF('Pegar ML'!H291="",0,'Pegar ML'!H291))</f>
        <v>0</v>
      </c>
      <c r="I295" s="14">
        <f>IF('Pegar ML'!C290="Paquete de 2 productos",IF('Pegar ML'!O290="",0,'Pegar ML'!O290),IF('Pegar ML'!O291="",0,'Pegar ML'!O291))</f>
        <v>0</v>
      </c>
      <c r="J295" s="14">
        <f>IF('Pegar ML'!C290="Paquete de 2 productos",IF('Pegar ML'!O290="",0,'Pegar ML'!O290),IF('Pegar ML'!O291="",0,'Pegar ML'!O291))</f>
        <v>0</v>
      </c>
      <c r="K295" s="14">
        <f t="shared" si="14"/>
        <v>0</v>
      </c>
      <c r="L295" s="27">
        <f>IF('Pegar ML'!AB291=" ",'Pegar ML'!AB290,'Pegar ML'!AB291)</f>
        <v>0</v>
      </c>
      <c r="M295" s="27" t="str">
        <f>IF('Pegar ML'!AC291=" ",RIGHT('Pegar ML'!AC290,8),RIGHT('Pegar ML'!AC291,8))</f>
        <v/>
      </c>
      <c r="N295" s="27" t="s">
        <v>80</v>
      </c>
      <c r="O295" s="27">
        <f t="shared" si="12"/>
        <v>0</v>
      </c>
      <c r="P295" s="27" t="s">
        <v>80</v>
      </c>
      <c r="Q295" s="55">
        <f>IF('Pegar ML'!AD291=" ",'Pegar ML'!AD290,'Pegar ML'!AD291)</f>
        <v>0</v>
      </c>
      <c r="R295" s="27" t="s">
        <v>80</v>
      </c>
      <c r="S295" s="27" t="s">
        <v>80</v>
      </c>
      <c r="T295" s="27" t="s">
        <v>80</v>
      </c>
      <c r="U295" s="55">
        <f>IF('Pegar ML'!AI291=" ",'Pegar ML'!AI290,'Pegar ML'!AI291)</f>
        <v>0</v>
      </c>
      <c r="V295" s="55">
        <f>IF('Pegar ML'!AK291=" ",'Pegar ML'!AK290,'Pegar ML'!AK291)</f>
        <v>0</v>
      </c>
      <c r="W295" s="55">
        <f>IF('Pegar ML'!AJ291=" ",'Pegar ML'!AJ290,'Pegar ML'!AJ291)</f>
        <v>0</v>
      </c>
      <c r="X295" s="55">
        <f>IF('Pegar ML'!AL291=" ",'Pegar ML'!AL290,'Pegar ML'!AL291)</f>
        <v>0</v>
      </c>
      <c r="Y295" s="27"/>
      <c r="Z295" s="27"/>
      <c r="AA295" s="27"/>
      <c r="AB295" s="27"/>
      <c r="AC295" s="27"/>
      <c r="AD295" s="27"/>
      <c r="AF295" s="8"/>
      <c r="AG295" s="27"/>
      <c r="AH295" s="14">
        <f>+'Pegar ML'!Y291</f>
        <v>0</v>
      </c>
      <c r="AI295" s="13">
        <f t="shared" si="13"/>
        <v>1</v>
      </c>
      <c r="AJ295" s="7">
        <f>+'Pegar ML'!T291</f>
        <v>0</v>
      </c>
      <c r="AK295" s="27"/>
      <c r="AL295" s="27"/>
      <c r="AM295" s="27"/>
      <c r="AN295" s="27"/>
      <c r="AO295" s="27"/>
      <c r="AP295" s="27"/>
      <c r="AQ295" s="27"/>
      <c r="AR295" s="27"/>
      <c r="AS295" s="27">
        <v>17</v>
      </c>
    </row>
    <row r="296" spans="1:45" ht="15" customHeight="1" x14ac:dyDescent="0.25">
      <c r="A296" s="27">
        <f>IF('Pegar ML'!C291="Paquete de 2 productos",'Pegar ML'!A291,IF('Pegar ML'!C290="Paquete de 2 productos",'Pegar ML'!A290,'Pegar ML'!A292))</f>
        <v>0</v>
      </c>
      <c r="B296" s="27"/>
      <c r="C296" s="30" t="str">
        <f>IF(AjusteFecha!I292=0,"",AjusteFecha!I292)</f>
        <v/>
      </c>
      <c r="D296" s="27"/>
      <c r="E296" s="27"/>
      <c r="F296" s="27" t="str">
        <f>IF('Pegar ML'!C292="","",'Pegar ML'!C292)</f>
        <v/>
      </c>
      <c r="G296" s="27" t="str">
        <f>IF('Pegar ML'!G287="ARS","PS","PS")</f>
        <v>PS</v>
      </c>
      <c r="H296" s="14">
        <f>IF('Pegar ML'!C291="Paquete de 2 productos",IF('Pegar ML'!H291="",0,'Pegar ML'!H291),IF('Pegar ML'!H292="",0,'Pegar ML'!H292))</f>
        <v>0</v>
      </c>
      <c r="I296" s="14">
        <f>IF('Pegar ML'!C291="Paquete de 2 productos",IF('Pegar ML'!O291="",0,'Pegar ML'!O291),IF('Pegar ML'!O292="",0,'Pegar ML'!O292))</f>
        <v>0</v>
      </c>
      <c r="J296" s="14">
        <f>IF('Pegar ML'!C291="Paquete de 2 productos",IF('Pegar ML'!O291="",0,'Pegar ML'!O291),IF('Pegar ML'!O292="",0,'Pegar ML'!O292))</f>
        <v>0</v>
      </c>
      <c r="K296" s="14">
        <f t="shared" si="14"/>
        <v>0</v>
      </c>
      <c r="L296" s="27">
        <f>IF('Pegar ML'!AB292=" ",'Pegar ML'!AB291,'Pegar ML'!AB292)</f>
        <v>0</v>
      </c>
      <c r="M296" s="27" t="str">
        <f>IF('Pegar ML'!AC292=" ",RIGHT('Pegar ML'!AC291,8),RIGHT('Pegar ML'!AC292,8))</f>
        <v/>
      </c>
      <c r="N296" s="27" t="s">
        <v>80</v>
      </c>
      <c r="O296" s="27">
        <f t="shared" si="12"/>
        <v>0</v>
      </c>
      <c r="P296" s="27" t="s">
        <v>80</v>
      </c>
      <c r="Q296" s="55">
        <f>IF('Pegar ML'!AD292=" ",'Pegar ML'!AD291,'Pegar ML'!AD292)</f>
        <v>0</v>
      </c>
      <c r="R296" s="27" t="s">
        <v>80</v>
      </c>
      <c r="S296" s="27" t="s">
        <v>80</v>
      </c>
      <c r="T296" s="27" t="s">
        <v>80</v>
      </c>
      <c r="U296" s="55">
        <f>IF('Pegar ML'!AI292=" ",'Pegar ML'!AI291,'Pegar ML'!AI292)</f>
        <v>0</v>
      </c>
      <c r="V296" s="55">
        <f>IF('Pegar ML'!AK292=" ",'Pegar ML'!AK291,'Pegar ML'!AK292)</f>
        <v>0</v>
      </c>
      <c r="W296" s="55">
        <f>IF('Pegar ML'!AJ292=" ",'Pegar ML'!AJ291,'Pegar ML'!AJ292)</f>
        <v>0</v>
      </c>
      <c r="X296" s="55">
        <f>IF('Pegar ML'!AL292=" ",'Pegar ML'!AL291,'Pegar ML'!AL292)</f>
        <v>0</v>
      </c>
      <c r="Y296" s="27"/>
      <c r="Z296" s="27"/>
      <c r="AA296" s="27"/>
      <c r="AB296" s="27"/>
      <c r="AC296" s="27"/>
      <c r="AD296" s="27"/>
      <c r="AF296" s="8"/>
      <c r="AG296" s="27"/>
      <c r="AH296" s="14">
        <f>+'Pegar ML'!Y292</f>
        <v>0</v>
      </c>
      <c r="AI296" s="13">
        <f t="shared" si="13"/>
        <v>1</v>
      </c>
      <c r="AJ296" s="7">
        <f>+'Pegar ML'!T292</f>
        <v>0</v>
      </c>
      <c r="AK296" s="27"/>
      <c r="AL296" s="27"/>
      <c r="AM296" s="27"/>
      <c r="AN296" s="27"/>
      <c r="AO296" s="27"/>
      <c r="AP296" s="27"/>
      <c r="AQ296" s="27"/>
      <c r="AR296" s="27"/>
      <c r="AS296" s="27">
        <v>17</v>
      </c>
    </row>
    <row r="297" spans="1:45" ht="15" customHeight="1" x14ac:dyDescent="0.25">
      <c r="A297" s="27">
        <f>IF('Pegar ML'!C292="Paquete de 2 productos",'Pegar ML'!A292,IF('Pegar ML'!C291="Paquete de 2 productos",'Pegar ML'!A291,'Pegar ML'!A293))</f>
        <v>0</v>
      </c>
      <c r="B297" s="27"/>
      <c r="C297" s="30" t="str">
        <f>IF(AjusteFecha!I293=0,"",AjusteFecha!I293)</f>
        <v/>
      </c>
      <c r="D297" s="27"/>
      <c r="E297" s="27"/>
      <c r="F297" s="27" t="str">
        <f>IF('Pegar ML'!C293="","",'Pegar ML'!C293)</f>
        <v/>
      </c>
      <c r="G297" s="27" t="str">
        <f>IF('Pegar ML'!G288="ARS","PS","PS")</f>
        <v>PS</v>
      </c>
      <c r="H297" s="14">
        <f>IF('Pegar ML'!C292="Paquete de 2 productos",IF('Pegar ML'!H292="",0,'Pegar ML'!H292),IF('Pegar ML'!H293="",0,'Pegar ML'!H293))</f>
        <v>0</v>
      </c>
      <c r="I297" s="14">
        <f>IF('Pegar ML'!C292="Paquete de 2 productos",IF('Pegar ML'!O292="",0,'Pegar ML'!O292),IF('Pegar ML'!O293="",0,'Pegar ML'!O293))</f>
        <v>0</v>
      </c>
      <c r="J297" s="14">
        <f>IF('Pegar ML'!C292="Paquete de 2 productos",IF('Pegar ML'!O292="",0,'Pegar ML'!O292),IF('Pegar ML'!O293="",0,'Pegar ML'!O293))</f>
        <v>0</v>
      </c>
      <c r="K297" s="14">
        <f t="shared" si="14"/>
        <v>0</v>
      </c>
      <c r="L297" s="27">
        <f>IF('Pegar ML'!AB293=" ",'Pegar ML'!AB292,'Pegar ML'!AB293)</f>
        <v>0</v>
      </c>
      <c r="M297" s="27" t="str">
        <f>IF('Pegar ML'!AC293=" ",RIGHT('Pegar ML'!AC292,8),RIGHT('Pegar ML'!AC293,8))</f>
        <v/>
      </c>
      <c r="N297" s="27" t="s">
        <v>80</v>
      </c>
      <c r="O297" s="27">
        <f t="shared" si="12"/>
        <v>0</v>
      </c>
      <c r="P297" s="27" t="s">
        <v>80</v>
      </c>
      <c r="Q297" s="55">
        <f>IF('Pegar ML'!AD293=" ",'Pegar ML'!AD292,'Pegar ML'!AD293)</f>
        <v>0</v>
      </c>
      <c r="R297" s="27" t="s">
        <v>80</v>
      </c>
      <c r="S297" s="27" t="s">
        <v>80</v>
      </c>
      <c r="T297" s="27" t="s">
        <v>80</v>
      </c>
      <c r="U297" s="55">
        <f>IF('Pegar ML'!AI293=" ",'Pegar ML'!AI292,'Pegar ML'!AI293)</f>
        <v>0</v>
      </c>
      <c r="V297" s="55">
        <f>IF('Pegar ML'!AK293=" ",'Pegar ML'!AK292,'Pegar ML'!AK293)</f>
        <v>0</v>
      </c>
      <c r="W297" s="55">
        <f>IF('Pegar ML'!AJ293=" ",'Pegar ML'!AJ292,'Pegar ML'!AJ293)</f>
        <v>0</v>
      </c>
      <c r="X297" s="55">
        <f>IF('Pegar ML'!AL293=" ",'Pegar ML'!AL292,'Pegar ML'!AL293)</f>
        <v>0</v>
      </c>
      <c r="Y297" s="27"/>
      <c r="Z297" s="27"/>
      <c r="AA297" s="27"/>
      <c r="AB297" s="27"/>
      <c r="AC297" s="27"/>
      <c r="AD297" s="27"/>
      <c r="AF297" s="8"/>
      <c r="AG297" s="27"/>
      <c r="AH297" s="14">
        <f>+'Pegar ML'!Y293</f>
        <v>0</v>
      </c>
      <c r="AI297" s="13">
        <f t="shared" si="13"/>
        <v>1</v>
      </c>
      <c r="AJ297" s="7">
        <f>+'Pegar ML'!T293</f>
        <v>0</v>
      </c>
      <c r="AK297" s="27"/>
      <c r="AL297" s="27"/>
      <c r="AM297" s="27"/>
      <c r="AN297" s="27"/>
      <c r="AO297" s="27"/>
      <c r="AP297" s="27"/>
      <c r="AQ297" s="27"/>
      <c r="AR297" s="27"/>
      <c r="AS297" s="27">
        <v>17</v>
      </c>
    </row>
    <row r="298" spans="1:45" ht="15" customHeight="1" x14ac:dyDescent="0.25">
      <c r="A298" s="27">
        <f>IF('Pegar ML'!C293="Paquete de 2 productos",'Pegar ML'!A293,IF('Pegar ML'!C292="Paquete de 2 productos",'Pegar ML'!A292,'Pegar ML'!A294))</f>
        <v>0</v>
      </c>
      <c r="B298" s="27"/>
      <c r="C298" s="30" t="str">
        <f>IF(AjusteFecha!I294=0,"",AjusteFecha!I294)</f>
        <v/>
      </c>
      <c r="D298" s="27"/>
      <c r="E298" s="27"/>
      <c r="F298" s="27" t="str">
        <f>IF('Pegar ML'!C294="","",'Pegar ML'!C294)</f>
        <v/>
      </c>
      <c r="G298" s="27" t="str">
        <f>IF('Pegar ML'!G289="ARS","PS","PS")</f>
        <v>PS</v>
      </c>
      <c r="H298" s="14">
        <f>IF('Pegar ML'!C293="Paquete de 2 productos",IF('Pegar ML'!H293="",0,'Pegar ML'!H293),IF('Pegar ML'!H294="",0,'Pegar ML'!H294))</f>
        <v>0</v>
      </c>
      <c r="I298" s="14">
        <f>IF('Pegar ML'!C293="Paquete de 2 productos",IF('Pegar ML'!O293="",0,'Pegar ML'!O293),IF('Pegar ML'!O294="",0,'Pegar ML'!O294))</f>
        <v>0</v>
      </c>
      <c r="J298" s="14">
        <f>IF('Pegar ML'!C293="Paquete de 2 productos",IF('Pegar ML'!O293="",0,'Pegar ML'!O293),IF('Pegar ML'!O294="",0,'Pegar ML'!O294))</f>
        <v>0</v>
      </c>
      <c r="K298" s="14">
        <f t="shared" si="14"/>
        <v>0</v>
      </c>
      <c r="L298" s="27">
        <f>IF('Pegar ML'!AB294=" ",'Pegar ML'!AB293,'Pegar ML'!AB294)</f>
        <v>0</v>
      </c>
      <c r="M298" s="27" t="str">
        <f>IF('Pegar ML'!AC294=" ",RIGHT('Pegar ML'!AC293,8),RIGHT('Pegar ML'!AC294,8))</f>
        <v/>
      </c>
      <c r="N298" s="27" t="s">
        <v>80</v>
      </c>
      <c r="O298" s="27">
        <f t="shared" si="12"/>
        <v>0</v>
      </c>
      <c r="P298" s="27" t="s">
        <v>80</v>
      </c>
      <c r="Q298" s="55">
        <f>IF('Pegar ML'!AD294=" ",'Pegar ML'!AD293,'Pegar ML'!AD294)</f>
        <v>0</v>
      </c>
      <c r="R298" s="27" t="s">
        <v>80</v>
      </c>
      <c r="S298" s="27" t="s">
        <v>80</v>
      </c>
      <c r="T298" s="27" t="s">
        <v>80</v>
      </c>
      <c r="U298" s="55">
        <f>IF('Pegar ML'!AI294=" ",'Pegar ML'!AI293,'Pegar ML'!AI294)</f>
        <v>0</v>
      </c>
      <c r="V298" s="55">
        <f>IF('Pegar ML'!AK294=" ",'Pegar ML'!AK293,'Pegar ML'!AK294)</f>
        <v>0</v>
      </c>
      <c r="W298" s="55">
        <f>IF('Pegar ML'!AJ294=" ",'Pegar ML'!AJ293,'Pegar ML'!AJ294)</f>
        <v>0</v>
      </c>
      <c r="X298" s="55">
        <f>IF('Pegar ML'!AL294=" ",'Pegar ML'!AL293,'Pegar ML'!AL294)</f>
        <v>0</v>
      </c>
      <c r="Y298" s="27"/>
      <c r="Z298" s="27"/>
      <c r="AA298" s="27"/>
      <c r="AB298" s="27"/>
      <c r="AC298" s="27"/>
      <c r="AD298" s="27"/>
      <c r="AF298" s="8"/>
      <c r="AG298" s="27"/>
      <c r="AH298" s="14">
        <f>+'Pegar ML'!Y294</f>
        <v>0</v>
      </c>
      <c r="AI298" s="13">
        <f t="shared" si="13"/>
        <v>1</v>
      </c>
      <c r="AJ298" s="7">
        <f>+'Pegar ML'!T294</f>
        <v>0</v>
      </c>
      <c r="AK298" s="27"/>
      <c r="AL298" s="27"/>
      <c r="AM298" s="27"/>
      <c r="AN298" s="27"/>
      <c r="AO298" s="27"/>
      <c r="AP298" s="27"/>
      <c r="AQ298" s="27"/>
      <c r="AR298" s="27"/>
      <c r="AS298" s="27">
        <v>17</v>
      </c>
    </row>
    <row r="299" spans="1:45" ht="15" customHeight="1" x14ac:dyDescent="0.25">
      <c r="A299" s="27">
        <f>IF('Pegar ML'!C294="Paquete de 2 productos",'Pegar ML'!A294,IF('Pegar ML'!C293="Paquete de 2 productos",'Pegar ML'!A293,'Pegar ML'!A295))</f>
        <v>0</v>
      </c>
      <c r="B299" s="27"/>
      <c r="C299" s="30" t="str">
        <f>IF(AjusteFecha!I295=0,"",AjusteFecha!I295)</f>
        <v/>
      </c>
      <c r="D299" s="27"/>
      <c r="E299" s="27"/>
      <c r="F299" s="27" t="str">
        <f>IF('Pegar ML'!C295="","",'Pegar ML'!C295)</f>
        <v/>
      </c>
      <c r="G299" s="27" t="str">
        <f>IF('Pegar ML'!G290="ARS","PS","PS")</f>
        <v>PS</v>
      </c>
      <c r="H299" s="14">
        <f>IF('Pegar ML'!C294="Paquete de 2 productos",IF('Pegar ML'!H294="",0,'Pegar ML'!H294),IF('Pegar ML'!H295="",0,'Pegar ML'!H295))</f>
        <v>0</v>
      </c>
      <c r="I299" s="14">
        <f>IF('Pegar ML'!C294="Paquete de 2 productos",IF('Pegar ML'!O294="",0,'Pegar ML'!O294),IF('Pegar ML'!O295="",0,'Pegar ML'!O295))</f>
        <v>0</v>
      </c>
      <c r="J299" s="14">
        <f>IF('Pegar ML'!C294="Paquete de 2 productos",IF('Pegar ML'!O294="",0,'Pegar ML'!O294),IF('Pegar ML'!O295="",0,'Pegar ML'!O295))</f>
        <v>0</v>
      </c>
      <c r="K299" s="14">
        <f t="shared" si="14"/>
        <v>0</v>
      </c>
      <c r="L299" s="27">
        <f>IF('Pegar ML'!AB295=" ",'Pegar ML'!AB294,'Pegar ML'!AB295)</f>
        <v>0</v>
      </c>
      <c r="M299" s="27" t="str">
        <f>IF('Pegar ML'!AC295=" ",RIGHT('Pegar ML'!AC294,8),RIGHT('Pegar ML'!AC295,8))</f>
        <v/>
      </c>
      <c r="N299" s="27" t="s">
        <v>80</v>
      </c>
      <c r="O299" s="27">
        <f t="shared" si="12"/>
        <v>0</v>
      </c>
      <c r="P299" s="27" t="s">
        <v>80</v>
      </c>
      <c r="Q299" s="55">
        <f>IF('Pegar ML'!AD295=" ",'Pegar ML'!AD294,'Pegar ML'!AD295)</f>
        <v>0</v>
      </c>
      <c r="R299" s="27" t="s">
        <v>80</v>
      </c>
      <c r="S299" s="27" t="s">
        <v>80</v>
      </c>
      <c r="T299" s="27" t="s">
        <v>80</v>
      </c>
      <c r="U299" s="55">
        <f>IF('Pegar ML'!AI295=" ",'Pegar ML'!AI294,'Pegar ML'!AI295)</f>
        <v>0</v>
      </c>
      <c r="V299" s="55">
        <f>IF('Pegar ML'!AK295=" ",'Pegar ML'!AK294,'Pegar ML'!AK295)</f>
        <v>0</v>
      </c>
      <c r="W299" s="55">
        <f>IF('Pegar ML'!AJ295=" ",'Pegar ML'!AJ294,'Pegar ML'!AJ295)</f>
        <v>0</v>
      </c>
      <c r="X299" s="55">
        <f>IF('Pegar ML'!AL295=" ",'Pegar ML'!AL294,'Pegar ML'!AL295)</f>
        <v>0</v>
      </c>
      <c r="Y299" s="27"/>
      <c r="Z299" s="27"/>
      <c r="AA299" s="27"/>
      <c r="AB299" s="27"/>
      <c r="AC299" s="27"/>
      <c r="AD299" s="27"/>
      <c r="AF299" s="8"/>
      <c r="AG299" s="27"/>
      <c r="AH299" s="14">
        <f>+'Pegar ML'!Y295</f>
        <v>0</v>
      </c>
      <c r="AI299" s="13">
        <f t="shared" si="13"/>
        <v>1</v>
      </c>
      <c r="AJ299" s="7">
        <f>+'Pegar ML'!T295</f>
        <v>0</v>
      </c>
      <c r="AK299" s="27"/>
      <c r="AL299" s="27"/>
      <c r="AM299" s="27"/>
      <c r="AN299" s="27"/>
      <c r="AO299" s="27"/>
      <c r="AP299" s="27"/>
      <c r="AQ299" s="27"/>
      <c r="AR299" s="27"/>
      <c r="AS299" s="27">
        <v>17</v>
      </c>
    </row>
    <row r="300" spans="1:45" ht="15" customHeight="1" x14ac:dyDescent="0.25">
      <c r="A300" s="27">
        <f>IF('Pegar ML'!C295="Paquete de 2 productos",'Pegar ML'!A295,IF('Pegar ML'!C294="Paquete de 2 productos",'Pegar ML'!A294,'Pegar ML'!A296))</f>
        <v>0</v>
      </c>
      <c r="B300" s="27"/>
      <c r="C300" s="30" t="str">
        <f>IF(AjusteFecha!I296=0,"",AjusteFecha!I296)</f>
        <v/>
      </c>
      <c r="D300" s="27"/>
      <c r="E300" s="27"/>
      <c r="F300" s="27" t="str">
        <f>IF('Pegar ML'!C296="","",'Pegar ML'!C296)</f>
        <v/>
      </c>
      <c r="G300" s="27" t="str">
        <f>IF('Pegar ML'!G291="ARS","PS","PS")</f>
        <v>PS</v>
      </c>
      <c r="H300" s="14">
        <f>IF('Pegar ML'!C295="Paquete de 2 productos",IF('Pegar ML'!H295="",0,'Pegar ML'!H295),IF('Pegar ML'!H296="",0,'Pegar ML'!H296))</f>
        <v>0</v>
      </c>
      <c r="I300" s="14">
        <f>IF('Pegar ML'!C295="Paquete de 2 productos",IF('Pegar ML'!O295="",0,'Pegar ML'!O295),IF('Pegar ML'!O296="",0,'Pegar ML'!O296))</f>
        <v>0</v>
      </c>
      <c r="J300" s="14">
        <f>IF('Pegar ML'!C295="Paquete de 2 productos",IF('Pegar ML'!O295="",0,'Pegar ML'!O295),IF('Pegar ML'!O296="",0,'Pegar ML'!O296))</f>
        <v>0</v>
      </c>
      <c r="K300" s="14">
        <f t="shared" si="14"/>
        <v>0</v>
      </c>
      <c r="L300" s="27">
        <f>IF('Pegar ML'!AB296=" ",'Pegar ML'!AB295,'Pegar ML'!AB296)</f>
        <v>0</v>
      </c>
      <c r="M300" s="27" t="str">
        <f>IF('Pegar ML'!AC296=" ",RIGHT('Pegar ML'!AC295,8),RIGHT('Pegar ML'!AC296,8))</f>
        <v/>
      </c>
      <c r="N300" s="27" t="s">
        <v>80</v>
      </c>
      <c r="O300" s="27">
        <f t="shared" si="12"/>
        <v>0</v>
      </c>
      <c r="P300" s="27" t="s">
        <v>80</v>
      </c>
      <c r="Q300" s="55">
        <f>IF('Pegar ML'!AD296=" ",'Pegar ML'!AD295,'Pegar ML'!AD296)</f>
        <v>0</v>
      </c>
      <c r="R300" s="27" t="s">
        <v>80</v>
      </c>
      <c r="S300" s="27" t="s">
        <v>80</v>
      </c>
      <c r="T300" s="27" t="s">
        <v>80</v>
      </c>
      <c r="U300" s="55">
        <f>IF('Pegar ML'!AI296=" ",'Pegar ML'!AI295,'Pegar ML'!AI296)</f>
        <v>0</v>
      </c>
      <c r="V300" s="55">
        <f>IF('Pegar ML'!AK296=" ",'Pegar ML'!AK295,'Pegar ML'!AK296)</f>
        <v>0</v>
      </c>
      <c r="W300" s="55">
        <f>IF('Pegar ML'!AJ296=" ",'Pegar ML'!AJ295,'Pegar ML'!AJ296)</f>
        <v>0</v>
      </c>
      <c r="X300" s="55">
        <f>IF('Pegar ML'!AL296=" ",'Pegar ML'!AL295,'Pegar ML'!AL296)</f>
        <v>0</v>
      </c>
      <c r="Y300" s="27"/>
      <c r="Z300" s="27"/>
      <c r="AA300" s="27"/>
      <c r="AB300" s="27"/>
      <c r="AC300" s="27"/>
      <c r="AD300" s="27"/>
      <c r="AF300" s="8"/>
      <c r="AG300" s="27"/>
      <c r="AH300" s="14">
        <f>+'Pegar ML'!Y296</f>
        <v>0</v>
      </c>
      <c r="AI300" s="13">
        <f t="shared" si="13"/>
        <v>1</v>
      </c>
      <c r="AJ300" s="7">
        <f>+'Pegar ML'!T296</f>
        <v>0</v>
      </c>
      <c r="AK300" s="27"/>
      <c r="AL300" s="27"/>
      <c r="AM300" s="27"/>
      <c r="AN300" s="27"/>
      <c r="AO300" s="27"/>
      <c r="AP300" s="27"/>
      <c r="AQ300" s="27"/>
      <c r="AR300" s="27"/>
      <c r="AS300" s="27">
        <v>17</v>
      </c>
    </row>
    <row r="301" spans="1:45" ht="15" customHeight="1" x14ac:dyDescent="0.25">
      <c r="A301" s="27">
        <f>IF('Pegar ML'!C296="Paquete de 2 productos",'Pegar ML'!A296,IF('Pegar ML'!C295="Paquete de 2 productos",'Pegar ML'!A295,'Pegar ML'!A297))</f>
        <v>0</v>
      </c>
      <c r="B301" s="27"/>
      <c r="C301" s="30" t="str">
        <f>IF(AjusteFecha!I297=0,"",AjusteFecha!I297)</f>
        <v/>
      </c>
      <c r="D301" s="27"/>
      <c r="E301" s="27"/>
      <c r="F301" s="27" t="str">
        <f>IF('Pegar ML'!C297="","",'Pegar ML'!C297)</f>
        <v/>
      </c>
      <c r="G301" s="27" t="str">
        <f>IF('Pegar ML'!G292="ARS","PS","PS")</f>
        <v>PS</v>
      </c>
      <c r="H301" s="14">
        <f>IF('Pegar ML'!C296="Paquete de 2 productos",IF('Pegar ML'!H296="",0,'Pegar ML'!H296),IF('Pegar ML'!H297="",0,'Pegar ML'!H297))</f>
        <v>0</v>
      </c>
      <c r="I301" s="14">
        <f>IF('Pegar ML'!C296="Paquete de 2 productos",IF('Pegar ML'!O296="",0,'Pegar ML'!O296),IF('Pegar ML'!O297="",0,'Pegar ML'!O297))</f>
        <v>0</v>
      </c>
      <c r="J301" s="14">
        <f>IF('Pegar ML'!C296="Paquete de 2 productos",IF('Pegar ML'!O296="",0,'Pegar ML'!O296),IF('Pegar ML'!O297="",0,'Pegar ML'!O297))</f>
        <v>0</v>
      </c>
      <c r="K301" s="14">
        <f t="shared" si="14"/>
        <v>0</v>
      </c>
      <c r="L301" s="27">
        <f>IF('Pegar ML'!AB297=" ",'Pegar ML'!AB296,'Pegar ML'!AB297)</f>
        <v>0</v>
      </c>
      <c r="M301" s="27" t="str">
        <f>IF('Pegar ML'!AC297=" ",RIGHT('Pegar ML'!AC296,8),RIGHT('Pegar ML'!AC297,8))</f>
        <v/>
      </c>
      <c r="N301" s="27" t="s">
        <v>80</v>
      </c>
      <c r="O301" s="27">
        <f t="shared" si="12"/>
        <v>0</v>
      </c>
      <c r="P301" s="27" t="s">
        <v>80</v>
      </c>
      <c r="Q301" s="55">
        <f>IF('Pegar ML'!AD297=" ",'Pegar ML'!AD296,'Pegar ML'!AD297)</f>
        <v>0</v>
      </c>
      <c r="R301" s="27" t="s">
        <v>80</v>
      </c>
      <c r="S301" s="27" t="s">
        <v>80</v>
      </c>
      <c r="T301" s="27" t="s">
        <v>80</v>
      </c>
      <c r="U301" s="55">
        <f>IF('Pegar ML'!AI297=" ",'Pegar ML'!AI296,'Pegar ML'!AI297)</f>
        <v>0</v>
      </c>
      <c r="V301" s="55">
        <f>IF('Pegar ML'!AK297=" ",'Pegar ML'!AK296,'Pegar ML'!AK297)</f>
        <v>0</v>
      </c>
      <c r="W301" s="55">
        <f>IF('Pegar ML'!AJ297=" ",'Pegar ML'!AJ296,'Pegar ML'!AJ297)</f>
        <v>0</v>
      </c>
      <c r="X301" s="55">
        <f>IF('Pegar ML'!AL297=" ",'Pegar ML'!AL296,'Pegar ML'!AL297)</f>
        <v>0</v>
      </c>
      <c r="Y301" s="27"/>
      <c r="Z301" s="27"/>
      <c r="AA301" s="27"/>
      <c r="AB301" s="27"/>
      <c r="AC301" s="27"/>
      <c r="AD301" s="27"/>
      <c r="AF301" s="8"/>
      <c r="AG301" s="27"/>
      <c r="AH301" s="14">
        <f>+'Pegar ML'!Y297</f>
        <v>0</v>
      </c>
      <c r="AI301" s="13">
        <f t="shared" si="13"/>
        <v>1</v>
      </c>
      <c r="AJ301" s="7">
        <f>+'Pegar ML'!T297</f>
        <v>0</v>
      </c>
      <c r="AK301" s="27"/>
      <c r="AL301" s="27"/>
      <c r="AM301" s="27"/>
      <c r="AN301" s="27"/>
      <c r="AO301" s="27"/>
      <c r="AP301" s="27"/>
      <c r="AQ301" s="27"/>
      <c r="AR301" s="27"/>
      <c r="AS301" s="27">
        <v>17</v>
      </c>
    </row>
    <row r="302" spans="1:45" ht="15" customHeight="1" x14ac:dyDescent="0.25">
      <c r="A302" s="27">
        <f>IF('Pegar ML'!C297="Paquete de 2 productos",'Pegar ML'!A297,IF('Pegar ML'!C296="Paquete de 2 productos",'Pegar ML'!A296,'Pegar ML'!A298))</f>
        <v>0</v>
      </c>
      <c r="B302" s="27"/>
      <c r="C302" s="30" t="str">
        <f>IF(AjusteFecha!I298=0,"",AjusteFecha!I298)</f>
        <v/>
      </c>
      <c r="D302" s="27"/>
      <c r="E302" s="27"/>
      <c r="F302" s="27" t="str">
        <f>IF('Pegar ML'!C298="","",'Pegar ML'!C298)</f>
        <v/>
      </c>
      <c r="G302" s="27" t="str">
        <f>IF('Pegar ML'!G293="ARS","PS","PS")</f>
        <v>PS</v>
      </c>
      <c r="H302" s="14">
        <f>IF('Pegar ML'!C297="Paquete de 2 productos",IF('Pegar ML'!H297="",0,'Pegar ML'!H297),IF('Pegar ML'!H298="",0,'Pegar ML'!H298))</f>
        <v>0</v>
      </c>
      <c r="I302" s="14">
        <f>IF('Pegar ML'!C297="Paquete de 2 productos",IF('Pegar ML'!O297="",0,'Pegar ML'!O297),IF('Pegar ML'!O298="",0,'Pegar ML'!O298))</f>
        <v>0</v>
      </c>
      <c r="J302" s="14">
        <f>IF('Pegar ML'!C297="Paquete de 2 productos",IF('Pegar ML'!O297="",0,'Pegar ML'!O297),IF('Pegar ML'!O298="",0,'Pegar ML'!O298))</f>
        <v>0</v>
      </c>
      <c r="K302" s="14">
        <f t="shared" si="14"/>
        <v>0</v>
      </c>
      <c r="L302" s="27">
        <f>IF('Pegar ML'!AB298=" ",'Pegar ML'!AB297,'Pegar ML'!AB298)</f>
        <v>0</v>
      </c>
      <c r="M302" s="27" t="str">
        <f>IF('Pegar ML'!AC298=" ",RIGHT('Pegar ML'!AC297,8),RIGHT('Pegar ML'!AC298,8))</f>
        <v/>
      </c>
      <c r="N302" s="27" t="s">
        <v>80</v>
      </c>
      <c r="O302" s="27">
        <f t="shared" si="12"/>
        <v>0</v>
      </c>
      <c r="P302" s="27" t="s">
        <v>80</v>
      </c>
      <c r="Q302" s="55">
        <f>IF('Pegar ML'!AD298=" ",'Pegar ML'!AD297,'Pegar ML'!AD298)</f>
        <v>0</v>
      </c>
      <c r="R302" s="27" t="s">
        <v>80</v>
      </c>
      <c r="S302" s="27" t="s">
        <v>80</v>
      </c>
      <c r="T302" s="27" t="s">
        <v>80</v>
      </c>
      <c r="U302" s="55">
        <f>IF('Pegar ML'!AI298=" ",'Pegar ML'!AI297,'Pegar ML'!AI298)</f>
        <v>0</v>
      </c>
      <c r="V302" s="55">
        <f>IF('Pegar ML'!AK298=" ",'Pegar ML'!AK297,'Pegar ML'!AK298)</f>
        <v>0</v>
      </c>
      <c r="W302" s="55">
        <f>IF('Pegar ML'!AJ298=" ",'Pegar ML'!AJ297,'Pegar ML'!AJ298)</f>
        <v>0</v>
      </c>
      <c r="X302" s="55">
        <f>IF('Pegar ML'!AL298=" ",'Pegar ML'!AL297,'Pegar ML'!AL298)</f>
        <v>0</v>
      </c>
      <c r="Y302" s="27"/>
      <c r="Z302" s="27"/>
      <c r="AA302" s="27"/>
      <c r="AB302" s="27"/>
      <c r="AC302" s="27"/>
      <c r="AD302" s="27"/>
      <c r="AF302" s="8"/>
      <c r="AG302" s="27"/>
      <c r="AH302" s="14">
        <f>+'Pegar ML'!Y298</f>
        <v>0</v>
      </c>
      <c r="AI302" s="13">
        <f t="shared" si="13"/>
        <v>1</v>
      </c>
      <c r="AJ302" s="7">
        <f>+'Pegar ML'!T298</f>
        <v>0</v>
      </c>
      <c r="AK302" s="27"/>
      <c r="AL302" s="27"/>
      <c r="AM302" s="27"/>
      <c r="AN302" s="27"/>
      <c r="AO302" s="27"/>
      <c r="AP302" s="27"/>
      <c r="AQ302" s="27"/>
      <c r="AR302" s="27"/>
      <c r="AS302" s="27">
        <v>17</v>
      </c>
    </row>
    <row r="303" spans="1:45" ht="15" customHeight="1" x14ac:dyDescent="0.25">
      <c r="A303" s="27">
        <f>IF('Pegar ML'!C298="Paquete de 2 productos",'Pegar ML'!A298,IF('Pegar ML'!C297="Paquete de 2 productos",'Pegar ML'!A297,'Pegar ML'!A299))</f>
        <v>0</v>
      </c>
      <c r="B303" s="27"/>
      <c r="C303" s="30" t="str">
        <f>IF(AjusteFecha!I299=0,"",AjusteFecha!I299)</f>
        <v/>
      </c>
      <c r="D303" s="27"/>
      <c r="E303" s="27"/>
      <c r="F303" s="27" t="str">
        <f>IF('Pegar ML'!C299="","",'Pegar ML'!C299)</f>
        <v/>
      </c>
      <c r="G303" s="27" t="str">
        <f>IF('Pegar ML'!G294="ARS","PS","PS")</f>
        <v>PS</v>
      </c>
      <c r="H303" s="14">
        <f>IF('Pegar ML'!C298="Paquete de 2 productos",IF('Pegar ML'!H298="",0,'Pegar ML'!H298),IF('Pegar ML'!H299="",0,'Pegar ML'!H299))</f>
        <v>0</v>
      </c>
      <c r="I303" s="14">
        <f>IF('Pegar ML'!C298="Paquete de 2 productos",IF('Pegar ML'!O298="",0,'Pegar ML'!O298),IF('Pegar ML'!O299="",0,'Pegar ML'!O299))</f>
        <v>0</v>
      </c>
      <c r="J303" s="14">
        <f>IF('Pegar ML'!C298="Paquete de 2 productos",IF('Pegar ML'!O298="",0,'Pegar ML'!O298),IF('Pegar ML'!O299="",0,'Pegar ML'!O299))</f>
        <v>0</v>
      </c>
      <c r="K303" s="14">
        <f t="shared" si="14"/>
        <v>0</v>
      </c>
      <c r="L303" s="27">
        <f>IF('Pegar ML'!AB299=" ",'Pegar ML'!AB298,'Pegar ML'!AB299)</f>
        <v>0</v>
      </c>
      <c r="M303" s="27" t="str">
        <f>IF('Pegar ML'!AC299=" ",RIGHT('Pegar ML'!AC298,8),RIGHT('Pegar ML'!AC299,8))</f>
        <v/>
      </c>
      <c r="N303" s="27" t="s">
        <v>80</v>
      </c>
      <c r="O303" s="27">
        <f t="shared" si="12"/>
        <v>0</v>
      </c>
      <c r="P303" s="27" t="s">
        <v>80</v>
      </c>
      <c r="Q303" s="55">
        <f>IF('Pegar ML'!AD299=" ",'Pegar ML'!AD298,'Pegar ML'!AD299)</f>
        <v>0</v>
      </c>
      <c r="R303" s="27" t="s">
        <v>80</v>
      </c>
      <c r="S303" s="27" t="s">
        <v>80</v>
      </c>
      <c r="T303" s="27" t="s">
        <v>80</v>
      </c>
      <c r="U303" s="55">
        <f>IF('Pegar ML'!AI299=" ",'Pegar ML'!AI298,'Pegar ML'!AI299)</f>
        <v>0</v>
      </c>
      <c r="V303" s="55">
        <f>IF('Pegar ML'!AK299=" ",'Pegar ML'!AK298,'Pegar ML'!AK299)</f>
        <v>0</v>
      </c>
      <c r="W303" s="55">
        <f>IF('Pegar ML'!AJ299=" ",'Pegar ML'!AJ298,'Pegar ML'!AJ299)</f>
        <v>0</v>
      </c>
      <c r="X303" s="55">
        <f>IF('Pegar ML'!AL299=" ",'Pegar ML'!AL298,'Pegar ML'!AL299)</f>
        <v>0</v>
      </c>
      <c r="Y303" s="27"/>
      <c r="Z303" s="27"/>
      <c r="AA303" s="27"/>
      <c r="AB303" s="27"/>
      <c r="AC303" s="27"/>
      <c r="AD303" s="27"/>
      <c r="AF303" s="8"/>
      <c r="AG303" s="27"/>
      <c r="AH303" s="14">
        <f>+'Pegar ML'!Y299</f>
        <v>0</v>
      </c>
      <c r="AI303" s="13">
        <f t="shared" si="13"/>
        <v>1</v>
      </c>
      <c r="AJ303" s="7">
        <f>+'Pegar ML'!T299</f>
        <v>0</v>
      </c>
      <c r="AK303" s="27"/>
      <c r="AL303" s="27"/>
      <c r="AM303" s="27"/>
      <c r="AN303" s="27"/>
      <c r="AO303" s="27"/>
      <c r="AP303" s="27"/>
      <c r="AQ303" s="27"/>
      <c r="AR303" s="27"/>
      <c r="AS303" s="27">
        <v>17</v>
      </c>
    </row>
    <row r="304" spans="1:45" ht="15" customHeight="1" x14ac:dyDescent="0.25">
      <c r="A304" s="27">
        <f>IF('Pegar ML'!C299="Paquete de 2 productos",'Pegar ML'!A299,IF('Pegar ML'!C298="Paquete de 2 productos",'Pegar ML'!A298,'Pegar ML'!A300))</f>
        <v>0</v>
      </c>
      <c r="B304" s="27"/>
      <c r="C304" s="30" t="str">
        <f>IF(AjusteFecha!I300=0,"",AjusteFecha!I300)</f>
        <v/>
      </c>
      <c r="D304" s="27"/>
      <c r="E304" s="27"/>
      <c r="F304" s="27" t="str">
        <f>IF('Pegar ML'!C300="","",'Pegar ML'!C300)</f>
        <v/>
      </c>
      <c r="G304" s="27" t="str">
        <f>IF('Pegar ML'!G295="ARS","PS","PS")</f>
        <v>PS</v>
      </c>
      <c r="H304" s="14">
        <f>IF('Pegar ML'!C299="Paquete de 2 productos",IF('Pegar ML'!H299="",0,'Pegar ML'!H299),IF('Pegar ML'!H300="",0,'Pegar ML'!H300))</f>
        <v>0</v>
      </c>
      <c r="I304" s="14">
        <f>IF('Pegar ML'!C299="Paquete de 2 productos",IF('Pegar ML'!O299="",0,'Pegar ML'!O299),IF('Pegar ML'!O300="",0,'Pegar ML'!O300))</f>
        <v>0</v>
      </c>
      <c r="J304" s="14">
        <f>IF('Pegar ML'!C299="Paquete de 2 productos",IF('Pegar ML'!O299="",0,'Pegar ML'!O299),IF('Pegar ML'!O300="",0,'Pegar ML'!O300))</f>
        <v>0</v>
      </c>
      <c r="K304" s="14">
        <f t="shared" si="14"/>
        <v>0</v>
      </c>
      <c r="L304" s="27">
        <f>IF('Pegar ML'!AB300=" ",'Pegar ML'!AB299,'Pegar ML'!AB300)</f>
        <v>0</v>
      </c>
      <c r="M304" s="27" t="str">
        <f>IF('Pegar ML'!AC300=" ",RIGHT('Pegar ML'!AC299,8),RIGHT('Pegar ML'!AC300,8))</f>
        <v/>
      </c>
      <c r="N304" s="27" t="s">
        <v>80</v>
      </c>
      <c r="O304" s="27">
        <f t="shared" si="12"/>
        <v>0</v>
      </c>
      <c r="P304" s="27" t="s">
        <v>80</v>
      </c>
      <c r="Q304" s="55">
        <f>IF('Pegar ML'!AD300=" ",'Pegar ML'!AD299,'Pegar ML'!AD300)</f>
        <v>0</v>
      </c>
      <c r="R304" s="27" t="s">
        <v>80</v>
      </c>
      <c r="S304" s="27" t="s">
        <v>80</v>
      </c>
      <c r="T304" s="27" t="s">
        <v>80</v>
      </c>
      <c r="U304" s="55">
        <f>IF('Pegar ML'!AI300=" ",'Pegar ML'!AI299,'Pegar ML'!AI300)</f>
        <v>0</v>
      </c>
      <c r="V304" s="55">
        <f>IF('Pegar ML'!AK300=" ",'Pegar ML'!AK299,'Pegar ML'!AK300)</f>
        <v>0</v>
      </c>
      <c r="W304" s="55">
        <f>IF('Pegar ML'!AJ300=" ",'Pegar ML'!AJ299,'Pegar ML'!AJ300)</f>
        <v>0</v>
      </c>
      <c r="X304" s="55">
        <f>IF('Pegar ML'!AL300=" ",'Pegar ML'!AL299,'Pegar ML'!AL300)</f>
        <v>0</v>
      </c>
      <c r="Y304" s="27"/>
      <c r="Z304" s="27"/>
      <c r="AA304" s="27"/>
      <c r="AB304" s="27"/>
      <c r="AC304" s="27"/>
      <c r="AD304" s="27"/>
      <c r="AF304" s="8"/>
      <c r="AG304" s="27"/>
      <c r="AH304" s="14">
        <f>+'Pegar ML'!Y300</f>
        <v>0</v>
      </c>
      <c r="AI304" s="13">
        <f t="shared" si="13"/>
        <v>1</v>
      </c>
      <c r="AJ304" s="7">
        <f>+'Pegar ML'!T300</f>
        <v>0</v>
      </c>
      <c r="AK304" s="27"/>
      <c r="AL304" s="27"/>
      <c r="AM304" s="27"/>
      <c r="AN304" s="27"/>
      <c r="AO304" s="27"/>
      <c r="AP304" s="27"/>
      <c r="AQ304" s="27"/>
      <c r="AR304" s="27"/>
      <c r="AS304" s="27">
        <v>17</v>
      </c>
    </row>
    <row r="305" spans="1:45" ht="15" customHeight="1" x14ac:dyDescent="0.25">
      <c r="A305" s="27">
        <f>IF('Pegar ML'!C300="Paquete de 2 productos",'Pegar ML'!A300,IF('Pegar ML'!C299="Paquete de 2 productos",'Pegar ML'!A299,'Pegar ML'!A301))</f>
        <v>0</v>
      </c>
      <c r="B305" s="27"/>
      <c r="C305" s="30" t="str">
        <f>IF(AjusteFecha!I301=0,"",AjusteFecha!I301)</f>
        <v/>
      </c>
      <c r="D305" s="27"/>
      <c r="E305" s="27"/>
      <c r="F305" s="27" t="str">
        <f>IF('Pegar ML'!C301="","",'Pegar ML'!C301)</f>
        <v/>
      </c>
      <c r="G305" s="27" t="str">
        <f>IF('Pegar ML'!G296="ARS","PS","PS")</f>
        <v>PS</v>
      </c>
      <c r="H305" s="14">
        <f>IF('Pegar ML'!C300="Paquete de 2 productos",IF('Pegar ML'!H300="",0,'Pegar ML'!H300),IF('Pegar ML'!H301="",0,'Pegar ML'!H301))</f>
        <v>0</v>
      </c>
      <c r="I305" s="14">
        <f>IF('Pegar ML'!C300="Paquete de 2 productos",IF('Pegar ML'!O300="",0,'Pegar ML'!O300),IF('Pegar ML'!O301="",0,'Pegar ML'!O301))</f>
        <v>0</v>
      </c>
      <c r="J305" s="14">
        <f>IF('Pegar ML'!C300="Paquete de 2 productos",IF('Pegar ML'!O300="",0,'Pegar ML'!O300),IF('Pegar ML'!O301="",0,'Pegar ML'!O301))</f>
        <v>0</v>
      </c>
      <c r="K305" s="14">
        <f t="shared" si="14"/>
        <v>0</v>
      </c>
      <c r="L305" s="27">
        <f>IF('Pegar ML'!AB301=" ",'Pegar ML'!AB300,'Pegar ML'!AB301)</f>
        <v>0</v>
      </c>
      <c r="M305" s="27" t="str">
        <f>IF('Pegar ML'!AC301=" ",RIGHT('Pegar ML'!AC300,8),RIGHT('Pegar ML'!AC301,8))</f>
        <v/>
      </c>
      <c r="N305" s="27" t="s">
        <v>80</v>
      </c>
      <c r="O305" s="27">
        <f t="shared" si="12"/>
        <v>0</v>
      </c>
      <c r="P305" s="27" t="s">
        <v>80</v>
      </c>
      <c r="Q305" s="55">
        <f>IF('Pegar ML'!AD301=" ",'Pegar ML'!AD300,'Pegar ML'!AD301)</f>
        <v>0</v>
      </c>
      <c r="R305" s="27" t="s">
        <v>80</v>
      </c>
      <c r="S305" s="27" t="s">
        <v>80</v>
      </c>
      <c r="T305" s="27" t="s">
        <v>80</v>
      </c>
      <c r="U305" s="55">
        <f>IF('Pegar ML'!AI301=" ",'Pegar ML'!AI300,'Pegar ML'!AI301)</f>
        <v>0</v>
      </c>
      <c r="V305" s="55">
        <f>IF('Pegar ML'!AK301=" ",'Pegar ML'!AK300,'Pegar ML'!AK301)</f>
        <v>0</v>
      </c>
      <c r="W305" s="55">
        <f>IF('Pegar ML'!AJ301=" ",'Pegar ML'!AJ300,'Pegar ML'!AJ301)</f>
        <v>0</v>
      </c>
      <c r="X305" s="55">
        <f>IF('Pegar ML'!AL301=" ",'Pegar ML'!AL300,'Pegar ML'!AL301)</f>
        <v>0</v>
      </c>
      <c r="Y305" s="27"/>
      <c r="Z305" s="27"/>
      <c r="AA305" s="27"/>
      <c r="AB305" s="27"/>
      <c r="AC305" s="27"/>
      <c r="AD305" s="27"/>
      <c r="AF305" s="8"/>
      <c r="AG305" s="27"/>
      <c r="AH305" s="14">
        <f>+'Pegar ML'!Y301</f>
        <v>0</v>
      </c>
      <c r="AI305" s="13">
        <f t="shared" si="13"/>
        <v>1</v>
      </c>
      <c r="AJ305" s="7">
        <f>+'Pegar ML'!T301</f>
        <v>0</v>
      </c>
      <c r="AK305" s="27"/>
      <c r="AL305" s="27"/>
      <c r="AM305" s="27"/>
      <c r="AN305" s="27"/>
      <c r="AO305" s="27"/>
      <c r="AP305" s="27"/>
      <c r="AQ305" s="27"/>
      <c r="AR305" s="27"/>
      <c r="AS305" s="27">
        <v>17</v>
      </c>
    </row>
    <row r="306" spans="1:45" ht="15" customHeight="1" x14ac:dyDescent="0.25">
      <c r="A306" s="27">
        <f>IF('Pegar ML'!C301="Paquete de 2 productos",'Pegar ML'!A301,IF('Pegar ML'!C300="Paquete de 2 productos",'Pegar ML'!A300,'Pegar ML'!A302))</f>
        <v>0</v>
      </c>
      <c r="B306" s="27"/>
      <c r="C306" s="30" t="str">
        <f>IF(AjusteFecha!I302=0,"",AjusteFecha!I302)</f>
        <v/>
      </c>
      <c r="D306" s="27"/>
      <c r="E306" s="27"/>
      <c r="F306" s="27" t="str">
        <f>IF('Pegar ML'!C302="","",'Pegar ML'!C302)</f>
        <v/>
      </c>
      <c r="G306" s="27" t="str">
        <f>IF('Pegar ML'!G297="ARS","PS","PS")</f>
        <v>PS</v>
      </c>
      <c r="H306" s="14">
        <f>IF('Pegar ML'!C301="Paquete de 2 productos",IF('Pegar ML'!H301="",0,'Pegar ML'!H301),IF('Pegar ML'!H302="",0,'Pegar ML'!H302))</f>
        <v>0</v>
      </c>
      <c r="I306" s="14">
        <f>IF('Pegar ML'!C301="Paquete de 2 productos",IF('Pegar ML'!O301="",0,'Pegar ML'!O301),IF('Pegar ML'!O302="",0,'Pegar ML'!O302))</f>
        <v>0</v>
      </c>
      <c r="J306" s="14">
        <f>IF('Pegar ML'!C301="Paquete de 2 productos",IF('Pegar ML'!O301="",0,'Pegar ML'!O301),IF('Pegar ML'!O302="",0,'Pegar ML'!O302))</f>
        <v>0</v>
      </c>
      <c r="K306" s="14">
        <f t="shared" si="14"/>
        <v>0</v>
      </c>
      <c r="L306" s="27">
        <f>IF('Pegar ML'!AB302=" ",'Pegar ML'!AB301,'Pegar ML'!AB302)</f>
        <v>0</v>
      </c>
      <c r="M306" s="27" t="str">
        <f>IF('Pegar ML'!AC302=" ",RIGHT('Pegar ML'!AC301,8),RIGHT('Pegar ML'!AC302,8))</f>
        <v/>
      </c>
      <c r="N306" s="27" t="s">
        <v>80</v>
      </c>
      <c r="O306" s="27">
        <f t="shared" si="12"/>
        <v>0</v>
      </c>
      <c r="P306" s="27" t="s">
        <v>80</v>
      </c>
      <c r="Q306" s="55">
        <f>IF('Pegar ML'!AD302=" ",'Pegar ML'!AD301,'Pegar ML'!AD302)</f>
        <v>0</v>
      </c>
      <c r="R306" s="27" t="s">
        <v>80</v>
      </c>
      <c r="S306" s="27" t="s">
        <v>80</v>
      </c>
      <c r="T306" s="27" t="s">
        <v>80</v>
      </c>
      <c r="U306" s="55">
        <f>IF('Pegar ML'!AI302=" ",'Pegar ML'!AI301,'Pegar ML'!AI302)</f>
        <v>0</v>
      </c>
      <c r="V306" s="55">
        <f>IF('Pegar ML'!AK302=" ",'Pegar ML'!AK301,'Pegar ML'!AK302)</f>
        <v>0</v>
      </c>
      <c r="W306" s="55">
        <f>IF('Pegar ML'!AJ302=" ",'Pegar ML'!AJ301,'Pegar ML'!AJ302)</f>
        <v>0</v>
      </c>
      <c r="X306" s="55">
        <f>IF('Pegar ML'!AL302=" ",'Pegar ML'!AL301,'Pegar ML'!AL302)</f>
        <v>0</v>
      </c>
      <c r="Y306" s="27"/>
      <c r="Z306" s="27"/>
      <c r="AA306" s="27"/>
      <c r="AB306" s="27"/>
      <c r="AC306" s="27"/>
      <c r="AD306" s="27"/>
      <c r="AF306" s="8"/>
      <c r="AG306" s="27"/>
      <c r="AH306" s="14">
        <f>+'Pegar ML'!Y302</f>
        <v>0</v>
      </c>
      <c r="AI306" s="13">
        <f t="shared" si="13"/>
        <v>1</v>
      </c>
      <c r="AJ306" s="7">
        <f>+'Pegar ML'!T302</f>
        <v>0</v>
      </c>
      <c r="AK306" s="27"/>
      <c r="AL306" s="27"/>
      <c r="AM306" s="27"/>
      <c r="AN306" s="27"/>
      <c r="AO306" s="27"/>
      <c r="AP306" s="27"/>
      <c r="AQ306" s="27"/>
      <c r="AR306" s="27"/>
      <c r="AS306" s="27">
        <v>17</v>
      </c>
    </row>
    <row r="307" spans="1:45" ht="15" customHeight="1" x14ac:dyDescent="0.25">
      <c r="A307" s="27">
        <f>IF('Pegar ML'!C302="Paquete de 2 productos",'Pegar ML'!A302,IF('Pegar ML'!C301="Paquete de 2 productos",'Pegar ML'!A301,'Pegar ML'!A303))</f>
        <v>0</v>
      </c>
      <c r="B307" s="27"/>
      <c r="C307" s="30" t="str">
        <f>IF(AjusteFecha!I303=0,"",AjusteFecha!I303)</f>
        <v/>
      </c>
      <c r="D307" s="27"/>
      <c r="E307" s="27"/>
      <c r="F307" s="27" t="str">
        <f>IF('Pegar ML'!C303="","",'Pegar ML'!C303)</f>
        <v/>
      </c>
      <c r="G307" s="27" t="str">
        <f>IF('Pegar ML'!G298="ARS","PS","PS")</f>
        <v>PS</v>
      </c>
      <c r="H307" s="14">
        <f>IF('Pegar ML'!C302="Paquete de 2 productos",IF('Pegar ML'!H302="",0,'Pegar ML'!H302),IF('Pegar ML'!H303="",0,'Pegar ML'!H303))</f>
        <v>0</v>
      </c>
      <c r="I307" s="14">
        <f>IF('Pegar ML'!C302="Paquete de 2 productos",IF('Pegar ML'!O302="",0,'Pegar ML'!O302),IF('Pegar ML'!O303="",0,'Pegar ML'!O303))</f>
        <v>0</v>
      </c>
      <c r="J307" s="14">
        <f>IF('Pegar ML'!C302="Paquete de 2 productos",IF('Pegar ML'!O302="",0,'Pegar ML'!O302),IF('Pegar ML'!O303="",0,'Pegar ML'!O303))</f>
        <v>0</v>
      </c>
      <c r="K307" s="14">
        <f t="shared" si="14"/>
        <v>0</v>
      </c>
      <c r="L307" s="27">
        <f>IF('Pegar ML'!AB303=" ",'Pegar ML'!AB302,'Pegar ML'!AB303)</f>
        <v>0</v>
      </c>
      <c r="M307" s="27" t="str">
        <f>IF('Pegar ML'!AC303=" ",RIGHT('Pegar ML'!AC302,8),RIGHT('Pegar ML'!AC303,8))</f>
        <v/>
      </c>
      <c r="N307" s="27" t="s">
        <v>80</v>
      </c>
      <c r="O307" s="27">
        <f t="shared" si="12"/>
        <v>0</v>
      </c>
      <c r="P307" s="27" t="s">
        <v>80</v>
      </c>
      <c r="Q307" s="55">
        <f>IF('Pegar ML'!AD303=" ",'Pegar ML'!AD302,'Pegar ML'!AD303)</f>
        <v>0</v>
      </c>
      <c r="R307" s="27" t="s">
        <v>80</v>
      </c>
      <c r="S307" s="27" t="s">
        <v>80</v>
      </c>
      <c r="T307" s="27" t="s">
        <v>80</v>
      </c>
      <c r="U307" s="55">
        <f>IF('Pegar ML'!AI303=" ",'Pegar ML'!AI302,'Pegar ML'!AI303)</f>
        <v>0</v>
      </c>
      <c r="V307" s="55">
        <f>IF('Pegar ML'!AK303=" ",'Pegar ML'!AK302,'Pegar ML'!AK303)</f>
        <v>0</v>
      </c>
      <c r="W307" s="55">
        <f>IF('Pegar ML'!AJ303=" ",'Pegar ML'!AJ302,'Pegar ML'!AJ303)</f>
        <v>0</v>
      </c>
      <c r="X307" s="55">
        <f>IF('Pegar ML'!AL303=" ",'Pegar ML'!AL302,'Pegar ML'!AL303)</f>
        <v>0</v>
      </c>
      <c r="Y307" s="27"/>
      <c r="Z307" s="27"/>
      <c r="AA307" s="27"/>
      <c r="AB307" s="27"/>
      <c r="AC307" s="27"/>
      <c r="AD307" s="27"/>
      <c r="AF307" s="8"/>
      <c r="AG307" s="27"/>
      <c r="AH307" s="14">
        <f>+'Pegar ML'!Y303</f>
        <v>0</v>
      </c>
      <c r="AI307" s="13">
        <f t="shared" si="13"/>
        <v>1</v>
      </c>
      <c r="AJ307" s="7">
        <f>+'Pegar ML'!T303</f>
        <v>0</v>
      </c>
      <c r="AK307" s="27"/>
      <c r="AL307" s="27"/>
      <c r="AM307" s="27"/>
      <c r="AN307" s="27"/>
      <c r="AO307" s="27"/>
      <c r="AP307" s="27"/>
      <c r="AQ307" s="27"/>
      <c r="AR307" s="27"/>
      <c r="AS307" s="27">
        <v>17</v>
      </c>
    </row>
    <row r="308" spans="1:45" ht="15" customHeight="1" x14ac:dyDescent="0.25">
      <c r="A308" s="27">
        <f>IF('Pegar ML'!C303="Paquete de 2 productos",'Pegar ML'!A303,IF('Pegar ML'!C302="Paquete de 2 productos",'Pegar ML'!A302,'Pegar ML'!A304))</f>
        <v>0</v>
      </c>
      <c r="B308" s="27"/>
      <c r="C308" s="30" t="str">
        <f>IF(AjusteFecha!I304=0,"",AjusteFecha!I304)</f>
        <v/>
      </c>
      <c r="D308" s="27"/>
      <c r="E308" s="27"/>
      <c r="F308" s="27" t="str">
        <f>IF('Pegar ML'!C304="","",'Pegar ML'!C304)</f>
        <v/>
      </c>
      <c r="G308" s="27" t="str">
        <f>IF('Pegar ML'!G299="ARS","PS","PS")</f>
        <v>PS</v>
      </c>
      <c r="H308" s="14">
        <f>IF('Pegar ML'!C303="Paquete de 2 productos",IF('Pegar ML'!H303="",0,'Pegar ML'!H303),IF('Pegar ML'!H304="",0,'Pegar ML'!H304))</f>
        <v>0</v>
      </c>
      <c r="I308" s="14">
        <f>IF('Pegar ML'!C303="Paquete de 2 productos",IF('Pegar ML'!O303="",0,'Pegar ML'!O303),IF('Pegar ML'!O304="",0,'Pegar ML'!O304))</f>
        <v>0</v>
      </c>
      <c r="J308" s="14">
        <f>IF('Pegar ML'!C303="Paquete de 2 productos",IF('Pegar ML'!O303="",0,'Pegar ML'!O303),IF('Pegar ML'!O304="",0,'Pegar ML'!O304))</f>
        <v>0</v>
      </c>
      <c r="K308" s="14">
        <f t="shared" si="14"/>
        <v>0</v>
      </c>
      <c r="L308" s="27">
        <f>IF('Pegar ML'!AB304=" ",'Pegar ML'!AB303,'Pegar ML'!AB304)</f>
        <v>0</v>
      </c>
      <c r="M308" s="27" t="str">
        <f>IF('Pegar ML'!AC304=" ",RIGHT('Pegar ML'!AC303,8),RIGHT('Pegar ML'!AC304,8))</f>
        <v/>
      </c>
      <c r="N308" s="27" t="s">
        <v>80</v>
      </c>
      <c r="O308" s="27">
        <f t="shared" si="12"/>
        <v>0</v>
      </c>
      <c r="P308" s="27" t="s">
        <v>80</v>
      </c>
      <c r="Q308" s="55">
        <f>IF('Pegar ML'!AD304=" ",'Pegar ML'!AD303,'Pegar ML'!AD304)</f>
        <v>0</v>
      </c>
      <c r="R308" s="27" t="s">
        <v>80</v>
      </c>
      <c r="S308" s="27" t="s">
        <v>80</v>
      </c>
      <c r="T308" s="27" t="s">
        <v>80</v>
      </c>
      <c r="U308" s="55">
        <f>IF('Pegar ML'!AI304=" ",'Pegar ML'!AI303,'Pegar ML'!AI304)</f>
        <v>0</v>
      </c>
      <c r="V308" s="55">
        <f>IF('Pegar ML'!AK304=" ",'Pegar ML'!AK303,'Pegar ML'!AK304)</f>
        <v>0</v>
      </c>
      <c r="W308" s="55">
        <f>IF('Pegar ML'!AJ304=" ",'Pegar ML'!AJ303,'Pegar ML'!AJ304)</f>
        <v>0</v>
      </c>
      <c r="X308" s="55">
        <f>IF('Pegar ML'!AL304=" ",'Pegar ML'!AL303,'Pegar ML'!AL304)</f>
        <v>0</v>
      </c>
      <c r="Y308" s="27"/>
      <c r="Z308" s="27"/>
      <c r="AA308" s="27"/>
      <c r="AB308" s="27"/>
      <c r="AC308" s="27"/>
      <c r="AD308" s="27"/>
      <c r="AF308" s="8"/>
      <c r="AG308" s="27"/>
      <c r="AH308" s="14">
        <f>+'Pegar ML'!Y304</f>
        <v>0</v>
      </c>
      <c r="AI308" s="13">
        <f t="shared" si="13"/>
        <v>1</v>
      </c>
      <c r="AJ308" s="7">
        <f>+'Pegar ML'!T304</f>
        <v>0</v>
      </c>
      <c r="AK308" s="27"/>
      <c r="AL308" s="27"/>
      <c r="AM308" s="27"/>
      <c r="AN308" s="27"/>
      <c r="AO308" s="27"/>
      <c r="AP308" s="27"/>
      <c r="AQ308" s="27"/>
      <c r="AR308" s="27"/>
      <c r="AS308" s="27">
        <v>17</v>
      </c>
    </row>
    <row r="309" spans="1:45" ht="15" customHeight="1" x14ac:dyDescent="0.25">
      <c r="A309" s="27">
        <f>IF('Pegar ML'!C304="Paquete de 2 productos",'Pegar ML'!A304,IF('Pegar ML'!C303="Paquete de 2 productos",'Pegar ML'!A303,'Pegar ML'!A305))</f>
        <v>0</v>
      </c>
      <c r="B309" s="27"/>
      <c r="C309" s="30" t="str">
        <f>IF(AjusteFecha!I305=0,"",AjusteFecha!I305)</f>
        <v/>
      </c>
      <c r="D309" s="27"/>
      <c r="E309" s="27"/>
      <c r="F309" s="27" t="str">
        <f>IF('Pegar ML'!C305="","",'Pegar ML'!C305)</f>
        <v/>
      </c>
      <c r="G309" s="27" t="str">
        <f>IF('Pegar ML'!G300="ARS","PS","PS")</f>
        <v>PS</v>
      </c>
      <c r="H309" s="14">
        <f>IF('Pegar ML'!C304="Paquete de 2 productos",IF('Pegar ML'!H304="",0,'Pegar ML'!H304),IF('Pegar ML'!H305="",0,'Pegar ML'!H305))</f>
        <v>0</v>
      </c>
      <c r="I309" s="14">
        <f>IF('Pegar ML'!C304="Paquete de 2 productos",IF('Pegar ML'!O304="",0,'Pegar ML'!O304),IF('Pegar ML'!O305="",0,'Pegar ML'!O305))</f>
        <v>0</v>
      </c>
      <c r="J309" s="14">
        <f>IF('Pegar ML'!C304="Paquete de 2 productos",IF('Pegar ML'!O304="",0,'Pegar ML'!O304),IF('Pegar ML'!O305="",0,'Pegar ML'!O305))</f>
        <v>0</v>
      </c>
      <c r="K309" s="14">
        <f t="shared" si="14"/>
        <v>0</v>
      </c>
      <c r="L309" s="27">
        <f>IF('Pegar ML'!AB305=" ",'Pegar ML'!AB304,'Pegar ML'!AB305)</f>
        <v>0</v>
      </c>
      <c r="M309" s="27" t="str">
        <f>IF('Pegar ML'!AC305=" ",RIGHT('Pegar ML'!AC304,8),RIGHT('Pegar ML'!AC305,8))</f>
        <v/>
      </c>
      <c r="N309" s="27" t="s">
        <v>80</v>
      </c>
      <c r="O309" s="27">
        <f t="shared" si="12"/>
        <v>0</v>
      </c>
      <c r="P309" s="27" t="s">
        <v>80</v>
      </c>
      <c r="Q309" s="55">
        <f>IF('Pegar ML'!AD305=" ",'Pegar ML'!AD304,'Pegar ML'!AD305)</f>
        <v>0</v>
      </c>
      <c r="R309" s="27" t="s">
        <v>80</v>
      </c>
      <c r="S309" s="27" t="s">
        <v>80</v>
      </c>
      <c r="T309" s="27" t="s">
        <v>80</v>
      </c>
      <c r="U309" s="55">
        <f>IF('Pegar ML'!AI305=" ",'Pegar ML'!AI304,'Pegar ML'!AI305)</f>
        <v>0</v>
      </c>
      <c r="V309" s="55">
        <f>IF('Pegar ML'!AK305=" ",'Pegar ML'!AK304,'Pegar ML'!AK305)</f>
        <v>0</v>
      </c>
      <c r="W309" s="55">
        <f>IF('Pegar ML'!AJ305=" ",'Pegar ML'!AJ304,'Pegar ML'!AJ305)</f>
        <v>0</v>
      </c>
      <c r="X309" s="55">
        <f>IF('Pegar ML'!AL305=" ",'Pegar ML'!AL304,'Pegar ML'!AL305)</f>
        <v>0</v>
      </c>
      <c r="Y309" s="27"/>
      <c r="Z309" s="27"/>
      <c r="AA309" s="27"/>
      <c r="AB309" s="27"/>
      <c r="AC309" s="27"/>
      <c r="AD309" s="27"/>
      <c r="AF309" s="8"/>
      <c r="AG309" s="27"/>
      <c r="AH309" s="14">
        <f>+'Pegar ML'!Y305</f>
        <v>0</v>
      </c>
      <c r="AI309" s="13">
        <f t="shared" si="13"/>
        <v>1</v>
      </c>
      <c r="AJ309" s="7">
        <f>+'Pegar ML'!T305</f>
        <v>0</v>
      </c>
      <c r="AK309" s="27"/>
      <c r="AL309" s="27"/>
      <c r="AM309" s="27"/>
      <c r="AN309" s="27"/>
      <c r="AO309" s="27"/>
      <c r="AP309" s="27"/>
      <c r="AQ309" s="27"/>
      <c r="AR309" s="27"/>
      <c r="AS309" s="27">
        <v>17</v>
      </c>
    </row>
    <row r="310" spans="1:45" ht="15" customHeight="1" x14ac:dyDescent="0.25">
      <c r="A310" s="27">
        <f>IF('Pegar ML'!C305="Paquete de 2 productos",'Pegar ML'!A305,IF('Pegar ML'!C304="Paquete de 2 productos",'Pegar ML'!A304,'Pegar ML'!A306))</f>
        <v>0</v>
      </c>
      <c r="B310" s="27"/>
      <c r="C310" s="30" t="str">
        <f>IF(AjusteFecha!I306=0,"",AjusteFecha!I306)</f>
        <v/>
      </c>
      <c r="D310" s="27"/>
      <c r="E310" s="27"/>
      <c r="F310" s="27" t="str">
        <f>IF('Pegar ML'!C306="","",'Pegar ML'!C306)</f>
        <v/>
      </c>
      <c r="G310" s="27" t="str">
        <f>IF('Pegar ML'!G301="ARS","PS","PS")</f>
        <v>PS</v>
      </c>
      <c r="H310" s="14">
        <f>IF('Pegar ML'!C305="Paquete de 2 productos",IF('Pegar ML'!H305="",0,'Pegar ML'!H305),IF('Pegar ML'!H306="",0,'Pegar ML'!H306))</f>
        <v>0</v>
      </c>
      <c r="I310" s="14">
        <f>IF('Pegar ML'!C305="Paquete de 2 productos",IF('Pegar ML'!O305="",0,'Pegar ML'!O305),IF('Pegar ML'!O306="",0,'Pegar ML'!O306))</f>
        <v>0</v>
      </c>
      <c r="J310" s="14">
        <f>IF('Pegar ML'!C305="Paquete de 2 productos",IF('Pegar ML'!O305="",0,'Pegar ML'!O305),IF('Pegar ML'!O306="",0,'Pegar ML'!O306))</f>
        <v>0</v>
      </c>
      <c r="K310" s="14">
        <f t="shared" si="14"/>
        <v>0</v>
      </c>
      <c r="L310" s="27">
        <f>IF('Pegar ML'!AB306=" ",'Pegar ML'!AB305,'Pegar ML'!AB306)</f>
        <v>0</v>
      </c>
      <c r="M310" s="27" t="str">
        <f>IF('Pegar ML'!AC306=" ",RIGHT('Pegar ML'!AC305,8),RIGHT('Pegar ML'!AC306,8))</f>
        <v/>
      </c>
      <c r="N310" s="27" t="s">
        <v>80</v>
      </c>
      <c r="O310" s="27">
        <f t="shared" si="12"/>
        <v>0</v>
      </c>
      <c r="P310" s="27" t="s">
        <v>80</v>
      </c>
      <c r="Q310" s="55">
        <f>IF('Pegar ML'!AD306=" ",'Pegar ML'!AD305,'Pegar ML'!AD306)</f>
        <v>0</v>
      </c>
      <c r="R310" s="27" t="s">
        <v>80</v>
      </c>
      <c r="S310" s="27" t="s">
        <v>80</v>
      </c>
      <c r="T310" s="27" t="s">
        <v>80</v>
      </c>
      <c r="U310" s="55">
        <f>IF('Pegar ML'!AI306=" ",'Pegar ML'!AI305,'Pegar ML'!AI306)</f>
        <v>0</v>
      </c>
      <c r="V310" s="55">
        <f>IF('Pegar ML'!AK306=" ",'Pegar ML'!AK305,'Pegar ML'!AK306)</f>
        <v>0</v>
      </c>
      <c r="W310" s="55">
        <f>IF('Pegar ML'!AJ306=" ",'Pegar ML'!AJ305,'Pegar ML'!AJ306)</f>
        <v>0</v>
      </c>
      <c r="X310" s="55">
        <f>IF('Pegar ML'!AL306=" ",'Pegar ML'!AL305,'Pegar ML'!AL306)</f>
        <v>0</v>
      </c>
      <c r="Y310" s="27"/>
      <c r="Z310" s="27"/>
      <c r="AA310" s="27"/>
      <c r="AB310" s="27"/>
      <c r="AC310" s="27"/>
      <c r="AD310" s="27"/>
      <c r="AF310" s="8"/>
      <c r="AG310" s="27"/>
      <c r="AH310" s="14">
        <f>+'Pegar ML'!Y306</f>
        <v>0</v>
      </c>
      <c r="AI310" s="13">
        <f t="shared" si="13"/>
        <v>1</v>
      </c>
      <c r="AJ310" s="7">
        <f>+'Pegar ML'!T306</f>
        <v>0</v>
      </c>
      <c r="AK310" s="27"/>
      <c r="AL310" s="27"/>
      <c r="AM310" s="27"/>
      <c r="AN310" s="27"/>
      <c r="AO310" s="27"/>
      <c r="AP310" s="27"/>
      <c r="AQ310" s="27"/>
      <c r="AR310" s="27"/>
      <c r="AS310" s="27">
        <v>17</v>
      </c>
    </row>
    <row r="311" spans="1:45" ht="15" customHeight="1" x14ac:dyDescent="0.25">
      <c r="A311" s="27">
        <f>IF('Pegar ML'!C306="Paquete de 2 productos",'Pegar ML'!A306,IF('Pegar ML'!C305="Paquete de 2 productos",'Pegar ML'!A305,'Pegar ML'!A307))</f>
        <v>0</v>
      </c>
      <c r="B311" s="27"/>
      <c r="C311" s="30" t="str">
        <f>IF(AjusteFecha!I307=0,"",AjusteFecha!I307)</f>
        <v/>
      </c>
      <c r="D311" s="27"/>
      <c r="E311" s="27"/>
      <c r="F311" s="27" t="str">
        <f>IF('Pegar ML'!C307="","",'Pegar ML'!C307)</f>
        <v/>
      </c>
      <c r="G311" s="27" t="str">
        <f>IF('Pegar ML'!G302="ARS","PS","PS")</f>
        <v>PS</v>
      </c>
      <c r="H311" s="14">
        <f>IF('Pegar ML'!C306="Paquete de 2 productos",IF('Pegar ML'!H306="",0,'Pegar ML'!H306),IF('Pegar ML'!H307="",0,'Pegar ML'!H307))</f>
        <v>0</v>
      </c>
      <c r="I311" s="14">
        <f>IF('Pegar ML'!C306="Paquete de 2 productos",IF('Pegar ML'!O306="",0,'Pegar ML'!O306),IF('Pegar ML'!O307="",0,'Pegar ML'!O307))</f>
        <v>0</v>
      </c>
      <c r="J311" s="14">
        <f>IF('Pegar ML'!C306="Paquete de 2 productos",IF('Pegar ML'!O306="",0,'Pegar ML'!O306),IF('Pegar ML'!O307="",0,'Pegar ML'!O307))</f>
        <v>0</v>
      </c>
      <c r="K311" s="14">
        <f t="shared" si="14"/>
        <v>0</v>
      </c>
      <c r="L311" s="27">
        <f>IF('Pegar ML'!AB307=" ",'Pegar ML'!AB306,'Pegar ML'!AB307)</f>
        <v>0</v>
      </c>
      <c r="M311" s="27" t="str">
        <f>IF('Pegar ML'!AC307=" ",RIGHT('Pegar ML'!AC306,8),RIGHT('Pegar ML'!AC307,8))</f>
        <v/>
      </c>
      <c r="N311" s="27" t="s">
        <v>80</v>
      </c>
      <c r="O311" s="27">
        <f t="shared" si="12"/>
        <v>0</v>
      </c>
      <c r="P311" s="27" t="s">
        <v>80</v>
      </c>
      <c r="Q311" s="55">
        <f>IF('Pegar ML'!AD307=" ",'Pegar ML'!AD306,'Pegar ML'!AD307)</f>
        <v>0</v>
      </c>
      <c r="R311" s="27" t="s">
        <v>80</v>
      </c>
      <c r="S311" s="27" t="s">
        <v>80</v>
      </c>
      <c r="T311" s="27" t="s">
        <v>80</v>
      </c>
      <c r="U311" s="55">
        <f>IF('Pegar ML'!AI307=" ",'Pegar ML'!AI306,'Pegar ML'!AI307)</f>
        <v>0</v>
      </c>
      <c r="V311" s="55">
        <f>IF('Pegar ML'!AK307=" ",'Pegar ML'!AK306,'Pegar ML'!AK307)</f>
        <v>0</v>
      </c>
      <c r="W311" s="55">
        <f>IF('Pegar ML'!AJ307=" ",'Pegar ML'!AJ306,'Pegar ML'!AJ307)</f>
        <v>0</v>
      </c>
      <c r="X311" s="55">
        <f>IF('Pegar ML'!AL307=" ",'Pegar ML'!AL306,'Pegar ML'!AL307)</f>
        <v>0</v>
      </c>
      <c r="Y311" s="27"/>
      <c r="Z311" s="27"/>
      <c r="AA311" s="27"/>
      <c r="AB311" s="27"/>
      <c r="AC311" s="27"/>
      <c r="AD311" s="27"/>
      <c r="AF311" s="8"/>
      <c r="AG311" s="27"/>
      <c r="AH311" s="14">
        <f>+'Pegar ML'!Y307</f>
        <v>0</v>
      </c>
      <c r="AI311" s="13">
        <f t="shared" si="13"/>
        <v>1</v>
      </c>
      <c r="AJ311" s="7">
        <f>+'Pegar ML'!T307</f>
        <v>0</v>
      </c>
      <c r="AK311" s="27"/>
      <c r="AL311" s="27"/>
      <c r="AM311" s="27"/>
      <c r="AN311" s="27"/>
      <c r="AO311" s="27"/>
      <c r="AP311" s="27"/>
      <c r="AQ311" s="27"/>
      <c r="AR311" s="27"/>
      <c r="AS311" s="27">
        <v>17</v>
      </c>
    </row>
    <row r="312" spans="1:45" ht="15" customHeight="1" x14ac:dyDescent="0.25">
      <c r="A312" s="27">
        <f>IF('Pegar ML'!C307="Paquete de 2 productos",'Pegar ML'!A307,IF('Pegar ML'!C306="Paquete de 2 productos",'Pegar ML'!A306,'Pegar ML'!A308))</f>
        <v>0</v>
      </c>
      <c r="B312" s="27"/>
      <c r="C312" s="30" t="str">
        <f>IF(AjusteFecha!I308=0,"",AjusteFecha!I308)</f>
        <v/>
      </c>
      <c r="D312" s="27"/>
      <c r="E312" s="27"/>
      <c r="F312" s="27" t="str">
        <f>IF('Pegar ML'!C308="","",'Pegar ML'!C308)</f>
        <v/>
      </c>
      <c r="G312" s="27" t="str">
        <f>IF('Pegar ML'!G303="ARS","PS","PS")</f>
        <v>PS</v>
      </c>
      <c r="H312" s="14">
        <f>IF('Pegar ML'!C307="Paquete de 2 productos",IF('Pegar ML'!H307="",0,'Pegar ML'!H307),IF('Pegar ML'!H308="",0,'Pegar ML'!H308))</f>
        <v>0</v>
      </c>
      <c r="I312" s="14">
        <f>IF('Pegar ML'!C307="Paquete de 2 productos",IF('Pegar ML'!O307="",0,'Pegar ML'!O307),IF('Pegar ML'!O308="",0,'Pegar ML'!O308))</f>
        <v>0</v>
      </c>
      <c r="J312" s="14">
        <f>IF('Pegar ML'!C307="Paquete de 2 productos",IF('Pegar ML'!O307="",0,'Pegar ML'!O307),IF('Pegar ML'!O308="",0,'Pegar ML'!O308))</f>
        <v>0</v>
      </c>
      <c r="K312" s="14">
        <f t="shared" si="14"/>
        <v>0</v>
      </c>
      <c r="L312" s="27">
        <f>IF('Pegar ML'!AB308=" ",'Pegar ML'!AB307,'Pegar ML'!AB308)</f>
        <v>0</v>
      </c>
      <c r="M312" s="27" t="str">
        <f>IF('Pegar ML'!AC308=" ",RIGHT('Pegar ML'!AC307,8),RIGHT('Pegar ML'!AC308,8))</f>
        <v/>
      </c>
      <c r="N312" s="27" t="s">
        <v>80</v>
      </c>
      <c r="O312" s="27">
        <f t="shared" si="12"/>
        <v>0</v>
      </c>
      <c r="P312" s="27" t="s">
        <v>80</v>
      </c>
      <c r="Q312" s="55">
        <f>IF('Pegar ML'!AD308=" ",'Pegar ML'!AD307,'Pegar ML'!AD308)</f>
        <v>0</v>
      </c>
      <c r="R312" s="27" t="s">
        <v>80</v>
      </c>
      <c r="S312" s="27" t="s">
        <v>80</v>
      </c>
      <c r="T312" s="27" t="s">
        <v>80</v>
      </c>
      <c r="U312" s="55">
        <f>IF('Pegar ML'!AI308=" ",'Pegar ML'!AI307,'Pegar ML'!AI308)</f>
        <v>0</v>
      </c>
      <c r="V312" s="55">
        <f>IF('Pegar ML'!AK308=" ",'Pegar ML'!AK307,'Pegar ML'!AK308)</f>
        <v>0</v>
      </c>
      <c r="W312" s="55">
        <f>IF('Pegar ML'!AJ308=" ",'Pegar ML'!AJ307,'Pegar ML'!AJ308)</f>
        <v>0</v>
      </c>
      <c r="X312" s="55">
        <f>IF('Pegar ML'!AL308=" ",'Pegar ML'!AL307,'Pegar ML'!AL308)</f>
        <v>0</v>
      </c>
      <c r="Y312" s="27"/>
      <c r="Z312" s="27"/>
      <c r="AA312" s="27"/>
      <c r="AB312" s="27"/>
      <c r="AC312" s="27"/>
      <c r="AD312" s="27"/>
      <c r="AF312" s="8"/>
      <c r="AG312" s="27"/>
      <c r="AH312" s="14">
        <f>+'Pegar ML'!Y308</f>
        <v>0</v>
      </c>
      <c r="AI312" s="13">
        <f t="shared" si="13"/>
        <v>1</v>
      </c>
      <c r="AJ312" s="7">
        <f>+'Pegar ML'!T308</f>
        <v>0</v>
      </c>
      <c r="AK312" s="27"/>
      <c r="AL312" s="27"/>
      <c r="AM312" s="27"/>
      <c r="AN312" s="27"/>
      <c r="AO312" s="27"/>
      <c r="AP312" s="27"/>
      <c r="AQ312" s="27"/>
      <c r="AR312" s="27"/>
      <c r="AS312" s="27">
        <v>17</v>
      </c>
    </row>
    <row r="313" spans="1:45" ht="15" customHeight="1" x14ac:dyDescent="0.25">
      <c r="A313" s="27">
        <f>IF('Pegar ML'!C308="Paquete de 2 productos",'Pegar ML'!A308,IF('Pegar ML'!C307="Paquete de 2 productos",'Pegar ML'!A307,'Pegar ML'!A309))</f>
        <v>0</v>
      </c>
      <c r="B313" s="27"/>
      <c r="C313" s="30" t="str">
        <f>IF(AjusteFecha!I309=0,"",AjusteFecha!I309)</f>
        <v/>
      </c>
      <c r="D313" s="27"/>
      <c r="E313" s="27"/>
      <c r="F313" s="27" t="str">
        <f>IF('Pegar ML'!C309="","",'Pegar ML'!C309)</f>
        <v/>
      </c>
      <c r="G313" s="27" t="str">
        <f>IF('Pegar ML'!G304="ARS","PS","PS")</f>
        <v>PS</v>
      </c>
      <c r="H313" s="14">
        <f>IF('Pegar ML'!C308="Paquete de 2 productos",IF('Pegar ML'!H308="",0,'Pegar ML'!H308),IF('Pegar ML'!H309="",0,'Pegar ML'!H309))</f>
        <v>0</v>
      </c>
      <c r="I313" s="14">
        <f>IF('Pegar ML'!C308="Paquete de 2 productos",IF('Pegar ML'!O308="",0,'Pegar ML'!O308),IF('Pegar ML'!O309="",0,'Pegar ML'!O309))</f>
        <v>0</v>
      </c>
      <c r="J313" s="14">
        <f>IF('Pegar ML'!C308="Paquete de 2 productos",IF('Pegar ML'!O308="",0,'Pegar ML'!O308),IF('Pegar ML'!O309="",0,'Pegar ML'!O309))</f>
        <v>0</v>
      </c>
      <c r="K313" s="14">
        <f t="shared" si="14"/>
        <v>0</v>
      </c>
      <c r="L313" s="27">
        <f>IF('Pegar ML'!AB309=" ",'Pegar ML'!AB308,'Pegar ML'!AB309)</f>
        <v>0</v>
      </c>
      <c r="M313" s="27" t="str">
        <f>IF('Pegar ML'!AC309=" ",RIGHT('Pegar ML'!AC308,8),RIGHT('Pegar ML'!AC309,8))</f>
        <v/>
      </c>
      <c r="N313" s="27" t="s">
        <v>80</v>
      </c>
      <c r="O313" s="27">
        <f t="shared" si="12"/>
        <v>0</v>
      </c>
      <c r="P313" s="27" t="s">
        <v>80</v>
      </c>
      <c r="Q313" s="55">
        <f>IF('Pegar ML'!AD309=" ",'Pegar ML'!AD308,'Pegar ML'!AD309)</f>
        <v>0</v>
      </c>
      <c r="R313" s="27" t="s">
        <v>80</v>
      </c>
      <c r="S313" s="27" t="s">
        <v>80</v>
      </c>
      <c r="T313" s="27" t="s">
        <v>80</v>
      </c>
      <c r="U313" s="55">
        <f>IF('Pegar ML'!AI309=" ",'Pegar ML'!AI308,'Pegar ML'!AI309)</f>
        <v>0</v>
      </c>
      <c r="V313" s="55">
        <f>IF('Pegar ML'!AK309=" ",'Pegar ML'!AK308,'Pegar ML'!AK309)</f>
        <v>0</v>
      </c>
      <c r="W313" s="55">
        <f>IF('Pegar ML'!AJ309=" ",'Pegar ML'!AJ308,'Pegar ML'!AJ309)</f>
        <v>0</v>
      </c>
      <c r="X313" s="55">
        <f>IF('Pegar ML'!AL309=" ",'Pegar ML'!AL308,'Pegar ML'!AL309)</f>
        <v>0</v>
      </c>
      <c r="Y313" s="27"/>
      <c r="Z313" s="27"/>
      <c r="AA313" s="27"/>
      <c r="AB313" s="27"/>
      <c r="AC313" s="27"/>
      <c r="AD313" s="27"/>
      <c r="AF313" s="8"/>
      <c r="AG313" s="27"/>
      <c r="AH313" s="14">
        <f>+'Pegar ML'!Y309</f>
        <v>0</v>
      </c>
      <c r="AI313" s="13">
        <f t="shared" si="13"/>
        <v>1</v>
      </c>
      <c r="AJ313" s="7">
        <f>+'Pegar ML'!T309</f>
        <v>0</v>
      </c>
      <c r="AK313" s="27"/>
      <c r="AL313" s="27"/>
      <c r="AM313" s="27"/>
      <c r="AN313" s="27"/>
      <c r="AO313" s="27"/>
      <c r="AP313" s="27"/>
      <c r="AQ313" s="27"/>
      <c r="AR313" s="27"/>
      <c r="AS313" s="27">
        <v>17</v>
      </c>
    </row>
    <row r="314" spans="1:45" ht="15" customHeight="1" x14ac:dyDescent="0.25">
      <c r="A314" s="27">
        <f>IF('Pegar ML'!C309="Paquete de 2 productos",'Pegar ML'!A309,IF('Pegar ML'!C308="Paquete de 2 productos",'Pegar ML'!A308,'Pegar ML'!A310))</f>
        <v>0</v>
      </c>
      <c r="B314" s="27"/>
      <c r="C314" s="30" t="str">
        <f>IF(AjusteFecha!I310=0,"",AjusteFecha!I310)</f>
        <v/>
      </c>
      <c r="D314" s="27"/>
      <c r="E314" s="27"/>
      <c r="F314" s="27" t="str">
        <f>IF('Pegar ML'!C310="","",'Pegar ML'!C310)</f>
        <v/>
      </c>
      <c r="G314" s="27" t="str">
        <f>IF('Pegar ML'!G305="ARS","PS","PS")</f>
        <v>PS</v>
      </c>
      <c r="H314" s="14">
        <f>IF('Pegar ML'!C309="Paquete de 2 productos",IF('Pegar ML'!H309="",0,'Pegar ML'!H309),IF('Pegar ML'!H310="",0,'Pegar ML'!H310))</f>
        <v>0</v>
      </c>
      <c r="I314" s="14">
        <f>IF('Pegar ML'!C309="Paquete de 2 productos",IF('Pegar ML'!O309="",0,'Pegar ML'!O309),IF('Pegar ML'!O310="",0,'Pegar ML'!O310))</f>
        <v>0</v>
      </c>
      <c r="J314" s="14">
        <f>IF('Pegar ML'!C309="Paquete de 2 productos",IF('Pegar ML'!O309="",0,'Pegar ML'!O309),IF('Pegar ML'!O310="",0,'Pegar ML'!O310))</f>
        <v>0</v>
      </c>
      <c r="K314" s="14">
        <f t="shared" si="14"/>
        <v>0</v>
      </c>
      <c r="L314" s="27">
        <f>IF('Pegar ML'!AB310=" ",'Pegar ML'!AB309,'Pegar ML'!AB310)</f>
        <v>0</v>
      </c>
      <c r="M314" s="27" t="str">
        <f>IF('Pegar ML'!AC310=" ",RIGHT('Pegar ML'!AC309,8),RIGHT('Pegar ML'!AC310,8))</f>
        <v/>
      </c>
      <c r="N314" s="27" t="s">
        <v>80</v>
      </c>
      <c r="O314" s="27">
        <f t="shared" si="12"/>
        <v>0</v>
      </c>
      <c r="P314" s="27" t="s">
        <v>80</v>
      </c>
      <c r="Q314" s="55">
        <f>IF('Pegar ML'!AD310=" ",'Pegar ML'!AD309,'Pegar ML'!AD310)</f>
        <v>0</v>
      </c>
      <c r="R314" s="27" t="s">
        <v>80</v>
      </c>
      <c r="S314" s="27" t="s">
        <v>80</v>
      </c>
      <c r="T314" s="27" t="s">
        <v>80</v>
      </c>
      <c r="U314" s="55">
        <f>IF('Pegar ML'!AI310=" ",'Pegar ML'!AI309,'Pegar ML'!AI310)</f>
        <v>0</v>
      </c>
      <c r="V314" s="55">
        <f>IF('Pegar ML'!AK310=" ",'Pegar ML'!AK309,'Pegar ML'!AK310)</f>
        <v>0</v>
      </c>
      <c r="W314" s="55">
        <f>IF('Pegar ML'!AJ310=" ",'Pegar ML'!AJ309,'Pegar ML'!AJ310)</f>
        <v>0</v>
      </c>
      <c r="X314" s="55">
        <f>IF('Pegar ML'!AL310=" ",'Pegar ML'!AL309,'Pegar ML'!AL310)</f>
        <v>0</v>
      </c>
      <c r="Y314" s="27"/>
      <c r="Z314" s="27"/>
      <c r="AA314" s="27"/>
      <c r="AB314" s="27"/>
      <c r="AC314" s="27"/>
      <c r="AD314" s="27"/>
      <c r="AF314" s="8"/>
      <c r="AG314" s="27"/>
      <c r="AH314" s="14">
        <f>+'Pegar ML'!Y310</f>
        <v>0</v>
      </c>
      <c r="AI314" s="13">
        <f t="shared" si="13"/>
        <v>1</v>
      </c>
      <c r="AJ314" s="7">
        <f>+'Pegar ML'!T310</f>
        <v>0</v>
      </c>
      <c r="AK314" s="27"/>
      <c r="AL314" s="27"/>
      <c r="AM314" s="27"/>
      <c r="AN314" s="27"/>
      <c r="AO314" s="27"/>
      <c r="AP314" s="27"/>
      <c r="AQ314" s="27"/>
      <c r="AR314" s="27"/>
      <c r="AS314" s="27">
        <v>17</v>
      </c>
    </row>
    <row r="315" spans="1:45" ht="15" customHeight="1" x14ac:dyDescent="0.25">
      <c r="A315" s="27">
        <f>IF('Pegar ML'!C310="Paquete de 2 productos",'Pegar ML'!A310,IF('Pegar ML'!C309="Paquete de 2 productos",'Pegar ML'!A309,'Pegar ML'!A311))</f>
        <v>0</v>
      </c>
      <c r="B315" s="27"/>
      <c r="C315" s="30" t="str">
        <f>IF(AjusteFecha!I311=0,"",AjusteFecha!I311)</f>
        <v/>
      </c>
      <c r="D315" s="27"/>
      <c r="E315" s="27"/>
      <c r="F315" s="27" t="str">
        <f>IF('Pegar ML'!C311="","",'Pegar ML'!C311)</f>
        <v/>
      </c>
      <c r="G315" s="27" t="str">
        <f>IF('Pegar ML'!G306="ARS","PS","PS")</f>
        <v>PS</v>
      </c>
      <c r="H315" s="14">
        <f>IF('Pegar ML'!C310="Paquete de 2 productos",IF('Pegar ML'!H310="",0,'Pegar ML'!H310),IF('Pegar ML'!H311="",0,'Pegar ML'!H311))</f>
        <v>0</v>
      </c>
      <c r="I315" s="14">
        <f>IF('Pegar ML'!C310="Paquete de 2 productos",IF('Pegar ML'!O310="",0,'Pegar ML'!O310),IF('Pegar ML'!O311="",0,'Pegar ML'!O311))</f>
        <v>0</v>
      </c>
      <c r="J315" s="14">
        <f>IF('Pegar ML'!C310="Paquete de 2 productos",IF('Pegar ML'!O310="",0,'Pegar ML'!O310),IF('Pegar ML'!O311="",0,'Pegar ML'!O311))</f>
        <v>0</v>
      </c>
      <c r="K315" s="14">
        <f t="shared" si="14"/>
        <v>0</v>
      </c>
      <c r="L315" s="27">
        <f>IF('Pegar ML'!AB311=" ",'Pegar ML'!AB310,'Pegar ML'!AB311)</f>
        <v>0</v>
      </c>
      <c r="M315" s="27" t="str">
        <f>IF('Pegar ML'!AC311=" ",RIGHT('Pegar ML'!AC310,8),RIGHT('Pegar ML'!AC311,8))</f>
        <v/>
      </c>
      <c r="N315" s="27" t="s">
        <v>80</v>
      </c>
      <c r="O315" s="27">
        <f t="shared" si="12"/>
        <v>0</v>
      </c>
      <c r="P315" s="27" t="s">
        <v>80</v>
      </c>
      <c r="Q315" s="55">
        <f>IF('Pegar ML'!AD311=" ",'Pegar ML'!AD310,'Pegar ML'!AD311)</f>
        <v>0</v>
      </c>
      <c r="R315" s="27" t="s">
        <v>80</v>
      </c>
      <c r="S315" s="27" t="s">
        <v>80</v>
      </c>
      <c r="T315" s="27" t="s">
        <v>80</v>
      </c>
      <c r="U315" s="55">
        <f>IF('Pegar ML'!AI311=" ",'Pegar ML'!AI310,'Pegar ML'!AI311)</f>
        <v>0</v>
      </c>
      <c r="V315" s="55">
        <f>IF('Pegar ML'!AK311=" ",'Pegar ML'!AK310,'Pegar ML'!AK311)</f>
        <v>0</v>
      </c>
      <c r="W315" s="55">
        <f>IF('Pegar ML'!AJ311=" ",'Pegar ML'!AJ310,'Pegar ML'!AJ311)</f>
        <v>0</v>
      </c>
      <c r="X315" s="55">
        <f>IF('Pegar ML'!AL311=" ",'Pegar ML'!AL310,'Pegar ML'!AL311)</f>
        <v>0</v>
      </c>
      <c r="Y315" s="27"/>
      <c r="Z315" s="27"/>
      <c r="AA315" s="27"/>
      <c r="AB315" s="27"/>
      <c r="AC315" s="27"/>
      <c r="AD315" s="27"/>
      <c r="AF315" s="8"/>
      <c r="AG315" s="27"/>
      <c r="AH315" s="14">
        <f>+'Pegar ML'!Y311</f>
        <v>0</v>
      </c>
      <c r="AI315" s="13">
        <f t="shared" si="13"/>
        <v>1</v>
      </c>
      <c r="AJ315" s="7">
        <f>+'Pegar ML'!T311</f>
        <v>0</v>
      </c>
      <c r="AK315" s="27"/>
      <c r="AL315" s="27"/>
      <c r="AM315" s="27"/>
      <c r="AN315" s="27"/>
      <c r="AO315" s="27"/>
      <c r="AP315" s="27"/>
      <c r="AQ315" s="27"/>
      <c r="AR315" s="27"/>
      <c r="AS315" s="27">
        <v>17</v>
      </c>
    </row>
    <row r="316" spans="1:45" ht="15" customHeight="1" x14ac:dyDescent="0.25">
      <c r="A316" s="27">
        <f>IF('Pegar ML'!C311="Paquete de 2 productos",'Pegar ML'!A311,IF('Pegar ML'!C310="Paquete de 2 productos",'Pegar ML'!A310,'Pegar ML'!A312))</f>
        <v>0</v>
      </c>
      <c r="B316" s="27"/>
      <c r="C316" s="30" t="str">
        <f>IF(AjusteFecha!I312=0,"",AjusteFecha!I312)</f>
        <v/>
      </c>
      <c r="D316" s="27"/>
      <c r="E316" s="27"/>
      <c r="F316" s="27" t="str">
        <f>IF('Pegar ML'!C312="","",'Pegar ML'!C312)</f>
        <v/>
      </c>
      <c r="G316" s="27" t="str">
        <f>IF('Pegar ML'!G307="ARS","PS","PS")</f>
        <v>PS</v>
      </c>
      <c r="H316" s="14">
        <f>IF('Pegar ML'!C311="Paquete de 2 productos",IF('Pegar ML'!H311="",0,'Pegar ML'!H311),IF('Pegar ML'!H312="",0,'Pegar ML'!H312))</f>
        <v>0</v>
      </c>
      <c r="I316" s="14">
        <f>IF('Pegar ML'!C311="Paquete de 2 productos",IF('Pegar ML'!O311="",0,'Pegar ML'!O311),IF('Pegar ML'!O312="",0,'Pegar ML'!O312))</f>
        <v>0</v>
      </c>
      <c r="J316" s="14">
        <f>IF('Pegar ML'!C311="Paquete de 2 productos",IF('Pegar ML'!O311="",0,'Pegar ML'!O311),IF('Pegar ML'!O312="",0,'Pegar ML'!O312))</f>
        <v>0</v>
      </c>
      <c r="K316" s="14">
        <f t="shared" si="14"/>
        <v>0</v>
      </c>
      <c r="L316" s="27">
        <f>IF('Pegar ML'!AB312=" ",'Pegar ML'!AB311,'Pegar ML'!AB312)</f>
        <v>0</v>
      </c>
      <c r="M316" s="27" t="str">
        <f>IF('Pegar ML'!AC312=" ",RIGHT('Pegar ML'!AC311,8),RIGHT('Pegar ML'!AC312,8))</f>
        <v/>
      </c>
      <c r="N316" s="27" t="s">
        <v>80</v>
      </c>
      <c r="O316" s="27">
        <f t="shared" si="12"/>
        <v>0</v>
      </c>
      <c r="P316" s="27" t="s">
        <v>80</v>
      </c>
      <c r="Q316" s="55">
        <f>IF('Pegar ML'!AD312=" ",'Pegar ML'!AD311,'Pegar ML'!AD312)</f>
        <v>0</v>
      </c>
      <c r="R316" s="27" t="s">
        <v>80</v>
      </c>
      <c r="S316" s="27" t="s">
        <v>80</v>
      </c>
      <c r="T316" s="27" t="s">
        <v>80</v>
      </c>
      <c r="U316" s="55">
        <f>IF('Pegar ML'!AI312=" ",'Pegar ML'!AI311,'Pegar ML'!AI312)</f>
        <v>0</v>
      </c>
      <c r="V316" s="55">
        <f>IF('Pegar ML'!AK312=" ",'Pegar ML'!AK311,'Pegar ML'!AK312)</f>
        <v>0</v>
      </c>
      <c r="W316" s="55">
        <f>IF('Pegar ML'!AJ312=" ",'Pegar ML'!AJ311,'Pegar ML'!AJ312)</f>
        <v>0</v>
      </c>
      <c r="X316" s="55">
        <f>IF('Pegar ML'!AL312=" ",'Pegar ML'!AL311,'Pegar ML'!AL312)</f>
        <v>0</v>
      </c>
      <c r="Y316" s="27"/>
      <c r="Z316" s="27"/>
      <c r="AA316" s="27"/>
      <c r="AB316" s="27"/>
      <c r="AC316" s="27"/>
      <c r="AD316" s="27"/>
      <c r="AF316" s="8"/>
      <c r="AG316" s="27"/>
      <c r="AH316" s="14">
        <f>+'Pegar ML'!Y312</f>
        <v>0</v>
      </c>
      <c r="AI316" s="13">
        <f t="shared" si="13"/>
        <v>1</v>
      </c>
      <c r="AJ316" s="7">
        <f>+'Pegar ML'!T312</f>
        <v>0</v>
      </c>
      <c r="AK316" s="27"/>
      <c r="AL316" s="27"/>
      <c r="AM316" s="27"/>
      <c r="AN316" s="27"/>
      <c r="AO316" s="27"/>
      <c r="AP316" s="27"/>
      <c r="AQ316" s="27"/>
      <c r="AR316" s="27"/>
      <c r="AS316" s="27">
        <v>17</v>
      </c>
    </row>
    <row r="317" spans="1:45" ht="15" customHeight="1" x14ac:dyDescent="0.25">
      <c r="A317" s="27">
        <f>IF('Pegar ML'!C312="Paquete de 2 productos",'Pegar ML'!A312,IF('Pegar ML'!C311="Paquete de 2 productos",'Pegar ML'!A311,'Pegar ML'!A313))</f>
        <v>0</v>
      </c>
      <c r="B317" s="27"/>
      <c r="C317" s="30" t="str">
        <f>IF(AjusteFecha!I313=0,"",AjusteFecha!I313)</f>
        <v/>
      </c>
      <c r="D317" s="27"/>
      <c r="E317" s="27"/>
      <c r="F317" s="27" t="str">
        <f>IF('Pegar ML'!C313="","",'Pegar ML'!C313)</f>
        <v/>
      </c>
      <c r="G317" s="27" t="str">
        <f>IF('Pegar ML'!G308="ARS","PS","PS")</f>
        <v>PS</v>
      </c>
      <c r="H317" s="14">
        <f>IF('Pegar ML'!C312="Paquete de 2 productos",IF('Pegar ML'!H312="",0,'Pegar ML'!H312),IF('Pegar ML'!H313="",0,'Pegar ML'!H313))</f>
        <v>0</v>
      </c>
      <c r="I317" s="14">
        <f>IF('Pegar ML'!C312="Paquete de 2 productos",IF('Pegar ML'!O312="",0,'Pegar ML'!O312),IF('Pegar ML'!O313="",0,'Pegar ML'!O313))</f>
        <v>0</v>
      </c>
      <c r="J317" s="14">
        <f>IF('Pegar ML'!C312="Paquete de 2 productos",IF('Pegar ML'!O312="",0,'Pegar ML'!O312),IF('Pegar ML'!O313="",0,'Pegar ML'!O313))</f>
        <v>0</v>
      </c>
      <c r="K317" s="14">
        <f t="shared" si="14"/>
        <v>0</v>
      </c>
      <c r="L317" s="27">
        <f>IF('Pegar ML'!AB313=" ",'Pegar ML'!AB312,'Pegar ML'!AB313)</f>
        <v>0</v>
      </c>
      <c r="M317" s="27" t="str">
        <f>IF('Pegar ML'!AC313=" ",RIGHT('Pegar ML'!AC312,8),RIGHT('Pegar ML'!AC313,8))</f>
        <v/>
      </c>
      <c r="N317" s="27" t="s">
        <v>80</v>
      </c>
      <c r="O317" s="27">
        <f t="shared" si="12"/>
        <v>0</v>
      </c>
      <c r="P317" s="27" t="s">
        <v>80</v>
      </c>
      <c r="Q317" s="55">
        <f>IF('Pegar ML'!AD313=" ",'Pegar ML'!AD312,'Pegar ML'!AD313)</f>
        <v>0</v>
      </c>
      <c r="R317" s="27" t="s">
        <v>80</v>
      </c>
      <c r="S317" s="27" t="s">
        <v>80</v>
      </c>
      <c r="T317" s="27" t="s">
        <v>80</v>
      </c>
      <c r="U317" s="55">
        <f>IF('Pegar ML'!AI313=" ",'Pegar ML'!AI312,'Pegar ML'!AI313)</f>
        <v>0</v>
      </c>
      <c r="V317" s="55">
        <f>IF('Pegar ML'!AK313=" ",'Pegar ML'!AK312,'Pegar ML'!AK313)</f>
        <v>0</v>
      </c>
      <c r="W317" s="55">
        <f>IF('Pegar ML'!AJ313=" ",'Pegar ML'!AJ312,'Pegar ML'!AJ313)</f>
        <v>0</v>
      </c>
      <c r="X317" s="55">
        <f>IF('Pegar ML'!AL313=" ",'Pegar ML'!AL312,'Pegar ML'!AL313)</f>
        <v>0</v>
      </c>
      <c r="Y317" s="27"/>
      <c r="Z317" s="27"/>
      <c r="AA317" s="27"/>
      <c r="AB317" s="27"/>
      <c r="AC317" s="27"/>
      <c r="AD317" s="27"/>
      <c r="AF317" s="8"/>
      <c r="AG317" s="27"/>
      <c r="AH317" s="14">
        <f>+'Pegar ML'!Y313</f>
        <v>0</v>
      </c>
      <c r="AI317" s="13">
        <f t="shared" si="13"/>
        <v>1</v>
      </c>
      <c r="AJ317" s="7">
        <f>+'Pegar ML'!T313</f>
        <v>0</v>
      </c>
      <c r="AK317" s="27"/>
      <c r="AL317" s="27"/>
      <c r="AM317" s="27"/>
      <c r="AN317" s="27"/>
      <c r="AO317" s="27"/>
      <c r="AP317" s="27"/>
      <c r="AQ317" s="27"/>
      <c r="AR317" s="27"/>
      <c r="AS317" s="27">
        <v>17</v>
      </c>
    </row>
    <row r="318" spans="1:45" ht="15" customHeight="1" x14ac:dyDescent="0.25">
      <c r="A318" s="27">
        <f>IF('Pegar ML'!C313="Paquete de 2 productos",'Pegar ML'!A313,IF('Pegar ML'!C312="Paquete de 2 productos",'Pegar ML'!A312,'Pegar ML'!A314))</f>
        <v>0</v>
      </c>
      <c r="B318" s="27"/>
      <c r="C318" s="30" t="str">
        <f>IF(AjusteFecha!I314=0,"",AjusteFecha!I314)</f>
        <v/>
      </c>
      <c r="D318" s="27"/>
      <c r="E318" s="27"/>
      <c r="F318" s="27" t="str">
        <f>IF('Pegar ML'!C314="","",'Pegar ML'!C314)</f>
        <v/>
      </c>
      <c r="G318" s="27" t="str">
        <f>IF('Pegar ML'!G309="ARS","PS","PS")</f>
        <v>PS</v>
      </c>
      <c r="H318" s="14">
        <f>IF('Pegar ML'!C313="Paquete de 2 productos",IF('Pegar ML'!H313="",0,'Pegar ML'!H313),IF('Pegar ML'!H314="",0,'Pegar ML'!H314))</f>
        <v>0</v>
      </c>
      <c r="I318" s="14">
        <f>IF('Pegar ML'!C313="Paquete de 2 productos",IF('Pegar ML'!O313="",0,'Pegar ML'!O313),IF('Pegar ML'!O314="",0,'Pegar ML'!O314))</f>
        <v>0</v>
      </c>
      <c r="J318" s="14">
        <f>IF('Pegar ML'!C313="Paquete de 2 productos",IF('Pegar ML'!O313="",0,'Pegar ML'!O313),IF('Pegar ML'!O314="",0,'Pegar ML'!O314))</f>
        <v>0</v>
      </c>
      <c r="K318" s="14">
        <f t="shared" si="14"/>
        <v>0</v>
      </c>
      <c r="L318" s="27">
        <f>IF('Pegar ML'!AB314=" ",'Pegar ML'!AB313,'Pegar ML'!AB314)</f>
        <v>0</v>
      </c>
      <c r="M318" s="27" t="str">
        <f>IF('Pegar ML'!AC314=" ",RIGHT('Pegar ML'!AC313,8),RIGHT('Pegar ML'!AC314,8))</f>
        <v/>
      </c>
      <c r="N318" s="27" t="s">
        <v>80</v>
      </c>
      <c r="O318" s="27">
        <f t="shared" si="12"/>
        <v>0</v>
      </c>
      <c r="P318" s="27" t="s">
        <v>80</v>
      </c>
      <c r="Q318" s="55">
        <f>IF('Pegar ML'!AD314=" ",'Pegar ML'!AD313,'Pegar ML'!AD314)</f>
        <v>0</v>
      </c>
      <c r="R318" s="27" t="s">
        <v>80</v>
      </c>
      <c r="S318" s="27" t="s">
        <v>80</v>
      </c>
      <c r="T318" s="27" t="s">
        <v>80</v>
      </c>
      <c r="U318" s="55">
        <f>IF('Pegar ML'!AI314=" ",'Pegar ML'!AI313,'Pegar ML'!AI314)</f>
        <v>0</v>
      </c>
      <c r="V318" s="55">
        <f>IF('Pegar ML'!AK314=" ",'Pegar ML'!AK313,'Pegar ML'!AK314)</f>
        <v>0</v>
      </c>
      <c r="W318" s="55">
        <f>IF('Pegar ML'!AJ314=" ",'Pegar ML'!AJ313,'Pegar ML'!AJ314)</f>
        <v>0</v>
      </c>
      <c r="X318" s="55">
        <f>IF('Pegar ML'!AL314=" ",'Pegar ML'!AL313,'Pegar ML'!AL314)</f>
        <v>0</v>
      </c>
      <c r="Y318" s="27"/>
      <c r="Z318" s="27"/>
      <c r="AA318" s="27"/>
      <c r="AB318" s="27"/>
      <c r="AC318" s="27"/>
      <c r="AD318" s="27"/>
      <c r="AF318" s="8"/>
      <c r="AG318" s="27"/>
      <c r="AH318" s="14">
        <f>+'Pegar ML'!Y314</f>
        <v>0</v>
      </c>
      <c r="AI318" s="13">
        <f t="shared" si="13"/>
        <v>1</v>
      </c>
      <c r="AJ318" s="7">
        <f>+'Pegar ML'!T314</f>
        <v>0</v>
      </c>
      <c r="AK318" s="27"/>
      <c r="AL318" s="27"/>
      <c r="AM318" s="27"/>
      <c r="AN318" s="27"/>
      <c r="AO318" s="27"/>
      <c r="AP318" s="27"/>
      <c r="AQ318" s="27"/>
      <c r="AR318" s="27"/>
      <c r="AS318" s="27">
        <v>17</v>
      </c>
    </row>
    <row r="319" spans="1:45" ht="15" customHeight="1" x14ac:dyDescent="0.25">
      <c r="A319" s="27">
        <f>IF('Pegar ML'!C314="Paquete de 2 productos",'Pegar ML'!A314,IF('Pegar ML'!C313="Paquete de 2 productos",'Pegar ML'!A313,'Pegar ML'!A315))</f>
        <v>0</v>
      </c>
      <c r="B319" s="27"/>
      <c r="C319" s="30" t="str">
        <f>IF(AjusteFecha!I315=0,"",AjusteFecha!I315)</f>
        <v/>
      </c>
      <c r="D319" s="27"/>
      <c r="E319" s="27"/>
      <c r="F319" s="27" t="str">
        <f>IF('Pegar ML'!C315="","",'Pegar ML'!C315)</f>
        <v/>
      </c>
      <c r="G319" s="27" t="str">
        <f>IF('Pegar ML'!G310="ARS","PS","PS")</f>
        <v>PS</v>
      </c>
      <c r="H319" s="14">
        <f>IF('Pegar ML'!C314="Paquete de 2 productos",IF('Pegar ML'!H314="",0,'Pegar ML'!H314),IF('Pegar ML'!H315="",0,'Pegar ML'!H315))</f>
        <v>0</v>
      </c>
      <c r="I319" s="14">
        <f>IF('Pegar ML'!C314="Paquete de 2 productos",IF('Pegar ML'!O314="",0,'Pegar ML'!O314),IF('Pegar ML'!O315="",0,'Pegar ML'!O315))</f>
        <v>0</v>
      </c>
      <c r="J319" s="14">
        <f>IF('Pegar ML'!C314="Paquete de 2 productos",IF('Pegar ML'!O314="",0,'Pegar ML'!O314),IF('Pegar ML'!O315="",0,'Pegar ML'!O315))</f>
        <v>0</v>
      </c>
      <c r="K319" s="14">
        <f t="shared" si="14"/>
        <v>0</v>
      </c>
      <c r="L319" s="27">
        <f>IF('Pegar ML'!AB315=" ",'Pegar ML'!AB314,'Pegar ML'!AB315)</f>
        <v>0</v>
      </c>
      <c r="M319" s="27" t="str">
        <f>IF('Pegar ML'!AC315=" ",RIGHT('Pegar ML'!AC314,8),RIGHT('Pegar ML'!AC315,8))</f>
        <v/>
      </c>
      <c r="N319" s="27" t="s">
        <v>80</v>
      </c>
      <c r="O319" s="27">
        <f t="shared" si="12"/>
        <v>0</v>
      </c>
      <c r="P319" s="27" t="s">
        <v>80</v>
      </c>
      <c r="Q319" s="55">
        <f>IF('Pegar ML'!AD315=" ",'Pegar ML'!AD314,'Pegar ML'!AD315)</f>
        <v>0</v>
      </c>
      <c r="R319" s="27" t="s">
        <v>80</v>
      </c>
      <c r="S319" s="27" t="s">
        <v>80</v>
      </c>
      <c r="T319" s="27" t="s">
        <v>80</v>
      </c>
      <c r="U319" s="55">
        <f>IF('Pegar ML'!AI315=" ",'Pegar ML'!AI314,'Pegar ML'!AI315)</f>
        <v>0</v>
      </c>
      <c r="V319" s="55">
        <f>IF('Pegar ML'!AK315=" ",'Pegar ML'!AK314,'Pegar ML'!AK315)</f>
        <v>0</v>
      </c>
      <c r="W319" s="55">
        <f>IF('Pegar ML'!AJ315=" ",'Pegar ML'!AJ314,'Pegar ML'!AJ315)</f>
        <v>0</v>
      </c>
      <c r="X319" s="55">
        <f>IF('Pegar ML'!AL315=" ",'Pegar ML'!AL314,'Pegar ML'!AL315)</f>
        <v>0</v>
      </c>
      <c r="Y319" s="27"/>
      <c r="Z319" s="27"/>
      <c r="AA319" s="27"/>
      <c r="AB319" s="27"/>
      <c r="AC319" s="27"/>
      <c r="AD319" s="27"/>
      <c r="AF319" s="8"/>
      <c r="AG319" s="27"/>
      <c r="AH319" s="14">
        <f>+'Pegar ML'!Y315</f>
        <v>0</v>
      </c>
      <c r="AI319" s="13">
        <f t="shared" si="13"/>
        <v>1</v>
      </c>
      <c r="AJ319" s="7">
        <f>+'Pegar ML'!T315</f>
        <v>0</v>
      </c>
      <c r="AK319" s="27"/>
      <c r="AL319" s="27"/>
      <c r="AM319" s="27"/>
      <c r="AN319" s="27"/>
      <c r="AO319" s="27"/>
      <c r="AP319" s="27"/>
      <c r="AQ319" s="27"/>
      <c r="AR319" s="27"/>
      <c r="AS319" s="27">
        <v>17</v>
      </c>
    </row>
    <row r="320" spans="1:45" ht="15" customHeight="1" x14ac:dyDescent="0.25">
      <c r="A320" s="27">
        <f>IF('Pegar ML'!C315="Paquete de 2 productos",'Pegar ML'!A315,IF('Pegar ML'!C314="Paquete de 2 productos",'Pegar ML'!A314,'Pegar ML'!A316))</f>
        <v>0</v>
      </c>
      <c r="B320" s="27"/>
      <c r="C320" s="30" t="str">
        <f>IF(AjusteFecha!I316=0,"",AjusteFecha!I316)</f>
        <v/>
      </c>
      <c r="D320" s="27"/>
      <c r="E320" s="27"/>
      <c r="F320" s="27" t="str">
        <f>IF('Pegar ML'!C316="","",'Pegar ML'!C316)</f>
        <v/>
      </c>
      <c r="G320" s="27" t="str">
        <f>IF('Pegar ML'!G311="ARS","PS","PS")</f>
        <v>PS</v>
      </c>
      <c r="H320" s="14">
        <f>IF('Pegar ML'!C315="Paquete de 2 productos",IF('Pegar ML'!H315="",0,'Pegar ML'!H315),IF('Pegar ML'!H316="",0,'Pegar ML'!H316))</f>
        <v>0</v>
      </c>
      <c r="I320" s="14">
        <f>IF('Pegar ML'!C315="Paquete de 2 productos",IF('Pegar ML'!O315="",0,'Pegar ML'!O315),IF('Pegar ML'!O316="",0,'Pegar ML'!O316))</f>
        <v>0</v>
      </c>
      <c r="J320" s="14">
        <f>IF('Pegar ML'!C315="Paquete de 2 productos",IF('Pegar ML'!O315="",0,'Pegar ML'!O315),IF('Pegar ML'!O316="",0,'Pegar ML'!O316))</f>
        <v>0</v>
      </c>
      <c r="K320" s="14">
        <f t="shared" si="14"/>
        <v>0</v>
      </c>
      <c r="L320" s="27">
        <f>IF('Pegar ML'!AB316=" ",'Pegar ML'!AB315,'Pegar ML'!AB316)</f>
        <v>0</v>
      </c>
      <c r="M320" s="27" t="str">
        <f>IF('Pegar ML'!AC316=" ",RIGHT('Pegar ML'!AC315,8),RIGHT('Pegar ML'!AC316,8))</f>
        <v/>
      </c>
      <c r="N320" s="27" t="s">
        <v>80</v>
      </c>
      <c r="O320" s="27">
        <f t="shared" si="12"/>
        <v>0</v>
      </c>
      <c r="P320" s="27" t="s">
        <v>80</v>
      </c>
      <c r="Q320" s="55">
        <f>IF('Pegar ML'!AD316=" ",'Pegar ML'!AD315,'Pegar ML'!AD316)</f>
        <v>0</v>
      </c>
      <c r="R320" s="27" t="s">
        <v>80</v>
      </c>
      <c r="S320" s="27" t="s">
        <v>80</v>
      </c>
      <c r="T320" s="27" t="s">
        <v>80</v>
      </c>
      <c r="U320" s="55">
        <f>IF('Pegar ML'!AI316=" ",'Pegar ML'!AI315,'Pegar ML'!AI316)</f>
        <v>0</v>
      </c>
      <c r="V320" s="55">
        <f>IF('Pegar ML'!AK316=" ",'Pegar ML'!AK315,'Pegar ML'!AK316)</f>
        <v>0</v>
      </c>
      <c r="W320" s="55">
        <f>IF('Pegar ML'!AJ316=" ",'Pegar ML'!AJ315,'Pegar ML'!AJ316)</f>
        <v>0</v>
      </c>
      <c r="X320" s="55">
        <f>IF('Pegar ML'!AL316=" ",'Pegar ML'!AL315,'Pegar ML'!AL316)</f>
        <v>0</v>
      </c>
      <c r="Y320" s="27"/>
      <c r="Z320" s="27"/>
      <c r="AA320" s="27"/>
      <c r="AB320" s="27"/>
      <c r="AC320" s="27"/>
      <c r="AD320" s="27"/>
      <c r="AF320" s="8"/>
      <c r="AG320" s="27"/>
      <c r="AH320" s="14">
        <f>+'Pegar ML'!Y316</f>
        <v>0</v>
      </c>
      <c r="AI320" s="13">
        <f t="shared" si="13"/>
        <v>1</v>
      </c>
      <c r="AJ320" s="7">
        <f>+'Pegar ML'!T316</f>
        <v>0</v>
      </c>
      <c r="AK320" s="27"/>
      <c r="AL320" s="27"/>
      <c r="AM320" s="27"/>
      <c r="AN320" s="27"/>
      <c r="AO320" s="27"/>
      <c r="AP320" s="27"/>
      <c r="AQ320" s="27"/>
      <c r="AR320" s="27"/>
      <c r="AS320" s="27">
        <v>17</v>
      </c>
    </row>
    <row r="321" spans="1:45" ht="15" customHeight="1" x14ac:dyDescent="0.25">
      <c r="A321" s="27">
        <f>IF('Pegar ML'!C316="Paquete de 2 productos",'Pegar ML'!A316,IF('Pegar ML'!C315="Paquete de 2 productos",'Pegar ML'!A315,'Pegar ML'!A317))</f>
        <v>0</v>
      </c>
      <c r="B321" s="27"/>
      <c r="C321" s="30" t="str">
        <f>IF(AjusteFecha!I317=0,"",AjusteFecha!I317)</f>
        <v/>
      </c>
      <c r="D321" s="27"/>
      <c r="E321" s="27"/>
      <c r="F321" s="27" t="str">
        <f>IF('Pegar ML'!C317="","",'Pegar ML'!C317)</f>
        <v/>
      </c>
      <c r="G321" s="27" t="str">
        <f>IF('Pegar ML'!G312="ARS","PS","PS")</f>
        <v>PS</v>
      </c>
      <c r="H321" s="14">
        <f>IF('Pegar ML'!C316="Paquete de 2 productos",IF('Pegar ML'!H316="",0,'Pegar ML'!H316),IF('Pegar ML'!H317="",0,'Pegar ML'!H317))</f>
        <v>0</v>
      </c>
      <c r="I321" s="14">
        <f>IF('Pegar ML'!C316="Paquete de 2 productos",IF('Pegar ML'!O316="",0,'Pegar ML'!O316),IF('Pegar ML'!O317="",0,'Pegar ML'!O317))</f>
        <v>0</v>
      </c>
      <c r="J321" s="14">
        <f>IF('Pegar ML'!C316="Paquete de 2 productos",IF('Pegar ML'!O316="",0,'Pegar ML'!O316),IF('Pegar ML'!O317="",0,'Pegar ML'!O317))</f>
        <v>0</v>
      </c>
      <c r="K321" s="14">
        <f t="shared" si="14"/>
        <v>0</v>
      </c>
      <c r="L321" s="27">
        <f>IF('Pegar ML'!AB317=" ",'Pegar ML'!AB316,'Pegar ML'!AB317)</f>
        <v>0</v>
      </c>
      <c r="M321" s="27" t="str">
        <f>IF('Pegar ML'!AC317=" ",RIGHT('Pegar ML'!AC316,8),RIGHT('Pegar ML'!AC317,8))</f>
        <v/>
      </c>
      <c r="N321" s="27" t="s">
        <v>80</v>
      </c>
      <c r="O321" s="27">
        <f t="shared" si="12"/>
        <v>0</v>
      </c>
      <c r="P321" s="27" t="s">
        <v>80</v>
      </c>
      <c r="Q321" s="55">
        <f>IF('Pegar ML'!AD317=" ",'Pegar ML'!AD316,'Pegar ML'!AD317)</f>
        <v>0</v>
      </c>
      <c r="R321" s="27" t="s">
        <v>80</v>
      </c>
      <c r="S321" s="27" t="s">
        <v>80</v>
      </c>
      <c r="T321" s="27" t="s">
        <v>80</v>
      </c>
      <c r="U321" s="55">
        <f>IF('Pegar ML'!AI317=" ",'Pegar ML'!AI316,'Pegar ML'!AI317)</f>
        <v>0</v>
      </c>
      <c r="V321" s="55">
        <f>IF('Pegar ML'!AK317=" ",'Pegar ML'!AK316,'Pegar ML'!AK317)</f>
        <v>0</v>
      </c>
      <c r="W321" s="55">
        <f>IF('Pegar ML'!AJ317=" ",'Pegar ML'!AJ316,'Pegar ML'!AJ317)</f>
        <v>0</v>
      </c>
      <c r="X321" s="55">
        <f>IF('Pegar ML'!AL317=" ",'Pegar ML'!AL316,'Pegar ML'!AL317)</f>
        <v>0</v>
      </c>
      <c r="Y321" s="27"/>
      <c r="Z321" s="27"/>
      <c r="AA321" s="27"/>
      <c r="AB321" s="27"/>
      <c r="AC321" s="27"/>
      <c r="AD321" s="27"/>
      <c r="AF321" s="8"/>
      <c r="AG321" s="27"/>
      <c r="AH321" s="14">
        <f>+'Pegar ML'!Y317</f>
        <v>0</v>
      </c>
      <c r="AI321" s="13">
        <f t="shared" si="13"/>
        <v>1</v>
      </c>
      <c r="AJ321" s="7">
        <f>+'Pegar ML'!T317</f>
        <v>0</v>
      </c>
      <c r="AK321" s="27"/>
      <c r="AL321" s="27"/>
      <c r="AM321" s="27"/>
      <c r="AN321" s="27"/>
      <c r="AO321" s="27"/>
      <c r="AP321" s="27"/>
      <c r="AQ321" s="27"/>
      <c r="AR321" s="27"/>
      <c r="AS321" s="27">
        <v>17</v>
      </c>
    </row>
    <row r="322" spans="1:45" ht="15" customHeight="1" x14ac:dyDescent="0.25">
      <c r="A322" s="27">
        <f>IF('Pegar ML'!C317="Paquete de 2 productos",'Pegar ML'!A317,IF('Pegar ML'!C316="Paquete de 2 productos",'Pegar ML'!A316,'Pegar ML'!A318))</f>
        <v>0</v>
      </c>
      <c r="B322" s="27"/>
      <c r="C322" s="30" t="str">
        <f>IF(AjusteFecha!I318=0,"",AjusteFecha!I318)</f>
        <v/>
      </c>
      <c r="D322" s="27"/>
      <c r="E322" s="27"/>
      <c r="F322" s="27" t="str">
        <f>IF('Pegar ML'!C318="","",'Pegar ML'!C318)</f>
        <v/>
      </c>
      <c r="G322" s="27" t="str">
        <f>IF('Pegar ML'!G313="ARS","PS","PS")</f>
        <v>PS</v>
      </c>
      <c r="H322" s="14">
        <f>IF('Pegar ML'!C317="Paquete de 2 productos",IF('Pegar ML'!H317="",0,'Pegar ML'!H317),IF('Pegar ML'!H318="",0,'Pegar ML'!H318))</f>
        <v>0</v>
      </c>
      <c r="I322" s="14">
        <f>IF('Pegar ML'!C317="Paquete de 2 productos",IF('Pegar ML'!O317="",0,'Pegar ML'!O317),IF('Pegar ML'!O318="",0,'Pegar ML'!O318))</f>
        <v>0</v>
      </c>
      <c r="J322" s="14">
        <f>IF('Pegar ML'!C317="Paquete de 2 productos",IF('Pegar ML'!O317="",0,'Pegar ML'!O317),IF('Pegar ML'!O318="",0,'Pegar ML'!O318))</f>
        <v>0</v>
      </c>
      <c r="K322" s="14">
        <f t="shared" si="14"/>
        <v>0</v>
      </c>
      <c r="L322" s="27">
        <f>IF('Pegar ML'!AB318=" ",'Pegar ML'!AB317,'Pegar ML'!AB318)</f>
        <v>0</v>
      </c>
      <c r="M322" s="27" t="str">
        <f>IF('Pegar ML'!AC318=" ",RIGHT('Pegar ML'!AC317,8),RIGHT('Pegar ML'!AC318,8))</f>
        <v/>
      </c>
      <c r="N322" s="27" t="s">
        <v>80</v>
      </c>
      <c r="O322" s="27">
        <f t="shared" si="12"/>
        <v>0</v>
      </c>
      <c r="P322" s="27" t="s">
        <v>80</v>
      </c>
      <c r="Q322" s="55">
        <f>IF('Pegar ML'!AD318=" ",'Pegar ML'!AD317,'Pegar ML'!AD318)</f>
        <v>0</v>
      </c>
      <c r="R322" s="27" t="s">
        <v>80</v>
      </c>
      <c r="S322" s="27" t="s">
        <v>80</v>
      </c>
      <c r="T322" s="27" t="s">
        <v>80</v>
      </c>
      <c r="U322" s="55">
        <f>IF('Pegar ML'!AI318=" ",'Pegar ML'!AI317,'Pegar ML'!AI318)</f>
        <v>0</v>
      </c>
      <c r="V322" s="55">
        <f>IF('Pegar ML'!AK318=" ",'Pegar ML'!AK317,'Pegar ML'!AK318)</f>
        <v>0</v>
      </c>
      <c r="W322" s="55">
        <f>IF('Pegar ML'!AJ318=" ",'Pegar ML'!AJ317,'Pegar ML'!AJ318)</f>
        <v>0</v>
      </c>
      <c r="X322" s="55">
        <f>IF('Pegar ML'!AL318=" ",'Pegar ML'!AL317,'Pegar ML'!AL318)</f>
        <v>0</v>
      </c>
      <c r="Y322" s="27"/>
      <c r="Z322" s="27"/>
      <c r="AA322" s="27"/>
      <c r="AB322" s="27"/>
      <c r="AC322" s="27"/>
      <c r="AD322" s="27"/>
      <c r="AF322" s="8"/>
      <c r="AG322" s="27"/>
      <c r="AH322" s="14">
        <f>+'Pegar ML'!Y318</f>
        <v>0</v>
      </c>
      <c r="AI322" s="13">
        <f t="shared" si="13"/>
        <v>1</v>
      </c>
      <c r="AJ322" s="7">
        <f>+'Pegar ML'!T318</f>
        <v>0</v>
      </c>
      <c r="AK322" s="27"/>
      <c r="AL322" s="27"/>
      <c r="AM322" s="27"/>
      <c r="AN322" s="27"/>
      <c r="AO322" s="27"/>
      <c r="AP322" s="27"/>
      <c r="AQ322" s="27"/>
      <c r="AR322" s="27"/>
      <c r="AS322" s="27">
        <v>17</v>
      </c>
    </row>
    <row r="323" spans="1:45" ht="15" customHeight="1" x14ac:dyDescent="0.25">
      <c r="A323" s="27">
        <f>IF('Pegar ML'!C318="Paquete de 2 productos",'Pegar ML'!A318,IF('Pegar ML'!C317="Paquete de 2 productos",'Pegar ML'!A317,'Pegar ML'!A319))</f>
        <v>0</v>
      </c>
      <c r="B323" s="27"/>
      <c r="C323" s="30" t="str">
        <f>IF(AjusteFecha!I319=0,"",AjusteFecha!I319)</f>
        <v/>
      </c>
      <c r="D323" s="27"/>
      <c r="E323" s="27"/>
      <c r="F323" s="27" t="str">
        <f>IF('Pegar ML'!C319="","",'Pegar ML'!C319)</f>
        <v/>
      </c>
      <c r="G323" s="27" t="str">
        <f>IF('Pegar ML'!G314="ARS","PS","PS")</f>
        <v>PS</v>
      </c>
      <c r="H323" s="14">
        <f>IF('Pegar ML'!C318="Paquete de 2 productos",IF('Pegar ML'!H318="",0,'Pegar ML'!H318),IF('Pegar ML'!H319="",0,'Pegar ML'!H319))</f>
        <v>0</v>
      </c>
      <c r="I323" s="14">
        <f>IF('Pegar ML'!C318="Paquete de 2 productos",IF('Pegar ML'!O318="",0,'Pegar ML'!O318),IF('Pegar ML'!O319="",0,'Pegar ML'!O319))</f>
        <v>0</v>
      </c>
      <c r="J323" s="14">
        <f>IF('Pegar ML'!C318="Paquete de 2 productos",IF('Pegar ML'!O318="",0,'Pegar ML'!O318),IF('Pegar ML'!O319="",0,'Pegar ML'!O319))</f>
        <v>0</v>
      </c>
      <c r="K323" s="14">
        <f t="shared" si="14"/>
        <v>0</v>
      </c>
      <c r="L323" s="27">
        <f>IF('Pegar ML'!AB319=" ",'Pegar ML'!AB318,'Pegar ML'!AB319)</f>
        <v>0</v>
      </c>
      <c r="M323" s="27" t="str">
        <f>IF('Pegar ML'!AC319=" ",RIGHT('Pegar ML'!AC318,8),RIGHT('Pegar ML'!AC319,8))</f>
        <v/>
      </c>
      <c r="N323" s="27" t="s">
        <v>80</v>
      </c>
      <c r="O323" s="27">
        <f t="shared" si="12"/>
        <v>0</v>
      </c>
      <c r="P323" s="27" t="s">
        <v>80</v>
      </c>
      <c r="Q323" s="55">
        <f>IF('Pegar ML'!AD319=" ",'Pegar ML'!AD318,'Pegar ML'!AD319)</f>
        <v>0</v>
      </c>
      <c r="R323" s="27" t="s">
        <v>80</v>
      </c>
      <c r="S323" s="27" t="s">
        <v>80</v>
      </c>
      <c r="T323" s="27" t="s">
        <v>80</v>
      </c>
      <c r="U323" s="55">
        <f>IF('Pegar ML'!AI319=" ",'Pegar ML'!AI318,'Pegar ML'!AI319)</f>
        <v>0</v>
      </c>
      <c r="V323" s="55">
        <f>IF('Pegar ML'!AK319=" ",'Pegar ML'!AK318,'Pegar ML'!AK319)</f>
        <v>0</v>
      </c>
      <c r="W323" s="55">
        <f>IF('Pegar ML'!AJ319=" ",'Pegar ML'!AJ318,'Pegar ML'!AJ319)</f>
        <v>0</v>
      </c>
      <c r="X323" s="55">
        <f>IF('Pegar ML'!AL319=" ",'Pegar ML'!AL318,'Pegar ML'!AL319)</f>
        <v>0</v>
      </c>
      <c r="Y323" s="27"/>
      <c r="Z323" s="27"/>
      <c r="AA323" s="27"/>
      <c r="AB323" s="27"/>
      <c r="AC323" s="27"/>
      <c r="AD323" s="27"/>
      <c r="AF323" s="8"/>
      <c r="AG323" s="27"/>
      <c r="AH323" s="14">
        <f>+'Pegar ML'!Y319</f>
        <v>0</v>
      </c>
      <c r="AI323" s="13">
        <f t="shared" si="13"/>
        <v>1</v>
      </c>
      <c r="AJ323" s="7">
        <f>+'Pegar ML'!T319</f>
        <v>0</v>
      </c>
      <c r="AK323" s="27"/>
      <c r="AL323" s="27"/>
      <c r="AM323" s="27"/>
      <c r="AN323" s="27"/>
      <c r="AO323" s="27"/>
      <c r="AP323" s="27"/>
      <c r="AQ323" s="27"/>
      <c r="AR323" s="27"/>
      <c r="AS323" s="27">
        <v>17</v>
      </c>
    </row>
    <row r="324" spans="1:45" ht="15" customHeight="1" x14ac:dyDescent="0.25">
      <c r="A324" s="27">
        <f>IF('Pegar ML'!C319="Paquete de 2 productos",'Pegar ML'!A319,IF('Pegar ML'!C318="Paquete de 2 productos",'Pegar ML'!A318,'Pegar ML'!A320))</f>
        <v>0</v>
      </c>
      <c r="B324" s="27"/>
      <c r="C324" s="30" t="str">
        <f>IF(AjusteFecha!I320=0,"",AjusteFecha!I320)</f>
        <v/>
      </c>
      <c r="D324" s="27"/>
      <c r="E324" s="27"/>
      <c r="F324" s="27" t="str">
        <f>IF('Pegar ML'!C320="","",'Pegar ML'!C320)</f>
        <v/>
      </c>
      <c r="G324" s="27" t="str">
        <f>IF('Pegar ML'!G315="ARS","PS","PS")</f>
        <v>PS</v>
      </c>
      <c r="H324" s="14">
        <f>IF('Pegar ML'!C319="Paquete de 2 productos",IF('Pegar ML'!H319="",0,'Pegar ML'!H319),IF('Pegar ML'!H320="",0,'Pegar ML'!H320))</f>
        <v>0</v>
      </c>
      <c r="I324" s="14">
        <f>IF('Pegar ML'!C319="Paquete de 2 productos",IF('Pegar ML'!O319="",0,'Pegar ML'!O319),IF('Pegar ML'!O320="",0,'Pegar ML'!O320))</f>
        <v>0</v>
      </c>
      <c r="J324" s="14">
        <f>IF('Pegar ML'!C319="Paquete de 2 productos",IF('Pegar ML'!O319="",0,'Pegar ML'!O319),IF('Pegar ML'!O320="",0,'Pegar ML'!O320))</f>
        <v>0</v>
      </c>
      <c r="K324" s="14">
        <f t="shared" si="14"/>
        <v>0</v>
      </c>
      <c r="L324" s="27">
        <f>IF('Pegar ML'!AB320=" ",'Pegar ML'!AB319,'Pegar ML'!AB320)</f>
        <v>0</v>
      </c>
      <c r="M324" s="27" t="str">
        <f>IF('Pegar ML'!AC320=" ",RIGHT('Pegar ML'!AC319,8),RIGHT('Pegar ML'!AC320,8))</f>
        <v/>
      </c>
      <c r="N324" s="27" t="s">
        <v>80</v>
      </c>
      <c r="O324" s="27">
        <f t="shared" si="12"/>
        <v>0</v>
      </c>
      <c r="P324" s="27" t="s">
        <v>80</v>
      </c>
      <c r="Q324" s="55">
        <f>IF('Pegar ML'!AD320=" ",'Pegar ML'!AD319,'Pegar ML'!AD320)</f>
        <v>0</v>
      </c>
      <c r="R324" s="27" t="s">
        <v>80</v>
      </c>
      <c r="S324" s="27" t="s">
        <v>80</v>
      </c>
      <c r="T324" s="27" t="s">
        <v>80</v>
      </c>
      <c r="U324" s="55">
        <f>IF('Pegar ML'!AI320=" ",'Pegar ML'!AI319,'Pegar ML'!AI320)</f>
        <v>0</v>
      </c>
      <c r="V324" s="55">
        <f>IF('Pegar ML'!AK320=" ",'Pegar ML'!AK319,'Pegar ML'!AK320)</f>
        <v>0</v>
      </c>
      <c r="W324" s="55">
        <f>IF('Pegar ML'!AJ320=" ",'Pegar ML'!AJ319,'Pegar ML'!AJ320)</f>
        <v>0</v>
      </c>
      <c r="X324" s="55">
        <f>IF('Pegar ML'!AL320=" ",'Pegar ML'!AL319,'Pegar ML'!AL320)</f>
        <v>0</v>
      </c>
      <c r="Y324" s="27"/>
      <c r="Z324" s="27"/>
      <c r="AA324" s="27"/>
      <c r="AB324" s="27"/>
      <c r="AC324" s="27"/>
      <c r="AD324" s="27"/>
      <c r="AF324" s="8"/>
      <c r="AG324" s="27"/>
      <c r="AH324" s="14">
        <f>+'Pegar ML'!Y320</f>
        <v>0</v>
      </c>
      <c r="AI324" s="13">
        <f t="shared" si="13"/>
        <v>1</v>
      </c>
      <c r="AJ324" s="7">
        <f>+'Pegar ML'!T320</f>
        <v>0</v>
      </c>
      <c r="AK324" s="27"/>
      <c r="AL324" s="27"/>
      <c r="AM324" s="27"/>
      <c r="AN324" s="27"/>
      <c r="AO324" s="27"/>
      <c r="AP324" s="27"/>
      <c r="AQ324" s="27"/>
      <c r="AR324" s="27"/>
      <c r="AS324" s="27">
        <v>17</v>
      </c>
    </row>
    <row r="325" spans="1:45" ht="15" customHeight="1" x14ac:dyDescent="0.25">
      <c r="A325" s="27">
        <f>IF('Pegar ML'!C320="Paquete de 2 productos",'Pegar ML'!A320,IF('Pegar ML'!C319="Paquete de 2 productos",'Pegar ML'!A319,'Pegar ML'!A321))</f>
        <v>0</v>
      </c>
      <c r="B325" s="27"/>
      <c r="C325" s="30" t="str">
        <f>IF(AjusteFecha!I321=0,"",AjusteFecha!I321)</f>
        <v/>
      </c>
      <c r="D325" s="27"/>
      <c r="E325" s="27"/>
      <c r="F325" s="27" t="str">
        <f>IF('Pegar ML'!C321="","",'Pegar ML'!C321)</f>
        <v/>
      </c>
      <c r="G325" s="27" t="str">
        <f>IF('Pegar ML'!G316="ARS","PS","PS")</f>
        <v>PS</v>
      </c>
      <c r="H325" s="14">
        <f>IF('Pegar ML'!C320="Paquete de 2 productos",IF('Pegar ML'!H320="",0,'Pegar ML'!H320),IF('Pegar ML'!H321="",0,'Pegar ML'!H321))</f>
        <v>0</v>
      </c>
      <c r="I325" s="14">
        <f>IF('Pegar ML'!C320="Paquete de 2 productos",IF('Pegar ML'!O320="",0,'Pegar ML'!O320),IF('Pegar ML'!O321="",0,'Pegar ML'!O321))</f>
        <v>0</v>
      </c>
      <c r="J325" s="14">
        <f>IF('Pegar ML'!C320="Paquete de 2 productos",IF('Pegar ML'!O320="",0,'Pegar ML'!O320),IF('Pegar ML'!O321="",0,'Pegar ML'!O321))</f>
        <v>0</v>
      </c>
      <c r="K325" s="14">
        <f t="shared" si="14"/>
        <v>0</v>
      </c>
      <c r="L325" s="27">
        <f>IF('Pegar ML'!AB321=" ",'Pegar ML'!AB320,'Pegar ML'!AB321)</f>
        <v>0</v>
      </c>
      <c r="M325" s="27" t="str">
        <f>IF('Pegar ML'!AC321=" ",RIGHT('Pegar ML'!AC320,8),RIGHT('Pegar ML'!AC321,8))</f>
        <v/>
      </c>
      <c r="N325" s="27" t="s">
        <v>80</v>
      </c>
      <c r="O325" s="27">
        <f t="shared" si="12"/>
        <v>0</v>
      </c>
      <c r="P325" s="27" t="s">
        <v>80</v>
      </c>
      <c r="Q325" s="55">
        <f>IF('Pegar ML'!AD321=" ",'Pegar ML'!AD320,'Pegar ML'!AD321)</f>
        <v>0</v>
      </c>
      <c r="R325" s="27" t="s">
        <v>80</v>
      </c>
      <c r="S325" s="27" t="s">
        <v>80</v>
      </c>
      <c r="T325" s="27" t="s">
        <v>80</v>
      </c>
      <c r="U325" s="55">
        <f>IF('Pegar ML'!AI321=" ",'Pegar ML'!AI320,'Pegar ML'!AI321)</f>
        <v>0</v>
      </c>
      <c r="V325" s="55">
        <f>IF('Pegar ML'!AK321=" ",'Pegar ML'!AK320,'Pegar ML'!AK321)</f>
        <v>0</v>
      </c>
      <c r="W325" s="55">
        <f>IF('Pegar ML'!AJ321=" ",'Pegar ML'!AJ320,'Pegar ML'!AJ321)</f>
        <v>0</v>
      </c>
      <c r="X325" s="55">
        <f>IF('Pegar ML'!AL321=" ",'Pegar ML'!AL320,'Pegar ML'!AL321)</f>
        <v>0</v>
      </c>
      <c r="Y325" s="27"/>
      <c r="Z325" s="27"/>
      <c r="AA325" s="27"/>
      <c r="AB325" s="27"/>
      <c r="AC325" s="27"/>
      <c r="AD325" s="27"/>
      <c r="AF325" s="8"/>
      <c r="AG325" s="27"/>
      <c r="AH325" s="14">
        <f>+'Pegar ML'!Y321</f>
        <v>0</v>
      </c>
      <c r="AI325" s="13">
        <f t="shared" si="13"/>
        <v>1</v>
      </c>
      <c r="AJ325" s="7">
        <f>+'Pegar ML'!T321</f>
        <v>0</v>
      </c>
      <c r="AK325" s="27"/>
      <c r="AL325" s="27"/>
      <c r="AM325" s="27"/>
      <c r="AN325" s="27"/>
      <c r="AO325" s="27"/>
      <c r="AP325" s="27"/>
      <c r="AQ325" s="27"/>
      <c r="AR325" s="27"/>
      <c r="AS325" s="27">
        <v>17</v>
      </c>
    </row>
    <row r="326" spans="1:45" ht="15" customHeight="1" x14ac:dyDescent="0.25">
      <c r="A326" s="27">
        <f>IF('Pegar ML'!C321="Paquete de 2 productos",'Pegar ML'!A321,IF('Pegar ML'!C320="Paquete de 2 productos",'Pegar ML'!A320,'Pegar ML'!A322))</f>
        <v>0</v>
      </c>
      <c r="B326" s="27"/>
      <c r="C326" s="30" t="str">
        <f>IF(AjusteFecha!I322=0,"",AjusteFecha!I322)</f>
        <v/>
      </c>
      <c r="D326" s="27"/>
      <c r="E326" s="27"/>
      <c r="F326" s="27" t="str">
        <f>IF('Pegar ML'!C322="","",'Pegar ML'!C322)</f>
        <v/>
      </c>
      <c r="G326" s="27" t="str">
        <f>IF('Pegar ML'!G317="ARS","PS","PS")</f>
        <v>PS</v>
      </c>
      <c r="H326" s="14">
        <f>IF('Pegar ML'!C321="Paquete de 2 productos",IF('Pegar ML'!H321="",0,'Pegar ML'!H321),IF('Pegar ML'!H322="",0,'Pegar ML'!H322))</f>
        <v>0</v>
      </c>
      <c r="I326" s="14">
        <f>IF('Pegar ML'!C321="Paquete de 2 productos",IF('Pegar ML'!O321="",0,'Pegar ML'!O321),IF('Pegar ML'!O322="",0,'Pegar ML'!O322))</f>
        <v>0</v>
      </c>
      <c r="J326" s="14">
        <f>IF('Pegar ML'!C321="Paquete de 2 productos",IF('Pegar ML'!O321="",0,'Pegar ML'!O321),IF('Pegar ML'!O322="",0,'Pegar ML'!O322))</f>
        <v>0</v>
      </c>
      <c r="K326" s="14">
        <f t="shared" si="14"/>
        <v>0</v>
      </c>
      <c r="L326" s="27">
        <f>IF('Pegar ML'!AB322=" ",'Pegar ML'!AB321,'Pegar ML'!AB322)</f>
        <v>0</v>
      </c>
      <c r="M326" s="27" t="str">
        <f>IF('Pegar ML'!AC322=" ",RIGHT('Pegar ML'!AC321,8),RIGHT('Pegar ML'!AC322,8))</f>
        <v/>
      </c>
      <c r="N326" s="27" t="s">
        <v>80</v>
      </c>
      <c r="O326" s="27">
        <f t="shared" si="12"/>
        <v>0</v>
      </c>
      <c r="P326" s="27" t="s">
        <v>80</v>
      </c>
      <c r="Q326" s="55">
        <f>IF('Pegar ML'!AD322=" ",'Pegar ML'!AD321,'Pegar ML'!AD322)</f>
        <v>0</v>
      </c>
      <c r="R326" s="27" t="s">
        <v>80</v>
      </c>
      <c r="S326" s="27" t="s">
        <v>80</v>
      </c>
      <c r="T326" s="27" t="s">
        <v>80</v>
      </c>
      <c r="U326" s="55">
        <f>IF('Pegar ML'!AI322=" ",'Pegar ML'!AI321,'Pegar ML'!AI322)</f>
        <v>0</v>
      </c>
      <c r="V326" s="55">
        <f>IF('Pegar ML'!AK322=" ",'Pegar ML'!AK321,'Pegar ML'!AK322)</f>
        <v>0</v>
      </c>
      <c r="W326" s="55">
        <f>IF('Pegar ML'!AJ322=" ",'Pegar ML'!AJ321,'Pegar ML'!AJ322)</f>
        <v>0</v>
      </c>
      <c r="X326" s="55">
        <f>IF('Pegar ML'!AL322=" ",'Pegar ML'!AL321,'Pegar ML'!AL322)</f>
        <v>0</v>
      </c>
      <c r="Y326" s="27"/>
      <c r="Z326" s="27"/>
      <c r="AA326" s="27"/>
      <c r="AB326" s="27"/>
      <c r="AC326" s="27"/>
      <c r="AD326" s="27"/>
      <c r="AF326" s="8"/>
      <c r="AG326" s="27"/>
      <c r="AH326" s="14">
        <f>+'Pegar ML'!Y322</f>
        <v>0</v>
      </c>
      <c r="AI326" s="13">
        <f t="shared" si="13"/>
        <v>1</v>
      </c>
      <c r="AJ326" s="7">
        <f>+'Pegar ML'!T322</f>
        <v>0</v>
      </c>
      <c r="AK326" s="27"/>
      <c r="AL326" s="27"/>
      <c r="AM326" s="27"/>
      <c r="AN326" s="27"/>
      <c r="AO326" s="27"/>
      <c r="AP326" s="27"/>
      <c r="AQ326" s="27"/>
      <c r="AR326" s="27"/>
      <c r="AS326" s="27">
        <v>17</v>
      </c>
    </row>
    <row r="327" spans="1:45" ht="15" customHeight="1" x14ac:dyDescent="0.25">
      <c r="A327" s="27">
        <f>IF('Pegar ML'!C322="Paquete de 2 productos",'Pegar ML'!A322,IF('Pegar ML'!C321="Paquete de 2 productos",'Pegar ML'!A321,'Pegar ML'!A323))</f>
        <v>0</v>
      </c>
      <c r="B327" s="27"/>
      <c r="C327" s="30" t="str">
        <f>IF(AjusteFecha!I323=0,"",AjusteFecha!I323)</f>
        <v/>
      </c>
      <c r="D327" s="27"/>
      <c r="E327" s="27"/>
      <c r="F327" s="27" t="str">
        <f>IF('Pegar ML'!C323="","",'Pegar ML'!C323)</f>
        <v/>
      </c>
      <c r="G327" s="27" t="str">
        <f>IF('Pegar ML'!G318="ARS","PS","PS")</f>
        <v>PS</v>
      </c>
      <c r="H327" s="14">
        <f>IF('Pegar ML'!C322="Paquete de 2 productos",IF('Pegar ML'!H322="",0,'Pegar ML'!H322),IF('Pegar ML'!H323="",0,'Pegar ML'!H323))</f>
        <v>0</v>
      </c>
      <c r="I327" s="14">
        <f>IF('Pegar ML'!C322="Paquete de 2 productos",IF('Pegar ML'!O322="",0,'Pegar ML'!O322),IF('Pegar ML'!O323="",0,'Pegar ML'!O323))</f>
        <v>0</v>
      </c>
      <c r="J327" s="14">
        <f>IF('Pegar ML'!C322="Paquete de 2 productos",IF('Pegar ML'!O322="",0,'Pegar ML'!O322),IF('Pegar ML'!O323="",0,'Pegar ML'!O323))</f>
        <v>0</v>
      </c>
      <c r="K327" s="14">
        <f t="shared" si="14"/>
        <v>0</v>
      </c>
      <c r="L327" s="27">
        <f>IF('Pegar ML'!AB323=" ",'Pegar ML'!AB322,'Pegar ML'!AB323)</f>
        <v>0</v>
      </c>
      <c r="M327" s="27" t="str">
        <f>IF('Pegar ML'!AC323=" ",RIGHT('Pegar ML'!AC322,8),RIGHT('Pegar ML'!AC323,8))</f>
        <v/>
      </c>
      <c r="N327" s="27" t="s">
        <v>80</v>
      </c>
      <c r="O327" s="27">
        <f t="shared" si="12"/>
        <v>0</v>
      </c>
      <c r="P327" s="27" t="s">
        <v>80</v>
      </c>
      <c r="Q327" s="55">
        <f>IF('Pegar ML'!AD323=" ",'Pegar ML'!AD322,'Pegar ML'!AD323)</f>
        <v>0</v>
      </c>
      <c r="R327" s="27" t="s">
        <v>80</v>
      </c>
      <c r="S327" s="27" t="s">
        <v>80</v>
      </c>
      <c r="T327" s="27" t="s">
        <v>80</v>
      </c>
      <c r="U327" s="55">
        <f>IF('Pegar ML'!AI323=" ",'Pegar ML'!AI322,'Pegar ML'!AI323)</f>
        <v>0</v>
      </c>
      <c r="V327" s="55">
        <f>IF('Pegar ML'!AK323=" ",'Pegar ML'!AK322,'Pegar ML'!AK323)</f>
        <v>0</v>
      </c>
      <c r="W327" s="55">
        <f>IF('Pegar ML'!AJ323=" ",'Pegar ML'!AJ322,'Pegar ML'!AJ323)</f>
        <v>0</v>
      </c>
      <c r="X327" s="55">
        <f>IF('Pegar ML'!AL323=" ",'Pegar ML'!AL322,'Pegar ML'!AL323)</f>
        <v>0</v>
      </c>
      <c r="Y327" s="27"/>
      <c r="Z327" s="27"/>
      <c r="AA327" s="27"/>
      <c r="AB327" s="27"/>
      <c r="AC327" s="27"/>
      <c r="AD327" s="27"/>
      <c r="AF327" s="8"/>
      <c r="AG327" s="27"/>
      <c r="AH327" s="14">
        <f>+'Pegar ML'!Y323</f>
        <v>0</v>
      </c>
      <c r="AI327" s="13">
        <f t="shared" si="13"/>
        <v>1</v>
      </c>
      <c r="AJ327" s="7">
        <f>+'Pegar ML'!T323</f>
        <v>0</v>
      </c>
      <c r="AK327" s="27"/>
      <c r="AL327" s="27"/>
      <c r="AM327" s="27"/>
      <c r="AN327" s="27"/>
      <c r="AO327" s="27"/>
      <c r="AP327" s="27"/>
      <c r="AQ327" s="27"/>
      <c r="AR327" s="27"/>
      <c r="AS327" s="27">
        <v>17</v>
      </c>
    </row>
    <row r="328" spans="1:45" ht="15" customHeight="1" x14ac:dyDescent="0.25">
      <c r="A328" s="27">
        <f>IF('Pegar ML'!C323="Paquete de 2 productos",'Pegar ML'!A323,IF('Pegar ML'!C322="Paquete de 2 productos",'Pegar ML'!A322,'Pegar ML'!A324))</f>
        <v>0</v>
      </c>
      <c r="B328" s="27"/>
      <c r="C328" s="30" t="str">
        <f>IF(AjusteFecha!I324=0,"",AjusteFecha!I324)</f>
        <v/>
      </c>
      <c r="D328" s="27"/>
      <c r="E328" s="27"/>
      <c r="F328" s="27" t="str">
        <f>IF('Pegar ML'!C324="","",'Pegar ML'!C324)</f>
        <v/>
      </c>
      <c r="G328" s="27" t="str">
        <f>IF('Pegar ML'!G319="ARS","PS","PS")</f>
        <v>PS</v>
      </c>
      <c r="H328" s="14">
        <f>IF('Pegar ML'!C323="Paquete de 2 productos",IF('Pegar ML'!H323="",0,'Pegar ML'!H323),IF('Pegar ML'!H324="",0,'Pegar ML'!H324))</f>
        <v>0</v>
      </c>
      <c r="I328" s="14">
        <f>IF('Pegar ML'!C323="Paquete de 2 productos",IF('Pegar ML'!O323="",0,'Pegar ML'!O323),IF('Pegar ML'!O324="",0,'Pegar ML'!O324))</f>
        <v>0</v>
      </c>
      <c r="J328" s="14">
        <f>IF('Pegar ML'!C323="Paquete de 2 productos",IF('Pegar ML'!O323="",0,'Pegar ML'!O323),IF('Pegar ML'!O324="",0,'Pegar ML'!O324))</f>
        <v>0</v>
      </c>
      <c r="K328" s="14">
        <f t="shared" si="14"/>
        <v>0</v>
      </c>
      <c r="L328" s="27">
        <f>IF('Pegar ML'!AB324=" ",'Pegar ML'!AB323,'Pegar ML'!AB324)</f>
        <v>0</v>
      </c>
      <c r="M328" s="27" t="str">
        <f>IF('Pegar ML'!AC324=" ",RIGHT('Pegar ML'!AC323,8),RIGHT('Pegar ML'!AC324,8))</f>
        <v/>
      </c>
      <c r="N328" s="27" t="s">
        <v>80</v>
      </c>
      <c r="O328" s="27">
        <f t="shared" si="12"/>
        <v>0</v>
      </c>
      <c r="P328" s="27" t="s">
        <v>80</v>
      </c>
      <c r="Q328" s="55">
        <f>IF('Pegar ML'!AD324=" ",'Pegar ML'!AD323,'Pegar ML'!AD324)</f>
        <v>0</v>
      </c>
      <c r="R328" s="27" t="s">
        <v>80</v>
      </c>
      <c r="S328" s="27" t="s">
        <v>80</v>
      </c>
      <c r="T328" s="27" t="s">
        <v>80</v>
      </c>
      <c r="U328" s="55">
        <f>IF('Pegar ML'!AI324=" ",'Pegar ML'!AI323,'Pegar ML'!AI324)</f>
        <v>0</v>
      </c>
      <c r="V328" s="55">
        <f>IF('Pegar ML'!AK324=" ",'Pegar ML'!AK323,'Pegar ML'!AK324)</f>
        <v>0</v>
      </c>
      <c r="W328" s="55">
        <f>IF('Pegar ML'!AJ324=" ",'Pegar ML'!AJ323,'Pegar ML'!AJ324)</f>
        <v>0</v>
      </c>
      <c r="X328" s="55">
        <f>IF('Pegar ML'!AL324=" ",'Pegar ML'!AL323,'Pegar ML'!AL324)</f>
        <v>0</v>
      </c>
      <c r="Y328" s="27"/>
      <c r="Z328" s="27"/>
      <c r="AA328" s="27"/>
      <c r="AB328" s="27"/>
      <c r="AC328" s="27"/>
      <c r="AD328" s="27"/>
      <c r="AF328" s="8"/>
      <c r="AG328" s="27"/>
      <c r="AH328" s="14">
        <f>+'Pegar ML'!Y324</f>
        <v>0</v>
      </c>
      <c r="AI328" s="13">
        <f t="shared" si="13"/>
        <v>1</v>
      </c>
      <c r="AJ328" s="7">
        <f>+'Pegar ML'!T324</f>
        <v>0</v>
      </c>
      <c r="AK328" s="27"/>
      <c r="AL328" s="27"/>
      <c r="AM328" s="27"/>
      <c r="AN328" s="27"/>
      <c r="AO328" s="27"/>
      <c r="AP328" s="27"/>
      <c r="AQ328" s="27"/>
      <c r="AR328" s="27"/>
      <c r="AS328" s="27">
        <v>17</v>
      </c>
    </row>
    <row r="329" spans="1:45" ht="15" customHeight="1" x14ac:dyDescent="0.25">
      <c r="A329" s="27">
        <f>IF('Pegar ML'!C324="Paquete de 2 productos",'Pegar ML'!A324,IF('Pegar ML'!C323="Paquete de 2 productos",'Pegar ML'!A323,'Pegar ML'!A325))</f>
        <v>0</v>
      </c>
      <c r="B329" s="27"/>
      <c r="C329" s="30" t="str">
        <f>IF(AjusteFecha!I325=0,"",AjusteFecha!I325)</f>
        <v/>
      </c>
      <c r="D329" s="27"/>
      <c r="E329" s="27"/>
      <c r="F329" s="27" t="str">
        <f>IF('Pegar ML'!C325="","",'Pegar ML'!C325)</f>
        <v/>
      </c>
      <c r="G329" s="27" t="str">
        <f>IF('Pegar ML'!G320="ARS","PS","PS")</f>
        <v>PS</v>
      </c>
      <c r="H329" s="14">
        <f>IF('Pegar ML'!C324="Paquete de 2 productos",IF('Pegar ML'!H324="",0,'Pegar ML'!H324),IF('Pegar ML'!H325="",0,'Pegar ML'!H325))</f>
        <v>0</v>
      </c>
      <c r="I329" s="14">
        <f>IF('Pegar ML'!C324="Paquete de 2 productos",IF('Pegar ML'!O324="",0,'Pegar ML'!O324),IF('Pegar ML'!O325="",0,'Pegar ML'!O325))</f>
        <v>0</v>
      </c>
      <c r="J329" s="14">
        <f>IF('Pegar ML'!C324="Paquete de 2 productos",IF('Pegar ML'!O324="",0,'Pegar ML'!O324),IF('Pegar ML'!O325="",0,'Pegar ML'!O325))</f>
        <v>0</v>
      </c>
      <c r="K329" s="14">
        <f t="shared" si="14"/>
        <v>0</v>
      </c>
      <c r="L329" s="27">
        <f>IF('Pegar ML'!AB325=" ",'Pegar ML'!AB324,'Pegar ML'!AB325)</f>
        <v>0</v>
      </c>
      <c r="M329" s="27" t="str">
        <f>IF('Pegar ML'!AC325=" ",RIGHT('Pegar ML'!AC324,8),RIGHT('Pegar ML'!AC325,8))</f>
        <v/>
      </c>
      <c r="N329" s="27" t="s">
        <v>80</v>
      </c>
      <c r="O329" s="27">
        <f t="shared" si="12"/>
        <v>0</v>
      </c>
      <c r="P329" s="27" t="s">
        <v>80</v>
      </c>
      <c r="Q329" s="55">
        <f>IF('Pegar ML'!AD325=" ",'Pegar ML'!AD324,'Pegar ML'!AD325)</f>
        <v>0</v>
      </c>
      <c r="R329" s="27" t="s">
        <v>80</v>
      </c>
      <c r="S329" s="27" t="s">
        <v>80</v>
      </c>
      <c r="T329" s="27" t="s">
        <v>80</v>
      </c>
      <c r="U329" s="55">
        <f>IF('Pegar ML'!AI325=" ",'Pegar ML'!AI324,'Pegar ML'!AI325)</f>
        <v>0</v>
      </c>
      <c r="V329" s="55">
        <f>IF('Pegar ML'!AK325=" ",'Pegar ML'!AK324,'Pegar ML'!AK325)</f>
        <v>0</v>
      </c>
      <c r="W329" s="55">
        <f>IF('Pegar ML'!AJ325=" ",'Pegar ML'!AJ324,'Pegar ML'!AJ325)</f>
        <v>0</v>
      </c>
      <c r="X329" s="55">
        <f>IF('Pegar ML'!AL325=" ",'Pegar ML'!AL324,'Pegar ML'!AL325)</f>
        <v>0</v>
      </c>
      <c r="Y329" s="27"/>
      <c r="Z329" s="27"/>
      <c r="AA329" s="27"/>
      <c r="AB329" s="27"/>
      <c r="AC329" s="27"/>
      <c r="AD329" s="27"/>
      <c r="AF329" s="8"/>
      <c r="AG329" s="27"/>
      <c r="AH329" s="14">
        <f>+'Pegar ML'!Y325</f>
        <v>0</v>
      </c>
      <c r="AI329" s="13">
        <f t="shared" si="13"/>
        <v>1</v>
      </c>
      <c r="AJ329" s="7">
        <f>+'Pegar ML'!T325</f>
        <v>0</v>
      </c>
      <c r="AK329" s="27"/>
      <c r="AL329" s="27"/>
      <c r="AM329" s="27"/>
      <c r="AN329" s="27"/>
      <c r="AO329" s="27"/>
      <c r="AP329" s="27"/>
      <c r="AQ329" s="27"/>
      <c r="AR329" s="27"/>
      <c r="AS329" s="27">
        <v>17</v>
      </c>
    </row>
    <row r="330" spans="1:45" ht="15" customHeight="1" x14ac:dyDescent="0.25">
      <c r="A330" s="27">
        <f>IF('Pegar ML'!C325="Paquete de 2 productos",'Pegar ML'!A325,IF('Pegar ML'!C324="Paquete de 2 productos",'Pegar ML'!A324,'Pegar ML'!A326))</f>
        <v>0</v>
      </c>
      <c r="B330" s="27"/>
      <c r="C330" s="30" t="str">
        <f>IF(AjusteFecha!I326=0,"",AjusteFecha!I326)</f>
        <v/>
      </c>
      <c r="D330" s="27"/>
      <c r="E330" s="27"/>
      <c r="F330" s="27" t="str">
        <f>IF('Pegar ML'!C326="","",'Pegar ML'!C326)</f>
        <v/>
      </c>
      <c r="G330" s="27" t="str">
        <f>IF('Pegar ML'!G321="ARS","PS","PS")</f>
        <v>PS</v>
      </c>
      <c r="H330" s="14">
        <f>IF('Pegar ML'!C325="Paquete de 2 productos",IF('Pegar ML'!H325="",0,'Pegar ML'!H325),IF('Pegar ML'!H326="",0,'Pegar ML'!H326))</f>
        <v>0</v>
      </c>
      <c r="I330" s="14">
        <f>IF('Pegar ML'!C325="Paquete de 2 productos",IF('Pegar ML'!O325="",0,'Pegar ML'!O325),IF('Pegar ML'!O326="",0,'Pegar ML'!O326))</f>
        <v>0</v>
      </c>
      <c r="J330" s="14">
        <f>IF('Pegar ML'!C325="Paquete de 2 productos",IF('Pegar ML'!O325="",0,'Pegar ML'!O325),IF('Pegar ML'!O326="",0,'Pegar ML'!O326))</f>
        <v>0</v>
      </c>
      <c r="K330" s="14">
        <f t="shared" si="14"/>
        <v>0</v>
      </c>
      <c r="L330" s="27">
        <f>IF('Pegar ML'!AB326=" ",'Pegar ML'!AB325,'Pegar ML'!AB326)</f>
        <v>0</v>
      </c>
      <c r="M330" s="27" t="str">
        <f>IF('Pegar ML'!AC326=" ",RIGHT('Pegar ML'!AC325,8),RIGHT('Pegar ML'!AC326,8))</f>
        <v/>
      </c>
      <c r="N330" s="27" t="s">
        <v>80</v>
      </c>
      <c r="O330" s="27">
        <f t="shared" si="12"/>
        <v>0</v>
      </c>
      <c r="P330" s="27" t="s">
        <v>80</v>
      </c>
      <c r="Q330" s="55">
        <f>IF('Pegar ML'!AD326=" ",'Pegar ML'!AD325,'Pegar ML'!AD326)</f>
        <v>0</v>
      </c>
      <c r="R330" s="27" t="s">
        <v>80</v>
      </c>
      <c r="S330" s="27" t="s">
        <v>80</v>
      </c>
      <c r="T330" s="27" t="s">
        <v>80</v>
      </c>
      <c r="U330" s="55">
        <f>IF('Pegar ML'!AI326=" ",'Pegar ML'!AI325,'Pegar ML'!AI326)</f>
        <v>0</v>
      </c>
      <c r="V330" s="55">
        <f>IF('Pegar ML'!AK326=" ",'Pegar ML'!AK325,'Pegar ML'!AK326)</f>
        <v>0</v>
      </c>
      <c r="W330" s="55">
        <f>IF('Pegar ML'!AJ326=" ",'Pegar ML'!AJ325,'Pegar ML'!AJ326)</f>
        <v>0</v>
      </c>
      <c r="X330" s="55">
        <f>IF('Pegar ML'!AL326=" ",'Pegar ML'!AL325,'Pegar ML'!AL326)</f>
        <v>0</v>
      </c>
      <c r="Y330" s="27"/>
      <c r="Z330" s="27"/>
      <c r="AA330" s="27"/>
      <c r="AB330" s="27"/>
      <c r="AC330" s="27"/>
      <c r="AD330" s="27"/>
      <c r="AF330" s="8"/>
      <c r="AG330" s="27"/>
      <c r="AH330" s="14">
        <f>+'Pegar ML'!Y326</f>
        <v>0</v>
      </c>
      <c r="AI330" s="13">
        <f t="shared" si="13"/>
        <v>1</v>
      </c>
      <c r="AJ330" s="7">
        <f>+'Pegar ML'!T326</f>
        <v>0</v>
      </c>
      <c r="AK330" s="27"/>
      <c r="AL330" s="27"/>
      <c r="AM330" s="27"/>
      <c r="AN330" s="27"/>
      <c r="AO330" s="27"/>
      <c r="AP330" s="27"/>
      <c r="AQ330" s="27"/>
      <c r="AR330" s="27"/>
      <c r="AS330" s="27">
        <v>17</v>
      </c>
    </row>
    <row r="331" spans="1:45" ht="15" customHeight="1" x14ac:dyDescent="0.25">
      <c r="A331" s="27">
        <f>IF('Pegar ML'!C326="Paquete de 2 productos",'Pegar ML'!A326,IF('Pegar ML'!C325="Paquete de 2 productos",'Pegar ML'!A325,'Pegar ML'!A327))</f>
        <v>0</v>
      </c>
      <c r="B331" s="27"/>
      <c r="C331" s="30" t="str">
        <f>IF(AjusteFecha!I327=0,"",AjusteFecha!I327)</f>
        <v/>
      </c>
      <c r="D331" s="27"/>
      <c r="E331" s="27"/>
      <c r="F331" s="27" t="str">
        <f>IF('Pegar ML'!C327="","",'Pegar ML'!C327)</f>
        <v/>
      </c>
      <c r="G331" s="27" t="str">
        <f>IF('Pegar ML'!G322="ARS","PS","PS")</f>
        <v>PS</v>
      </c>
      <c r="H331" s="14">
        <f>IF('Pegar ML'!C326="Paquete de 2 productos",IF('Pegar ML'!H326="",0,'Pegar ML'!H326),IF('Pegar ML'!H327="",0,'Pegar ML'!H327))</f>
        <v>0</v>
      </c>
      <c r="I331" s="14">
        <f>IF('Pegar ML'!C326="Paquete de 2 productos",IF('Pegar ML'!O326="",0,'Pegar ML'!O326),IF('Pegar ML'!O327="",0,'Pegar ML'!O327))</f>
        <v>0</v>
      </c>
      <c r="J331" s="14">
        <f>IF('Pegar ML'!C326="Paquete de 2 productos",IF('Pegar ML'!O326="",0,'Pegar ML'!O326),IF('Pegar ML'!O327="",0,'Pegar ML'!O327))</f>
        <v>0</v>
      </c>
      <c r="K331" s="14">
        <f t="shared" si="14"/>
        <v>0</v>
      </c>
      <c r="L331" s="27">
        <f>IF('Pegar ML'!AB327=" ",'Pegar ML'!AB326,'Pegar ML'!AB327)</f>
        <v>0</v>
      </c>
      <c r="M331" s="27" t="str">
        <f>IF('Pegar ML'!AC327=" ",RIGHT('Pegar ML'!AC326,8),RIGHT('Pegar ML'!AC327,8))</f>
        <v/>
      </c>
      <c r="N331" s="27" t="s">
        <v>80</v>
      </c>
      <c r="O331" s="27">
        <f t="shared" ref="O331:O394" si="15">+L331</f>
        <v>0</v>
      </c>
      <c r="P331" s="27" t="s">
        <v>80</v>
      </c>
      <c r="Q331" s="55">
        <f>IF('Pegar ML'!AD327=" ",'Pegar ML'!AD326,'Pegar ML'!AD327)</f>
        <v>0</v>
      </c>
      <c r="R331" s="27" t="s">
        <v>80</v>
      </c>
      <c r="S331" s="27" t="s">
        <v>80</v>
      </c>
      <c r="T331" s="27" t="s">
        <v>80</v>
      </c>
      <c r="U331" s="55">
        <f>IF('Pegar ML'!AI327=" ",'Pegar ML'!AI326,'Pegar ML'!AI327)</f>
        <v>0</v>
      </c>
      <c r="V331" s="55">
        <f>IF('Pegar ML'!AK327=" ",'Pegar ML'!AK326,'Pegar ML'!AK327)</f>
        <v>0</v>
      </c>
      <c r="W331" s="55">
        <f>IF('Pegar ML'!AJ327=" ",'Pegar ML'!AJ326,'Pegar ML'!AJ327)</f>
        <v>0</v>
      </c>
      <c r="X331" s="55">
        <f>IF('Pegar ML'!AL327=" ",'Pegar ML'!AL326,'Pegar ML'!AL327)</f>
        <v>0</v>
      </c>
      <c r="Y331" s="27"/>
      <c r="Z331" s="27"/>
      <c r="AA331" s="27"/>
      <c r="AB331" s="27"/>
      <c r="AC331" s="27"/>
      <c r="AD331" s="27"/>
      <c r="AF331" s="8"/>
      <c r="AG331" s="27"/>
      <c r="AH331" s="14">
        <f>+'Pegar ML'!Y327</f>
        <v>0</v>
      </c>
      <c r="AI331" s="13">
        <f t="shared" ref="AI331:AI394" si="16">IF(F331="Paquete de 2 productos","",1)</f>
        <v>1</v>
      </c>
      <c r="AJ331" s="7">
        <f>+'Pegar ML'!T327</f>
        <v>0</v>
      </c>
      <c r="AK331" s="27"/>
      <c r="AL331" s="27"/>
      <c r="AM331" s="27"/>
      <c r="AN331" s="27"/>
      <c r="AO331" s="27"/>
      <c r="AP331" s="27"/>
      <c r="AQ331" s="27"/>
      <c r="AR331" s="27"/>
      <c r="AS331" s="27">
        <v>17</v>
      </c>
    </row>
    <row r="332" spans="1:45" ht="15" customHeight="1" x14ac:dyDescent="0.25">
      <c r="A332" s="27">
        <f>IF('Pegar ML'!C327="Paquete de 2 productos",'Pegar ML'!A327,IF('Pegar ML'!C326="Paquete de 2 productos",'Pegar ML'!A326,'Pegar ML'!A328))</f>
        <v>0</v>
      </c>
      <c r="B332" s="27"/>
      <c r="C332" s="30" t="str">
        <f>IF(AjusteFecha!I328=0,"",AjusteFecha!I328)</f>
        <v/>
      </c>
      <c r="D332" s="27"/>
      <c r="E332" s="27"/>
      <c r="F332" s="27" t="str">
        <f>IF('Pegar ML'!C328="","",'Pegar ML'!C328)</f>
        <v/>
      </c>
      <c r="G332" s="27" t="str">
        <f>IF('Pegar ML'!G323="ARS","PS","PS")</f>
        <v>PS</v>
      </c>
      <c r="H332" s="14">
        <f>IF('Pegar ML'!C327="Paquete de 2 productos",IF('Pegar ML'!H327="",0,'Pegar ML'!H327),IF('Pegar ML'!H328="",0,'Pegar ML'!H328))</f>
        <v>0</v>
      </c>
      <c r="I332" s="14">
        <f>IF('Pegar ML'!C327="Paquete de 2 productos",IF('Pegar ML'!O327="",0,'Pegar ML'!O327),IF('Pegar ML'!O328="",0,'Pegar ML'!O328))</f>
        <v>0</v>
      </c>
      <c r="J332" s="14">
        <f>IF('Pegar ML'!C327="Paquete de 2 productos",IF('Pegar ML'!O327="",0,'Pegar ML'!O327),IF('Pegar ML'!O328="",0,'Pegar ML'!O328))</f>
        <v>0</v>
      </c>
      <c r="K332" s="14">
        <f t="shared" ref="K332:K395" si="17">+H332-I332+J332</f>
        <v>0</v>
      </c>
      <c r="L332" s="27">
        <f>IF('Pegar ML'!AB328=" ",'Pegar ML'!AB327,'Pegar ML'!AB328)</f>
        <v>0</v>
      </c>
      <c r="M332" s="27" t="str">
        <f>IF('Pegar ML'!AC328=" ",RIGHT('Pegar ML'!AC327,8),RIGHT('Pegar ML'!AC328,8))</f>
        <v/>
      </c>
      <c r="N332" s="27" t="s">
        <v>80</v>
      </c>
      <c r="O332" s="27">
        <f t="shared" si="15"/>
        <v>0</v>
      </c>
      <c r="P332" s="27" t="s">
        <v>80</v>
      </c>
      <c r="Q332" s="55">
        <f>IF('Pegar ML'!AD328=" ",'Pegar ML'!AD327,'Pegar ML'!AD328)</f>
        <v>0</v>
      </c>
      <c r="R332" s="27" t="s">
        <v>80</v>
      </c>
      <c r="S332" s="27" t="s">
        <v>80</v>
      </c>
      <c r="T332" s="27" t="s">
        <v>80</v>
      </c>
      <c r="U332" s="55">
        <f>IF('Pegar ML'!AI328=" ",'Pegar ML'!AI327,'Pegar ML'!AI328)</f>
        <v>0</v>
      </c>
      <c r="V332" s="55">
        <f>IF('Pegar ML'!AK328=" ",'Pegar ML'!AK327,'Pegar ML'!AK328)</f>
        <v>0</v>
      </c>
      <c r="W332" s="55">
        <f>IF('Pegar ML'!AJ328=" ",'Pegar ML'!AJ327,'Pegar ML'!AJ328)</f>
        <v>0</v>
      </c>
      <c r="X332" s="55">
        <f>IF('Pegar ML'!AL328=" ",'Pegar ML'!AL327,'Pegar ML'!AL328)</f>
        <v>0</v>
      </c>
      <c r="Y332" s="27"/>
      <c r="Z332" s="27"/>
      <c r="AA332" s="27"/>
      <c r="AB332" s="27"/>
      <c r="AC332" s="27"/>
      <c r="AD332" s="27"/>
      <c r="AF332" s="8"/>
      <c r="AG332" s="27"/>
      <c r="AH332" s="14">
        <f>+'Pegar ML'!Y328</f>
        <v>0</v>
      </c>
      <c r="AI332" s="13">
        <f t="shared" si="16"/>
        <v>1</v>
      </c>
      <c r="AJ332" s="7">
        <f>+'Pegar ML'!T328</f>
        <v>0</v>
      </c>
      <c r="AK332" s="27"/>
      <c r="AL332" s="27"/>
      <c r="AM332" s="27"/>
      <c r="AN332" s="27"/>
      <c r="AO332" s="27"/>
      <c r="AP332" s="27"/>
      <c r="AQ332" s="27"/>
      <c r="AR332" s="27"/>
      <c r="AS332" s="27">
        <v>17</v>
      </c>
    </row>
    <row r="333" spans="1:45" ht="15" customHeight="1" x14ac:dyDescent="0.25">
      <c r="A333" s="27">
        <f>IF('Pegar ML'!C328="Paquete de 2 productos",'Pegar ML'!A328,IF('Pegar ML'!C327="Paquete de 2 productos",'Pegar ML'!A327,'Pegar ML'!A329))</f>
        <v>0</v>
      </c>
      <c r="B333" s="27"/>
      <c r="C333" s="30" t="str">
        <f>IF(AjusteFecha!I329=0,"",AjusteFecha!I329)</f>
        <v/>
      </c>
      <c r="D333" s="27"/>
      <c r="E333" s="27"/>
      <c r="F333" s="27" t="str">
        <f>IF('Pegar ML'!C329="","",'Pegar ML'!C329)</f>
        <v/>
      </c>
      <c r="G333" s="27" t="str">
        <f>IF('Pegar ML'!G324="ARS","PS","PS")</f>
        <v>PS</v>
      </c>
      <c r="H333" s="14">
        <f>IF('Pegar ML'!C328="Paquete de 2 productos",IF('Pegar ML'!H328="",0,'Pegar ML'!H328),IF('Pegar ML'!H329="",0,'Pegar ML'!H329))</f>
        <v>0</v>
      </c>
      <c r="I333" s="14">
        <f>IF('Pegar ML'!C328="Paquete de 2 productos",IF('Pegar ML'!O328="",0,'Pegar ML'!O328),IF('Pegar ML'!O329="",0,'Pegar ML'!O329))</f>
        <v>0</v>
      </c>
      <c r="J333" s="14">
        <f>IF('Pegar ML'!C328="Paquete de 2 productos",IF('Pegar ML'!O328="",0,'Pegar ML'!O328),IF('Pegar ML'!O329="",0,'Pegar ML'!O329))</f>
        <v>0</v>
      </c>
      <c r="K333" s="14">
        <f t="shared" si="17"/>
        <v>0</v>
      </c>
      <c r="L333" s="27">
        <f>IF('Pegar ML'!AB329=" ",'Pegar ML'!AB328,'Pegar ML'!AB329)</f>
        <v>0</v>
      </c>
      <c r="M333" s="27" t="str">
        <f>IF('Pegar ML'!AC329=" ",RIGHT('Pegar ML'!AC328,8),RIGHT('Pegar ML'!AC329,8))</f>
        <v/>
      </c>
      <c r="N333" s="27" t="s">
        <v>80</v>
      </c>
      <c r="O333" s="27">
        <f t="shared" si="15"/>
        <v>0</v>
      </c>
      <c r="P333" s="27" t="s">
        <v>80</v>
      </c>
      <c r="Q333" s="55">
        <f>IF('Pegar ML'!AD329=" ",'Pegar ML'!AD328,'Pegar ML'!AD329)</f>
        <v>0</v>
      </c>
      <c r="R333" s="27" t="s">
        <v>80</v>
      </c>
      <c r="S333" s="27" t="s">
        <v>80</v>
      </c>
      <c r="T333" s="27" t="s">
        <v>80</v>
      </c>
      <c r="U333" s="55">
        <f>IF('Pegar ML'!AI329=" ",'Pegar ML'!AI328,'Pegar ML'!AI329)</f>
        <v>0</v>
      </c>
      <c r="V333" s="55">
        <f>IF('Pegar ML'!AK329=" ",'Pegar ML'!AK328,'Pegar ML'!AK329)</f>
        <v>0</v>
      </c>
      <c r="W333" s="55">
        <f>IF('Pegar ML'!AJ329=" ",'Pegar ML'!AJ328,'Pegar ML'!AJ329)</f>
        <v>0</v>
      </c>
      <c r="X333" s="55">
        <f>IF('Pegar ML'!AL329=" ",'Pegar ML'!AL328,'Pegar ML'!AL329)</f>
        <v>0</v>
      </c>
      <c r="Y333" s="27"/>
      <c r="Z333" s="27"/>
      <c r="AA333" s="27"/>
      <c r="AB333" s="27"/>
      <c r="AC333" s="27"/>
      <c r="AD333" s="27"/>
      <c r="AF333" s="8"/>
      <c r="AG333" s="27"/>
      <c r="AH333" s="14">
        <f>+'Pegar ML'!Y329</f>
        <v>0</v>
      </c>
      <c r="AI333" s="13">
        <f t="shared" si="16"/>
        <v>1</v>
      </c>
      <c r="AJ333" s="7">
        <f>+'Pegar ML'!T329</f>
        <v>0</v>
      </c>
      <c r="AK333" s="27"/>
      <c r="AL333" s="27"/>
      <c r="AM333" s="27"/>
      <c r="AN333" s="27"/>
      <c r="AO333" s="27"/>
      <c r="AP333" s="27"/>
      <c r="AQ333" s="27"/>
      <c r="AR333" s="27"/>
      <c r="AS333" s="27">
        <v>17</v>
      </c>
    </row>
    <row r="334" spans="1:45" ht="15" customHeight="1" x14ac:dyDescent="0.25">
      <c r="A334" s="27">
        <f>IF('Pegar ML'!C329="Paquete de 2 productos",'Pegar ML'!A329,IF('Pegar ML'!C328="Paquete de 2 productos",'Pegar ML'!A328,'Pegar ML'!A330))</f>
        <v>0</v>
      </c>
      <c r="B334" s="27"/>
      <c r="C334" s="30" t="str">
        <f>IF(AjusteFecha!I330=0,"",AjusteFecha!I330)</f>
        <v/>
      </c>
      <c r="D334" s="27"/>
      <c r="E334" s="27"/>
      <c r="F334" s="27" t="str">
        <f>IF('Pegar ML'!C330="","",'Pegar ML'!C330)</f>
        <v/>
      </c>
      <c r="G334" s="27" t="str">
        <f>IF('Pegar ML'!G325="ARS","PS","PS")</f>
        <v>PS</v>
      </c>
      <c r="H334" s="14">
        <f>IF('Pegar ML'!C329="Paquete de 2 productos",IF('Pegar ML'!H329="",0,'Pegar ML'!H329),IF('Pegar ML'!H330="",0,'Pegar ML'!H330))</f>
        <v>0</v>
      </c>
      <c r="I334" s="14">
        <f>IF('Pegar ML'!C329="Paquete de 2 productos",IF('Pegar ML'!O329="",0,'Pegar ML'!O329),IF('Pegar ML'!O330="",0,'Pegar ML'!O330))</f>
        <v>0</v>
      </c>
      <c r="J334" s="14">
        <f>IF('Pegar ML'!C329="Paquete de 2 productos",IF('Pegar ML'!O329="",0,'Pegar ML'!O329),IF('Pegar ML'!O330="",0,'Pegar ML'!O330))</f>
        <v>0</v>
      </c>
      <c r="K334" s="14">
        <f t="shared" si="17"/>
        <v>0</v>
      </c>
      <c r="L334" s="27">
        <f>IF('Pegar ML'!AB330=" ",'Pegar ML'!AB329,'Pegar ML'!AB330)</f>
        <v>0</v>
      </c>
      <c r="M334" s="27" t="str">
        <f>IF('Pegar ML'!AC330=" ",RIGHT('Pegar ML'!AC329,8),RIGHT('Pegar ML'!AC330,8))</f>
        <v/>
      </c>
      <c r="N334" s="27" t="s">
        <v>80</v>
      </c>
      <c r="O334" s="27">
        <f t="shared" si="15"/>
        <v>0</v>
      </c>
      <c r="P334" s="27" t="s">
        <v>80</v>
      </c>
      <c r="Q334" s="55">
        <f>IF('Pegar ML'!AD330=" ",'Pegar ML'!AD329,'Pegar ML'!AD330)</f>
        <v>0</v>
      </c>
      <c r="R334" s="27" t="s">
        <v>80</v>
      </c>
      <c r="S334" s="27" t="s">
        <v>80</v>
      </c>
      <c r="T334" s="27" t="s">
        <v>80</v>
      </c>
      <c r="U334" s="55">
        <f>IF('Pegar ML'!AI330=" ",'Pegar ML'!AI329,'Pegar ML'!AI330)</f>
        <v>0</v>
      </c>
      <c r="V334" s="55">
        <f>IF('Pegar ML'!AK330=" ",'Pegar ML'!AK329,'Pegar ML'!AK330)</f>
        <v>0</v>
      </c>
      <c r="W334" s="55">
        <f>IF('Pegar ML'!AJ330=" ",'Pegar ML'!AJ329,'Pegar ML'!AJ330)</f>
        <v>0</v>
      </c>
      <c r="X334" s="55">
        <f>IF('Pegar ML'!AL330=" ",'Pegar ML'!AL329,'Pegar ML'!AL330)</f>
        <v>0</v>
      </c>
      <c r="Y334" s="27"/>
      <c r="Z334" s="27"/>
      <c r="AA334" s="27"/>
      <c r="AB334" s="27"/>
      <c r="AC334" s="27"/>
      <c r="AD334" s="27"/>
      <c r="AF334" s="8"/>
      <c r="AG334" s="27"/>
      <c r="AH334" s="14">
        <f>+'Pegar ML'!Y330</f>
        <v>0</v>
      </c>
      <c r="AI334" s="13">
        <f t="shared" si="16"/>
        <v>1</v>
      </c>
      <c r="AJ334" s="7">
        <f>+'Pegar ML'!T330</f>
        <v>0</v>
      </c>
      <c r="AK334" s="27"/>
      <c r="AL334" s="27"/>
      <c r="AM334" s="27"/>
      <c r="AN334" s="27"/>
      <c r="AO334" s="27"/>
      <c r="AP334" s="27"/>
      <c r="AQ334" s="27"/>
      <c r="AR334" s="27"/>
      <c r="AS334" s="27">
        <v>17</v>
      </c>
    </row>
    <row r="335" spans="1:45" ht="15" customHeight="1" x14ac:dyDescent="0.25">
      <c r="A335" s="27">
        <f>IF('Pegar ML'!C330="Paquete de 2 productos",'Pegar ML'!A330,IF('Pegar ML'!C329="Paquete de 2 productos",'Pegar ML'!A329,'Pegar ML'!A331))</f>
        <v>0</v>
      </c>
      <c r="B335" s="27"/>
      <c r="C335" s="30" t="str">
        <f>IF(AjusteFecha!I331=0,"",AjusteFecha!I331)</f>
        <v/>
      </c>
      <c r="D335" s="27"/>
      <c r="E335" s="27"/>
      <c r="F335" s="27" t="str">
        <f>IF('Pegar ML'!C331="","",'Pegar ML'!C331)</f>
        <v/>
      </c>
      <c r="G335" s="27" t="str">
        <f>IF('Pegar ML'!G326="ARS","PS","PS")</f>
        <v>PS</v>
      </c>
      <c r="H335" s="14">
        <f>IF('Pegar ML'!C330="Paquete de 2 productos",IF('Pegar ML'!H330="",0,'Pegar ML'!H330),IF('Pegar ML'!H331="",0,'Pegar ML'!H331))</f>
        <v>0</v>
      </c>
      <c r="I335" s="14">
        <f>IF('Pegar ML'!C330="Paquete de 2 productos",IF('Pegar ML'!O330="",0,'Pegar ML'!O330),IF('Pegar ML'!O331="",0,'Pegar ML'!O331))</f>
        <v>0</v>
      </c>
      <c r="J335" s="14">
        <f>IF('Pegar ML'!C330="Paquete de 2 productos",IF('Pegar ML'!O330="",0,'Pegar ML'!O330),IF('Pegar ML'!O331="",0,'Pegar ML'!O331))</f>
        <v>0</v>
      </c>
      <c r="K335" s="14">
        <f t="shared" si="17"/>
        <v>0</v>
      </c>
      <c r="L335" s="27">
        <f>IF('Pegar ML'!AB331=" ",'Pegar ML'!AB330,'Pegar ML'!AB331)</f>
        <v>0</v>
      </c>
      <c r="M335" s="27" t="str">
        <f>IF('Pegar ML'!AC331=" ",RIGHT('Pegar ML'!AC330,8),RIGHT('Pegar ML'!AC331,8))</f>
        <v/>
      </c>
      <c r="N335" s="27" t="s">
        <v>80</v>
      </c>
      <c r="O335" s="27">
        <f t="shared" si="15"/>
        <v>0</v>
      </c>
      <c r="P335" s="27" t="s">
        <v>80</v>
      </c>
      <c r="Q335" s="55">
        <f>IF('Pegar ML'!AD331=" ",'Pegar ML'!AD330,'Pegar ML'!AD331)</f>
        <v>0</v>
      </c>
      <c r="R335" s="27" t="s">
        <v>80</v>
      </c>
      <c r="S335" s="27" t="s">
        <v>80</v>
      </c>
      <c r="T335" s="27" t="s">
        <v>80</v>
      </c>
      <c r="U335" s="55">
        <f>IF('Pegar ML'!AI331=" ",'Pegar ML'!AI330,'Pegar ML'!AI331)</f>
        <v>0</v>
      </c>
      <c r="V335" s="55">
        <f>IF('Pegar ML'!AK331=" ",'Pegar ML'!AK330,'Pegar ML'!AK331)</f>
        <v>0</v>
      </c>
      <c r="W335" s="55">
        <f>IF('Pegar ML'!AJ331=" ",'Pegar ML'!AJ330,'Pegar ML'!AJ331)</f>
        <v>0</v>
      </c>
      <c r="X335" s="55">
        <f>IF('Pegar ML'!AL331=" ",'Pegar ML'!AL330,'Pegar ML'!AL331)</f>
        <v>0</v>
      </c>
      <c r="Y335" s="27"/>
      <c r="Z335" s="27"/>
      <c r="AA335" s="27"/>
      <c r="AB335" s="27"/>
      <c r="AC335" s="27"/>
      <c r="AD335" s="27"/>
      <c r="AF335" s="8"/>
      <c r="AG335" s="27"/>
      <c r="AH335" s="14">
        <f>+'Pegar ML'!Y331</f>
        <v>0</v>
      </c>
      <c r="AI335" s="13">
        <f t="shared" si="16"/>
        <v>1</v>
      </c>
      <c r="AJ335" s="7">
        <f>+'Pegar ML'!T331</f>
        <v>0</v>
      </c>
      <c r="AK335" s="27"/>
      <c r="AL335" s="27"/>
      <c r="AM335" s="27"/>
      <c r="AN335" s="27"/>
      <c r="AO335" s="27"/>
      <c r="AP335" s="27"/>
      <c r="AQ335" s="27"/>
      <c r="AR335" s="27"/>
      <c r="AS335" s="27">
        <v>17</v>
      </c>
    </row>
    <row r="336" spans="1:45" ht="15" customHeight="1" x14ac:dyDescent="0.25">
      <c r="A336" s="27">
        <f>IF('Pegar ML'!C331="Paquete de 2 productos",'Pegar ML'!A331,IF('Pegar ML'!C330="Paquete de 2 productos",'Pegar ML'!A330,'Pegar ML'!A332))</f>
        <v>0</v>
      </c>
      <c r="B336" s="27"/>
      <c r="C336" s="30" t="str">
        <f>IF(AjusteFecha!I332=0,"",AjusteFecha!I332)</f>
        <v/>
      </c>
      <c r="D336" s="27"/>
      <c r="E336" s="27"/>
      <c r="F336" s="27" t="str">
        <f>IF('Pegar ML'!C332="","",'Pegar ML'!C332)</f>
        <v/>
      </c>
      <c r="G336" s="27" t="str">
        <f>IF('Pegar ML'!G327="ARS","PS","PS")</f>
        <v>PS</v>
      </c>
      <c r="H336" s="14">
        <f>IF('Pegar ML'!C331="Paquete de 2 productos",IF('Pegar ML'!H331="",0,'Pegar ML'!H331),IF('Pegar ML'!H332="",0,'Pegar ML'!H332))</f>
        <v>0</v>
      </c>
      <c r="I336" s="14">
        <f>IF('Pegar ML'!C331="Paquete de 2 productos",IF('Pegar ML'!O331="",0,'Pegar ML'!O331),IF('Pegar ML'!O332="",0,'Pegar ML'!O332))</f>
        <v>0</v>
      </c>
      <c r="J336" s="14">
        <f>IF('Pegar ML'!C331="Paquete de 2 productos",IF('Pegar ML'!O331="",0,'Pegar ML'!O331),IF('Pegar ML'!O332="",0,'Pegar ML'!O332))</f>
        <v>0</v>
      </c>
      <c r="K336" s="14">
        <f t="shared" si="17"/>
        <v>0</v>
      </c>
      <c r="L336" s="27">
        <f>IF('Pegar ML'!AB332=" ",'Pegar ML'!AB331,'Pegar ML'!AB332)</f>
        <v>0</v>
      </c>
      <c r="M336" s="27" t="str">
        <f>IF('Pegar ML'!AC332=" ",RIGHT('Pegar ML'!AC331,8),RIGHT('Pegar ML'!AC332,8))</f>
        <v/>
      </c>
      <c r="N336" s="27" t="s">
        <v>80</v>
      </c>
      <c r="O336" s="27">
        <f t="shared" si="15"/>
        <v>0</v>
      </c>
      <c r="P336" s="27" t="s">
        <v>80</v>
      </c>
      <c r="Q336" s="55">
        <f>IF('Pegar ML'!AD332=" ",'Pegar ML'!AD331,'Pegar ML'!AD332)</f>
        <v>0</v>
      </c>
      <c r="R336" s="27" t="s">
        <v>80</v>
      </c>
      <c r="S336" s="27" t="s">
        <v>80</v>
      </c>
      <c r="T336" s="27" t="s">
        <v>80</v>
      </c>
      <c r="U336" s="55">
        <f>IF('Pegar ML'!AI332=" ",'Pegar ML'!AI331,'Pegar ML'!AI332)</f>
        <v>0</v>
      </c>
      <c r="V336" s="55">
        <f>IF('Pegar ML'!AK332=" ",'Pegar ML'!AK331,'Pegar ML'!AK332)</f>
        <v>0</v>
      </c>
      <c r="W336" s="55">
        <f>IF('Pegar ML'!AJ332=" ",'Pegar ML'!AJ331,'Pegar ML'!AJ332)</f>
        <v>0</v>
      </c>
      <c r="X336" s="55">
        <f>IF('Pegar ML'!AL332=" ",'Pegar ML'!AL331,'Pegar ML'!AL332)</f>
        <v>0</v>
      </c>
      <c r="Y336" s="27"/>
      <c r="Z336" s="27"/>
      <c r="AA336" s="27"/>
      <c r="AB336" s="27"/>
      <c r="AC336" s="27"/>
      <c r="AD336" s="27"/>
      <c r="AF336" s="8"/>
      <c r="AG336" s="27"/>
      <c r="AH336" s="14">
        <f>+'Pegar ML'!Y332</f>
        <v>0</v>
      </c>
      <c r="AI336" s="13">
        <f t="shared" si="16"/>
        <v>1</v>
      </c>
      <c r="AJ336" s="7">
        <f>+'Pegar ML'!T332</f>
        <v>0</v>
      </c>
      <c r="AK336" s="27"/>
      <c r="AL336" s="27"/>
      <c r="AM336" s="27"/>
      <c r="AN336" s="27"/>
      <c r="AO336" s="27"/>
      <c r="AP336" s="27"/>
      <c r="AQ336" s="27"/>
      <c r="AR336" s="27"/>
      <c r="AS336" s="27">
        <v>17</v>
      </c>
    </row>
    <row r="337" spans="1:45" ht="15" customHeight="1" x14ac:dyDescent="0.25">
      <c r="A337" s="27">
        <f>IF('Pegar ML'!C332="Paquete de 2 productos",'Pegar ML'!A332,IF('Pegar ML'!C331="Paquete de 2 productos",'Pegar ML'!A331,'Pegar ML'!A333))</f>
        <v>0</v>
      </c>
      <c r="B337" s="27"/>
      <c r="C337" s="30" t="str">
        <f>IF(AjusteFecha!I333=0,"",AjusteFecha!I333)</f>
        <v/>
      </c>
      <c r="D337" s="27"/>
      <c r="E337" s="27"/>
      <c r="F337" s="27" t="str">
        <f>IF('Pegar ML'!C333="","",'Pegar ML'!C333)</f>
        <v/>
      </c>
      <c r="G337" s="27" t="str">
        <f>IF('Pegar ML'!G328="ARS","PS","PS")</f>
        <v>PS</v>
      </c>
      <c r="H337" s="14">
        <f>IF('Pegar ML'!C332="Paquete de 2 productos",IF('Pegar ML'!H332="",0,'Pegar ML'!H332),IF('Pegar ML'!H333="",0,'Pegar ML'!H333))</f>
        <v>0</v>
      </c>
      <c r="I337" s="14">
        <f>IF('Pegar ML'!C332="Paquete de 2 productos",IF('Pegar ML'!O332="",0,'Pegar ML'!O332),IF('Pegar ML'!O333="",0,'Pegar ML'!O333))</f>
        <v>0</v>
      </c>
      <c r="J337" s="14">
        <f>IF('Pegar ML'!C332="Paquete de 2 productos",IF('Pegar ML'!O332="",0,'Pegar ML'!O332),IF('Pegar ML'!O333="",0,'Pegar ML'!O333))</f>
        <v>0</v>
      </c>
      <c r="K337" s="14">
        <f t="shared" si="17"/>
        <v>0</v>
      </c>
      <c r="L337" s="27">
        <f>IF('Pegar ML'!AB333=" ",'Pegar ML'!AB332,'Pegar ML'!AB333)</f>
        <v>0</v>
      </c>
      <c r="M337" s="27" t="str">
        <f>IF('Pegar ML'!AC333=" ",RIGHT('Pegar ML'!AC332,8),RIGHT('Pegar ML'!AC333,8))</f>
        <v/>
      </c>
      <c r="N337" s="27" t="s">
        <v>80</v>
      </c>
      <c r="O337" s="27">
        <f t="shared" si="15"/>
        <v>0</v>
      </c>
      <c r="P337" s="27" t="s">
        <v>80</v>
      </c>
      <c r="Q337" s="55">
        <f>IF('Pegar ML'!AD333=" ",'Pegar ML'!AD332,'Pegar ML'!AD333)</f>
        <v>0</v>
      </c>
      <c r="R337" s="27" t="s">
        <v>80</v>
      </c>
      <c r="S337" s="27" t="s">
        <v>80</v>
      </c>
      <c r="T337" s="27" t="s">
        <v>80</v>
      </c>
      <c r="U337" s="55">
        <f>IF('Pegar ML'!AI333=" ",'Pegar ML'!AI332,'Pegar ML'!AI333)</f>
        <v>0</v>
      </c>
      <c r="V337" s="55">
        <f>IF('Pegar ML'!AK333=" ",'Pegar ML'!AK332,'Pegar ML'!AK333)</f>
        <v>0</v>
      </c>
      <c r="W337" s="55">
        <f>IF('Pegar ML'!AJ333=" ",'Pegar ML'!AJ332,'Pegar ML'!AJ333)</f>
        <v>0</v>
      </c>
      <c r="X337" s="55">
        <f>IF('Pegar ML'!AL333=" ",'Pegar ML'!AL332,'Pegar ML'!AL333)</f>
        <v>0</v>
      </c>
      <c r="Y337" s="27"/>
      <c r="Z337" s="27"/>
      <c r="AA337" s="27"/>
      <c r="AB337" s="27"/>
      <c r="AC337" s="27"/>
      <c r="AD337" s="27"/>
      <c r="AF337" s="8"/>
      <c r="AG337" s="27"/>
      <c r="AH337" s="14">
        <f>+'Pegar ML'!Y333</f>
        <v>0</v>
      </c>
      <c r="AI337" s="13">
        <f t="shared" si="16"/>
        <v>1</v>
      </c>
      <c r="AJ337" s="7">
        <f>+'Pegar ML'!T333</f>
        <v>0</v>
      </c>
      <c r="AK337" s="27"/>
      <c r="AL337" s="27"/>
      <c r="AM337" s="27"/>
      <c r="AN337" s="27"/>
      <c r="AO337" s="27"/>
      <c r="AP337" s="27"/>
      <c r="AQ337" s="27"/>
      <c r="AR337" s="27"/>
      <c r="AS337" s="27">
        <v>17</v>
      </c>
    </row>
    <row r="338" spans="1:45" ht="15" customHeight="1" x14ac:dyDescent="0.25">
      <c r="A338" s="27">
        <f>IF('Pegar ML'!C333="Paquete de 2 productos",'Pegar ML'!A333,IF('Pegar ML'!C332="Paquete de 2 productos",'Pegar ML'!A332,'Pegar ML'!A334))</f>
        <v>0</v>
      </c>
      <c r="B338" s="27"/>
      <c r="C338" s="30" t="str">
        <f>IF(AjusteFecha!I334=0,"",AjusteFecha!I334)</f>
        <v/>
      </c>
      <c r="D338" s="27"/>
      <c r="E338" s="27"/>
      <c r="F338" s="27" t="str">
        <f>IF('Pegar ML'!C334="","",'Pegar ML'!C334)</f>
        <v/>
      </c>
      <c r="G338" s="27" t="str">
        <f>IF('Pegar ML'!G329="ARS","PS","PS")</f>
        <v>PS</v>
      </c>
      <c r="H338" s="14">
        <f>IF('Pegar ML'!C333="Paquete de 2 productos",IF('Pegar ML'!H333="",0,'Pegar ML'!H333),IF('Pegar ML'!H334="",0,'Pegar ML'!H334))</f>
        <v>0</v>
      </c>
      <c r="I338" s="14">
        <f>IF('Pegar ML'!C333="Paquete de 2 productos",IF('Pegar ML'!O333="",0,'Pegar ML'!O333),IF('Pegar ML'!O334="",0,'Pegar ML'!O334))</f>
        <v>0</v>
      </c>
      <c r="J338" s="14">
        <f>IF('Pegar ML'!C333="Paquete de 2 productos",IF('Pegar ML'!O333="",0,'Pegar ML'!O333),IF('Pegar ML'!O334="",0,'Pegar ML'!O334))</f>
        <v>0</v>
      </c>
      <c r="K338" s="14">
        <f t="shared" si="17"/>
        <v>0</v>
      </c>
      <c r="L338" s="27">
        <f>IF('Pegar ML'!AB334=" ",'Pegar ML'!AB333,'Pegar ML'!AB334)</f>
        <v>0</v>
      </c>
      <c r="M338" s="27" t="str">
        <f>IF('Pegar ML'!AC334=" ",RIGHT('Pegar ML'!AC333,8),RIGHT('Pegar ML'!AC334,8))</f>
        <v/>
      </c>
      <c r="N338" s="27" t="s">
        <v>80</v>
      </c>
      <c r="O338" s="27">
        <f t="shared" si="15"/>
        <v>0</v>
      </c>
      <c r="P338" s="27" t="s">
        <v>80</v>
      </c>
      <c r="Q338" s="55">
        <f>IF('Pegar ML'!AD334=" ",'Pegar ML'!AD333,'Pegar ML'!AD334)</f>
        <v>0</v>
      </c>
      <c r="R338" s="27" t="s">
        <v>80</v>
      </c>
      <c r="S338" s="27" t="s">
        <v>80</v>
      </c>
      <c r="T338" s="27" t="s">
        <v>80</v>
      </c>
      <c r="U338" s="55">
        <f>IF('Pegar ML'!AI334=" ",'Pegar ML'!AI333,'Pegar ML'!AI334)</f>
        <v>0</v>
      </c>
      <c r="V338" s="55">
        <f>IF('Pegar ML'!AK334=" ",'Pegar ML'!AK333,'Pegar ML'!AK334)</f>
        <v>0</v>
      </c>
      <c r="W338" s="55">
        <f>IF('Pegar ML'!AJ334=" ",'Pegar ML'!AJ333,'Pegar ML'!AJ334)</f>
        <v>0</v>
      </c>
      <c r="X338" s="55">
        <f>IF('Pegar ML'!AL334=" ",'Pegar ML'!AL333,'Pegar ML'!AL334)</f>
        <v>0</v>
      </c>
      <c r="Y338" s="27"/>
      <c r="Z338" s="27"/>
      <c r="AA338" s="27"/>
      <c r="AB338" s="27"/>
      <c r="AC338" s="27"/>
      <c r="AD338" s="27"/>
      <c r="AF338" s="8"/>
      <c r="AG338" s="27"/>
      <c r="AH338" s="14">
        <f>+'Pegar ML'!Y334</f>
        <v>0</v>
      </c>
      <c r="AI338" s="13">
        <f t="shared" si="16"/>
        <v>1</v>
      </c>
      <c r="AJ338" s="7">
        <f>+'Pegar ML'!T334</f>
        <v>0</v>
      </c>
      <c r="AK338" s="27"/>
      <c r="AL338" s="27"/>
      <c r="AM338" s="27"/>
      <c r="AN338" s="27"/>
      <c r="AO338" s="27"/>
      <c r="AP338" s="27"/>
      <c r="AQ338" s="27"/>
      <c r="AR338" s="27"/>
      <c r="AS338" s="27">
        <v>17</v>
      </c>
    </row>
    <row r="339" spans="1:45" ht="15" customHeight="1" x14ac:dyDescent="0.25">
      <c r="A339" s="27">
        <f>IF('Pegar ML'!C334="Paquete de 2 productos",'Pegar ML'!A334,IF('Pegar ML'!C333="Paquete de 2 productos",'Pegar ML'!A333,'Pegar ML'!A335))</f>
        <v>0</v>
      </c>
      <c r="B339" s="27"/>
      <c r="C339" s="30" t="str">
        <f>IF(AjusteFecha!I335=0,"",AjusteFecha!I335)</f>
        <v/>
      </c>
      <c r="D339" s="27"/>
      <c r="E339" s="27"/>
      <c r="F339" s="27" t="str">
        <f>IF('Pegar ML'!C335="","",'Pegar ML'!C335)</f>
        <v/>
      </c>
      <c r="G339" s="27" t="str">
        <f>IF('Pegar ML'!G330="ARS","PS","PS")</f>
        <v>PS</v>
      </c>
      <c r="H339" s="14">
        <f>IF('Pegar ML'!C334="Paquete de 2 productos",IF('Pegar ML'!H334="",0,'Pegar ML'!H334),IF('Pegar ML'!H335="",0,'Pegar ML'!H335))</f>
        <v>0</v>
      </c>
      <c r="I339" s="14">
        <f>IF('Pegar ML'!C334="Paquete de 2 productos",IF('Pegar ML'!O334="",0,'Pegar ML'!O334),IF('Pegar ML'!O335="",0,'Pegar ML'!O335))</f>
        <v>0</v>
      </c>
      <c r="J339" s="14">
        <f>IF('Pegar ML'!C334="Paquete de 2 productos",IF('Pegar ML'!O334="",0,'Pegar ML'!O334),IF('Pegar ML'!O335="",0,'Pegar ML'!O335))</f>
        <v>0</v>
      </c>
      <c r="K339" s="14">
        <f t="shared" si="17"/>
        <v>0</v>
      </c>
      <c r="L339" s="27">
        <f>IF('Pegar ML'!AB335=" ",'Pegar ML'!AB334,'Pegar ML'!AB335)</f>
        <v>0</v>
      </c>
      <c r="M339" s="27" t="str">
        <f>IF('Pegar ML'!AC335=" ",RIGHT('Pegar ML'!AC334,8),RIGHT('Pegar ML'!AC335,8))</f>
        <v/>
      </c>
      <c r="N339" s="27" t="s">
        <v>80</v>
      </c>
      <c r="O339" s="27">
        <f t="shared" si="15"/>
        <v>0</v>
      </c>
      <c r="P339" s="27" t="s">
        <v>80</v>
      </c>
      <c r="Q339" s="55">
        <f>IF('Pegar ML'!AD335=" ",'Pegar ML'!AD334,'Pegar ML'!AD335)</f>
        <v>0</v>
      </c>
      <c r="R339" s="27" t="s">
        <v>80</v>
      </c>
      <c r="S339" s="27" t="s">
        <v>80</v>
      </c>
      <c r="T339" s="27" t="s">
        <v>80</v>
      </c>
      <c r="U339" s="55">
        <f>IF('Pegar ML'!AI335=" ",'Pegar ML'!AI334,'Pegar ML'!AI335)</f>
        <v>0</v>
      </c>
      <c r="V339" s="55">
        <f>IF('Pegar ML'!AK335=" ",'Pegar ML'!AK334,'Pegar ML'!AK335)</f>
        <v>0</v>
      </c>
      <c r="W339" s="55">
        <f>IF('Pegar ML'!AJ335=" ",'Pegar ML'!AJ334,'Pegar ML'!AJ335)</f>
        <v>0</v>
      </c>
      <c r="X339" s="55">
        <f>IF('Pegar ML'!AL335=" ",'Pegar ML'!AL334,'Pegar ML'!AL335)</f>
        <v>0</v>
      </c>
      <c r="Y339" s="27"/>
      <c r="Z339" s="27"/>
      <c r="AA339" s="27"/>
      <c r="AB339" s="27"/>
      <c r="AC339" s="27"/>
      <c r="AD339" s="27"/>
      <c r="AF339" s="8"/>
      <c r="AG339" s="27"/>
      <c r="AH339" s="14">
        <f>+'Pegar ML'!Y335</f>
        <v>0</v>
      </c>
      <c r="AI339" s="13">
        <f t="shared" si="16"/>
        <v>1</v>
      </c>
      <c r="AJ339" s="7">
        <f>+'Pegar ML'!T335</f>
        <v>0</v>
      </c>
      <c r="AK339" s="27"/>
      <c r="AL339" s="27"/>
      <c r="AM339" s="27"/>
      <c r="AN339" s="27"/>
      <c r="AO339" s="27"/>
      <c r="AP339" s="27"/>
      <c r="AQ339" s="27"/>
      <c r="AR339" s="27"/>
      <c r="AS339" s="27">
        <v>17</v>
      </c>
    </row>
    <row r="340" spans="1:45" ht="15" customHeight="1" x14ac:dyDescent="0.25">
      <c r="A340" s="27">
        <f>IF('Pegar ML'!C335="Paquete de 2 productos",'Pegar ML'!A335,IF('Pegar ML'!C334="Paquete de 2 productos",'Pegar ML'!A334,'Pegar ML'!A336))</f>
        <v>0</v>
      </c>
      <c r="B340" s="27"/>
      <c r="C340" s="30" t="str">
        <f>IF(AjusteFecha!I336=0,"",AjusteFecha!I336)</f>
        <v/>
      </c>
      <c r="D340" s="27"/>
      <c r="E340" s="27"/>
      <c r="F340" s="27" t="str">
        <f>IF('Pegar ML'!C336="","",'Pegar ML'!C336)</f>
        <v/>
      </c>
      <c r="G340" s="27" t="str">
        <f>IF('Pegar ML'!G331="ARS","PS","PS")</f>
        <v>PS</v>
      </c>
      <c r="H340" s="14">
        <f>IF('Pegar ML'!C335="Paquete de 2 productos",IF('Pegar ML'!H335="",0,'Pegar ML'!H335),IF('Pegar ML'!H336="",0,'Pegar ML'!H336))</f>
        <v>0</v>
      </c>
      <c r="I340" s="14">
        <f>IF('Pegar ML'!C335="Paquete de 2 productos",IF('Pegar ML'!O335="",0,'Pegar ML'!O335),IF('Pegar ML'!O336="",0,'Pegar ML'!O336))</f>
        <v>0</v>
      </c>
      <c r="J340" s="14">
        <f>IF('Pegar ML'!C335="Paquete de 2 productos",IF('Pegar ML'!O335="",0,'Pegar ML'!O335),IF('Pegar ML'!O336="",0,'Pegar ML'!O336))</f>
        <v>0</v>
      </c>
      <c r="K340" s="14">
        <f t="shared" si="17"/>
        <v>0</v>
      </c>
      <c r="L340" s="27">
        <f>IF('Pegar ML'!AB336=" ",'Pegar ML'!AB335,'Pegar ML'!AB336)</f>
        <v>0</v>
      </c>
      <c r="M340" s="27" t="str">
        <f>IF('Pegar ML'!AC336=" ",RIGHT('Pegar ML'!AC335,8),RIGHT('Pegar ML'!AC336,8))</f>
        <v/>
      </c>
      <c r="N340" s="27" t="s">
        <v>80</v>
      </c>
      <c r="O340" s="27">
        <f t="shared" si="15"/>
        <v>0</v>
      </c>
      <c r="P340" s="27" t="s">
        <v>80</v>
      </c>
      <c r="Q340" s="55">
        <f>IF('Pegar ML'!AD336=" ",'Pegar ML'!AD335,'Pegar ML'!AD336)</f>
        <v>0</v>
      </c>
      <c r="R340" s="27" t="s">
        <v>80</v>
      </c>
      <c r="S340" s="27" t="s">
        <v>80</v>
      </c>
      <c r="T340" s="27" t="s">
        <v>80</v>
      </c>
      <c r="U340" s="55">
        <f>IF('Pegar ML'!AI336=" ",'Pegar ML'!AI335,'Pegar ML'!AI336)</f>
        <v>0</v>
      </c>
      <c r="V340" s="55">
        <f>IF('Pegar ML'!AK336=" ",'Pegar ML'!AK335,'Pegar ML'!AK336)</f>
        <v>0</v>
      </c>
      <c r="W340" s="55">
        <f>IF('Pegar ML'!AJ336=" ",'Pegar ML'!AJ335,'Pegar ML'!AJ336)</f>
        <v>0</v>
      </c>
      <c r="X340" s="55">
        <f>IF('Pegar ML'!AL336=" ",'Pegar ML'!AL335,'Pegar ML'!AL336)</f>
        <v>0</v>
      </c>
      <c r="Y340" s="27"/>
      <c r="Z340" s="27"/>
      <c r="AA340" s="27"/>
      <c r="AB340" s="27"/>
      <c r="AC340" s="27"/>
      <c r="AD340" s="27"/>
      <c r="AF340" s="8"/>
      <c r="AG340" s="27"/>
      <c r="AH340" s="14">
        <f>+'Pegar ML'!Y336</f>
        <v>0</v>
      </c>
      <c r="AI340" s="13">
        <f t="shared" si="16"/>
        <v>1</v>
      </c>
      <c r="AJ340" s="7">
        <f>+'Pegar ML'!T336</f>
        <v>0</v>
      </c>
      <c r="AK340" s="27"/>
      <c r="AL340" s="27"/>
      <c r="AM340" s="27"/>
      <c r="AN340" s="27"/>
      <c r="AO340" s="27"/>
      <c r="AP340" s="27"/>
      <c r="AQ340" s="27"/>
      <c r="AR340" s="27"/>
      <c r="AS340" s="27">
        <v>17</v>
      </c>
    </row>
    <row r="341" spans="1:45" ht="15" customHeight="1" x14ac:dyDescent="0.25">
      <c r="A341" s="27">
        <f>IF('Pegar ML'!C336="Paquete de 2 productos",'Pegar ML'!A336,IF('Pegar ML'!C335="Paquete de 2 productos",'Pegar ML'!A335,'Pegar ML'!A337))</f>
        <v>0</v>
      </c>
      <c r="B341" s="27"/>
      <c r="C341" s="30" t="str">
        <f>IF(AjusteFecha!I337=0,"",AjusteFecha!I337)</f>
        <v/>
      </c>
      <c r="D341" s="27"/>
      <c r="E341" s="27"/>
      <c r="F341" s="27" t="str">
        <f>IF('Pegar ML'!C337="","",'Pegar ML'!C337)</f>
        <v/>
      </c>
      <c r="G341" s="27" t="str">
        <f>IF('Pegar ML'!G332="ARS","PS","PS")</f>
        <v>PS</v>
      </c>
      <c r="H341" s="14">
        <f>IF('Pegar ML'!C336="Paquete de 2 productos",IF('Pegar ML'!H336="",0,'Pegar ML'!H336),IF('Pegar ML'!H337="",0,'Pegar ML'!H337))</f>
        <v>0</v>
      </c>
      <c r="I341" s="14">
        <f>IF('Pegar ML'!C336="Paquete de 2 productos",IF('Pegar ML'!O336="",0,'Pegar ML'!O336),IF('Pegar ML'!O337="",0,'Pegar ML'!O337))</f>
        <v>0</v>
      </c>
      <c r="J341" s="14">
        <f>IF('Pegar ML'!C336="Paquete de 2 productos",IF('Pegar ML'!O336="",0,'Pegar ML'!O336),IF('Pegar ML'!O337="",0,'Pegar ML'!O337))</f>
        <v>0</v>
      </c>
      <c r="K341" s="14">
        <f t="shared" si="17"/>
        <v>0</v>
      </c>
      <c r="L341" s="27">
        <f>IF('Pegar ML'!AB337=" ",'Pegar ML'!AB336,'Pegar ML'!AB337)</f>
        <v>0</v>
      </c>
      <c r="M341" s="27" t="str">
        <f>IF('Pegar ML'!AC337=" ",RIGHT('Pegar ML'!AC336,8),RIGHT('Pegar ML'!AC337,8))</f>
        <v/>
      </c>
      <c r="N341" s="27" t="s">
        <v>80</v>
      </c>
      <c r="O341" s="27">
        <f t="shared" si="15"/>
        <v>0</v>
      </c>
      <c r="P341" s="27" t="s">
        <v>80</v>
      </c>
      <c r="Q341" s="55">
        <f>IF('Pegar ML'!AD337=" ",'Pegar ML'!AD336,'Pegar ML'!AD337)</f>
        <v>0</v>
      </c>
      <c r="R341" s="27" t="s">
        <v>80</v>
      </c>
      <c r="S341" s="27" t="s">
        <v>80</v>
      </c>
      <c r="T341" s="27" t="s">
        <v>80</v>
      </c>
      <c r="U341" s="55">
        <f>IF('Pegar ML'!AI337=" ",'Pegar ML'!AI336,'Pegar ML'!AI337)</f>
        <v>0</v>
      </c>
      <c r="V341" s="55">
        <f>IF('Pegar ML'!AK337=" ",'Pegar ML'!AK336,'Pegar ML'!AK337)</f>
        <v>0</v>
      </c>
      <c r="W341" s="55">
        <f>IF('Pegar ML'!AJ337=" ",'Pegar ML'!AJ336,'Pegar ML'!AJ337)</f>
        <v>0</v>
      </c>
      <c r="X341" s="55">
        <f>IF('Pegar ML'!AL337=" ",'Pegar ML'!AL336,'Pegar ML'!AL337)</f>
        <v>0</v>
      </c>
      <c r="Y341" s="27"/>
      <c r="Z341" s="27"/>
      <c r="AA341" s="27"/>
      <c r="AB341" s="27"/>
      <c r="AC341" s="27"/>
      <c r="AD341" s="27"/>
      <c r="AF341" s="8"/>
      <c r="AG341" s="27"/>
      <c r="AH341" s="14">
        <f>+'Pegar ML'!Y337</f>
        <v>0</v>
      </c>
      <c r="AI341" s="13">
        <f t="shared" si="16"/>
        <v>1</v>
      </c>
      <c r="AJ341" s="7">
        <f>+'Pegar ML'!T337</f>
        <v>0</v>
      </c>
      <c r="AK341" s="27"/>
      <c r="AL341" s="27"/>
      <c r="AM341" s="27"/>
      <c r="AN341" s="27"/>
      <c r="AO341" s="27"/>
      <c r="AP341" s="27"/>
      <c r="AQ341" s="27"/>
      <c r="AR341" s="27"/>
      <c r="AS341" s="27">
        <v>17</v>
      </c>
    </row>
    <row r="342" spans="1:45" ht="15" customHeight="1" x14ac:dyDescent="0.25">
      <c r="A342" s="27">
        <f>IF('Pegar ML'!C337="Paquete de 2 productos",'Pegar ML'!A337,IF('Pegar ML'!C336="Paquete de 2 productos",'Pegar ML'!A336,'Pegar ML'!A338))</f>
        <v>0</v>
      </c>
      <c r="B342" s="27"/>
      <c r="C342" s="30" t="str">
        <f>IF(AjusteFecha!I338=0,"",AjusteFecha!I338)</f>
        <v/>
      </c>
      <c r="D342" s="27"/>
      <c r="E342" s="27"/>
      <c r="F342" s="27" t="str">
        <f>IF('Pegar ML'!C338="","",'Pegar ML'!C338)</f>
        <v/>
      </c>
      <c r="G342" s="27" t="str">
        <f>IF('Pegar ML'!G333="ARS","PS","PS")</f>
        <v>PS</v>
      </c>
      <c r="H342" s="14">
        <f>IF('Pegar ML'!C337="Paquete de 2 productos",IF('Pegar ML'!H337="",0,'Pegar ML'!H337),IF('Pegar ML'!H338="",0,'Pegar ML'!H338))</f>
        <v>0</v>
      </c>
      <c r="I342" s="14">
        <f>IF('Pegar ML'!C337="Paquete de 2 productos",IF('Pegar ML'!O337="",0,'Pegar ML'!O337),IF('Pegar ML'!O338="",0,'Pegar ML'!O338))</f>
        <v>0</v>
      </c>
      <c r="J342" s="14">
        <f>IF('Pegar ML'!C337="Paquete de 2 productos",IF('Pegar ML'!O337="",0,'Pegar ML'!O337),IF('Pegar ML'!O338="",0,'Pegar ML'!O338))</f>
        <v>0</v>
      </c>
      <c r="K342" s="14">
        <f t="shared" si="17"/>
        <v>0</v>
      </c>
      <c r="L342" s="27">
        <f>IF('Pegar ML'!AB338=" ",'Pegar ML'!AB337,'Pegar ML'!AB338)</f>
        <v>0</v>
      </c>
      <c r="M342" s="27" t="str">
        <f>IF('Pegar ML'!AC338=" ",RIGHT('Pegar ML'!AC337,8),RIGHT('Pegar ML'!AC338,8))</f>
        <v/>
      </c>
      <c r="N342" s="27" t="s">
        <v>80</v>
      </c>
      <c r="O342" s="27">
        <f t="shared" si="15"/>
        <v>0</v>
      </c>
      <c r="P342" s="27" t="s">
        <v>80</v>
      </c>
      <c r="Q342" s="55">
        <f>IF('Pegar ML'!AD338=" ",'Pegar ML'!AD337,'Pegar ML'!AD338)</f>
        <v>0</v>
      </c>
      <c r="R342" s="27" t="s">
        <v>80</v>
      </c>
      <c r="S342" s="27" t="s">
        <v>80</v>
      </c>
      <c r="T342" s="27" t="s">
        <v>80</v>
      </c>
      <c r="U342" s="55">
        <f>IF('Pegar ML'!AI338=" ",'Pegar ML'!AI337,'Pegar ML'!AI338)</f>
        <v>0</v>
      </c>
      <c r="V342" s="55">
        <f>IF('Pegar ML'!AK338=" ",'Pegar ML'!AK337,'Pegar ML'!AK338)</f>
        <v>0</v>
      </c>
      <c r="W342" s="55">
        <f>IF('Pegar ML'!AJ338=" ",'Pegar ML'!AJ337,'Pegar ML'!AJ338)</f>
        <v>0</v>
      </c>
      <c r="X342" s="55">
        <f>IF('Pegar ML'!AL338=" ",'Pegar ML'!AL337,'Pegar ML'!AL338)</f>
        <v>0</v>
      </c>
      <c r="Y342" s="27"/>
      <c r="Z342" s="27"/>
      <c r="AA342" s="27"/>
      <c r="AB342" s="27"/>
      <c r="AC342" s="27"/>
      <c r="AD342" s="27"/>
      <c r="AF342" s="8"/>
      <c r="AG342" s="27"/>
      <c r="AH342" s="14">
        <f>+'Pegar ML'!Y338</f>
        <v>0</v>
      </c>
      <c r="AI342" s="13">
        <f t="shared" si="16"/>
        <v>1</v>
      </c>
      <c r="AJ342" s="7">
        <f>+'Pegar ML'!T338</f>
        <v>0</v>
      </c>
      <c r="AK342" s="27"/>
      <c r="AL342" s="27"/>
      <c r="AM342" s="27"/>
      <c r="AN342" s="27"/>
      <c r="AO342" s="27"/>
      <c r="AP342" s="27"/>
      <c r="AQ342" s="27"/>
      <c r="AR342" s="27"/>
      <c r="AS342" s="27">
        <v>17</v>
      </c>
    </row>
    <row r="343" spans="1:45" ht="15" customHeight="1" x14ac:dyDescent="0.25">
      <c r="A343" s="27">
        <f>IF('Pegar ML'!C338="Paquete de 2 productos",'Pegar ML'!A338,IF('Pegar ML'!C337="Paquete de 2 productos",'Pegar ML'!A337,'Pegar ML'!A339))</f>
        <v>0</v>
      </c>
      <c r="B343" s="27"/>
      <c r="C343" s="30" t="str">
        <f>IF(AjusteFecha!I339=0,"",AjusteFecha!I339)</f>
        <v/>
      </c>
      <c r="D343" s="27"/>
      <c r="E343" s="27"/>
      <c r="F343" s="27" t="str">
        <f>IF('Pegar ML'!C339="","",'Pegar ML'!C339)</f>
        <v/>
      </c>
      <c r="G343" s="27" t="str">
        <f>IF('Pegar ML'!G334="ARS","PS","PS")</f>
        <v>PS</v>
      </c>
      <c r="H343" s="14">
        <f>IF('Pegar ML'!C338="Paquete de 2 productos",IF('Pegar ML'!H338="",0,'Pegar ML'!H338),IF('Pegar ML'!H339="",0,'Pegar ML'!H339))</f>
        <v>0</v>
      </c>
      <c r="I343" s="14">
        <f>IF('Pegar ML'!C338="Paquete de 2 productos",IF('Pegar ML'!O338="",0,'Pegar ML'!O338),IF('Pegar ML'!O339="",0,'Pegar ML'!O339))</f>
        <v>0</v>
      </c>
      <c r="J343" s="14">
        <f>IF('Pegar ML'!C338="Paquete de 2 productos",IF('Pegar ML'!O338="",0,'Pegar ML'!O338),IF('Pegar ML'!O339="",0,'Pegar ML'!O339))</f>
        <v>0</v>
      </c>
      <c r="K343" s="14">
        <f t="shared" si="17"/>
        <v>0</v>
      </c>
      <c r="L343" s="27">
        <f>IF('Pegar ML'!AB339=" ",'Pegar ML'!AB338,'Pegar ML'!AB339)</f>
        <v>0</v>
      </c>
      <c r="M343" s="27" t="str">
        <f>IF('Pegar ML'!AC339=" ",RIGHT('Pegar ML'!AC338,8),RIGHT('Pegar ML'!AC339,8))</f>
        <v/>
      </c>
      <c r="N343" s="27" t="s">
        <v>80</v>
      </c>
      <c r="O343" s="27">
        <f t="shared" si="15"/>
        <v>0</v>
      </c>
      <c r="P343" s="27" t="s">
        <v>80</v>
      </c>
      <c r="Q343" s="55">
        <f>IF('Pegar ML'!AD339=" ",'Pegar ML'!AD338,'Pegar ML'!AD339)</f>
        <v>0</v>
      </c>
      <c r="R343" s="27" t="s">
        <v>80</v>
      </c>
      <c r="S343" s="27" t="s">
        <v>80</v>
      </c>
      <c r="T343" s="27" t="s">
        <v>80</v>
      </c>
      <c r="U343" s="55">
        <f>IF('Pegar ML'!AI339=" ",'Pegar ML'!AI338,'Pegar ML'!AI339)</f>
        <v>0</v>
      </c>
      <c r="V343" s="55">
        <f>IF('Pegar ML'!AK339=" ",'Pegar ML'!AK338,'Pegar ML'!AK339)</f>
        <v>0</v>
      </c>
      <c r="W343" s="55">
        <f>IF('Pegar ML'!AJ339=" ",'Pegar ML'!AJ338,'Pegar ML'!AJ339)</f>
        <v>0</v>
      </c>
      <c r="X343" s="55">
        <f>IF('Pegar ML'!AL339=" ",'Pegar ML'!AL338,'Pegar ML'!AL339)</f>
        <v>0</v>
      </c>
      <c r="Y343" s="27"/>
      <c r="Z343" s="27"/>
      <c r="AA343" s="27"/>
      <c r="AB343" s="27"/>
      <c r="AC343" s="27"/>
      <c r="AD343" s="27"/>
      <c r="AF343" s="8"/>
      <c r="AG343" s="27"/>
      <c r="AH343" s="14">
        <f>+'Pegar ML'!Y339</f>
        <v>0</v>
      </c>
      <c r="AI343" s="13">
        <f t="shared" si="16"/>
        <v>1</v>
      </c>
      <c r="AJ343" s="7">
        <f>+'Pegar ML'!T339</f>
        <v>0</v>
      </c>
      <c r="AK343" s="27"/>
      <c r="AL343" s="27"/>
      <c r="AM343" s="27"/>
      <c r="AN343" s="27"/>
      <c r="AO343" s="27"/>
      <c r="AP343" s="27"/>
      <c r="AQ343" s="27"/>
      <c r="AR343" s="27"/>
      <c r="AS343" s="27">
        <v>17</v>
      </c>
    </row>
    <row r="344" spans="1:45" ht="15" customHeight="1" x14ac:dyDescent="0.25">
      <c r="A344" s="27">
        <f>IF('Pegar ML'!C339="Paquete de 2 productos",'Pegar ML'!A339,IF('Pegar ML'!C338="Paquete de 2 productos",'Pegar ML'!A338,'Pegar ML'!A340))</f>
        <v>0</v>
      </c>
      <c r="B344" s="27"/>
      <c r="C344" s="30" t="str">
        <f>IF(AjusteFecha!I340=0,"",AjusteFecha!I340)</f>
        <v/>
      </c>
      <c r="D344" s="27"/>
      <c r="E344" s="27"/>
      <c r="F344" s="27" t="str">
        <f>IF('Pegar ML'!C340="","",'Pegar ML'!C340)</f>
        <v/>
      </c>
      <c r="G344" s="27" t="str">
        <f>IF('Pegar ML'!G335="ARS","PS","PS")</f>
        <v>PS</v>
      </c>
      <c r="H344" s="14">
        <f>IF('Pegar ML'!C339="Paquete de 2 productos",IF('Pegar ML'!H339="",0,'Pegar ML'!H339),IF('Pegar ML'!H340="",0,'Pegar ML'!H340))</f>
        <v>0</v>
      </c>
      <c r="I344" s="14">
        <f>IF('Pegar ML'!C339="Paquete de 2 productos",IF('Pegar ML'!O339="",0,'Pegar ML'!O339),IF('Pegar ML'!O340="",0,'Pegar ML'!O340))</f>
        <v>0</v>
      </c>
      <c r="J344" s="14">
        <f>IF('Pegar ML'!C339="Paquete de 2 productos",IF('Pegar ML'!O339="",0,'Pegar ML'!O339),IF('Pegar ML'!O340="",0,'Pegar ML'!O340))</f>
        <v>0</v>
      </c>
      <c r="K344" s="14">
        <f t="shared" si="17"/>
        <v>0</v>
      </c>
      <c r="L344" s="27">
        <f>IF('Pegar ML'!AB340=" ",'Pegar ML'!AB339,'Pegar ML'!AB340)</f>
        <v>0</v>
      </c>
      <c r="M344" s="27" t="str">
        <f>IF('Pegar ML'!AC340=" ",RIGHT('Pegar ML'!AC339,8),RIGHT('Pegar ML'!AC340,8))</f>
        <v/>
      </c>
      <c r="N344" s="27" t="s">
        <v>80</v>
      </c>
      <c r="O344" s="27">
        <f t="shared" si="15"/>
        <v>0</v>
      </c>
      <c r="P344" s="27" t="s">
        <v>80</v>
      </c>
      <c r="Q344" s="55">
        <f>IF('Pegar ML'!AD340=" ",'Pegar ML'!AD339,'Pegar ML'!AD340)</f>
        <v>0</v>
      </c>
      <c r="R344" s="27" t="s">
        <v>80</v>
      </c>
      <c r="S344" s="27" t="s">
        <v>80</v>
      </c>
      <c r="T344" s="27" t="s">
        <v>80</v>
      </c>
      <c r="U344" s="55">
        <f>IF('Pegar ML'!AI340=" ",'Pegar ML'!AI339,'Pegar ML'!AI340)</f>
        <v>0</v>
      </c>
      <c r="V344" s="55">
        <f>IF('Pegar ML'!AK340=" ",'Pegar ML'!AK339,'Pegar ML'!AK340)</f>
        <v>0</v>
      </c>
      <c r="W344" s="55">
        <f>IF('Pegar ML'!AJ340=" ",'Pegar ML'!AJ339,'Pegar ML'!AJ340)</f>
        <v>0</v>
      </c>
      <c r="X344" s="55">
        <f>IF('Pegar ML'!AL340=" ",'Pegar ML'!AL339,'Pegar ML'!AL340)</f>
        <v>0</v>
      </c>
      <c r="Y344" s="27"/>
      <c r="Z344" s="27"/>
      <c r="AA344" s="27"/>
      <c r="AB344" s="27"/>
      <c r="AC344" s="27"/>
      <c r="AD344" s="27"/>
      <c r="AF344" s="8"/>
      <c r="AG344" s="27"/>
      <c r="AH344" s="14">
        <f>+'Pegar ML'!Y340</f>
        <v>0</v>
      </c>
      <c r="AI344" s="13">
        <f t="shared" si="16"/>
        <v>1</v>
      </c>
      <c r="AJ344" s="7">
        <f>+'Pegar ML'!T340</f>
        <v>0</v>
      </c>
      <c r="AK344" s="27"/>
      <c r="AL344" s="27"/>
      <c r="AM344" s="27"/>
      <c r="AN344" s="27"/>
      <c r="AO344" s="27"/>
      <c r="AP344" s="27"/>
      <c r="AQ344" s="27"/>
      <c r="AR344" s="27"/>
      <c r="AS344" s="27">
        <v>17</v>
      </c>
    </row>
    <row r="345" spans="1:45" ht="15" customHeight="1" x14ac:dyDescent="0.25">
      <c r="A345" s="27">
        <f>IF('Pegar ML'!C340="Paquete de 2 productos",'Pegar ML'!A340,IF('Pegar ML'!C339="Paquete de 2 productos",'Pegar ML'!A339,'Pegar ML'!A341))</f>
        <v>0</v>
      </c>
      <c r="B345" s="27"/>
      <c r="C345" s="30" t="str">
        <f>IF(AjusteFecha!I341=0,"",AjusteFecha!I341)</f>
        <v/>
      </c>
      <c r="D345" s="27"/>
      <c r="E345" s="27"/>
      <c r="F345" s="27" t="str">
        <f>IF('Pegar ML'!C341="","",'Pegar ML'!C341)</f>
        <v/>
      </c>
      <c r="G345" s="27" t="str">
        <f>IF('Pegar ML'!G336="ARS","PS","PS")</f>
        <v>PS</v>
      </c>
      <c r="H345" s="14">
        <f>IF('Pegar ML'!C340="Paquete de 2 productos",IF('Pegar ML'!H340="",0,'Pegar ML'!H340),IF('Pegar ML'!H341="",0,'Pegar ML'!H341))</f>
        <v>0</v>
      </c>
      <c r="I345" s="14">
        <f>IF('Pegar ML'!C340="Paquete de 2 productos",IF('Pegar ML'!O340="",0,'Pegar ML'!O340),IF('Pegar ML'!O341="",0,'Pegar ML'!O341))</f>
        <v>0</v>
      </c>
      <c r="J345" s="14">
        <f>IF('Pegar ML'!C340="Paquete de 2 productos",IF('Pegar ML'!O340="",0,'Pegar ML'!O340),IF('Pegar ML'!O341="",0,'Pegar ML'!O341))</f>
        <v>0</v>
      </c>
      <c r="K345" s="14">
        <f t="shared" si="17"/>
        <v>0</v>
      </c>
      <c r="L345" s="27">
        <f>IF('Pegar ML'!AB341=" ",'Pegar ML'!AB340,'Pegar ML'!AB341)</f>
        <v>0</v>
      </c>
      <c r="M345" s="27" t="str">
        <f>IF('Pegar ML'!AC341=" ",RIGHT('Pegar ML'!AC340,8),RIGHT('Pegar ML'!AC341,8))</f>
        <v/>
      </c>
      <c r="N345" s="27" t="s">
        <v>80</v>
      </c>
      <c r="O345" s="27">
        <f t="shared" si="15"/>
        <v>0</v>
      </c>
      <c r="P345" s="27" t="s">
        <v>80</v>
      </c>
      <c r="Q345" s="55">
        <f>IF('Pegar ML'!AD341=" ",'Pegar ML'!AD340,'Pegar ML'!AD341)</f>
        <v>0</v>
      </c>
      <c r="R345" s="27" t="s">
        <v>80</v>
      </c>
      <c r="S345" s="27" t="s">
        <v>80</v>
      </c>
      <c r="T345" s="27" t="s">
        <v>80</v>
      </c>
      <c r="U345" s="55">
        <f>IF('Pegar ML'!AI341=" ",'Pegar ML'!AI340,'Pegar ML'!AI341)</f>
        <v>0</v>
      </c>
      <c r="V345" s="55">
        <f>IF('Pegar ML'!AK341=" ",'Pegar ML'!AK340,'Pegar ML'!AK341)</f>
        <v>0</v>
      </c>
      <c r="W345" s="55">
        <f>IF('Pegar ML'!AJ341=" ",'Pegar ML'!AJ340,'Pegar ML'!AJ341)</f>
        <v>0</v>
      </c>
      <c r="X345" s="55">
        <f>IF('Pegar ML'!AL341=" ",'Pegar ML'!AL340,'Pegar ML'!AL341)</f>
        <v>0</v>
      </c>
      <c r="Y345" s="27"/>
      <c r="Z345" s="27"/>
      <c r="AA345" s="27"/>
      <c r="AB345" s="27"/>
      <c r="AC345" s="27"/>
      <c r="AD345" s="27"/>
      <c r="AF345" s="8"/>
      <c r="AG345" s="27"/>
      <c r="AH345" s="14">
        <f>+'Pegar ML'!Y341</f>
        <v>0</v>
      </c>
      <c r="AI345" s="13">
        <f t="shared" si="16"/>
        <v>1</v>
      </c>
      <c r="AJ345" s="7">
        <f>+'Pegar ML'!T341</f>
        <v>0</v>
      </c>
      <c r="AK345" s="27"/>
      <c r="AL345" s="27"/>
      <c r="AM345" s="27"/>
      <c r="AN345" s="27"/>
      <c r="AO345" s="27"/>
      <c r="AP345" s="27"/>
      <c r="AQ345" s="27"/>
      <c r="AR345" s="27"/>
      <c r="AS345" s="27">
        <v>17</v>
      </c>
    </row>
    <row r="346" spans="1:45" ht="15" customHeight="1" x14ac:dyDescent="0.25">
      <c r="A346" s="27">
        <f>IF('Pegar ML'!C341="Paquete de 2 productos",'Pegar ML'!A341,IF('Pegar ML'!C340="Paquete de 2 productos",'Pegar ML'!A340,'Pegar ML'!A342))</f>
        <v>0</v>
      </c>
      <c r="B346" s="27"/>
      <c r="C346" s="30" t="str">
        <f>IF(AjusteFecha!I342=0,"",AjusteFecha!I342)</f>
        <v/>
      </c>
      <c r="D346" s="27"/>
      <c r="E346" s="27"/>
      <c r="F346" s="27" t="str">
        <f>IF('Pegar ML'!C342="","",'Pegar ML'!C342)</f>
        <v/>
      </c>
      <c r="G346" s="27" t="str">
        <f>IF('Pegar ML'!G337="ARS","PS","PS")</f>
        <v>PS</v>
      </c>
      <c r="H346" s="14">
        <f>IF('Pegar ML'!C341="Paquete de 2 productos",IF('Pegar ML'!H341="",0,'Pegar ML'!H341),IF('Pegar ML'!H342="",0,'Pegar ML'!H342))</f>
        <v>0</v>
      </c>
      <c r="I346" s="14">
        <f>IF('Pegar ML'!C341="Paquete de 2 productos",IF('Pegar ML'!O341="",0,'Pegar ML'!O341),IF('Pegar ML'!O342="",0,'Pegar ML'!O342))</f>
        <v>0</v>
      </c>
      <c r="J346" s="14">
        <f>IF('Pegar ML'!C341="Paquete de 2 productos",IF('Pegar ML'!O341="",0,'Pegar ML'!O341),IF('Pegar ML'!O342="",0,'Pegar ML'!O342))</f>
        <v>0</v>
      </c>
      <c r="K346" s="14">
        <f t="shared" si="17"/>
        <v>0</v>
      </c>
      <c r="L346" s="27">
        <f>IF('Pegar ML'!AB342=" ",'Pegar ML'!AB341,'Pegar ML'!AB342)</f>
        <v>0</v>
      </c>
      <c r="M346" s="27" t="str">
        <f>IF('Pegar ML'!AC342=" ",RIGHT('Pegar ML'!AC341,8),RIGHT('Pegar ML'!AC342,8))</f>
        <v/>
      </c>
      <c r="N346" s="27" t="s">
        <v>80</v>
      </c>
      <c r="O346" s="27">
        <f t="shared" si="15"/>
        <v>0</v>
      </c>
      <c r="P346" s="27" t="s">
        <v>80</v>
      </c>
      <c r="Q346" s="55">
        <f>IF('Pegar ML'!AD342=" ",'Pegar ML'!AD341,'Pegar ML'!AD342)</f>
        <v>0</v>
      </c>
      <c r="R346" s="27" t="s">
        <v>80</v>
      </c>
      <c r="S346" s="27" t="s">
        <v>80</v>
      </c>
      <c r="T346" s="27" t="s">
        <v>80</v>
      </c>
      <c r="U346" s="55">
        <f>IF('Pegar ML'!AI342=" ",'Pegar ML'!AI341,'Pegar ML'!AI342)</f>
        <v>0</v>
      </c>
      <c r="V346" s="55">
        <f>IF('Pegar ML'!AK342=" ",'Pegar ML'!AK341,'Pegar ML'!AK342)</f>
        <v>0</v>
      </c>
      <c r="W346" s="55">
        <f>IF('Pegar ML'!AJ342=" ",'Pegar ML'!AJ341,'Pegar ML'!AJ342)</f>
        <v>0</v>
      </c>
      <c r="X346" s="55">
        <f>IF('Pegar ML'!AL342=" ",'Pegar ML'!AL341,'Pegar ML'!AL342)</f>
        <v>0</v>
      </c>
      <c r="Y346" s="27"/>
      <c r="Z346" s="27"/>
      <c r="AA346" s="27"/>
      <c r="AB346" s="27"/>
      <c r="AC346" s="27"/>
      <c r="AD346" s="27"/>
      <c r="AF346" s="8"/>
      <c r="AG346" s="27"/>
      <c r="AH346" s="14">
        <f>+'Pegar ML'!Y342</f>
        <v>0</v>
      </c>
      <c r="AI346" s="13">
        <f t="shared" si="16"/>
        <v>1</v>
      </c>
      <c r="AJ346" s="7">
        <f>+'Pegar ML'!T342</f>
        <v>0</v>
      </c>
      <c r="AK346" s="27"/>
      <c r="AL346" s="27"/>
      <c r="AM346" s="27"/>
      <c r="AN346" s="27"/>
      <c r="AO346" s="27"/>
      <c r="AP346" s="27"/>
      <c r="AQ346" s="27"/>
      <c r="AR346" s="27"/>
      <c r="AS346" s="27">
        <v>17</v>
      </c>
    </row>
    <row r="347" spans="1:45" ht="15" customHeight="1" x14ac:dyDescent="0.25">
      <c r="A347" s="27">
        <f>IF('Pegar ML'!C342="Paquete de 2 productos",'Pegar ML'!A342,IF('Pegar ML'!C341="Paquete de 2 productos",'Pegar ML'!A341,'Pegar ML'!A343))</f>
        <v>0</v>
      </c>
      <c r="B347" s="27"/>
      <c r="C347" s="30" t="str">
        <f>IF(AjusteFecha!I343=0,"",AjusteFecha!I343)</f>
        <v/>
      </c>
      <c r="D347" s="27"/>
      <c r="E347" s="27"/>
      <c r="F347" s="27" t="str">
        <f>IF('Pegar ML'!C343="","",'Pegar ML'!C343)</f>
        <v/>
      </c>
      <c r="G347" s="27" t="str">
        <f>IF('Pegar ML'!G338="ARS","PS","PS")</f>
        <v>PS</v>
      </c>
      <c r="H347" s="14">
        <f>IF('Pegar ML'!C342="Paquete de 2 productos",IF('Pegar ML'!H342="",0,'Pegar ML'!H342),IF('Pegar ML'!H343="",0,'Pegar ML'!H343))</f>
        <v>0</v>
      </c>
      <c r="I347" s="14">
        <f>IF('Pegar ML'!C342="Paquete de 2 productos",IF('Pegar ML'!O342="",0,'Pegar ML'!O342),IF('Pegar ML'!O343="",0,'Pegar ML'!O343))</f>
        <v>0</v>
      </c>
      <c r="J347" s="14">
        <f>IF('Pegar ML'!C342="Paquete de 2 productos",IF('Pegar ML'!O342="",0,'Pegar ML'!O342),IF('Pegar ML'!O343="",0,'Pegar ML'!O343))</f>
        <v>0</v>
      </c>
      <c r="K347" s="14">
        <f t="shared" si="17"/>
        <v>0</v>
      </c>
      <c r="L347" s="27">
        <f>IF('Pegar ML'!AB343=" ",'Pegar ML'!AB342,'Pegar ML'!AB343)</f>
        <v>0</v>
      </c>
      <c r="M347" s="27" t="str">
        <f>IF('Pegar ML'!AC343=" ",RIGHT('Pegar ML'!AC342,8),RIGHT('Pegar ML'!AC343,8))</f>
        <v/>
      </c>
      <c r="N347" s="27" t="s">
        <v>80</v>
      </c>
      <c r="O347" s="27">
        <f t="shared" si="15"/>
        <v>0</v>
      </c>
      <c r="P347" s="27" t="s">
        <v>80</v>
      </c>
      <c r="Q347" s="55">
        <f>IF('Pegar ML'!AD343=" ",'Pegar ML'!AD342,'Pegar ML'!AD343)</f>
        <v>0</v>
      </c>
      <c r="R347" s="27" t="s">
        <v>80</v>
      </c>
      <c r="S347" s="27" t="s">
        <v>80</v>
      </c>
      <c r="T347" s="27" t="s">
        <v>80</v>
      </c>
      <c r="U347" s="55">
        <f>IF('Pegar ML'!AI343=" ",'Pegar ML'!AI342,'Pegar ML'!AI343)</f>
        <v>0</v>
      </c>
      <c r="V347" s="55">
        <f>IF('Pegar ML'!AK343=" ",'Pegar ML'!AK342,'Pegar ML'!AK343)</f>
        <v>0</v>
      </c>
      <c r="W347" s="55">
        <f>IF('Pegar ML'!AJ343=" ",'Pegar ML'!AJ342,'Pegar ML'!AJ343)</f>
        <v>0</v>
      </c>
      <c r="X347" s="55">
        <f>IF('Pegar ML'!AL343=" ",'Pegar ML'!AL342,'Pegar ML'!AL343)</f>
        <v>0</v>
      </c>
      <c r="Y347" s="27"/>
      <c r="Z347" s="27"/>
      <c r="AA347" s="27"/>
      <c r="AB347" s="27"/>
      <c r="AC347" s="27"/>
      <c r="AD347" s="27"/>
      <c r="AF347" s="8"/>
      <c r="AG347" s="27"/>
      <c r="AH347" s="14">
        <f>+'Pegar ML'!Y343</f>
        <v>0</v>
      </c>
      <c r="AI347" s="13">
        <f t="shared" si="16"/>
        <v>1</v>
      </c>
      <c r="AJ347" s="7">
        <f>+'Pegar ML'!T343</f>
        <v>0</v>
      </c>
      <c r="AK347" s="27"/>
      <c r="AL347" s="27"/>
      <c r="AM347" s="27"/>
      <c r="AN347" s="27"/>
      <c r="AO347" s="27"/>
      <c r="AP347" s="27"/>
      <c r="AQ347" s="27"/>
      <c r="AR347" s="27"/>
      <c r="AS347" s="27">
        <v>17</v>
      </c>
    </row>
    <row r="348" spans="1:45" ht="15" customHeight="1" x14ac:dyDescent="0.25">
      <c r="A348" s="27">
        <f>IF('Pegar ML'!C343="Paquete de 2 productos",'Pegar ML'!A343,IF('Pegar ML'!C342="Paquete de 2 productos",'Pegar ML'!A342,'Pegar ML'!A344))</f>
        <v>0</v>
      </c>
      <c r="B348" s="27"/>
      <c r="C348" s="30" t="str">
        <f>IF(AjusteFecha!I344=0,"",AjusteFecha!I344)</f>
        <v/>
      </c>
      <c r="D348" s="27"/>
      <c r="E348" s="27"/>
      <c r="F348" s="27" t="str">
        <f>IF('Pegar ML'!C344="","",'Pegar ML'!C344)</f>
        <v/>
      </c>
      <c r="G348" s="27" t="str">
        <f>IF('Pegar ML'!G339="ARS","PS","PS")</f>
        <v>PS</v>
      </c>
      <c r="H348" s="14">
        <f>IF('Pegar ML'!C343="Paquete de 2 productos",IF('Pegar ML'!H343="",0,'Pegar ML'!H343),IF('Pegar ML'!H344="",0,'Pegar ML'!H344))</f>
        <v>0</v>
      </c>
      <c r="I348" s="14">
        <f>IF('Pegar ML'!C343="Paquete de 2 productos",IF('Pegar ML'!O343="",0,'Pegar ML'!O343),IF('Pegar ML'!O344="",0,'Pegar ML'!O344))</f>
        <v>0</v>
      </c>
      <c r="J348" s="14">
        <f>IF('Pegar ML'!C343="Paquete de 2 productos",IF('Pegar ML'!O343="",0,'Pegar ML'!O343),IF('Pegar ML'!O344="",0,'Pegar ML'!O344))</f>
        <v>0</v>
      </c>
      <c r="K348" s="14">
        <f t="shared" si="17"/>
        <v>0</v>
      </c>
      <c r="L348" s="27">
        <f>IF('Pegar ML'!AB344=" ",'Pegar ML'!AB343,'Pegar ML'!AB344)</f>
        <v>0</v>
      </c>
      <c r="M348" s="27" t="str">
        <f>IF('Pegar ML'!AC344=" ",RIGHT('Pegar ML'!AC343,8),RIGHT('Pegar ML'!AC344,8))</f>
        <v/>
      </c>
      <c r="N348" s="27" t="s">
        <v>80</v>
      </c>
      <c r="O348" s="27">
        <f t="shared" si="15"/>
        <v>0</v>
      </c>
      <c r="P348" s="27" t="s">
        <v>80</v>
      </c>
      <c r="Q348" s="55">
        <f>IF('Pegar ML'!AD344=" ",'Pegar ML'!AD343,'Pegar ML'!AD344)</f>
        <v>0</v>
      </c>
      <c r="R348" s="27" t="s">
        <v>80</v>
      </c>
      <c r="S348" s="27" t="s">
        <v>80</v>
      </c>
      <c r="T348" s="27" t="s">
        <v>80</v>
      </c>
      <c r="U348" s="55">
        <f>IF('Pegar ML'!AI344=" ",'Pegar ML'!AI343,'Pegar ML'!AI344)</f>
        <v>0</v>
      </c>
      <c r="V348" s="55">
        <f>IF('Pegar ML'!AK344=" ",'Pegar ML'!AK343,'Pegar ML'!AK344)</f>
        <v>0</v>
      </c>
      <c r="W348" s="55">
        <f>IF('Pegar ML'!AJ344=" ",'Pegar ML'!AJ343,'Pegar ML'!AJ344)</f>
        <v>0</v>
      </c>
      <c r="X348" s="55">
        <f>IF('Pegar ML'!AL344=" ",'Pegar ML'!AL343,'Pegar ML'!AL344)</f>
        <v>0</v>
      </c>
      <c r="Y348" s="27"/>
      <c r="Z348" s="27"/>
      <c r="AA348" s="27"/>
      <c r="AB348" s="27"/>
      <c r="AC348" s="27"/>
      <c r="AD348" s="27"/>
      <c r="AF348" s="8"/>
      <c r="AG348" s="27"/>
      <c r="AH348" s="14">
        <f>+'Pegar ML'!Y344</f>
        <v>0</v>
      </c>
      <c r="AI348" s="13">
        <f t="shared" si="16"/>
        <v>1</v>
      </c>
      <c r="AJ348" s="7">
        <f>+'Pegar ML'!T344</f>
        <v>0</v>
      </c>
      <c r="AK348" s="27"/>
      <c r="AL348" s="27"/>
      <c r="AM348" s="27"/>
      <c r="AN348" s="27"/>
      <c r="AO348" s="27"/>
      <c r="AP348" s="27"/>
      <c r="AQ348" s="27"/>
      <c r="AR348" s="27"/>
      <c r="AS348" s="27">
        <v>17</v>
      </c>
    </row>
    <row r="349" spans="1:45" ht="15" customHeight="1" x14ac:dyDescent="0.25">
      <c r="A349" s="27">
        <f>IF('Pegar ML'!C344="Paquete de 2 productos",'Pegar ML'!A344,IF('Pegar ML'!C343="Paquete de 2 productos",'Pegar ML'!A343,'Pegar ML'!A345))</f>
        <v>0</v>
      </c>
      <c r="B349" s="27"/>
      <c r="C349" s="30" t="str">
        <f>IF(AjusteFecha!I345=0,"",AjusteFecha!I345)</f>
        <v/>
      </c>
      <c r="D349" s="27"/>
      <c r="E349" s="27"/>
      <c r="F349" s="27" t="str">
        <f>IF('Pegar ML'!C345="","",'Pegar ML'!C345)</f>
        <v/>
      </c>
      <c r="G349" s="27" t="str">
        <f>IF('Pegar ML'!G340="ARS","PS","PS")</f>
        <v>PS</v>
      </c>
      <c r="H349" s="14">
        <f>IF('Pegar ML'!C344="Paquete de 2 productos",IF('Pegar ML'!H344="",0,'Pegar ML'!H344),IF('Pegar ML'!H345="",0,'Pegar ML'!H345))</f>
        <v>0</v>
      </c>
      <c r="I349" s="14">
        <f>IF('Pegar ML'!C344="Paquete de 2 productos",IF('Pegar ML'!O344="",0,'Pegar ML'!O344),IF('Pegar ML'!O345="",0,'Pegar ML'!O345))</f>
        <v>0</v>
      </c>
      <c r="J349" s="14">
        <f>IF('Pegar ML'!C344="Paquete de 2 productos",IF('Pegar ML'!O344="",0,'Pegar ML'!O344),IF('Pegar ML'!O345="",0,'Pegar ML'!O345))</f>
        <v>0</v>
      </c>
      <c r="K349" s="14">
        <f t="shared" si="17"/>
        <v>0</v>
      </c>
      <c r="L349" s="27">
        <f>IF('Pegar ML'!AB345=" ",'Pegar ML'!AB344,'Pegar ML'!AB345)</f>
        <v>0</v>
      </c>
      <c r="M349" s="27" t="str">
        <f>IF('Pegar ML'!AC345=" ",RIGHT('Pegar ML'!AC344,8),RIGHT('Pegar ML'!AC345,8))</f>
        <v/>
      </c>
      <c r="N349" s="27" t="s">
        <v>80</v>
      </c>
      <c r="O349" s="27">
        <f t="shared" si="15"/>
        <v>0</v>
      </c>
      <c r="P349" s="27" t="s">
        <v>80</v>
      </c>
      <c r="Q349" s="55">
        <f>IF('Pegar ML'!AD345=" ",'Pegar ML'!AD344,'Pegar ML'!AD345)</f>
        <v>0</v>
      </c>
      <c r="R349" s="27" t="s">
        <v>80</v>
      </c>
      <c r="S349" s="27" t="s">
        <v>80</v>
      </c>
      <c r="T349" s="27" t="s">
        <v>80</v>
      </c>
      <c r="U349" s="55">
        <f>IF('Pegar ML'!AI345=" ",'Pegar ML'!AI344,'Pegar ML'!AI345)</f>
        <v>0</v>
      </c>
      <c r="V349" s="55">
        <f>IF('Pegar ML'!AK345=" ",'Pegar ML'!AK344,'Pegar ML'!AK345)</f>
        <v>0</v>
      </c>
      <c r="W349" s="55">
        <f>IF('Pegar ML'!AJ345=" ",'Pegar ML'!AJ344,'Pegar ML'!AJ345)</f>
        <v>0</v>
      </c>
      <c r="X349" s="55">
        <f>IF('Pegar ML'!AL345=" ",'Pegar ML'!AL344,'Pegar ML'!AL345)</f>
        <v>0</v>
      </c>
      <c r="Y349" s="27"/>
      <c r="Z349" s="27"/>
      <c r="AA349" s="27"/>
      <c r="AB349" s="27"/>
      <c r="AC349" s="27"/>
      <c r="AD349" s="27"/>
      <c r="AF349" s="8"/>
      <c r="AG349" s="27"/>
      <c r="AH349" s="14">
        <f>+'Pegar ML'!Y345</f>
        <v>0</v>
      </c>
      <c r="AI349" s="13">
        <f t="shared" si="16"/>
        <v>1</v>
      </c>
      <c r="AJ349" s="7">
        <f>+'Pegar ML'!T345</f>
        <v>0</v>
      </c>
      <c r="AK349" s="27"/>
      <c r="AL349" s="27"/>
      <c r="AM349" s="27"/>
      <c r="AN349" s="27"/>
      <c r="AO349" s="27"/>
      <c r="AP349" s="27"/>
      <c r="AQ349" s="27"/>
      <c r="AR349" s="27"/>
      <c r="AS349" s="27">
        <v>17</v>
      </c>
    </row>
    <row r="350" spans="1:45" ht="15" customHeight="1" x14ac:dyDescent="0.25">
      <c r="A350" s="27">
        <f>IF('Pegar ML'!C345="Paquete de 2 productos",'Pegar ML'!A345,IF('Pegar ML'!C344="Paquete de 2 productos",'Pegar ML'!A344,'Pegar ML'!A346))</f>
        <v>0</v>
      </c>
      <c r="B350" s="27"/>
      <c r="C350" s="30" t="str">
        <f>IF(AjusteFecha!I346=0,"",AjusteFecha!I346)</f>
        <v/>
      </c>
      <c r="D350" s="27"/>
      <c r="E350" s="27"/>
      <c r="F350" s="27" t="str">
        <f>IF('Pegar ML'!C346="","",'Pegar ML'!C346)</f>
        <v/>
      </c>
      <c r="G350" s="27" t="str">
        <f>IF('Pegar ML'!G341="ARS","PS","PS")</f>
        <v>PS</v>
      </c>
      <c r="H350" s="14">
        <f>IF('Pegar ML'!C345="Paquete de 2 productos",IF('Pegar ML'!H345="",0,'Pegar ML'!H345),IF('Pegar ML'!H346="",0,'Pegar ML'!H346))</f>
        <v>0</v>
      </c>
      <c r="I350" s="14">
        <f>IF('Pegar ML'!C345="Paquete de 2 productos",IF('Pegar ML'!O345="",0,'Pegar ML'!O345),IF('Pegar ML'!O346="",0,'Pegar ML'!O346))</f>
        <v>0</v>
      </c>
      <c r="J350" s="14">
        <f>IF('Pegar ML'!C345="Paquete de 2 productos",IF('Pegar ML'!O345="",0,'Pegar ML'!O345),IF('Pegar ML'!O346="",0,'Pegar ML'!O346))</f>
        <v>0</v>
      </c>
      <c r="K350" s="14">
        <f t="shared" si="17"/>
        <v>0</v>
      </c>
      <c r="L350" s="27">
        <f>IF('Pegar ML'!AB346=" ",'Pegar ML'!AB345,'Pegar ML'!AB346)</f>
        <v>0</v>
      </c>
      <c r="M350" s="27" t="str">
        <f>IF('Pegar ML'!AC346=" ",RIGHT('Pegar ML'!AC345,8),RIGHT('Pegar ML'!AC346,8))</f>
        <v/>
      </c>
      <c r="N350" s="27" t="s">
        <v>80</v>
      </c>
      <c r="O350" s="27">
        <f t="shared" si="15"/>
        <v>0</v>
      </c>
      <c r="P350" s="27" t="s">
        <v>80</v>
      </c>
      <c r="Q350" s="55">
        <f>IF('Pegar ML'!AD346=" ",'Pegar ML'!AD345,'Pegar ML'!AD346)</f>
        <v>0</v>
      </c>
      <c r="R350" s="27" t="s">
        <v>80</v>
      </c>
      <c r="S350" s="27" t="s">
        <v>80</v>
      </c>
      <c r="T350" s="27" t="s">
        <v>80</v>
      </c>
      <c r="U350" s="55">
        <f>IF('Pegar ML'!AI346=" ",'Pegar ML'!AI345,'Pegar ML'!AI346)</f>
        <v>0</v>
      </c>
      <c r="V350" s="55">
        <f>IF('Pegar ML'!AK346=" ",'Pegar ML'!AK345,'Pegar ML'!AK346)</f>
        <v>0</v>
      </c>
      <c r="W350" s="55">
        <f>IF('Pegar ML'!AJ346=" ",'Pegar ML'!AJ345,'Pegar ML'!AJ346)</f>
        <v>0</v>
      </c>
      <c r="X350" s="55">
        <f>IF('Pegar ML'!AL346=" ",'Pegar ML'!AL345,'Pegar ML'!AL346)</f>
        <v>0</v>
      </c>
      <c r="Y350" s="27"/>
      <c r="Z350" s="27"/>
      <c r="AA350" s="27"/>
      <c r="AB350" s="27"/>
      <c r="AC350" s="27"/>
      <c r="AD350" s="27"/>
      <c r="AF350" s="8"/>
      <c r="AG350" s="27"/>
      <c r="AH350" s="14">
        <f>+'Pegar ML'!Y346</f>
        <v>0</v>
      </c>
      <c r="AI350" s="13">
        <f t="shared" si="16"/>
        <v>1</v>
      </c>
      <c r="AJ350" s="7">
        <f>+'Pegar ML'!T346</f>
        <v>0</v>
      </c>
      <c r="AK350" s="27"/>
      <c r="AL350" s="27"/>
      <c r="AM350" s="27"/>
      <c r="AN350" s="27"/>
      <c r="AO350" s="27"/>
      <c r="AP350" s="27"/>
      <c r="AQ350" s="27"/>
      <c r="AR350" s="27"/>
      <c r="AS350" s="27">
        <v>17</v>
      </c>
    </row>
    <row r="351" spans="1:45" ht="15" customHeight="1" x14ac:dyDescent="0.25">
      <c r="A351" s="27">
        <f>IF('Pegar ML'!C346="Paquete de 2 productos",'Pegar ML'!A346,IF('Pegar ML'!C345="Paquete de 2 productos",'Pegar ML'!A345,'Pegar ML'!A347))</f>
        <v>0</v>
      </c>
      <c r="B351" s="27"/>
      <c r="C351" s="30" t="str">
        <f>IF(AjusteFecha!I347=0,"",AjusteFecha!I347)</f>
        <v/>
      </c>
      <c r="D351" s="27"/>
      <c r="E351" s="27"/>
      <c r="F351" s="27" t="str">
        <f>IF('Pegar ML'!C347="","",'Pegar ML'!C347)</f>
        <v/>
      </c>
      <c r="G351" s="27" t="str">
        <f>IF('Pegar ML'!G342="ARS","PS","PS")</f>
        <v>PS</v>
      </c>
      <c r="H351" s="14">
        <f>IF('Pegar ML'!C346="Paquete de 2 productos",IF('Pegar ML'!H346="",0,'Pegar ML'!H346),IF('Pegar ML'!H347="",0,'Pegar ML'!H347))</f>
        <v>0</v>
      </c>
      <c r="I351" s="14">
        <f>IF('Pegar ML'!C346="Paquete de 2 productos",IF('Pegar ML'!O346="",0,'Pegar ML'!O346),IF('Pegar ML'!O347="",0,'Pegar ML'!O347))</f>
        <v>0</v>
      </c>
      <c r="J351" s="14">
        <f>IF('Pegar ML'!C346="Paquete de 2 productos",IF('Pegar ML'!O346="",0,'Pegar ML'!O346),IF('Pegar ML'!O347="",0,'Pegar ML'!O347))</f>
        <v>0</v>
      </c>
      <c r="K351" s="14">
        <f t="shared" si="17"/>
        <v>0</v>
      </c>
      <c r="L351" s="27">
        <f>IF('Pegar ML'!AB347=" ",'Pegar ML'!AB346,'Pegar ML'!AB347)</f>
        <v>0</v>
      </c>
      <c r="M351" s="27" t="str">
        <f>IF('Pegar ML'!AC347=" ",RIGHT('Pegar ML'!AC346,8),RIGHT('Pegar ML'!AC347,8))</f>
        <v/>
      </c>
      <c r="N351" s="27" t="s">
        <v>80</v>
      </c>
      <c r="O351" s="27">
        <f t="shared" si="15"/>
        <v>0</v>
      </c>
      <c r="P351" s="27" t="s">
        <v>80</v>
      </c>
      <c r="Q351" s="55">
        <f>IF('Pegar ML'!AD347=" ",'Pegar ML'!AD346,'Pegar ML'!AD347)</f>
        <v>0</v>
      </c>
      <c r="R351" s="27" t="s">
        <v>80</v>
      </c>
      <c r="S351" s="27" t="s">
        <v>80</v>
      </c>
      <c r="T351" s="27" t="s">
        <v>80</v>
      </c>
      <c r="U351" s="55">
        <f>IF('Pegar ML'!AI347=" ",'Pegar ML'!AI346,'Pegar ML'!AI347)</f>
        <v>0</v>
      </c>
      <c r="V351" s="55">
        <f>IF('Pegar ML'!AK347=" ",'Pegar ML'!AK346,'Pegar ML'!AK347)</f>
        <v>0</v>
      </c>
      <c r="W351" s="55">
        <f>IF('Pegar ML'!AJ347=" ",'Pegar ML'!AJ346,'Pegar ML'!AJ347)</f>
        <v>0</v>
      </c>
      <c r="X351" s="55">
        <f>IF('Pegar ML'!AL347=" ",'Pegar ML'!AL346,'Pegar ML'!AL347)</f>
        <v>0</v>
      </c>
      <c r="Y351" s="27"/>
      <c r="Z351" s="27"/>
      <c r="AA351" s="27"/>
      <c r="AB351" s="27"/>
      <c r="AC351" s="27"/>
      <c r="AD351" s="27"/>
      <c r="AF351" s="8"/>
      <c r="AG351" s="27"/>
      <c r="AH351" s="14">
        <f>+'Pegar ML'!Y347</f>
        <v>0</v>
      </c>
      <c r="AI351" s="13">
        <f t="shared" si="16"/>
        <v>1</v>
      </c>
      <c r="AJ351" s="7">
        <f>+'Pegar ML'!T347</f>
        <v>0</v>
      </c>
      <c r="AK351" s="27"/>
      <c r="AL351" s="27"/>
      <c r="AM351" s="27"/>
      <c r="AN351" s="27"/>
      <c r="AO351" s="27"/>
      <c r="AP351" s="27"/>
      <c r="AQ351" s="27"/>
      <c r="AR351" s="27"/>
      <c r="AS351" s="27">
        <v>17</v>
      </c>
    </row>
    <row r="352" spans="1:45" ht="15" customHeight="1" x14ac:dyDescent="0.25">
      <c r="A352" s="27">
        <f>IF('Pegar ML'!C347="Paquete de 2 productos",'Pegar ML'!A347,IF('Pegar ML'!C346="Paquete de 2 productos",'Pegar ML'!A346,'Pegar ML'!A348))</f>
        <v>0</v>
      </c>
      <c r="B352" s="27"/>
      <c r="C352" s="30" t="str">
        <f>IF(AjusteFecha!I348=0,"",AjusteFecha!I348)</f>
        <v/>
      </c>
      <c r="D352" s="27"/>
      <c r="E352" s="27"/>
      <c r="F352" s="27" t="str">
        <f>IF('Pegar ML'!C348="","",'Pegar ML'!C348)</f>
        <v/>
      </c>
      <c r="G352" s="27" t="str">
        <f>IF('Pegar ML'!G343="ARS","PS","PS")</f>
        <v>PS</v>
      </c>
      <c r="H352" s="14">
        <f>IF('Pegar ML'!C347="Paquete de 2 productos",IF('Pegar ML'!H347="",0,'Pegar ML'!H347),IF('Pegar ML'!H348="",0,'Pegar ML'!H348))</f>
        <v>0</v>
      </c>
      <c r="I352" s="14">
        <f>IF('Pegar ML'!C347="Paquete de 2 productos",IF('Pegar ML'!O347="",0,'Pegar ML'!O347),IF('Pegar ML'!O348="",0,'Pegar ML'!O348))</f>
        <v>0</v>
      </c>
      <c r="J352" s="14">
        <f>IF('Pegar ML'!C347="Paquete de 2 productos",IF('Pegar ML'!O347="",0,'Pegar ML'!O347),IF('Pegar ML'!O348="",0,'Pegar ML'!O348))</f>
        <v>0</v>
      </c>
      <c r="K352" s="14">
        <f t="shared" si="17"/>
        <v>0</v>
      </c>
      <c r="L352" s="27">
        <f>IF('Pegar ML'!AB348=" ",'Pegar ML'!AB347,'Pegar ML'!AB348)</f>
        <v>0</v>
      </c>
      <c r="M352" s="27" t="str">
        <f>IF('Pegar ML'!AC348=" ",RIGHT('Pegar ML'!AC347,8),RIGHT('Pegar ML'!AC348,8))</f>
        <v/>
      </c>
      <c r="N352" s="27" t="s">
        <v>80</v>
      </c>
      <c r="O352" s="27">
        <f t="shared" si="15"/>
        <v>0</v>
      </c>
      <c r="P352" s="27" t="s">
        <v>80</v>
      </c>
      <c r="Q352" s="55">
        <f>IF('Pegar ML'!AD348=" ",'Pegar ML'!AD347,'Pegar ML'!AD348)</f>
        <v>0</v>
      </c>
      <c r="R352" s="27" t="s">
        <v>80</v>
      </c>
      <c r="S352" s="27" t="s">
        <v>80</v>
      </c>
      <c r="T352" s="27" t="s">
        <v>80</v>
      </c>
      <c r="U352" s="55">
        <f>IF('Pegar ML'!AI348=" ",'Pegar ML'!AI347,'Pegar ML'!AI348)</f>
        <v>0</v>
      </c>
      <c r="V352" s="55">
        <f>IF('Pegar ML'!AK348=" ",'Pegar ML'!AK347,'Pegar ML'!AK348)</f>
        <v>0</v>
      </c>
      <c r="W352" s="55">
        <f>IF('Pegar ML'!AJ348=" ",'Pegar ML'!AJ347,'Pegar ML'!AJ348)</f>
        <v>0</v>
      </c>
      <c r="X352" s="55">
        <f>IF('Pegar ML'!AL348=" ",'Pegar ML'!AL347,'Pegar ML'!AL348)</f>
        <v>0</v>
      </c>
      <c r="Y352" s="27"/>
      <c r="Z352" s="27"/>
      <c r="AA352" s="27"/>
      <c r="AB352" s="27"/>
      <c r="AC352" s="27"/>
      <c r="AD352" s="27"/>
      <c r="AF352" s="8"/>
      <c r="AG352" s="27"/>
      <c r="AH352" s="14">
        <f>+'Pegar ML'!Y348</f>
        <v>0</v>
      </c>
      <c r="AI352" s="13">
        <f t="shared" si="16"/>
        <v>1</v>
      </c>
      <c r="AJ352" s="7">
        <f>+'Pegar ML'!T348</f>
        <v>0</v>
      </c>
      <c r="AK352" s="27"/>
      <c r="AL352" s="27"/>
      <c r="AM352" s="27"/>
      <c r="AN352" s="27"/>
      <c r="AO352" s="27"/>
      <c r="AP352" s="27"/>
      <c r="AQ352" s="27"/>
      <c r="AR352" s="27"/>
      <c r="AS352" s="27">
        <v>17</v>
      </c>
    </row>
    <row r="353" spans="1:45" ht="15" customHeight="1" x14ac:dyDescent="0.25">
      <c r="A353" s="27">
        <f>IF('Pegar ML'!C348="Paquete de 2 productos",'Pegar ML'!A348,IF('Pegar ML'!C347="Paquete de 2 productos",'Pegar ML'!A347,'Pegar ML'!A349))</f>
        <v>0</v>
      </c>
      <c r="B353" s="27"/>
      <c r="C353" s="30" t="str">
        <f>IF(AjusteFecha!I349=0,"",AjusteFecha!I349)</f>
        <v/>
      </c>
      <c r="D353" s="27"/>
      <c r="E353" s="27"/>
      <c r="F353" s="27" t="str">
        <f>IF('Pegar ML'!C349="","",'Pegar ML'!C349)</f>
        <v/>
      </c>
      <c r="G353" s="27" t="str">
        <f>IF('Pegar ML'!G344="ARS","PS","PS")</f>
        <v>PS</v>
      </c>
      <c r="H353" s="14">
        <f>IF('Pegar ML'!C348="Paquete de 2 productos",IF('Pegar ML'!H348="",0,'Pegar ML'!H348),IF('Pegar ML'!H349="",0,'Pegar ML'!H349))</f>
        <v>0</v>
      </c>
      <c r="I353" s="14">
        <f>IF('Pegar ML'!C348="Paquete de 2 productos",IF('Pegar ML'!O348="",0,'Pegar ML'!O348),IF('Pegar ML'!O349="",0,'Pegar ML'!O349))</f>
        <v>0</v>
      </c>
      <c r="J353" s="14">
        <f>IF('Pegar ML'!C348="Paquete de 2 productos",IF('Pegar ML'!O348="",0,'Pegar ML'!O348),IF('Pegar ML'!O349="",0,'Pegar ML'!O349))</f>
        <v>0</v>
      </c>
      <c r="K353" s="14">
        <f t="shared" si="17"/>
        <v>0</v>
      </c>
      <c r="L353" s="27">
        <f>IF('Pegar ML'!AB349=" ",'Pegar ML'!AB348,'Pegar ML'!AB349)</f>
        <v>0</v>
      </c>
      <c r="M353" s="27" t="str">
        <f>IF('Pegar ML'!AC349=" ",RIGHT('Pegar ML'!AC348,8),RIGHT('Pegar ML'!AC349,8))</f>
        <v/>
      </c>
      <c r="N353" s="27" t="s">
        <v>80</v>
      </c>
      <c r="O353" s="27">
        <f t="shared" si="15"/>
        <v>0</v>
      </c>
      <c r="P353" s="27" t="s">
        <v>80</v>
      </c>
      <c r="Q353" s="55">
        <f>IF('Pegar ML'!AD349=" ",'Pegar ML'!AD348,'Pegar ML'!AD349)</f>
        <v>0</v>
      </c>
      <c r="R353" s="27" t="s">
        <v>80</v>
      </c>
      <c r="S353" s="27" t="s">
        <v>80</v>
      </c>
      <c r="T353" s="27" t="s">
        <v>80</v>
      </c>
      <c r="U353" s="55">
        <f>IF('Pegar ML'!AI349=" ",'Pegar ML'!AI348,'Pegar ML'!AI349)</f>
        <v>0</v>
      </c>
      <c r="V353" s="55">
        <f>IF('Pegar ML'!AK349=" ",'Pegar ML'!AK348,'Pegar ML'!AK349)</f>
        <v>0</v>
      </c>
      <c r="W353" s="55">
        <f>IF('Pegar ML'!AJ349=" ",'Pegar ML'!AJ348,'Pegar ML'!AJ349)</f>
        <v>0</v>
      </c>
      <c r="X353" s="55">
        <f>IF('Pegar ML'!AL349=" ",'Pegar ML'!AL348,'Pegar ML'!AL349)</f>
        <v>0</v>
      </c>
      <c r="Y353" s="27"/>
      <c r="Z353" s="27"/>
      <c r="AA353" s="27"/>
      <c r="AB353" s="27"/>
      <c r="AC353" s="27"/>
      <c r="AD353" s="27"/>
      <c r="AF353" s="8"/>
      <c r="AG353" s="27"/>
      <c r="AH353" s="14">
        <f>+'Pegar ML'!Y349</f>
        <v>0</v>
      </c>
      <c r="AI353" s="13">
        <f t="shared" si="16"/>
        <v>1</v>
      </c>
      <c r="AJ353" s="7">
        <f>+'Pegar ML'!T349</f>
        <v>0</v>
      </c>
      <c r="AK353" s="27"/>
      <c r="AL353" s="27"/>
      <c r="AM353" s="27"/>
      <c r="AN353" s="27"/>
      <c r="AO353" s="27"/>
      <c r="AP353" s="27"/>
      <c r="AQ353" s="27"/>
      <c r="AR353" s="27"/>
      <c r="AS353" s="27">
        <v>17</v>
      </c>
    </row>
    <row r="354" spans="1:45" ht="15" customHeight="1" x14ac:dyDescent="0.25">
      <c r="A354" s="27">
        <f>IF('Pegar ML'!C349="Paquete de 2 productos",'Pegar ML'!A349,IF('Pegar ML'!C348="Paquete de 2 productos",'Pegar ML'!A348,'Pegar ML'!A350))</f>
        <v>0</v>
      </c>
      <c r="B354" s="27"/>
      <c r="C354" s="30" t="str">
        <f>IF(AjusteFecha!I350=0,"",AjusteFecha!I350)</f>
        <v/>
      </c>
      <c r="D354" s="27"/>
      <c r="E354" s="27"/>
      <c r="F354" s="27" t="str">
        <f>IF('Pegar ML'!C350="","",'Pegar ML'!C350)</f>
        <v/>
      </c>
      <c r="G354" s="27" t="str">
        <f>IF('Pegar ML'!G345="ARS","PS","PS")</f>
        <v>PS</v>
      </c>
      <c r="H354" s="14">
        <f>IF('Pegar ML'!C349="Paquete de 2 productos",IF('Pegar ML'!H349="",0,'Pegar ML'!H349),IF('Pegar ML'!H350="",0,'Pegar ML'!H350))</f>
        <v>0</v>
      </c>
      <c r="I354" s="14">
        <f>IF('Pegar ML'!C349="Paquete de 2 productos",IF('Pegar ML'!O349="",0,'Pegar ML'!O349),IF('Pegar ML'!O350="",0,'Pegar ML'!O350))</f>
        <v>0</v>
      </c>
      <c r="J354" s="14">
        <f>IF('Pegar ML'!C349="Paquete de 2 productos",IF('Pegar ML'!O349="",0,'Pegar ML'!O349),IF('Pegar ML'!O350="",0,'Pegar ML'!O350))</f>
        <v>0</v>
      </c>
      <c r="K354" s="14">
        <f t="shared" si="17"/>
        <v>0</v>
      </c>
      <c r="L354" s="27">
        <f>IF('Pegar ML'!AB350=" ",'Pegar ML'!AB349,'Pegar ML'!AB350)</f>
        <v>0</v>
      </c>
      <c r="M354" s="27" t="str">
        <f>IF('Pegar ML'!AC350=" ",RIGHT('Pegar ML'!AC349,8),RIGHT('Pegar ML'!AC350,8))</f>
        <v/>
      </c>
      <c r="N354" s="27" t="s">
        <v>80</v>
      </c>
      <c r="O354" s="27">
        <f t="shared" si="15"/>
        <v>0</v>
      </c>
      <c r="P354" s="27" t="s">
        <v>80</v>
      </c>
      <c r="Q354" s="55">
        <f>IF('Pegar ML'!AD350=" ",'Pegar ML'!AD349,'Pegar ML'!AD350)</f>
        <v>0</v>
      </c>
      <c r="R354" s="27" t="s">
        <v>80</v>
      </c>
      <c r="S354" s="27" t="s">
        <v>80</v>
      </c>
      <c r="T354" s="27" t="s">
        <v>80</v>
      </c>
      <c r="U354" s="55">
        <f>IF('Pegar ML'!AI350=" ",'Pegar ML'!AI349,'Pegar ML'!AI350)</f>
        <v>0</v>
      </c>
      <c r="V354" s="55">
        <f>IF('Pegar ML'!AK350=" ",'Pegar ML'!AK349,'Pegar ML'!AK350)</f>
        <v>0</v>
      </c>
      <c r="W354" s="55">
        <f>IF('Pegar ML'!AJ350=" ",'Pegar ML'!AJ349,'Pegar ML'!AJ350)</f>
        <v>0</v>
      </c>
      <c r="X354" s="55">
        <f>IF('Pegar ML'!AL350=" ",'Pegar ML'!AL349,'Pegar ML'!AL350)</f>
        <v>0</v>
      </c>
      <c r="Y354" s="27"/>
      <c r="Z354" s="27"/>
      <c r="AA354" s="27"/>
      <c r="AB354" s="27"/>
      <c r="AC354" s="27"/>
      <c r="AD354" s="27"/>
      <c r="AF354" s="8"/>
      <c r="AG354" s="27"/>
      <c r="AH354" s="14">
        <f>+'Pegar ML'!Y350</f>
        <v>0</v>
      </c>
      <c r="AI354" s="13">
        <f t="shared" si="16"/>
        <v>1</v>
      </c>
      <c r="AJ354" s="7">
        <f>+'Pegar ML'!T350</f>
        <v>0</v>
      </c>
      <c r="AK354" s="27"/>
      <c r="AL354" s="27"/>
      <c r="AM354" s="27"/>
      <c r="AN354" s="27"/>
      <c r="AO354" s="27"/>
      <c r="AP354" s="27"/>
      <c r="AQ354" s="27"/>
      <c r="AR354" s="27"/>
      <c r="AS354" s="27">
        <v>17</v>
      </c>
    </row>
    <row r="355" spans="1:45" ht="15" customHeight="1" x14ac:dyDescent="0.25">
      <c r="A355" s="27">
        <f>IF('Pegar ML'!C350="Paquete de 2 productos",'Pegar ML'!A350,IF('Pegar ML'!C349="Paquete de 2 productos",'Pegar ML'!A349,'Pegar ML'!A351))</f>
        <v>0</v>
      </c>
      <c r="B355" s="27"/>
      <c r="C355" s="30" t="str">
        <f>IF(AjusteFecha!I351=0,"",AjusteFecha!I351)</f>
        <v/>
      </c>
      <c r="D355" s="27"/>
      <c r="E355" s="27"/>
      <c r="F355" s="27" t="str">
        <f>IF('Pegar ML'!C351="","",'Pegar ML'!C351)</f>
        <v/>
      </c>
      <c r="G355" s="27" t="str">
        <f>IF('Pegar ML'!G346="ARS","PS","PS")</f>
        <v>PS</v>
      </c>
      <c r="H355" s="14">
        <f>IF('Pegar ML'!C350="Paquete de 2 productos",IF('Pegar ML'!H350="",0,'Pegar ML'!H350),IF('Pegar ML'!H351="",0,'Pegar ML'!H351))</f>
        <v>0</v>
      </c>
      <c r="I355" s="14">
        <f>IF('Pegar ML'!C350="Paquete de 2 productos",IF('Pegar ML'!O350="",0,'Pegar ML'!O350),IF('Pegar ML'!O351="",0,'Pegar ML'!O351))</f>
        <v>0</v>
      </c>
      <c r="J355" s="14">
        <f>IF('Pegar ML'!C350="Paquete de 2 productos",IF('Pegar ML'!O350="",0,'Pegar ML'!O350),IF('Pegar ML'!O351="",0,'Pegar ML'!O351))</f>
        <v>0</v>
      </c>
      <c r="K355" s="14">
        <f t="shared" si="17"/>
        <v>0</v>
      </c>
      <c r="L355" s="27">
        <f>IF('Pegar ML'!AB351=" ",'Pegar ML'!AB350,'Pegar ML'!AB351)</f>
        <v>0</v>
      </c>
      <c r="M355" s="27" t="str">
        <f>IF('Pegar ML'!AC351=" ",RIGHT('Pegar ML'!AC350,8),RIGHT('Pegar ML'!AC351,8))</f>
        <v/>
      </c>
      <c r="N355" s="27" t="s">
        <v>80</v>
      </c>
      <c r="O355" s="27">
        <f t="shared" si="15"/>
        <v>0</v>
      </c>
      <c r="P355" s="27" t="s">
        <v>80</v>
      </c>
      <c r="Q355" s="55">
        <f>IF('Pegar ML'!AD351=" ",'Pegar ML'!AD350,'Pegar ML'!AD351)</f>
        <v>0</v>
      </c>
      <c r="R355" s="27" t="s">
        <v>80</v>
      </c>
      <c r="S355" s="27" t="s">
        <v>80</v>
      </c>
      <c r="T355" s="27" t="s">
        <v>80</v>
      </c>
      <c r="U355" s="55">
        <f>IF('Pegar ML'!AI351=" ",'Pegar ML'!AI350,'Pegar ML'!AI351)</f>
        <v>0</v>
      </c>
      <c r="V355" s="55">
        <f>IF('Pegar ML'!AK351=" ",'Pegar ML'!AK350,'Pegar ML'!AK351)</f>
        <v>0</v>
      </c>
      <c r="W355" s="55">
        <f>IF('Pegar ML'!AJ351=" ",'Pegar ML'!AJ350,'Pegar ML'!AJ351)</f>
        <v>0</v>
      </c>
      <c r="X355" s="55">
        <f>IF('Pegar ML'!AL351=" ",'Pegar ML'!AL350,'Pegar ML'!AL351)</f>
        <v>0</v>
      </c>
      <c r="Y355" s="27"/>
      <c r="Z355" s="27"/>
      <c r="AA355" s="27"/>
      <c r="AB355" s="27"/>
      <c r="AC355" s="27"/>
      <c r="AD355" s="27"/>
      <c r="AF355" s="8"/>
      <c r="AG355" s="27"/>
      <c r="AH355" s="14">
        <f>+'Pegar ML'!Y351</f>
        <v>0</v>
      </c>
      <c r="AI355" s="13">
        <f t="shared" si="16"/>
        <v>1</v>
      </c>
      <c r="AJ355" s="7">
        <f>+'Pegar ML'!T351</f>
        <v>0</v>
      </c>
      <c r="AK355" s="27"/>
      <c r="AL355" s="27"/>
      <c r="AM355" s="27"/>
      <c r="AN355" s="27"/>
      <c r="AO355" s="27"/>
      <c r="AP355" s="27"/>
      <c r="AQ355" s="27"/>
      <c r="AR355" s="27"/>
      <c r="AS355" s="27">
        <v>17</v>
      </c>
    </row>
    <row r="356" spans="1:45" ht="15" customHeight="1" x14ac:dyDescent="0.25">
      <c r="A356" s="27">
        <f>IF('Pegar ML'!C351="Paquete de 2 productos",'Pegar ML'!A351,IF('Pegar ML'!C350="Paquete de 2 productos",'Pegar ML'!A350,'Pegar ML'!A352))</f>
        <v>0</v>
      </c>
      <c r="B356" s="27"/>
      <c r="C356" s="30" t="str">
        <f>IF(AjusteFecha!I352=0,"",AjusteFecha!I352)</f>
        <v/>
      </c>
      <c r="D356" s="27"/>
      <c r="E356" s="27"/>
      <c r="F356" s="27" t="str">
        <f>IF('Pegar ML'!C352="","",'Pegar ML'!C352)</f>
        <v/>
      </c>
      <c r="G356" s="27" t="str">
        <f>IF('Pegar ML'!G347="ARS","PS","PS")</f>
        <v>PS</v>
      </c>
      <c r="H356" s="14">
        <f>IF('Pegar ML'!C351="Paquete de 2 productos",IF('Pegar ML'!H351="",0,'Pegar ML'!H351),IF('Pegar ML'!H352="",0,'Pegar ML'!H352))</f>
        <v>0</v>
      </c>
      <c r="I356" s="14">
        <f>IF('Pegar ML'!C351="Paquete de 2 productos",IF('Pegar ML'!O351="",0,'Pegar ML'!O351),IF('Pegar ML'!O352="",0,'Pegar ML'!O352))</f>
        <v>0</v>
      </c>
      <c r="J356" s="14">
        <f>IF('Pegar ML'!C351="Paquete de 2 productos",IF('Pegar ML'!O351="",0,'Pegar ML'!O351),IF('Pegar ML'!O352="",0,'Pegar ML'!O352))</f>
        <v>0</v>
      </c>
      <c r="K356" s="14">
        <f t="shared" si="17"/>
        <v>0</v>
      </c>
      <c r="L356" s="27">
        <f>IF('Pegar ML'!AB352=" ",'Pegar ML'!AB351,'Pegar ML'!AB352)</f>
        <v>0</v>
      </c>
      <c r="M356" s="27" t="str">
        <f>IF('Pegar ML'!AC352=" ",RIGHT('Pegar ML'!AC351,8),RIGHT('Pegar ML'!AC352,8))</f>
        <v/>
      </c>
      <c r="N356" s="27" t="s">
        <v>80</v>
      </c>
      <c r="O356" s="27">
        <f t="shared" si="15"/>
        <v>0</v>
      </c>
      <c r="P356" s="27" t="s">
        <v>80</v>
      </c>
      <c r="Q356" s="55">
        <f>IF('Pegar ML'!AD352=" ",'Pegar ML'!AD351,'Pegar ML'!AD352)</f>
        <v>0</v>
      </c>
      <c r="R356" s="27" t="s">
        <v>80</v>
      </c>
      <c r="S356" s="27" t="s">
        <v>80</v>
      </c>
      <c r="T356" s="27" t="s">
        <v>80</v>
      </c>
      <c r="U356" s="55">
        <f>IF('Pegar ML'!AI352=" ",'Pegar ML'!AI351,'Pegar ML'!AI352)</f>
        <v>0</v>
      </c>
      <c r="V356" s="55">
        <f>IF('Pegar ML'!AK352=" ",'Pegar ML'!AK351,'Pegar ML'!AK352)</f>
        <v>0</v>
      </c>
      <c r="W356" s="55">
        <f>IF('Pegar ML'!AJ352=" ",'Pegar ML'!AJ351,'Pegar ML'!AJ352)</f>
        <v>0</v>
      </c>
      <c r="X356" s="55">
        <f>IF('Pegar ML'!AL352=" ",'Pegar ML'!AL351,'Pegar ML'!AL352)</f>
        <v>0</v>
      </c>
      <c r="Y356" s="27"/>
      <c r="Z356" s="27"/>
      <c r="AA356" s="27"/>
      <c r="AB356" s="27"/>
      <c r="AC356" s="27"/>
      <c r="AD356" s="27"/>
      <c r="AF356" s="8"/>
      <c r="AG356" s="27"/>
      <c r="AH356" s="14">
        <f>+'Pegar ML'!Y352</f>
        <v>0</v>
      </c>
      <c r="AI356" s="13">
        <f t="shared" si="16"/>
        <v>1</v>
      </c>
      <c r="AJ356" s="7">
        <f>+'Pegar ML'!T352</f>
        <v>0</v>
      </c>
      <c r="AK356" s="27"/>
      <c r="AL356" s="27"/>
      <c r="AM356" s="27"/>
      <c r="AN356" s="27"/>
      <c r="AO356" s="27"/>
      <c r="AP356" s="27"/>
      <c r="AQ356" s="27"/>
      <c r="AR356" s="27"/>
      <c r="AS356" s="27">
        <v>17</v>
      </c>
    </row>
    <row r="357" spans="1:45" ht="15" customHeight="1" x14ac:dyDescent="0.25">
      <c r="A357" s="27">
        <f>IF('Pegar ML'!C352="Paquete de 2 productos",'Pegar ML'!A352,IF('Pegar ML'!C351="Paquete de 2 productos",'Pegar ML'!A351,'Pegar ML'!A353))</f>
        <v>0</v>
      </c>
      <c r="B357" s="27"/>
      <c r="C357" s="30" t="str">
        <f>IF(AjusteFecha!I353=0,"",AjusteFecha!I353)</f>
        <v/>
      </c>
      <c r="D357" s="27"/>
      <c r="E357" s="27"/>
      <c r="F357" s="27" t="str">
        <f>IF('Pegar ML'!C353="","",'Pegar ML'!C353)</f>
        <v/>
      </c>
      <c r="G357" s="27" t="str">
        <f>IF('Pegar ML'!G348="ARS","PS","PS")</f>
        <v>PS</v>
      </c>
      <c r="H357" s="14">
        <f>IF('Pegar ML'!C352="Paquete de 2 productos",IF('Pegar ML'!H352="",0,'Pegar ML'!H352),IF('Pegar ML'!H353="",0,'Pegar ML'!H353))</f>
        <v>0</v>
      </c>
      <c r="I357" s="14">
        <f>IF('Pegar ML'!C352="Paquete de 2 productos",IF('Pegar ML'!O352="",0,'Pegar ML'!O352),IF('Pegar ML'!O353="",0,'Pegar ML'!O353))</f>
        <v>0</v>
      </c>
      <c r="J357" s="14">
        <f>IF('Pegar ML'!C352="Paquete de 2 productos",IF('Pegar ML'!O352="",0,'Pegar ML'!O352),IF('Pegar ML'!O353="",0,'Pegar ML'!O353))</f>
        <v>0</v>
      </c>
      <c r="K357" s="14">
        <f t="shared" si="17"/>
        <v>0</v>
      </c>
      <c r="L357" s="27">
        <f>IF('Pegar ML'!AB353=" ",'Pegar ML'!AB352,'Pegar ML'!AB353)</f>
        <v>0</v>
      </c>
      <c r="M357" s="27" t="str">
        <f>IF('Pegar ML'!AC353=" ",RIGHT('Pegar ML'!AC352,8),RIGHT('Pegar ML'!AC353,8))</f>
        <v/>
      </c>
      <c r="N357" s="27" t="s">
        <v>80</v>
      </c>
      <c r="O357" s="27">
        <f t="shared" si="15"/>
        <v>0</v>
      </c>
      <c r="P357" s="27" t="s">
        <v>80</v>
      </c>
      <c r="Q357" s="55">
        <f>IF('Pegar ML'!AD353=" ",'Pegar ML'!AD352,'Pegar ML'!AD353)</f>
        <v>0</v>
      </c>
      <c r="R357" s="27" t="s">
        <v>80</v>
      </c>
      <c r="S357" s="27" t="s">
        <v>80</v>
      </c>
      <c r="T357" s="27" t="s">
        <v>80</v>
      </c>
      <c r="U357" s="55">
        <f>IF('Pegar ML'!AI353=" ",'Pegar ML'!AI352,'Pegar ML'!AI353)</f>
        <v>0</v>
      </c>
      <c r="V357" s="55">
        <f>IF('Pegar ML'!AK353=" ",'Pegar ML'!AK352,'Pegar ML'!AK353)</f>
        <v>0</v>
      </c>
      <c r="W357" s="55">
        <f>IF('Pegar ML'!AJ353=" ",'Pegar ML'!AJ352,'Pegar ML'!AJ353)</f>
        <v>0</v>
      </c>
      <c r="X357" s="55">
        <f>IF('Pegar ML'!AL353=" ",'Pegar ML'!AL352,'Pegar ML'!AL353)</f>
        <v>0</v>
      </c>
      <c r="Y357" s="27"/>
      <c r="Z357" s="27"/>
      <c r="AA357" s="27"/>
      <c r="AB357" s="27"/>
      <c r="AC357" s="27"/>
      <c r="AD357" s="27"/>
      <c r="AF357" s="8"/>
      <c r="AG357" s="27"/>
      <c r="AH357" s="14">
        <f>+'Pegar ML'!Y353</f>
        <v>0</v>
      </c>
      <c r="AI357" s="13">
        <f t="shared" si="16"/>
        <v>1</v>
      </c>
      <c r="AJ357" s="7">
        <f>+'Pegar ML'!T353</f>
        <v>0</v>
      </c>
      <c r="AK357" s="27"/>
      <c r="AL357" s="27"/>
      <c r="AM357" s="27"/>
      <c r="AN357" s="27"/>
      <c r="AO357" s="27"/>
      <c r="AP357" s="27"/>
      <c r="AQ357" s="27"/>
      <c r="AR357" s="27"/>
      <c r="AS357" s="27">
        <v>17</v>
      </c>
    </row>
    <row r="358" spans="1:45" ht="15" customHeight="1" x14ac:dyDescent="0.25">
      <c r="A358" s="27">
        <f>IF('Pegar ML'!C353="Paquete de 2 productos",'Pegar ML'!A353,IF('Pegar ML'!C352="Paquete de 2 productos",'Pegar ML'!A352,'Pegar ML'!A354))</f>
        <v>0</v>
      </c>
      <c r="B358" s="27"/>
      <c r="C358" s="30" t="str">
        <f>IF(AjusteFecha!I354=0,"",AjusteFecha!I354)</f>
        <v/>
      </c>
      <c r="D358" s="27"/>
      <c r="E358" s="27"/>
      <c r="F358" s="27" t="str">
        <f>IF('Pegar ML'!C354="","",'Pegar ML'!C354)</f>
        <v/>
      </c>
      <c r="G358" s="27" t="str">
        <f>IF('Pegar ML'!G349="ARS","PS","PS")</f>
        <v>PS</v>
      </c>
      <c r="H358" s="14">
        <f>IF('Pegar ML'!C353="Paquete de 2 productos",IF('Pegar ML'!H353="",0,'Pegar ML'!H353),IF('Pegar ML'!H354="",0,'Pegar ML'!H354))</f>
        <v>0</v>
      </c>
      <c r="I358" s="14">
        <f>IF('Pegar ML'!C353="Paquete de 2 productos",IF('Pegar ML'!O353="",0,'Pegar ML'!O353),IF('Pegar ML'!O354="",0,'Pegar ML'!O354))</f>
        <v>0</v>
      </c>
      <c r="J358" s="14">
        <f>IF('Pegar ML'!C353="Paquete de 2 productos",IF('Pegar ML'!O353="",0,'Pegar ML'!O353),IF('Pegar ML'!O354="",0,'Pegar ML'!O354))</f>
        <v>0</v>
      </c>
      <c r="K358" s="14">
        <f t="shared" si="17"/>
        <v>0</v>
      </c>
      <c r="L358" s="27">
        <f>IF('Pegar ML'!AB354=" ",'Pegar ML'!AB353,'Pegar ML'!AB354)</f>
        <v>0</v>
      </c>
      <c r="M358" s="27" t="str">
        <f>IF('Pegar ML'!AC354=" ",RIGHT('Pegar ML'!AC353,8),RIGHT('Pegar ML'!AC354,8))</f>
        <v/>
      </c>
      <c r="N358" s="27" t="s">
        <v>80</v>
      </c>
      <c r="O358" s="27">
        <f t="shared" si="15"/>
        <v>0</v>
      </c>
      <c r="P358" s="27" t="s">
        <v>80</v>
      </c>
      <c r="Q358" s="55">
        <f>IF('Pegar ML'!AD354=" ",'Pegar ML'!AD353,'Pegar ML'!AD354)</f>
        <v>0</v>
      </c>
      <c r="R358" s="27" t="s">
        <v>80</v>
      </c>
      <c r="S358" s="27" t="s">
        <v>80</v>
      </c>
      <c r="T358" s="27" t="s">
        <v>80</v>
      </c>
      <c r="U358" s="55">
        <f>IF('Pegar ML'!AI354=" ",'Pegar ML'!AI353,'Pegar ML'!AI354)</f>
        <v>0</v>
      </c>
      <c r="V358" s="55">
        <f>IF('Pegar ML'!AK354=" ",'Pegar ML'!AK353,'Pegar ML'!AK354)</f>
        <v>0</v>
      </c>
      <c r="W358" s="55">
        <f>IF('Pegar ML'!AJ354=" ",'Pegar ML'!AJ353,'Pegar ML'!AJ354)</f>
        <v>0</v>
      </c>
      <c r="X358" s="55">
        <f>IF('Pegar ML'!AL354=" ",'Pegar ML'!AL353,'Pegar ML'!AL354)</f>
        <v>0</v>
      </c>
      <c r="Y358" s="27"/>
      <c r="Z358" s="27"/>
      <c r="AA358" s="27"/>
      <c r="AB358" s="27"/>
      <c r="AC358" s="27"/>
      <c r="AD358" s="27"/>
      <c r="AF358" s="8"/>
      <c r="AG358" s="27"/>
      <c r="AH358" s="14">
        <f>+'Pegar ML'!Y354</f>
        <v>0</v>
      </c>
      <c r="AI358" s="13">
        <f t="shared" si="16"/>
        <v>1</v>
      </c>
      <c r="AJ358" s="7">
        <f>+'Pegar ML'!T354</f>
        <v>0</v>
      </c>
      <c r="AK358" s="27"/>
      <c r="AL358" s="27"/>
      <c r="AM358" s="27"/>
      <c r="AN358" s="27"/>
      <c r="AO358" s="27"/>
      <c r="AP358" s="27"/>
      <c r="AQ358" s="27"/>
      <c r="AR358" s="27"/>
      <c r="AS358" s="27">
        <v>17</v>
      </c>
    </row>
    <row r="359" spans="1:45" ht="15" customHeight="1" x14ac:dyDescent="0.25">
      <c r="A359" s="27">
        <f>IF('Pegar ML'!C354="Paquete de 2 productos",'Pegar ML'!A354,IF('Pegar ML'!C353="Paquete de 2 productos",'Pegar ML'!A353,'Pegar ML'!A355))</f>
        <v>0</v>
      </c>
      <c r="B359" s="27"/>
      <c r="C359" s="30" t="str">
        <f>IF(AjusteFecha!I355=0,"",AjusteFecha!I355)</f>
        <v/>
      </c>
      <c r="D359" s="27"/>
      <c r="E359" s="27"/>
      <c r="F359" s="27" t="str">
        <f>IF('Pegar ML'!C355="","",'Pegar ML'!C355)</f>
        <v/>
      </c>
      <c r="G359" s="27" t="str">
        <f>IF('Pegar ML'!G350="ARS","PS","PS")</f>
        <v>PS</v>
      </c>
      <c r="H359" s="14">
        <f>IF('Pegar ML'!C354="Paquete de 2 productos",IF('Pegar ML'!H354="",0,'Pegar ML'!H354),IF('Pegar ML'!H355="",0,'Pegar ML'!H355))</f>
        <v>0</v>
      </c>
      <c r="I359" s="14">
        <f>IF('Pegar ML'!C354="Paquete de 2 productos",IF('Pegar ML'!O354="",0,'Pegar ML'!O354),IF('Pegar ML'!O355="",0,'Pegar ML'!O355))</f>
        <v>0</v>
      </c>
      <c r="J359" s="14">
        <f>IF('Pegar ML'!C354="Paquete de 2 productos",IF('Pegar ML'!O354="",0,'Pegar ML'!O354),IF('Pegar ML'!O355="",0,'Pegar ML'!O355))</f>
        <v>0</v>
      </c>
      <c r="K359" s="14">
        <f t="shared" si="17"/>
        <v>0</v>
      </c>
      <c r="L359" s="27">
        <f>IF('Pegar ML'!AB355=" ",'Pegar ML'!AB354,'Pegar ML'!AB355)</f>
        <v>0</v>
      </c>
      <c r="M359" s="27" t="str">
        <f>IF('Pegar ML'!AC355=" ",RIGHT('Pegar ML'!AC354,8),RIGHT('Pegar ML'!AC355,8))</f>
        <v/>
      </c>
      <c r="N359" s="27" t="s">
        <v>80</v>
      </c>
      <c r="O359" s="27">
        <f t="shared" si="15"/>
        <v>0</v>
      </c>
      <c r="P359" s="27" t="s">
        <v>80</v>
      </c>
      <c r="Q359" s="55">
        <f>IF('Pegar ML'!AD355=" ",'Pegar ML'!AD354,'Pegar ML'!AD355)</f>
        <v>0</v>
      </c>
      <c r="R359" s="27" t="s">
        <v>80</v>
      </c>
      <c r="S359" s="27" t="s">
        <v>80</v>
      </c>
      <c r="T359" s="27" t="s">
        <v>80</v>
      </c>
      <c r="U359" s="55">
        <f>IF('Pegar ML'!AI355=" ",'Pegar ML'!AI354,'Pegar ML'!AI355)</f>
        <v>0</v>
      </c>
      <c r="V359" s="55">
        <f>IF('Pegar ML'!AK355=" ",'Pegar ML'!AK354,'Pegar ML'!AK355)</f>
        <v>0</v>
      </c>
      <c r="W359" s="55">
        <f>IF('Pegar ML'!AJ355=" ",'Pegar ML'!AJ354,'Pegar ML'!AJ355)</f>
        <v>0</v>
      </c>
      <c r="X359" s="55">
        <f>IF('Pegar ML'!AL355=" ",'Pegar ML'!AL354,'Pegar ML'!AL355)</f>
        <v>0</v>
      </c>
      <c r="Y359" s="27"/>
      <c r="Z359" s="27"/>
      <c r="AA359" s="27"/>
      <c r="AB359" s="27"/>
      <c r="AC359" s="27"/>
      <c r="AD359" s="27"/>
      <c r="AF359" s="8"/>
      <c r="AG359" s="27"/>
      <c r="AH359" s="14">
        <f>+'Pegar ML'!Y355</f>
        <v>0</v>
      </c>
      <c r="AI359" s="13">
        <f t="shared" si="16"/>
        <v>1</v>
      </c>
      <c r="AJ359" s="7">
        <f>+'Pegar ML'!T355</f>
        <v>0</v>
      </c>
      <c r="AK359" s="27"/>
      <c r="AL359" s="27"/>
      <c r="AM359" s="27"/>
      <c r="AN359" s="27"/>
      <c r="AO359" s="27"/>
      <c r="AP359" s="27"/>
      <c r="AQ359" s="27"/>
      <c r="AR359" s="27"/>
      <c r="AS359" s="27">
        <v>17</v>
      </c>
    </row>
    <row r="360" spans="1:45" ht="15" customHeight="1" x14ac:dyDescent="0.25">
      <c r="A360" s="27">
        <f>IF('Pegar ML'!C355="Paquete de 2 productos",'Pegar ML'!A355,IF('Pegar ML'!C354="Paquete de 2 productos",'Pegar ML'!A354,'Pegar ML'!A356))</f>
        <v>0</v>
      </c>
      <c r="B360" s="27"/>
      <c r="C360" s="30" t="str">
        <f>IF(AjusteFecha!I356=0,"",AjusteFecha!I356)</f>
        <v/>
      </c>
      <c r="D360" s="27"/>
      <c r="E360" s="27"/>
      <c r="F360" s="27" t="str">
        <f>IF('Pegar ML'!C356="","",'Pegar ML'!C356)</f>
        <v/>
      </c>
      <c r="G360" s="27" t="str">
        <f>IF('Pegar ML'!G351="ARS","PS","PS")</f>
        <v>PS</v>
      </c>
      <c r="H360" s="14">
        <f>IF('Pegar ML'!C355="Paquete de 2 productos",IF('Pegar ML'!H355="",0,'Pegar ML'!H355),IF('Pegar ML'!H356="",0,'Pegar ML'!H356))</f>
        <v>0</v>
      </c>
      <c r="I360" s="14">
        <f>IF('Pegar ML'!C355="Paquete de 2 productos",IF('Pegar ML'!O355="",0,'Pegar ML'!O355),IF('Pegar ML'!O356="",0,'Pegar ML'!O356))</f>
        <v>0</v>
      </c>
      <c r="J360" s="14">
        <f>IF('Pegar ML'!C355="Paquete de 2 productos",IF('Pegar ML'!O355="",0,'Pegar ML'!O355),IF('Pegar ML'!O356="",0,'Pegar ML'!O356))</f>
        <v>0</v>
      </c>
      <c r="K360" s="14">
        <f t="shared" si="17"/>
        <v>0</v>
      </c>
      <c r="L360" s="27">
        <f>IF('Pegar ML'!AB356=" ",'Pegar ML'!AB355,'Pegar ML'!AB356)</f>
        <v>0</v>
      </c>
      <c r="M360" s="27" t="str">
        <f>IF('Pegar ML'!AC356=" ",RIGHT('Pegar ML'!AC355,8),RIGHT('Pegar ML'!AC356,8))</f>
        <v/>
      </c>
      <c r="N360" s="27" t="s">
        <v>80</v>
      </c>
      <c r="O360" s="27">
        <f t="shared" si="15"/>
        <v>0</v>
      </c>
      <c r="P360" s="27" t="s">
        <v>80</v>
      </c>
      <c r="Q360" s="55">
        <f>IF('Pegar ML'!AD356=" ",'Pegar ML'!AD355,'Pegar ML'!AD356)</f>
        <v>0</v>
      </c>
      <c r="R360" s="27" t="s">
        <v>80</v>
      </c>
      <c r="S360" s="27" t="s">
        <v>80</v>
      </c>
      <c r="T360" s="27" t="s">
        <v>80</v>
      </c>
      <c r="U360" s="55">
        <f>IF('Pegar ML'!AI356=" ",'Pegar ML'!AI355,'Pegar ML'!AI356)</f>
        <v>0</v>
      </c>
      <c r="V360" s="55">
        <f>IF('Pegar ML'!AK356=" ",'Pegar ML'!AK355,'Pegar ML'!AK356)</f>
        <v>0</v>
      </c>
      <c r="W360" s="55">
        <f>IF('Pegar ML'!AJ356=" ",'Pegar ML'!AJ355,'Pegar ML'!AJ356)</f>
        <v>0</v>
      </c>
      <c r="X360" s="55">
        <f>IF('Pegar ML'!AL356=" ",'Pegar ML'!AL355,'Pegar ML'!AL356)</f>
        <v>0</v>
      </c>
      <c r="Y360" s="27"/>
      <c r="Z360" s="27"/>
      <c r="AA360" s="27"/>
      <c r="AB360" s="27"/>
      <c r="AC360" s="27"/>
      <c r="AD360" s="27"/>
      <c r="AF360" s="8"/>
      <c r="AG360" s="27"/>
      <c r="AH360" s="14">
        <f>+'Pegar ML'!Y356</f>
        <v>0</v>
      </c>
      <c r="AI360" s="13">
        <f t="shared" si="16"/>
        <v>1</v>
      </c>
      <c r="AJ360" s="7">
        <f>+'Pegar ML'!T356</f>
        <v>0</v>
      </c>
      <c r="AK360" s="27"/>
      <c r="AL360" s="27"/>
      <c r="AM360" s="27"/>
      <c r="AN360" s="27"/>
      <c r="AO360" s="27"/>
      <c r="AP360" s="27"/>
      <c r="AQ360" s="27"/>
      <c r="AR360" s="27"/>
      <c r="AS360" s="27">
        <v>17</v>
      </c>
    </row>
    <row r="361" spans="1:45" ht="15" customHeight="1" x14ac:dyDescent="0.25">
      <c r="A361" s="27">
        <f>IF('Pegar ML'!C356="Paquete de 2 productos",'Pegar ML'!A356,IF('Pegar ML'!C355="Paquete de 2 productos",'Pegar ML'!A355,'Pegar ML'!A357))</f>
        <v>0</v>
      </c>
      <c r="B361" s="27"/>
      <c r="C361" s="30" t="str">
        <f>IF(AjusteFecha!I357=0,"",AjusteFecha!I357)</f>
        <v/>
      </c>
      <c r="D361" s="27"/>
      <c r="E361" s="27"/>
      <c r="F361" s="27" t="str">
        <f>IF('Pegar ML'!C357="","",'Pegar ML'!C357)</f>
        <v/>
      </c>
      <c r="G361" s="27" t="str">
        <f>IF('Pegar ML'!G352="ARS","PS","PS")</f>
        <v>PS</v>
      </c>
      <c r="H361" s="14">
        <f>IF('Pegar ML'!C356="Paquete de 2 productos",IF('Pegar ML'!H356="",0,'Pegar ML'!H356),IF('Pegar ML'!H357="",0,'Pegar ML'!H357))</f>
        <v>0</v>
      </c>
      <c r="I361" s="14">
        <f>IF('Pegar ML'!C356="Paquete de 2 productos",IF('Pegar ML'!O356="",0,'Pegar ML'!O356),IF('Pegar ML'!O357="",0,'Pegar ML'!O357))</f>
        <v>0</v>
      </c>
      <c r="J361" s="14">
        <f>IF('Pegar ML'!C356="Paquete de 2 productos",IF('Pegar ML'!O356="",0,'Pegar ML'!O356),IF('Pegar ML'!O357="",0,'Pegar ML'!O357))</f>
        <v>0</v>
      </c>
      <c r="K361" s="14">
        <f t="shared" si="17"/>
        <v>0</v>
      </c>
      <c r="L361" s="27">
        <f>IF('Pegar ML'!AB357=" ",'Pegar ML'!AB356,'Pegar ML'!AB357)</f>
        <v>0</v>
      </c>
      <c r="M361" s="27" t="str">
        <f>IF('Pegar ML'!AC357=" ",RIGHT('Pegar ML'!AC356,8),RIGHT('Pegar ML'!AC357,8))</f>
        <v/>
      </c>
      <c r="N361" s="27" t="s">
        <v>80</v>
      </c>
      <c r="O361" s="27">
        <f t="shared" si="15"/>
        <v>0</v>
      </c>
      <c r="P361" s="27" t="s">
        <v>80</v>
      </c>
      <c r="Q361" s="55">
        <f>IF('Pegar ML'!AD357=" ",'Pegar ML'!AD356,'Pegar ML'!AD357)</f>
        <v>0</v>
      </c>
      <c r="R361" s="27" t="s">
        <v>80</v>
      </c>
      <c r="S361" s="27" t="s">
        <v>80</v>
      </c>
      <c r="T361" s="27" t="s">
        <v>80</v>
      </c>
      <c r="U361" s="55">
        <f>IF('Pegar ML'!AI357=" ",'Pegar ML'!AI356,'Pegar ML'!AI357)</f>
        <v>0</v>
      </c>
      <c r="V361" s="55">
        <f>IF('Pegar ML'!AK357=" ",'Pegar ML'!AK356,'Pegar ML'!AK357)</f>
        <v>0</v>
      </c>
      <c r="W361" s="55">
        <f>IF('Pegar ML'!AJ357=" ",'Pegar ML'!AJ356,'Pegar ML'!AJ357)</f>
        <v>0</v>
      </c>
      <c r="X361" s="55">
        <f>IF('Pegar ML'!AL357=" ",'Pegar ML'!AL356,'Pegar ML'!AL357)</f>
        <v>0</v>
      </c>
      <c r="Y361" s="27"/>
      <c r="Z361" s="27"/>
      <c r="AA361" s="27"/>
      <c r="AB361" s="27"/>
      <c r="AC361" s="27"/>
      <c r="AD361" s="27"/>
      <c r="AF361" s="8"/>
      <c r="AG361" s="27"/>
      <c r="AH361" s="14">
        <f>+'Pegar ML'!Y357</f>
        <v>0</v>
      </c>
      <c r="AI361" s="13">
        <f t="shared" si="16"/>
        <v>1</v>
      </c>
      <c r="AJ361" s="7">
        <f>+'Pegar ML'!T357</f>
        <v>0</v>
      </c>
      <c r="AK361" s="27"/>
      <c r="AL361" s="27"/>
      <c r="AM361" s="27"/>
      <c r="AN361" s="27"/>
      <c r="AO361" s="27"/>
      <c r="AP361" s="27"/>
      <c r="AQ361" s="27"/>
      <c r="AR361" s="27"/>
      <c r="AS361" s="27">
        <v>17</v>
      </c>
    </row>
    <row r="362" spans="1:45" ht="15" customHeight="1" x14ac:dyDescent="0.25">
      <c r="A362" s="27">
        <f>IF('Pegar ML'!C357="Paquete de 2 productos",'Pegar ML'!A357,IF('Pegar ML'!C356="Paquete de 2 productos",'Pegar ML'!A356,'Pegar ML'!A358))</f>
        <v>0</v>
      </c>
      <c r="B362" s="27"/>
      <c r="C362" s="30" t="str">
        <f>IF(AjusteFecha!I358=0,"",AjusteFecha!I358)</f>
        <v/>
      </c>
      <c r="D362" s="27"/>
      <c r="E362" s="27"/>
      <c r="F362" s="27" t="str">
        <f>IF('Pegar ML'!C358="","",'Pegar ML'!C358)</f>
        <v/>
      </c>
      <c r="G362" s="27" t="str">
        <f>IF('Pegar ML'!G353="ARS","PS","PS")</f>
        <v>PS</v>
      </c>
      <c r="H362" s="14">
        <f>IF('Pegar ML'!C357="Paquete de 2 productos",IF('Pegar ML'!H357="",0,'Pegar ML'!H357),IF('Pegar ML'!H358="",0,'Pegar ML'!H358))</f>
        <v>0</v>
      </c>
      <c r="I362" s="14">
        <f>IF('Pegar ML'!C357="Paquete de 2 productos",IF('Pegar ML'!O357="",0,'Pegar ML'!O357),IF('Pegar ML'!O358="",0,'Pegar ML'!O358))</f>
        <v>0</v>
      </c>
      <c r="J362" s="14">
        <f>IF('Pegar ML'!C357="Paquete de 2 productos",IF('Pegar ML'!O357="",0,'Pegar ML'!O357),IF('Pegar ML'!O358="",0,'Pegar ML'!O358))</f>
        <v>0</v>
      </c>
      <c r="K362" s="14">
        <f t="shared" si="17"/>
        <v>0</v>
      </c>
      <c r="L362" s="27">
        <f>IF('Pegar ML'!AB358=" ",'Pegar ML'!AB357,'Pegar ML'!AB358)</f>
        <v>0</v>
      </c>
      <c r="M362" s="27" t="str">
        <f>IF('Pegar ML'!AC358=" ",RIGHT('Pegar ML'!AC357,8),RIGHT('Pegar ML'!AC358,8))</f>
        <v/>
      </c>
      <c r="N362" s="27" t="s">
        <v>80</v>
      </c>
      <c r="O362" s="27">
        <f t="shared" si="15"/>
        <v>0</v>
      </c>
      <c r="P362" s="27" t="s">
        <v>80</v>
      </c>
      <c r="Q362" s="55">
        <f>IF('Pegar ML'!AD358=" ",'Pegar ML'!AD357,'Pegar ML'!AD358)</f>
        <v>0</v>
      </c>
      <c r="R362" s="27" t="s">
        <v>80</v>
      </c>
      <c r="S362" s="27" t="s">
        <v>80</v>
      </c>
      <c r="T362" s="27" t="s">
        <v>80</v>
      </c>
      <c r="U362" s="55">
        <f>IF('Pegar ML'!AI358=" ",'Pegar ML'!AI357,'Pegar ML'!AI358)</f>
        <v>0</v>
      </c>
      <c r="V362" s="55">
        <f>IF('Pegar ML'!AK358=" ",'Pegar ML'!AK357,'Pegar ML'!AK358)</f>
        <v>0</v>
      </c>
      <c r="W362" s="55">
        <f>IF('Pegar ML'!AJ358=" ",'Pegar ML'!AJ357,'Pegar ML'!AJ358)</f>
        <v>0</v>
      </c>
      <c r="X362" s="55">
        <f>IF('Pegar ML'!AL358=" ",'Pegar ML'!AL357,'Pegar ML'!AL358)</f>
        <v>0</v>
      </c>
      <c r="Y362" s="27"/>
      <c r="Z362" s="27"/>
      <c r="AA362" s="27"/>
      <c r="AB362" s="27"/>
      <c r="AC362" s="27"/>
      <c r="AD362" s="27"/>
      <c r="AF362" s="8"/>
      <c r="AG362" s="27"/>
      <c r="AH362" s="14">
        <f>+'Pegar ML'!Y358</f>
        <v>0</v>
      </c>
      <c r="AI362" s="13">
        <f t="shared" si="16"/>
        <v>1</v>
      </c>
      <c r="AJ362" s="7">
        <f>+'Pegar ML'!T358</f>
        <v>0</v>
      </c>
      <c r="AK362" s="27"/>
      <c r="AL362" s="27"/>
      <c r="AM362" s="27"/>
      <c r="AN362" s="27"/>
      <c r="AO362" s="27"/>
      <c r="AP362" s="27"/>
      <c r="AQ362" s="27"/>
      <c r="AR362" s="27"/>
      <c r="AS362" s="27">
        <v>17</v>
      </c>
    </row>
    <row r="363" spans="1:45" ht="15" customHeight="1" x14ac:dyDescent="0.25">
      <c r="A363" s="27">
        <f>IF('Pegar ML'!C358="Paquete de 2 productos",'Pegar ML'!A358,IF('Pegar ML'!C357="Paquete de 2 productos",'Pegar ML'!A357,'Pegar ML'!A359))</f>
        <v>0</v>
      </c>
      <c r="B363" s="27"/>
      <c r="C363" s="30" t="str">
        <f>IF(AjusteFecha!I359=0,"",AjusteFecha!I359)</f>
        <v/>
      </c>
      <c r="D363" s="27"/>
      <c r="E363" s="27"/>
      <c r="F363" s="27" t="str">
        <f>IF('Pegar ML'!C359="","",'Pegar ML'!C359)</f>
        <v/>
      </c>
      <c r="G363" s="27" t="str">
        <f>IF('Pegar ML'!G354="ARS","PS","PS")</f>
        <v>PS</v>
      </c>
      <c r="H363" s="14">
        <f>IF('Pegar ML'!C358="Paquete de 2 productos",IF('Pegar ML'!H358="",0,'Pegar ML'!H358),IF('Pegar ML'!H359="",0,'Pegar ML'!H359))</f>
        <v>0</v>
      </c>
      <c r="I363" s="14">
        <f>IF('Pegar ML'!C358="Paquete de 2 productos",IF('Pegar ML'!O358="",0,'Pegar ML'!O358),IF('Pegar ML'!O359="",0,'Pegar ML'!O359))</f>
        <v>0</v>
      </c>
      <c r="J363" s="14">
        <f>IF('Pegar ML'!C358="Paquete de 2 productos",IF('Pegar ML'!O358="",0,'Pegar ML'!O358),IF('Pegar ML'!O359="",0,'Pegar ML'!O359))</f>
        <v>0</v>
      </c>
      <c r="K363" s="14">
        <f t="shared" si="17"/>
        <v>0</v>
      </c>
      <c r="L363" s="27">
        <f>IF('Pegar ML'!AB359=" ",'Pegar ML'!AB358,'Pegar ML'!AB359)</f>
        <v>0</v>
      </c>
      <c r="M363" s="27" t="str">
        <f>IF('Pegar ML'!AC359=" ",RIGHT('Pegar ML'!AC358,8),RIGHT('Pegar ML'!AC359,8))</f>
        <v/>
      </c>
      <c r="N363" s="27" t="s">
        <v>80</v>
      </c>
      <c r="O363" s="27">
        <f t="shared" si="15"/>
        <v>0</v>
      </c>
      <c r="P363" s="27" t="s">
        <v>80</v>
      </c>
      <c r="Q363" s="55">
        <f>IF('Pegar ML'!AD359=" ",'Pegar ML'!AD358,'Pegar ML'!AD359)</f>
        <v>0</v>
      </c>
      <c r="R363" s="27" t="s">
        <v>80</v>
      </c>
      <c r="S363" s="27" t="s">
        <v>80</v>
      </c>
      <c r="T363" s="27" t="s">
        <v>80</v>
      </c>
      <c r="U363" s="55">
        <f>IF('Pegar ML'!AI359=" ",'Pegar ML'!AI358,'Pegar ML'!AI359)</f>
        <v>0</v>
      </c>
      <c r="V363" s="55">
        <f>IF('Pegar ML'!AK359=" ",'Pegar ML'!AK358,'Pegar ML'!AK359)</f>
        <v>0</v>
      </c>
      <c r="W363" s="55">
        <f>IF('Pegar ML'!AJ359=" ",'Pegar ML'!AJ358,'Pegar ML'!AJ359)</f>
        <v>0</v>
      </c>
      <c r="X363" s="55">
        <f>IF('Pegar ML'!AL359=" ",'Pegar ML'!AL358,'Pegar ML'!AL359)</f>
        <v>0</v>
      </c>
      <c r="Y363" s="27"/>
      <c r="Z363" s="27"/>
      <c r="AA363" s="27"/>
      <c r="AB363" s="27"/>
      <c r="AC363" s="27"/>
      <c r="AD363" s="27"/>
      <c r="AF363" s="8"/>
      <c r="AG363" s="27"/>
      <c r="AH363" s="14">
        <f>+'Pegar ML'!Y359</f>
        <v>0</v>
      </c>
      <c r="AI363" s="13">
        <f t="shared" si="16"/>
        <v>1</v>
      </c>
      <c r="AJ363" s="7">
        <f>+'Pegar ML'!T359</f>
        <v>0</v>
      </c>
      <c r="AK363" s="27"/>
      <c r="AL363" s="27"/>
      <c r="AM363" s="27"/>
      <c r="AN363" s="27"/>
      <c r="AO363" s="27"/>
      <c r="AP363" s="27"/>
      <c r="AQ363" s="27"/>
      <c r="AR363" s="27"/>
      <c r="AS363" s="27">
        <v>17</v>
      </c>
    </row>
    <row r="364" spans="1:45" ht="15" customHeight="1" x14ac:dyDescent="0.25">
      <c r="A364" s="27">
        <f>IF('Pegar ML'!C359="Paquete de 2 productos",'Pegar ML'!A359,IF('Pegar ML'!C358="Paquete de 2 productos",'Pegar ML'!A358,'Pegar ML'!A360))</f>
        <v>0</v>
      </c>
      <c r="B364" s="27"/>
      <c r="C364" s="30" t="str">
        <f>IF(AjusteFecha!I360=0,"",AjusteFecha!I360)</f>
        <v/>
      </c>
      <c r="D364" s="27"/>
      <c r="E364" s="27"/>
      <c r="F364" s="27" t="str">
        <f>IF('Pegar ML'!C360="","",'Pegar ML'!C360)</f>
        <v/>
      </c>
      <c r="G364" s="27" t="str">
        <f>IF('Pegar ML'!G355="ARS","PS","PS")</f>
        <v>PS</v>
      </c>
      <c r="H364" s="14">
        <f>IF('Pegar ML'!C359="Paquete de 2 productos",IF('Pegar ML'!H359="",0,'Pegar ML'!H359),IF('Pegar ML'!H360="",0,'Pegar ML'!H360))</f>
        <v>0</v>
      </c>
      <c r="I364" s="14">
        <f>IF('Pegar ML'!C359="Paquete de 2 productos",IF('Pegar ML'!O359="",0,'Pegar ML'!O359),IF('Pegar ML'!O360="",0,'Pegar ML'!O360))</f>
        <v>0</v>
      </c>
      <c r="J364" s="14">
        <f>IF('Pegar ML'!C359="Paquete de 2 productos",IF('Pegar ML'!O359="",0,'Pegar ML'!O359),IF('Pegar ML'!O360="",0,'Pegar ML'!O360))</f>
        <v>0</v>
      </c>
      <c r="K364" s="14">
        <f t="shared" si="17"/>
        <v>0</v>
      </c>
      <c r="L364" s="27">
        <f>IF('Pegar ML'!AB360=" ",'Pegar ML'!AB359,'Pegar ML'!AB360)</f>
        <v>0</v>
      </c>
      <c r="M364" s="27" t="str">
        <f>IF('Pegar ML'!AC360=" ",RIGHT('Pegar ML'!AC359,8),RIGHT('Pegar ML'!AC360,8))</f>
        <v/>
      </c>
      <c r="N364" s="27" t="s">
        <v>80</v>
      </c>
      <c r="O364" s="27">
        <f t="shared" si="15"/>
        <v>0</v>
      </c>
      <c r="P364" s="27" t="s">
        <v>80</v>
      </c>
      <c r="Q364" s="55">
        <f>IF('Pegar ML'!AD360=" ",'Pegar ML'!AD359,'Pegar ML'!AD360)</f>
        <v>0</v>
      </c>
      <c r="R364" s="27" t="s">
        <v>80</v>
      </c>
      <c r="S364" s="27" t="s">
        <v>80</v>
      </c>
      <c r="T364" s="27" t="s">
        <v>80</v>
      </c>
      <c r="U364" s="55">
        <f>IF('Pegar ML'!AI360=" ",'Pegar ML'!AI359,'Pegar ML'!AI360)</f>
        <v>0</v>
      </c>
      <c r="V364" s="55">
        <f>IF('Pegar ML'!AK360=" ",'Pegar ML'!AK359,'Pegar ML'!AK360)</f>
        <v>0</v>
      </c>
      <c r="W364" s="55">
        <f>IF('Pegar ML'!AJ360=" ",'Pegar ML'!AJ359,'Pegar ML'!AJ360)</f>
        <v>0</v>
      </c>
      <c r="X364" s="55">
        <f>IF('Pegar ML'!AL360=" ",'Pegar ML'!AL359,'Pegar ML'!AL360)</f>
        <v>0</v>
      </c>
      <c r="Y364" s="27"/>
      <c r="Z364" s="27"/>
      <c r="AA364" s="27"/>
      <c r="AB364" s="27"/>
      <c r="AC364" s="27"/>
      <c r="AD364" s="27"/>
      <c r="AF364" s="8"/>
      <c r="AG364" s="27"/>
      <c r="AH364" s="14">
        <f>+'Pegar ML'!Y360</f>
        <v>0</v>
      </c>
      <c r="AI364" s="13">
        <f t="shared" si="16"/>
        <v>1</v>
      </c>
      <c r="AJ364" s="7">
        <f>+'Pegar ML'!T360</f>
        <v>0</v>
      </c>
      <c r="AK364" s="27"/>
      <c r="AL364" s="27"/>
      <c r="AM364" s="27"/>
      <c r="AN364" s="27"/>
      <c r="AO364" s="27"/>
      <c r="AP364" s="27"/>
      <c r="AQ364" s="27"/>
      <c r="AR364" s="27"/>
      <c r="AS364" s="27">
        <v>17</v>
      </c>
    </row>
    <row r="365" spans="1:45" ht="15" customHeight="1" x14ac:dyDescent="0.25">
      <c r="A365" s="27">
        <f>IF('Pegar ML'!C360="Paquete de 2 productos",'Pegar ML'!A360,IF('Pegar ML'!C359="Paquete de 2 productos",'Pegar ML'!A359,'Pegar ML'!A361))</f>
        <v>0</v>
      </c>
      <c r="B365" s="27"/>
      <c r="C365" s="30" t="str">
        <f>IF(AjusteFecha!I361=0,"",AjusteFecha!I361)</f>
        <v/>
      </c>
      <c r="D365" s="27"/>
      <c r="E365" s="27"/>
      <c r="F365" s="27" t="str">
        <f>IF('Pegar ML'!C361="","",'Pegar ML'!C361)</f>
        <v/>
      </c>
      <c r="G365" s="27" t="str">
        <f>IF('Pegar ML'!G356="ARS","PS","PS")</f>
        <v>PS</v>
      </c>
      <c r="H365" s="14">
        <f>IF('Pegar ML'!C360="Paquete de 2 productos",IF('Pegar ML'!H360="",0,'Pegar ML'!H360),IF('Pegar ML'!H361="",0,'Pegar ML'!H361))</f>
        <v>0</v>
      </c>
      <c r="I365" s="14">
        <f>IF('Pegar ML'!C360="Paquete de 2 productos",IF('Pegar ML'!O360="",0,'Pegar ML'!O360),IF('Pegar ML'!O361="",0,'Pegar ML'!O361))</f>
        <v>0</v>
      </c>
      <c r="J365" s="14">
        <f>IF('Pegar ML'!C360="Paquete de 2 productos",IF('Pegar ML'!O360="",0,'Pegar ML'!O360),IF('Pegar ML'!O361="",0,'Pegar ML'!O361))</f>
        <v>0</v>
      </c>
      <c r="K365" s="14">
        <f t="shared" si="17"/>
        <v>0</v>
      </c>
      <c r="L365" s="27">
        <f>IF('Pegar ML'!AB361=" ",'Pegar ML'!AB360,'Pegar ML'!AB361)</f>
        <v>0</v>
      </c>
      <c r="M365" s="27" t="str">
        <f>IF('Pegar ML'!AC361=" ",RIGHT('Pegar ML'!AC360,8),RIGHT('Pegar ML'!AC361,8))</f>
        <v/>
      </c>
      <c r="N365" s="27" t="s">
        <v>80</v>
      </c>
      <c r="O365" s="27">
        <f t="shared" si="15"/>
        <v>0</v>
      </c>
      <c r="P365" s="27" t="s">
        <v>80</v>
      </c>
      <c r="Q365" s="55">
        <f>IF('Pegar ML'!AD361=" ",'Pegar ML'!AD360,'Pegar ML'!AD361)</f>
        <v>0</v>
      </c>
      <c r="R365" s="27" t="s">
        <v>80</v>
      </c>
      <c r="S365" s="27" t="s">
        <v>80</v>
      </c>
      <c r="T365" s="27" t="s">
        <v>80</v>
      </c>
      <c r="U365" s="55">
        <f>IF('Pegar ML'!AI361=" ",'Pegar ML'!AI360,'Pegar ML'!AI361)</f>
        <v>0</v>
      </c>
      <c r="V365" s="55">
        <f>IF('Pegar ML'!AK361=" ",'Pegar ML'!AK360,'Pegar ML'!AK361)</f>
        <v>0</v>
      </c>
      <c r="W365" s="55">
        <f>IF('Pegar ML'!AJ361=" ",'Pegar ML'!AJ360,'Pegar ML'!AJ361)</f>
        <v>0</v>
      </c>
      <c r="X365" s="55">
        <f>IF('Pegar ML'!AL361=" ",'Pegar ML'!AL360,'Pegar ML'!AL361)</f>
        <v>0</v>
      </c>
      <c r="Y365" s="27"/>
      <c r="Z365" s="27"/>
      <c r="AA365" s="27"/>
      <c r="AB365" s="27"/>
      <c r="AC365" s="27"/>
      <c r="AD365" s="27"/>
      <c r="AF365" s="8"/>
      <c r="AG365" s="27"/>
      <c r="AH365" s="14">
        <f>+'Pegar ML'!Y361</f>
        <v>0</v>
      </c>
      <c r="AI365" s="13">
        <f t="shared" si="16"/>
        <v>1</v>
      </c>
      <c r="AJ365" s="7">
        <f>+'Pegar ML'!T361</f>
        <v>0</v>
      </c>
      <c r="AK365" s="27"/>
      <c r="AL365" s="27"/>
      <c r="AM365" s="27"/>
      <c r="AN365" s="27"/>
      <c r="AO365" s="27"/>
      <c r="AP365" s="27"/>
      <c r="AQ365" s="27"/>
      <c r="AR365" s="27"/>
      <c r="AS365" s="27">
        <v>17</v>
      </c>
    </row>
    <row r="366" spans="1:45" ht="15" customHeight="1" x14ac:dyDescent="0.25">
      <c r="A366" s="27">
        <f>IF('Pegar ML'!C361="Paquete de 2 productos",'Pegar ML'!A361,IF('Pegar ML'!C360="Paquete de 2 productos",'Pegar ML'!A360,'Pegar ML'!A362))</f>
        <v>0</v>
      </c>
      <c r="B366" s="27"/>
      <c r="C366" s="30" t="str">
        <f>IF(AjusteFecha!I362=0,"",AjusteFecha!I362)</f>
        <v/>
      </c>
      <c r="D366" s="27"/>
      <c r="E366" s="27"/>
      <c r="F366" s="27" t="str">
        <f>IF('Pegar ML'!C362="","",'Pegar ML'!C362)</f>
        <v/>
      </c>
      <c r="G366" s="27" t="str">
        <f>IF('Pegar ML'!G357="ARS","PS","PS")</f>
        <v>PS</v>
      </c>
      <c r="H366" s="14">
        <f>IF('Pegar ML'!C361="Paquete de 2 productos",IF('Pegar ML'!H361="",0,'Pegar ML'!H361),IF('Pegar ML'!H362="",0,'Pegar ML'!H362))</f>
        <v>0</v>
      </c>
      <c r="I366" s="14">
        <f>IF('Pegar ML'!C361="Paquete de 2 productos",IF('Pegar ML'!O361="",0,'Pegar ML'!O361),IF('Pegar ML'!O362="",0,'Pegar ML'!O362))</f>
        <v>0</v>
      </c>
      <c r="J366" s="14">
        <f>IF('Pegar ML'!C361="Paquete de 2 productos",IF('Pegar ML'!O361="",0,'Pegar ML'!O361),IF('Pegar ML'!O362="",0,'Pegar ML'!O362))</f>
        <v>0</v>
      </c>
      <c r="K366" s="14">
        <f t="shared" si="17"/>
        <v>0</v>
      </c>
      <c r="L366" s="27">
        <f>IF('Pegar ML'!AB362=" ",'Pegar ML'!AB361,'Pegar ML'!AB362)</f>
        <v>0</v>
      </c>
      <c r="M366" s="27" t="str">
        <f>IF('Pegar ML'!AC362=" ",RIGHT('Pegar ML'!AC361,8),RIGHT('Pegar ML'!AC362,8))</f>
        <v/>
      </c>
      <c r="N366" s="27" t="s">
        <v>80</v>
      </c>
      <c r="O366" s="27">
        <f t="shared" si="15"/>
        <v>0</v>
      </c>
      <c r="P366" s="27" t="s">
        <v>80</v>
      </c>
      <c r="Q366" s="55">
        <f>IF('Pegar ML'!AD362=" ",'Pegar ML'!AD361,'Pegar ML'!AD362)</f>
        <v>0</v>
      </c>
      <c r="R366" s="27" t="s">
        <v>80</v>
      </c>
      <c r="S366" s="27" t="s">
        <v>80</v>
      </c>
      <c r="T366" s="27" t="s">
        <v>80</v>
      </c>
      <c r="U366" s="55">
        <f>IF('Pegar ML'!AI362=" ",'Pegar ML'!AI361,'Pegar ML'!AI362)</f>
        <v>0</v>
      </c>
      <c r="V366" s="55">
        <f>IF('Pegar ML'!AK362=" ",'Pegar ML'!AK361,'Pegar ML'!AK362)</f>
        <v>0</v>
      </c>
      <c r="W366" s="55">
        <f>IF('Pegar ML'!AJ362=" ",'Pegar ML'!AJ361,'Pegar ML'!AJ362)</f>
        <v>0</v>
      </c>
      <c r="X366" s="55">
        <f>IF('Pegar ML'!AL362=" ",'Pegar ML'!AL361,'Pegar ML'!AL362)</f>
        <v>0</v>
      </c>
      <c r="Y366" s="27"/>
      <c r="Z366" s="27"/>
      <c r="AA366" s="27"/>
      <c r="AB366" s="27"/>
      <c r="AC366" s="27"/>
      <c r="AD366" s="27"/>
      <c r="AF366" s="8"/>
      <c r="AG366" s="27"/>
      <c r="AH366" s="14">
        <f>+'Pegar ML'!Y362</f>
        <v>0</v>
      </c>
      <c r="AI366" s="13">
        <f t="shared" si="16"/>
        <v>1</v>
      </c>
      <c r="AJ366" s="7">
        <f>+'Pegar ML'!T362</f>
        <v>0</v>
      </c>
      <c r="AK366" s="27"/>
      <c r="AL366" s="27"/>
      <c r="AM366" s="27"/>
      <c r="AN366" s="27"/>
      <c r="AO366" s="27"/>
      <c r="AP366" s="27"/>
      <c r="AQ366" s="27"/>
      <c r="AR366" s="27"/>
      <c r="AS366" s="27">
        <v>17</v>
      </c>
    </row>
    <row r="367" spans="1:45" ht="15" customHeight="1" x14ac:dyDescent="0.25">
      <c r="A367" s="27">
        <f>IF('Pegar ML'!C362="Paquete de 2 productos",'Pegar ML'!A362,IF('Pegar ML'!C361="Paquete de 2 productos",'Pegar ML'!A361,'Pegar ML'!A363))</f>
        <v>0</v>
      </c>
      <c r="B367" s="27"/>
      <c r="C367" s="30" t="str">
        <f>IF(AjusteFecha!I363=0,"",AjusteFecha!I363)</f>
        <v/>
      </c>
      <c r="D367" s="27"/>
      <c r="E367" s="27"/>
      <c r="F367" s="27" t="str">
        <f>IF('Pegar ML'!C363="","",'Pegar ML'!C363)</f>
        <v/>
      </c>
      <c r="G367" s="27" t="str">
        <f>IF('Pegar ML'!G358="ARS","PS","PS")</f>
        <v>PS</v>
      </c>
      <c r="H367" s="14">
        <f>IF('Pegar ML'!C362="Paquete de 2 productos",IF('Pegar ML'!H362="",0,'Pegar ML'!H362),IF('Pegar ML'!H363="",0,'Pegar ML'!H363))</f>
        <v>0</v>
      </c>
      <c r="I367" s="14">
        <f>IF('Pegar ML'!C362="Paquete de 2 productos",IF('Pegar ML'!O362="",0,'Pegar ML'!O362),IF('Pegar ML'!O363="",0,'Pegar ML'!O363))</f>
        <v>0</v>
      </c>
      <c r="J367" s="14">
        <f>IF('Pegar ML'!C362="Paquete de 2 productos",IF('Pegar ML'!O362="",0,'Pegar ML'!O362),IF('Pegar ML'!O363="",0,'Pegar ML'!O363))</f>
        <v>0</v>
      </c>
      <c r="K367" s="14">
        <f t="shared" si="17"/>
        <v>0</v>
      </c>
      <c r="L367" s="27">
        <f>IF('Pegar ML'!AB363=" ",'Pegar ML'!AB362,'Pegar ML'!AB363)</f>
        <v>0</v>
      </c>
      <c r="M367" s="27" t="str">
        <f>IF('Pegar ML'!AC363=" ",RIGHT('Pegar ML'!AC362,8),RIGHT('Pegar ML'!AC363,8))</f>
        <v/>
      </c>
      <c r="N367" s="27" t="s">
        <v>80</v>
      </c>
      <c r="O367" s="27">
        <f t="shared" si="15"/>
        <v>0</v>
      </c>
      <c r="P367" s="27" t="s">
        <v>80</v>
      </c>
      <c r="Q367" s="55">
        <f>IF('Pegar ML'!AD363=" ",'Pegar ML'!AD362,'Pegar ML'!AD363)</f>
        <v>0</v>
      </c>
      <c r="R367" s="27" t="s">
        <v>80</v>
      </c>
      <c r="S367" s="27" t="s">
        <v>80</v>
      </c>
      <c r="T367" s="27" t="s">
        <v>80</v>
      </c>
      <c r="U367" s="55">
        <f>IF('Pegar ML'!AI363=" ",'Pegar ML'!AI362,'Pegar ML'!AI363)</f>
        <v>0</v>
      </c>
      <c r="V367" s="55">
        <f>IF('Pegar ML'!AK363=" ",'Pegar ML'!AK362,'Pegar ML'!AK363)</f>
        <v>0</v>
      </c>
      <c r="W367" s="55">
        <f>IF('Pegar ML'!AJ363=" ",'Pegar ML'!AJ362,'Pegar ML'!AJ363)</f>
        <v>0</v>
      </c>
      <c r="X367" s="55">
        <f>IF('Pegar ML'!AL363=" ",'Pegar ML'!AL362,'Pegar ML'!AL363)</f>
        <v>0</v>
      </c>
      <c r="Y367" s="27"/>
      <c r="Z367" s="27"/>
      <c r="AA367" s="27"/>
      <c r="AB367" s="27"/>
      <c r="AC367" s="27"/>
      <c r="AD367" s="27"/>
      <c r="AF367" s="8"/>
      <c r="AG367" s="27"/>
      <c r="AH367" s="14">
        <f>+'Pegar ML'!Y363</f>
        <v>0</v>
      </c>
      <c r="AI367" s="13">
        <f t="shared" si="16"/>
        <v>1</v>
      </c>
      <c r="AJ367" s="7">
        <f>+'Pegar ML'!T363</f>
        <v>0</v>
      </c>
      <c r="AK367" s="27"/>
      <c r="AL367" s="27"/>
      <c r="AM367" s="27"/>
      <c r="AN367" s="27"/>
      <c r="AO367" s="27"/>
      <c r="AP367" s="27"/>
      <c r="AQ367" s="27"/>
      <c r="AR367" s="27"/>
      <c r="AS367" s="27">
        <v>17</v>
      </c>
    </row>
    <row r="368" spans="1:45" ht="15" customHeight="1" x14ac:dyDescent="0.25">
      <c r="A368" s="27">
        <f>IF('Pegar ML'!C363="Paquete de 2 productos",'Pegar ML'!A363,IF('Pegar ML'!C362="Paquete de 2 productos",'Pegar ML'!A362,'Pegar ML'!A364))</f>
        <v>0</v>
      </c>
      <c r="B368" s="27"/>
      <c r="C368" s="30" t="str">
        <f>IF(AjusteFecha!I364=0,"",AjusteFecha!I364)</f>
        <v/>
      </c>
      <c r="D368" s="27"/>
      <c r="E368" s="27"/>
      <c r="F368" s="27" t="str">
        <f>IF('Pegar ML'!C364="","",'Pegar ML'!C364)</f>
        <v/>
      </c>
      <c r="G368" s="27" t="str">
        <f>IF('Pegar ML'!G359="ARS","PS","PS")</f>
        <v>PS</v>
      </c>
      <c r="H368" s="14">
        <f>IF('Pegar ML'!C363="Paquete de 2 productos",IF('Pegar ML'!H363="",0,'Pegar ML'!H363),IF('Pegar ML'!H364="",0,'Pegar ML'!H364))</f>
        <v>0</v>
      </c>
      <c r="I368" s="14">
        <f>IF('Pegar ML'!C363="Paquete de 2 productos",IF('Pegar ML'!O363="",0,'Pegar ML'!O363),IF('Pegar ML'!O364="",0,'Pegar ML'!O364))</f>
        <v>0</v>
      </c>
      <c r="J368" s="14">
        <f>IF('Pegar ML'!C363="Paquete de 2 productos",IF('Pegar ML'!O363="",0,'Pegar ML'!O363),IF('Pegar ML'!O364="",0,'Pegar ML'!O364))</f>
        <v>0</v>
      </c>
      <c r="K368" s="14">
        <f t="shared" si="17"/>
        <v>0</v>
      </c>
      <c r="L368" s="27">
        <f>IF('Pegar ML'!AB364=" ",'Pegar ML'!AB363,'Pegar ML'!AB364)</f>
        <v>0</v>
      </c>
      <c r="M368" s="27" t="str">
        <f>IF('Pegar ML'!AC364=" ",RIGHT('Pegar ML'!AC363,8),RIGHT('Pegar ML'!AC364,8))</f>
        <v/>
      </c>
      <c r="N368" s="27" t="s">
        <v>80</v>
      </c>
      <c r="O368" s="27">
        <f t="shared" si="15"/>
        <v>0</v>
      </c>
      <c r="P368" s="27" t="s">
        <v>80</v>
      </c>
      <c r="Q368" s="55">
        <f>IF('Pegar ML'!AD364=" ",'Pegar ML'!AD363,'Pegar ML'!AD364)</f>
        <v>0</v>
      </c>
      <c r="R368" s="27" t="s">
        <v>80</v>
      </c>
      <c r="S368" s="27" t="s">
        <v>80</v>
      </c>
      <c r="T368" s="27" t="s">
        <v>80</v>
      </c>
      <c r="U368" s="55">
        <f>IF('Pegar ML'!AI364=" ",'Pegar ML'!AI363,'Pegar ML'!AI364)</f>
        <v>0</v>
      </c>
      <c r="V368" s="55">
        <f>IF('Pegar ML'!AK364=" ",'Pegar ML'!AK363,'Pegar ML'!AK364)</f>
        <v>0</v>
      </c>
      <c r="W368" s="55">
        <f>IF('Pegar ML'!AJ364=" ",'Pegar ML'!AJ363,'Pegar ML'!AJ364)</f>
        <v>0</v>
      </c>
      <c r="X368" s="55">
        <f>IF('Pegar ML'!AL364=" ",'Pegar ML'!AL363,'Pegar ML'!AL364)</f>
        <v>0</v>
      </c>
      <c r="Y368" s="27"/>
      <c r="Z368" s="27"/>
      <c r="AA368" s="27"/>
      <c r="AB368" s="27"/>
      <c r="AC368" s="27"/>
      <c r="AD368" s="27"/>
      <c r="AF368" s="8"/>
      <c r="AG368" s="27"/>
      <c r="AH368" s="14">
        <f>+'Pegar ML'!Y364</f>
        <v>0</v>
      </c>
      <c r="AI368" s="13">
        <f t="shared" si="16"/>
        <v>1</v>
      </c>
      <c r="AJ368" s="7">
        <f>+'Pegar ML'!T364</f>
        <v>0</v>
      </c>
      <c r="AK368" s="27"/>
      <c r="AL368" s="27"/>
      <c r="AM368" s="27"/>
      <c r="AN368" s="27"/>
      <c r="AO368" s="27"/>
      <c r="AP368" s="27"/>
      <c r="AQ368" s="27"/>
      <c r="AR368" s="27"/>
      <c r="AS368" s="27">
        <v>17</v>
      </c>
    </row>
    <row r="369" spans="1:45" ht="15" customHeight="1" x14ac:dyDescent="0.25">
      <c r="A369" s="27">
        <f>IF('Pegar ML'!C364="Paquete de 2 productos",'Pegar ML'!A364,IF('Pegar ML'!C363="Paquete de 2 productos",'Pegar ML'!A363,'Pegar ML'!A365))</f>
        <v>0</v>
      </c>
      <c r="B369" s="27"/>
      <c r="C369" s="30" t="str">
        <f>IF(AjusteFecha!I365=0,"",AjusteFecha!I365)</f>
        <v/>
      </c>
      <c r="D369" s="27"/>
      <c r="E369" s="27"/>
      <c r="F369" s="27" t="str">
        <f>IF('Pegar ML'!C365="","",'Pegar ML'!C365)</f>
        <v/>
      </c>
      <c r="G369" s="27" t="str">
        <f>IF('Pegar ML'!G360="ARS","PS","PS")</f>
        <v>PS</v>
      </c>
      <c r="H369" s="14">
        <f>IF('Pegar ML'!C364="Paquete de 2 productos",IF('Pegar ML'!H364="",0,'Pegar ML'!H364),IF('Pegar ML'!H365="",0,'Pegar ML'!H365))</f>
        <v>0</v>
      </c>
      <c r="I369" s="14">
        <f>IF('Pegar ML'!C364="Paquete de 2 productos",IF('Pegar ML'!O364="",0,'Pegar ML'!O364),IF('Pegar ML'!O365="",0,'Pegar ML'!O365))</f>
        <v>0</v>
      </c>
      <c r="J369" s="14">
        <f>IF('Pegar ML'!C364="Paquete de 2 productos",IF('Pegar ML'!O364="",0,'Pegar ML'!O364),IF('Pegar ML'!O365="",0,'Pegar ML'!O365))</f>
        <v>0</v>
      </c>
      <c r="K369" s="14">
        <f t="shared" si="17"/>
        <v>0</v>
      </c>
      <c r="L369" s="27">
        <f>IF('Pegar ML'!AB365=" ",'Pegar ML'!AB364,'Pegar ML'!AB365)</f>
        <v>0</v>
      </c>
      <c r="M369" s="27" t="str">
        <f>IF('Pegar ML'!AC365=" ",RIGHT('Pegar ML'!AC364,8),RIGHT('Pegar ML'!AC365,8))</f>
        <v/>
      </c>
      <c r="N369" s="27" t="s">
        <v>80</v>
      </c>
      <c r="O369" s="27">
        <f t="shared" si="15"/>
        <v>0</v>
      </c>
      <c r="P369" s="27" t="s">
        <v>80</v>
      </c>
      <c r="Q369" s="55">
        <f>IF('Pegar ML'!AD365=" ",'Pegar ML'!AD364,'Pegar ML'!AD365)</f>
        <v>0</v>
      </c>
      <c r="R369" s="27" t="s">
        <v>80</v>
      </c>
      <c r="S369" s="27" t="s">
        <v>80</v>
      </c>
      <c r="T369" s="27" t="s">
        <v>80</v>
      </c>
      <c r="U369" s="55">
        <f>IF('Pegar ML'!AI365=" ",'Pegar ML'!AI364,'Pegar ML'!AI365)</f>
        <v>0</v>
      </c>
      <c r="V369" s="55">
        <f>IF('Pegar ML'!AK365=" ",'Pegar ML'!AK364,'Pegar ML'!AK365)</f>
        <v>0</v>
      </c>
      <c r="W369" s="55">
        <f>IF('Pegar ML'!AJ365=" ",'Pegar ML'!AJ364,'Pegar ML'!AJ365)</f>
        <v>0</v>
      </c>
      <c r="X369" s="55">
        <f>IF('Pegar ML'!AL365=" ",'Pegar ML'!AL364,'Pegar ML'!AL365)</f>
        <v>0</v>
      </c>
      <c r="Y369" s="27"/>
      <c r="Z369" s="27"/>
      <c r="AA369" s="27"/>
      <c r="AB369" s="27"/>
      <c r="AC369" s="27"/>
      <c r="AD369" s="27"/>
      <c r="AF369" s="8"/>
      <c r="AG369" s="27"/>
      <c r="AH369" s="14">
        <f>+'Pegar ML'!Y365</f>
        <v>0</v>
      </c>
      <c r="AI369" s="13">
        <f t="shared" si="16"/>
        <v>1</v>
      </c>
      <c r="AJ369" s="7">
        <f>+'Pegar ML'!T365</f>
        <v>0</v>
      </c>
      <c r="AK369" s="27"/>
      <c r="AL369" s="27"/>
      <c r="AM369" s="27"/>
      <c r="AN369" s="27"/>
      <c r="AO369" s="27"/>
      <c r="AP369" s="27"/>
      <c r="AQ369" s="27"/>
      <c r="AR369" s="27"/>
      <c r="AS369" s="27">
        <v>17</v>
      </c>
    </row>
    <row r="370" spans="1:45" ht="15" customHeight="1" x14ac:dyDescent="0.25">
      <c r="A370" s="27">
        <f>IF('Pegar ML'!C365="Paquete de 2 productos",'Pegar ML'!A365,IF('Pegar ML'!C364="Paquete de 2 productos",'Pegar ML'!A364,'Pegar ML'!A366))</f>
        <v>0</v>
      </c>
      <c r="B370" s="27"/>
      <c r="C370" s="30" t="str">
        <f>IF(AjusteFecha!I366=0,"",AjusteFecha!I366)</f>
        <v/>
      </c>
      <c r="D370" s="27"/>
      <c r="E370" s="27"/>
      <c r="F370" s="27" t="str">
        <f>IF('Pegar ML'!C366="","",'Pegar ML'!C366)</f>
        <v/>
      </c>
      <c r="G370" s="27" t="str">
        <f>IF('Pegar ML'!G361="ARS","PS","PS")</f>
        <v>PS</v>
      </c>
      <c r="H370" s="14">
        <f>IF('Pegar ML'!C365="Paquete de 2 productos",IF('Pegar ML'!H365="",0,'Pegar ML'!H365),IF('Pegar ML'!H366="",0,'Pegar ML'!H366))</f>
        <v>0</v>
      </c>
      <c r="I370" s="14">
        <f>IF('Pegar ML'!C365="Paquete de 2 productos",IF('Pegar ML'!O365="",0,'Pegar ML'!O365),IF('Pegar ML'!O366="",0,'Pegar ML'!O366))</f>
        <v>0</v>
      </c>
      <c r="J370" s="14">
        <f>IF('Pegar ML'!C365="Paquete de 2 productos",IF('Pegar ML'!O365="",0,'Pegar ML'!O365),IF('Pegar ML'!O366="",0,'Pegar ML'!O366))</f>
        <v>0</v>
      </c>
      <c r="K370" s="14">
        <f t="shared" si="17"/>
        <v>0</v>
      </c>
      <c r="L370" s="27">
        <f>IF('Pegar ML'!AB366=" ",'Pegar ML'!AB365,'Pegar ML'!AB366)</f>
        <v>0</v>
      </c>
      <c r="M370" s="27" t="str">
        <f>IF('Pegar ML'!AC366=" ",RIGHT('Pegar ML'!AC365,8),RIGHT('Pegar ML'!AC366,8))</f>
        <v/>
      </c>
      <c r="N370" s="27" t="s">
        <v>80</v>
      </c>
      <c r="O370" s="27">
        <f t="shared" si="15"/>
        <v>0</v>
      </c>
      <c r="P370" s="27" t="s">
        <v>80</v>
      </c>
      <c r="Q370" s="55">
        <f>IF('Pegar ML'!AD366=" ",'Pegar ML'!AD365,'Pegar ML'!AD366)</f>
        <v>0</v>
      </c>
      <c r="R370" s="27" t="s">
        <v>80</v>
      </c>
      <c r="S370" s="27" t="s">
        <v>80</v>
      </c>
      <c r="T370" s="27" t="s">
        <v>80</v>
      </c>
      <c r="U370" s="55">
        <f>IF('Pegar ML'!AI366=" ",'Pegar ML'!AI365,'Pegar ML'!AI366)</f>
        <v>0</v>
      </c>
      <c r="V370" s="55">
        <f>IF('Pegar ML'!AK366=" ",'Pegar ML'!AK365,'Pegar ML'!AK366)</f>
        <v>0</v>
      </c>
      <c r="W370" s="55">
        <f>IF('Pegar ML'!AJ366=" ",'Pegar ML'!AJ365,'Pegar ML'!AJ366)</f>
        <v>0</v>
      </c>
      <c r="X370" s="55">
        <f>IF('Pegar ML'!AL366=" ",'Pegar ML'!AL365,'Pegar ML'!AL366)</f>
        <v>0</v>
      </c>
      <c r="Y370" s="27"/>
      <c r="Z370" s="27"/>
      <c r="AA370" s="27"/>
      <c r="AB370" s="27"/>
      <c r="AC370" s="27"/>
      <c r="AD370" s="27"/>
      <c r="AF370" s="8"/>
      <c r="AG370" s="27"/>
      <c r="AH370" s="14">
        <f>+'Pegar ML'!Y366</f>
        <v>0</v>
      </c>
      <c r="AI370" s="13">
        <f t="shared" si="16"/>
        <v>1</v>
      </c>
      <c r="AJ370" s="7">
        <f>+'Pegar ML'!T366</f>
        <v>0</v>
      </c>
      <c r="AK370" s="27"/>
      <c r="AL370" s="27"/>
      <c r="AM370" s="27"/>
      <c r="AN370" s="27"/>
      <c r="AO370" s="27"/>
      <c r="AP370" s="27"/>
      <c r="AQ370" s="27"/>
      <c r="AR370" s="27"/>
      <c r="AS370" s="27">
        <v>17</v>
      </c>
    </row>
    <row r="371" spans="1:45" ht="15" customHeight="1" x14ac:dyDescent="0.25">
      <c r="A371" s="27">
        <f>IF('Pegar ML'!C366="Paquete de 2 productos",'Pegar ML'!A366,IF('Pegar ML'!C365="Paquete de 2 productos",'Pegar ML'!A365,'Pegar ML'!A367))</f>
        <v>0</v>
      </c>
      <c r="B371" s="27"/>
      <c r="C371" s="30" t="str">
        <f>IF(AjusteFecha!I367=0,"",AjusteFecha!I367)</f>
        <v/>
      </c>
      <c r="D371" s="27"/>
      <c r="E371" s="27"/>
      <c r="F371" s="27" t="str">
        <f>IF('Pegar ML'!C367="","",'Pegar ML'!C367)</f>
        <v/>
      </c>
      <c r="G371" s="27" t="str">
        <f>IF('Pegar ML'!G362="ARS","PS","PS")</f>
        <v>PS</v>
      </c>
      <c r="H371" s="14">
        <f>IF('Pegar ML'!C366="Paquete de 2 productos",IF('Pegar ML'!H366="",0,'Pegar ML'!H366),IF('Pegar ML'!H367="",0,'Pegar ML'!H367))</f>
        <v>0</v>
      </c>
      <c r="I371" s="14">
        <f>IF('Pegar ML'!C366="Paquete de 2 productos",IF('Pegar ML'!O366="",0,'Pegar ML'!O366),IF('Pegar ML'!O367="",0,'Pegar ML'!O367))</f>
        <v>0</v>
      </c>
      <c r="J371" s="14">
        <f>IF('Pegar ML'!C366="Paquete de 2 productos",IF('Pegar ML'!O366="",0,'Pegar ML'!O366),IF('Pegar ML'!O367="",0,'Pegar ML'!O367))</f>
        <v>0</v>
      </c>
      <c r="K371" s="14">
        <f t="shared" si="17"/>
        <v>0</v>
      </c>
      <c r="L371" s="27">
        <f>IF('Pegar ML'!AB367=" ",'Pegar ML'!AB366,'Pegar ML'!AB367)</f>
        <v>0</v>
      </c>
      <c r="M371" s="27" t="str">
        <f>IF('Pegar ML'!AC367=" ",RIGHT('Pegar ML'!AC366,8),RIGHT('Pegar ML'!AC367,8))</f>
        <v/>
      </c>
      <c r="N371" s="27" t="s">
        <v>80</v>
      </c>
      <c r="O371" s="27">
        <f t="shared" si="15"/>
        <v>0</v>
      </c>
      <c r="P371" s="27" t="s">
        <v>80</v>
      </c>
      <c r="Q371" s="55">
        <f>IF('Pegar ML'!AD367=" ",'Pegar ML'!AD366,'Pegar ML'!AD367)</f>
        <v>0</v>
      </c>
      <c r="R371" s="27" t="s">
        <v>80</v>
      </c>
      <c r="S371" s="27" t="s">
        <v>80</v>
      </c>
      <c r="T371" s="27" t="s">
        <v>80</v>
      </c>
      <c r="U371" s="55">
        <f>IF('Pegar ML'!AI367=" ",'Pegar ML'!AI366,'Pegar ML'!AI367)</f>
        <v>0</v>
      </c>
      <c r="V371" s="55">
        <f>IF('Pegar ML'!AK367=" ",'Pegar ML'!AK366,'Pegar ML'!AK367)</f>
        <v>0</v>
      </c>
      <c r="W371" s="55">
        <f>IF('Pegar ML'!AJ367=" ",'Pegar ML'!AJ366,'Pegar ML'!AJ367)</f>
        <v>0</v>
      </c>
      <c r="X371" s="55">
        <f>IF('Pegar ML'!AL367=" ",'Pegar ML'!AL366,'Pegar ML'!AL367)</f>
        <v>0</v>
      </c>
      <c r="Y371" s="27"/>
      <c r="Z371" s="27"/>
      <c r="AA371" s="27"/>
      <c r="AB371" s="27"/>
      <c r="AC371" s="27"/>
      <c r="AD371" s="27"/>
      <c r="AF371" s="8"/>
      <c r="AG371" s="27"/>
      <c r="AH371" s="14">
        <f>+'Pegar ML'!Y367</f>
        <v>0</v>
      </c>
      <c r="AI371" s="13">
        <f t="shared" si="16"/>
        <v>1</v>
      </c>
      <c r="AJ371" s="7">
        <f>+'Pegar ML'!T367</f>
        <v>0</v>
      </c>
      <c r="AK371" s="27"/>
      <c r="AL371" s="27"/>
      <c r="AM371" s="27"/>
      <c r="AN371" s="27"/>
      <c r="AO371" s="27"/>
      <c r="AP371" s="27"/>
      <c r="AQ371" s="27"/>
      <c r="AR371" s="27"/>
      <c r="AS371" s="27">
        <v>17</v>
      </c>
    </row>
    <row r="372" spans="1:45" ht="15" customHeight="1" x14ac:dyDescent="0.25">
      <c r="A372" s="27">
        <f>IF('Pegar ML'!C367="Paquete de 2 productos",'Pegar ML'!A367,IF('Pegar ML'!C366="Paquete de 2 productos",'Pegar ML'!A366,'Pegar ML'!A368))</f>
        <v>0</v>
      </c>
      <c r="B372" s="27"/>
      <c r="C372" s="30" t="str">
        <f>IF(AjusteFecha!I368=0,"",AjusteFecha!I368)</f>
        <v/>
      </c>
      <c r="D372" s="27"/>
      <c r="E372" s="27"/>
      <c r="F372" s="27" t="str">
        <f>IF('Pegar ML'!C368="","",'Pegar ML'!C368)</f>
        <v/>
      </c>
      <c r="G372" s="27" t="str">
        <f>IF('Pegar ML'!G363="ARS","PS","PS")</f>
        <v>PS</v>
      </c>
      <c r="H372" s="14">
        <f>IF('Pegar ML'!C367="Paquete de 2 productos",IF('Pegar ML'!H367="",0,'Pegar ML'!H367),IF('Pegar ML'!H368="",0,'Pegar ML'!H368))</f>
        <v>0</v>
      </c>
      <c r="I372" s="14">
        <f>IF('Pegar ML'!C367="Paquete de 2 productos",IF('Pegar ML'!O367="",0,'Pegar ML'!O367),IF('Pegar ML'!O368="",0,'Pegar ML'!O368))</f>
        <v>0</v>
      </c>
      <c r="J372" s="14">
        <f>IF('Pegar ML'!C367="Paquete de 2 productos",IF('Pegar ML'!O367="",0,'Pegar ML'!O367),IF('Pegar ML'!O368="",0,'Pegar ML'!O368))</f>
        <v>0</v>
      </c>
      <c r="K372" s="14">
        <f t="shared" si="17"/>
        <v>0</v>
      </c>
      <c r="L372" s="27">
        <f>IF('Pegar ML'!AB368=" ",'Pegar ML'!AB367,'Pegar ML'!AB368)</f>
        <v>0</v>
      </c>
      <c r="M372" s="27" t="str">
        <f>IF('Pegar ML'!AC368=" ",RIGHT('Pegar ML'!AC367,8),RIGHT('Pegar ML'!AC368,8))</f>
        <v/>
      </c>
      <c r="N372" s="27" t="s">
        <v>80</v>
      </c>
      <c r="O372" s="27">
        <f t="shared" si="15"/>
        <v>0</v>
      </c>
      <c r="P372" s="27" t="s">
        <v>80</v>
      </c>
      <c r="Q372" s="55">
        <f>IF('Pegar ML'!AD368=" ",'Pegar ML'!AD367,'Pegar ML'!AD368)</f>
        <v>0</v>
      </c>
      <c r="R372" s="27" t="s">
        <v>80</v>
      </c>
      <c r="S372" s="27" t="s">
        <v>80</v>
      </c>
      <c r="T372" s="27" t="s">
        <v>80</v>
      </c>
      <c r="U372" s="55">
        <f>IF('Pegar ML'!AI368=" ",'Pegar ML'!AI367,'Pegar ML'!AI368)</f>
        <v>0</v>
      </c>
      <c r="V372" s="55">
        <f>IF('Pegar ML'!AK368=" ",'Pegar ML'!AK367,'Pegar ML'!AK368)</f>
        <v>0</v>
      </c>
      <c r="W372" s="55">
        <f>IF('Pegar ML'!AJ368=" ",'Pegar ML'!AJ367,'Pegar ML'!AJ368)</f>
        <v>0</v>
      </c>
      <c r="X372" s="55">
        <f>IF('Pegar ML'!AL368=" ",'Pegar ML'!AL367,'Pegar ML'!AL368)</f>
        <v>0</v>
      </c>
      <c r="Y372" s="27"/>
      <c r="Z372" s="27"/>
      <c r="AA372" s="27"/>
      <c r="AB372" s="27"/>
      <c r="AC372" s="27"/>
      <c r="AD372" s="27"/>
      <c r="AF372" s="8"/>
      <c r="AG372" s="27"/>
      <c r="AH372" s="14">
        <f>+'Pegar ML'!Y368</f>
        <v>0</v>
      </c>
      <c r="AI372" s="13">
        <f t="shared" si="16"/>
        <v>1</v>
      </c>
      <c r="AJ372" s="7">
        <f>+'Pegar ML'!T368</f>
        <v>0</v>
      </c>
      <c r="AK372" s="27"/>
      <c r="AL372" s="27"/>
      <c r="AM372" s="27"/>
      <c r="AN372" s="27"/>
      <c r="AO372" s="27"/>
      <c r="AP372" s="27"/>
      <c r="AQ372" s="27"/>
      <c r="AR372" s="27"/>
      <c r="AS372" s="27">
        <v>17</v>
      </c>
    </row>
    <row r="373" spans="1:45" ht="15" customHeight="1" x14ac:dyDescent="0.25">
      <c r="A373" s="27">
        <f>IF('Pegar ML'!C368="Paquete de 2 productos",'Pegar ML'!A368,IF('Pegar ML'!C367="Paquete de 2 productos",'Pegar ML'!A367,'Pegar ML'!A369))</f>
        <v>0</v>
      </c>
      <c r="B373" s="27"/>
      <c r="C373" s="30" t="str">
        <f>IF(AjusteFecha!I369=0,"",AjusteFecha!I369)</f>
        <v/>
      </c>
      <c r="D373" s="27"/>
      <c r="E373" s="27"/>
      <c r="F373" s="27" t="str">
        <f>IF('Pegar ML'!C369="","",'Pegar ML'!C369)</f>
        <v/>
      </c>
      <c r="G373" s="27" t="str">
        <f>IF('Pegar ML'!G364="ARS","PS","PS")</f>
        <v>PS</v>
      </c>
      <c r="H373" s="14">
        <f>IF('Pegar ML'!C368="Paquete de 2 productos",IF('Pegar ML'!H368="",0,'Pegar ML'!H368),IF('Pegar ML'!H369="",0,'Pegar ML'!H369))</f>
        <v>0</v>
      </c>
      <c r="I373" s="14">
        <f>IF('Pegar ML'!C368="Paquete de 2 productos",IF('Pegar ML'!O368="",0,'Pegar ML'!O368),IF('Pegar ML'!O369="",0,'Pegar ML'!O369))</f>
        <v>0</v>
      </c>
      <c r="J373" s="14">
        <f>IF('Pegar ML'!C368="Paquete de 2 productos",IF('Pegar ML'!O368="",0,'Pegar ML'!O368),IF('Pegar ML'!O369="",0,'Pegar ML'!O369))</f>
        <v>0</v>
      </c>
      <c r="K373" s="14">
        <f t="shared" si="17"/>
        <v>0</v>
      </c>
      <c r="L373" s="27">
        <f>IF('Pegar ML'!AB369=" ",'Pegar ML'!AB368,'Pegar ML'!AB369)</f>
        <v>0</v>
      </c>
      <c r="M373" s="27" t="str">
        <f>IF('Pegar ML'!AC369=" ",RIGHT('Pegar ML'!AC368,8),RIGHT('Pegar ML'!AC369,8))</f>
        <v/>
      </c>
      <c r="N373" s="27" t="s">
        <v>80</v>
      </c>
      <c r="O373" s="27">
        <f t="shared" si="15"/>
        <v>0</v>
      </c>
      <c r="P373" s="27" t="s">
        <v>80</v>
      </c>
      <c r="Q373" s="55">
        <f>IF('Pegar ML'!AD369=" ",'Pegar ML'!AD368,'Pegar ML'!AD369)</f>
        <v>0</v>
      </c>
      <c r="R373" s="27" t="s">
        <v>80</v>
      </c>
      <c r="S373" s="27" t="s">
        <v>80</v>
      </c>
      <c r="T373" s="27" t="s">
        <v>80</v>
      </c>
      <c r="U373" s="55">
        <f>IF('Pegar ML'!AI369=" ",'Pegar ML'!AI368,'Pegar ML'!AI369)</f>
        <v>0</v>
      </c>
      <c r="V373" s="55">
        <f>IF('Pegar ML'!AK369=" ",'Pegar ML'!AK368,'Pegar ML'!AK369)</f>
        <v>0</v>
      </c>
      <c r="W373" s="55">
        <f>IF('Pegar ML'!AJ369=" ",'Pegar ML'!AJ368,'Pegar ML'!AJ369)</f>
        <v>0</v>
      </c>
      <c r="X373" s="55">
        <f>IF('Pegar ML'!AL369=" ",'Pegar ML'!AL368,'Pegar ML'!AL369)</f>
        <v>0</v>
      </c>
      <c r="Y373" s="27"/>
      <c r="Z373" s="27"/>
      <c r="AA373" s="27"/>
      <c r="AB373" s="27"/>
      <c r="AC373" s="27"/>
      <c r="AD373" s="27"/>
      <c r="AF373" s="8"/>
      <c r="AG373" s="27"/>
      <c r="AH373" s="14">
        <f>+'Pegar ML'!Y369</f>
        <v>0</v>
      </c>
      <c r="AI373" s="13">
        <f t="shared" si="16"/>
        <v>1</v>
      </c>
      <c r="AJ373" s="7">
        <f>+'Pegar ML'!T369</f>
        <v>0</v>
      </c>
      <c r="AK373" s="27"/>
      <c r="AL373" s="27"/>
      <c r="AM373" s="27"/>
      <c r="AN373" s="27"/>
      <c r="AO373" s="27"/>
      <c r="AP373" s="27"/>
      <c r="AQ373" s="27"/>
      <c r="AR373" s="27"/>
      <c r="AS373" s="27">
        <v>17</v>
      </c>
    </row>
    <row r="374" spans="1:45" ht="15" customHeight="1" x14ac:dyDescent="0.25">
      <c r="A374" s="27">
        <f>IF('Pegar ML'!C369="Paquete de 2 productos",'Pegar ML'!A369,IF('Pegar ML'!C368="Paquete de 2 productos",'Pegar ML'!A368,'Pegar ML'!A370))</f>
        <v>0</v>
      </c>
      <c r="B374" s="27"/>
      <c r="C374" s="30" t="str">
        <f>IF(AjusteFecha!I370=0,"",AjusteFecha!I370)</f>
        <v/>
      </c>
      <c r="D374" s="27"/>
      <c r="E374" s="27"/>
      <c r="F374" s="27" t="str">
        <f>IF('Pegar ML'!C370="","",'Pegar ML'!C370)</f>
        <v/>
      </c>
      <c r="G374" s="27" t="str">
        <f>IF('Pegar ML'!G365="ARS","PS","PS")</f>
        <v>PS</v>
      </c>
      <c r="H374" s="14">
        <f>IF('Pegar ML'!C369="Paquete de 2 productos",IF('Pegar ML'!H369="",0,'Pegar ML'!H369),IF('Pegar ML'!H370="",0,'Pegar ML'!H370))</f>
        <v>0</v>
      </c>
      <c r="I374" s="14">
        <f>IF('Pegar ML'!C369="Paquete de 2 productos",IF('Pegar ML'!O369="",0,'Pegar ML'!O369),IF('Pegar ML'!O370="",0,'Pegar ML'!O370))</f>
        <v>0</v>
      </c>
      <c r="J374" s="14">
        <f>IF('Pegar ML'!C369="Paquete de 2 productos",IF('Pegar ML'!O369="",0,'Pegar ML'!O369),IF('Pegar ML'!O370="",0,'Pegar ML'!O370))</f>
        <v>0</v>
      </c>
      <c r="K374" s="14">
        <f t="shared" si="17"/>
        <v>0</v>
      </c>
      <c r="L374" s="27">
        <f>IF('Pegar ML'!AB370=" ",'Pegar ML'!AB369,'Pegar ML'!AB370)</f>
        <v>0</v>
      </c>
      <c r="M374" s="27" t="str">
        <f>IF('Pegar ML'!AC370=" ",RIGHT('Pegar ML'!AC369,8),RIGHT('Pegar ML'!AC370,8))</f>
        <v/>
      </c>
      <c r="N374" s="27" t="s">
        <v>80</v>
      </c>
      <c r="O374" s="27">
        <f t="shared" si="15"/>
        <v>0</v>
      </c>
      <c r="P374" s="27" t="s">
        <v>80</v>
      </c>
      <c r="Q374" s="55">
        <f>IF('Pegar ML'!AD370=" ",'Pegar ML'!AD369,'Pegar ML'!AD370)</f>
        <v>0</v>
      </c>
      <c r="R374" s="27" t="s">
        <v>80</v>
      </c>
      <c r="S374" s="27" t="s">
        <v>80</v>
      </c>
      <c r="T374" s="27" t="s">
        <v>80</v>
      </c>
      <c r="U374" s="55">
        <f>IF('Pegar ML'!AI370=" ",'Pegar ML'!AI369,'Pegar ML'!AI370)</f>
        <v>0</v>
      </c>
      <c r="V374" s="55">
        <f>IF('Pegar ML'!AK370=" ",'Pegar ML'!AK369,'Pegar ML'!AK370)</f>
        <v>0</v>
      </c>
      <c r="W374" s="55">
        <f>IF('Pegar ML'!AJ370=" ",'Pegar ML'!AJ369,'Pegar ML'!AJ370)</f>
        <v>0</v>
      </c>
      <c r="X374" s="55">
        <f>IF('Pegar ML'!AL370=" ",'Pegar ML'!AL369,'Pegar ML'!AL370)</f>
        <v>0</v>
      </c>
      <c r="Y374" s="27"/>
      <c r="Z374" s="27"/>
      <c r="AA374" s="27"/>
      <c r="AB374" s="27"/>
      <c r="AC374" s="27"/>
      <c r="AD374" s="27"/>
      <c r="AF374" s="8"/>
      <c r="AG374" s="27"/>
      <c r="AH374" s="14">
        <f>+'Pegar ML'!Y370</f>
        <v>0</v>
      </c>
      <c r="AI374" s="13">
        <f t="shared" si="16"/>
        <v>1</v>
      </c>
      <c r="AJ374" s="7">
        <f>+'Pegar ML'!T370</f>
        <v>0</v>
      </c>
      <c r="AK374" s="27"/>
      <c r="AL374" s="27"/>
      <c r="AM374" s="27"/>
      <c r="AN374" s="27"/>
      <c r="AO374" s="27"/>
      <c r="AP374" s="27"/>
      <c r="AQ374" s="27"/>
      <c r="AR374" s="27"/>
      <c r="AS374" s="27">
        <v>17</v>
      </c>
    </row>
    <row r="375" spans="1:45" ht="15" customHeight="1" x14ac:dyDescent="0.25">
      <c r="A375" s="27">
        <f>IF('Pegar ML'!C370="Paquete de 2 productos",'Pegar ML'!A370,IF('Pegar ML'!C369="Paquete de 2 productos",'Pegar ML'!A369,'Pegar ML'!A371))</f>
        <v>0</v>
      </c>
      <c r="B375" s="27"/>
      <c r="C375" s="30" t="str">
        <f>IF(AjusteFecha!I371=0,"",AjusteFecha!I371)</f>
        <v/>
      </c>
      <c r="D375" s="27"/>
      <c r="E375" s="27"/>
      <c r="F375" s="27" t="str">
        <f>IF('Pegar ML'!C371="","",'Pegar ML'!C371)</f>
        <v/>
      </c>
      <c r="G375" s="27" t="str">
        <f>IF('Pegar ML'!G366="ARS","PS","PS")</f>
        <v>PS</v>
      </c>
      <c r="H375" s="14">
        <f>IF('Pegar ML'!C370="Paquete de 2 productos",IF('Pegar ML'!H370="",0,'Pegar ML'!H370),IF('Pegar ML'!H371="",0,'Pegar ML'!H371))</f>
        <v>0</v>
      </c>
      <c r="I375" s="14">
        <f>IF('Pegar ML'!C370="Paquete de 2 productos",IF('Pegar ML'!O370="",0,'Pegar ML'!O370),IF('Pegar ML'!O371="",0,'Pegar ML'!O371))</f>
        <v>0</v>
      </c>
      <c r="J375" s="14">
        <f>IF('Pegar ML'!C370="Paquete de 2 productos",IF('Pegar ML'!O370="",0,'Pegar ML'!O370),IF('Pegar ML'!O371="",0,'Pegar ML'!O371))</f>
        <v>0</v>
      </c>
      <c r="K375" s="14">
        <f t="shared" si="17"/>
        <v>0</v>
      </c>
      <c r="L375" s="27">
        <f>IF('Pegar ML'!AB371=" ",'Pegar ML'!AB370,'Pegar ML'!AB371)</f>
        <v>0</v>
      </c>
      <c r="M375" s="27" t="str">
        <f>IF('Pegar ML'!AC371=" ",RIGHT('Pegar ML'!AC370,8),RIGHT('Pegar ML'!AC371,8))</f>
        <v/>
      </c>
      <c r="N375" s="27" t="s">
        <v>80</v>
      </c>
      <c r="O375" s="27">
        <f t="shared" si="15"/>
        <v>0</v>
      </c>
      <c r="P375" s="27" t="s">
        <v>80</v>
      </c>
      <c r="Q375" s="55">
        <f>IF('Pegar ML'!AD371=" ",'Pegar ML'!AD370,'Pegar ML'!AD371)</f>
        <v>0</v>
      </c>
      <c r="R375" s="27" t="s">
        <v>80</v>
      </c>
      <c r="S375" s="27" t="s">
        <v>80</v>
      </c>
      <c r="T375" s="27" t="s">
        <v>80</v>
      </c>
      <c r="U375" s="55">
        <f>IF('Pegar ML'!AI371=" ",'Pegar ML'!AI370,'Pegar ML'!AI371)</f>
        <v>0</v>
      </c>
      <c r="V375" s="55">
        <f>IF('Pegar ML'!AK371=" ",'Pegar ML'!AK370,'Pegar ML'!AK371)</f>
        <v>0</v>
      </c>
      <c r="W375" s="55">
        <f>IF('Pegar ML'!AJ371=" ",'Pegar ML'!AJ370,'Pegar ML'!AJ371)</f>
        <v>0</v>
      </c>
      <c r="X375" s="55">
        <f>IF('Pegar ML'!AL371=" ",'Pegar ML'!AL370,'Pegar ML'!AL371)</f>
        <v>0</v>
      </c>
      <c r="Y375" s="27"/>
      <c r="Z375" s="27"/>
      <c r="AA375" s="27"/>
      <c r="AB375" s="27"/>
      <c r="AC375" s="27"/>
      <c r="AD375" s="27"/>
      <c r="AF375" s="8"/>
      <c r="AG375" s="27"/>
      <c r="AH375" s="14">
        <f>+'Pegar ML'!Y371</f>
        <v>0</v>
      </c>
      <c r="AI375" s="13">
        <f t="shared" si="16"/>
        <v>1</v>
      </c>
      <c r="AJ375" s="7">
        <f>+'Pegar ML'!T371</f>
        <v>0</v>
      </c>
      <c r="AK375" s="27"/>
      <c r="AL375" s="27"/>
      <c r="AM375" s="27"/>
      <c r="AN375" s="27"/>
      <c r="AO375" s="27"/>
      <c r="AP375" s="27"/>
      <c r="AQ375" s="27"/>
      <c r="AR375" s="27"/>
      <c r="AS375" s="27">
        <v>17</v>
      </c>
    </row>
    <row r="376" spans="1:45" ht="15" customHeight="1" x14ac:dyDescent="0.25">
      <c r="A376" s="27">
        <f>IF('Pegar ML'!C371="Paquete de 2 productos",'Pegar ML'!A371,IF('Pegar ML'!C370="Paquete de 2 productos",'Pegar ML'!A370,'Pegar ML'!A372))</f>
        <v>0</v>
      </c>
      <c r="B376" s="27"/>
      <c r="C376" s="30" t="str">
        <f>IF(AjusteFecha!I372=0,"",AjusteFecha!I372)</f>
        <v/>
      </c>
      <c r="D376" s="27"/>
      <c r="E376" s="27"/>
      <c r="F376" s="27" t="str">
        <f>IF('Pegar ML'!C372="","",'Pegar ML'!C372)</f>
        <v/>
      </c>
      <c r="G376" s="27" t="str">
        <f>IF('Pegar ML'!G367="ARS","PS","PS")</f>
        <v>PS</v>
      </c>
      <c r="H376" s="14">
        <f>IF('Pegar ML'!C371="Paquete de 2 productos",IF('Pegar ML'!H371="",0,'Pegar ML'!H371),IF('Pegar ML'!H372="",0,'Pegar ML'!H372))</f>
        <v>0</v>
      </c>
      <c r="I376" s="14">
        <f>IF('Pegar ML'!C371="Paquete de 2 productos",IF('Pegar ML'!O371="",0,'Pegar ML'!O371),IF('Pegar ML'!O372="",0,'Pegar ML'!O372))</f>
        <v>0</v>
      </c>
      <c r="J376" s="14">
        <f>IF('Pegar ML'!C371="Paquete de 2 productos",IF('Pegar ML'!O371="",0,'Pegar ML'!O371),IF('Pegar ML'!O372="",0,'Pegar ML'!O372))</f>
        <v>0</v>
      </c>
      <c r="K376" s="14">
        <f t="shared" si="17"/>
        <v>0</v>
      </c>
      <c r="L376" s="27">
        <f>IF('Pegar ML'!AB372=" ",'Pegar ML'!AB371,'Pegar ML'!AB372)</f>
        <v>0</v>
      </c>
      <c r="M376" s="27" t="str">
        <f>IF('Pegar ML'!AC372=" ",RIGHT('Pegar ML'!AC371,8),RIGHT('Pegar ML'!AC372,8))</f>
        <v/>
      </c>
      <c r="N376" s="27" t="s">
        <v>80</v>
      </c>
      <c r="O376" s="27">
        <f t="shared" si="15"/>
        <v>0</v>
      </c>
      <c r="P376" s="27" t="s">
        <v>80</v>
      </c>
      <c r="Q376" s="55">
        <f>IF('Pegar ML'!AD372=" ",'Pegar ML'!AD371,'Pegar ML'!AD372)</f>
        <v>0</v>
      </c>
      <c r="R376" s="27" t="s">
        <v>80</v>
      </c>
      <c r="S376" s="27" t="s">
        <v>80</v>
      </c>
      <c r="T376" s="27" t="s">
        <v>80</v>
      </c>
      <c r="U376" s="55">
        <f>IF('Pegar ML'!AI372=" ",'Pegar ML'!AI371,'Pegar ML'!AI372)</f>
        <v>0</v>
      </c>
      <c r="V376" s="55">
        <f>IF('Pegar ML'!AK372=" ",'Pegar ML'!AK371,'Pegar ML'!AK372)</f>
        <v>0</v>
      </c>
      <c r="W376" s="55">
        <f>IF('Pegar ML'!AJ372=" ",'Pegar ML'!AJ371,'Pegar ML'!AJ372)</f>
        <v>0</v>
      </c>
      <c r="X376" s="55">
        <f>IF('Pegar ML'!AL372=" ",'Pegar ML'!AL371,'Pegar ML'!AL372)</f>
        <v>0</v>
      </c>
      <c r="Y376" s="27"/>
      <c r="Z376" s="27"/>
      <c r="AA376" s="27"/>
      <c r="AB376" s="27"/>
      <c r="AC376" s="27"/>
      <c r="AD376" s="27"/>
      <c r="AF376" s="8"/>
      <c r="AG376" s="27"/>
      <c r="AH376" s="14">
        <f>+'Pegar ML'!Y372</f>
        <v>0</v>
      </c>
      <c r="AI376" s="13">
        <f t="shared" si="16"/>
        <v>1</v>
      </c>
      <c r="AJ376" s="7">
        <f>+'Pegar ML'!T372</f>
        <v>0</v>
      </c>
      <c r="AK376" s="27"/>
      <c r="AL376" s="27"/>
      <c r="AM376" s="27"/>
      <c r="AN376" s="27"/>
      <c r="AO376" s="27"/>
      <c r="AP376" s="27"/>
      <c r="AQ376" s="27"/>
      <c r="AR376" s="27"/>
      <c r="AS376" s="27">
        <v>17</v>
      </c>
    </row>
    <row r="377" spans="1:45" ht="15" customHeight="1" x14ac:dyDescent="0.25">
      <c r="A377" s="27">
        <f>IF('Pegar ML'!C372="Paquete de 2 productos",'Pegar ML'!A372,IF('Pegar ML'!C371="Paquete de 2 productos",'Pegar ML'!A371,'Pegar ML'!A373))</f>
        <v>0</v>
      </c>
      <c r="B377" s="27"/>
      <c r="C377" s="30" t="str">
        <f>IF(AjusteFecha!I373=0,"",AjusteFecha!I373)</f>
        <v/>
      </c>
      <c r="D377" s="27"/>
      <c r="E377" s="27"/>
      <c r="F377" s="27" t="str">
        <f>IF('Pegar ML'!C373="","",'Pegar ML'!C373)</f>
        <v/>
      </c>
      <c r="G377" s="27" t="str">
        <f>IF('Pegar ML'!G368="ARS","PS","PS")</f>
        <v>PS</v>
      </c>
      <c r="H377" s="14">
        <f>IF('Pegar ML'!C372="Paquete de 2 productos",IF('Pegar ML'!H372="",0,'Pegar ML'!H372),IF('Pegar ML'!H373="",0,'Pegar ML'!H373))</f>
        <v>0</v>
      </c>
      <c r="I377" s="14">
        <f>IF('Pegar ML'!C372="Paquete de 2 productos",IF('Pegar ML'!O372="",0,'Pegar ML'!O372),IF('Pegar ML'!O373="",0,'Pegar ML'!O373))</f>
        <v>0</v>
      </c>
      <c r="J377" s="14">
        <f>IF('Pegar ML'!C372="Paquete de 2 productos",IF('Pegar ML'!O372="",0,'Pegar ML'!O372),IF('Pegar ML'!O373="",0,'Pegar ML'!O373))</f>
        <v>0</v>
      </c>
      <c r="K377" s="14">
        <f t="shared" si="17"/>
        <v>0</v>
      </c>
      <c r="L377" s="27">
        <f>IF('Pegar ML'!AB373=" ",'Pegar ML'!AB372,'Pegar ML'!AB373)</f>
        <v>0</v>
      </c>
      <c r="M377" s="27" t="str">
        <f>IF('Pegar ML'!AC373=" ",RIGHT('Pegar ML'!AC372,8),RIGHT('Pegar ML'!AC373,8))</f>
        <v/>
      </c>
      <c r="N377" s="27" t="s">
        <v>80</v>
      </c>
      <c r="O377" s="27">
        <f t="shared" si="15"/>
        <v>0</v>
      </c>
      <c r="P377" s="27" t="s">
        <v>80</v>
      </c>
      <c r="Q377" s="55">
        <f>IF('Pegar ML'!AD373=" ",'Pegar ML'!AD372,'Pegar ML'!AD373)</f>
        <v>0</v>
      </c>
      <c r="R377" s="27" t="s">
        <v>80</v>
      </c>
      <c r="S377" s="27" t="s">
        <v>80</v>
      </c>
      <c r="T377" s="27" t="s">
        <v>80</v>
      </c>
      <c r="U377" s="55">
        <f>IF('Pegar ML'!AI373=" ",'Pegar ML'!AI372,'Pegar ML'!AI373)</f>
        <v>0</v>
      </c>
      <c r="V377" s="55">
        <f>IF('Pegar ML'!AK373=" ",'Pegar ML'!AK372,'Pegar ML'!AK373)</f>
        <v>0</v>
      </c>
      <c r="W377" s="55">
        <f>IF('Pegar ML'!AJ373=" ",'Pegar ML'!AJ372,'Pegar ML'!AJ373)</f>
        <v>0</v>
      </c>
      <c r="X377" s="55">
        <f>IF('Pegar ML'!AL373=" ",'Pegar ML'!AL372,'Pegar ML'!AL373)</f>
        <v>0</v>
      </c>
      <c r="Y377" s="27"/>
      <c r="Z377" s="27"/>
      <c r="AA377" s="27"/>
      <c r="AB377" s="27"/>
      <c r="AC377" s="27"/>
      <c r="AD377" s="27"/>
      <c r="AF377" s="8"/>
      <c r="AG377" s="27"/>
      <c r="AH377" s="14">
        <f>+'Pegar ML'!Y373</f>
        <v>0</v>
      </c>
      <c r="AI377" s="13">
        <f t="shared" si="16"/>
        <v>1</v>
      </c>
      <c r="AJ377" s="7">
        <f>+'Pegar ML'!T373</f>
        <v>0</v>
      </c>
      <c r="AK377" s="27"/>
      <c r="AL377" s="27"/>
      <c r="AM377" s="27"/>
      <c r="AN377" s="27"/>
      <c r="AO377" s="27"/>
      <c r="AP377" s="27"/>
      <c r="AQ377" s="27"/>
      <c r="AR377" s="27"/>
      <c r="AS377" s="27">
        <v>17</v>
      </c>
    </row>
    <row r="378" spans="1:45" ht="15" customHeight="1" x14ac:dyDescent="0.25">
      <c r="A378" s="27">
        <f>IF('Pegar ML'!C373="Paquete de 2 productos",'Pegar ML'!A373,IF('Pegar ML'!C372="Paquete de 2 productos",'Pegar ML'!A372,'Pegar ML'!A374))</f>
        <v>0</v>
      </c>
      <c r="B378" s="27"/>
      <c r="C378" s="30" t="str">
        <f>IF(AjusteFecha!I374=0,"",AjusteFecha!I374)</f>
        <v/>
      </c>
      <c r="D378" s="27"/>
      <c r="E378" s="27"/>
      <c r="F378" s="27" t="str">
        <f>IF('Pegar ML'!C374="","",'Pegar ML'!C374)</f>
        <v/>
      </c>
      <c r="G378" s="27" t="str">
        <f>IF('Pegar ML'!G369="ARS","PS","PS")</f>
        <v>PS</v>
      </c>
      <c r="H378" s="14">
        <f>IF('Pegar ML'!C373="Paquete de 2 productos",IF('Pegar ML'!H373="",0,'Pegar ML'!H373),IF('Pegar ML'!H374="",0,'Pegar ML'!H374))</f>
        <v>0</v>
      </c>
      <c r="I378" s="14">
        <f>IF('Pegar ML'!C373="Paquete de 2 productos",IF('Pegar ML'!O373="",0,'Pegar ML'!O373),IF('Pegar ML'!O374="",0,'Pegar ML'!O374))</f>
        <v>0</v>
      </c>
      <c r="J378" s="14">
        <f>IF('Pegar ML'!C373="Paquete de 2 productos",IF('Pegar ML'!O373="",0,'Pegar ML'!O373),IF('Pegar ML'!O374="",0,'Pegar ML'!O374))</f>
        <v>0</v>
      </c>
      <c r="K378" s="14">
        <f t="shared" si="17"/>
        <v>0</v>
      </c>
      <c r="L378" s="27">
        <f>IF('Pegar ML'!AB374=" ",'Pegar ML'!AB373,'Pegar ML'!AB374)</f>
        <v>0</v>
      </c>
      <c r="M378" s="27" t="str">
        <f>IF('Pegar ML'!AC374=" ",RIGHT('Pegar ML'!AC373,8),RIGHT('Pegar ML'!AC374,8))</f>
        <v/>
      </c>
      <c r="N378" s="27" t="s">
        <v>80</v>
      </c>
      <c r="O378" s="27">
        <f t="shared" si="15"/>
        <v>0</v>
      </c>
      <c r="P378" s="27" t="s">
        <v>80</v>
      </c>
      <c r="Q378" s="55">
        <f>IF('Pegar ML'!AD374=" ",'Pegar ML'!AD373,'Pegar ML'!AD374)</f>
        <v>0</v>
      </c>
      <c r="R378" s="27" t="s">
        <v>80</v>
      </c>
      <c r="S378" s="27" t="s">
        <v>80</v>
      </c>
      <c r="T378" s="27" t="s">
        <v>80</v>
      </c>
      <c r="U378" s="55">
        <f>IF('Pegar ML'!AI374=" ",'Pegar ML'!AI373,'Pegar ML'!AI374)</f>
        <v>0</v>
      </c>
      <c r="V378" s="55">
        <f>IF('Pegar ML'!AK374=" ",'Pegar ML'!AK373,'Pegar ML'!AK374)</f>
        <v>0</v>
      </c>
      <c r="W378" s="55">
        <f>IF('Pegar ML'!AJ374=" ",'Pegar ML'!AJ373,'Pegar ML'!AJ374)</f>
        <v>0</v>
      </c>
      <c r="X378" s="55">
        <f>IF('Pegar ML'!AL374=" ",'Pegar ML'!AL373,'Pegar ML'!AL374)</f>
        <v>0</v>
      </c>
      <c r="Y378" s="27"/>
      <c r="Z378" s="27"/>
      <c r="AA378" s="27"/>
      <c r="AB378" s="27"/>
      <c r="AC378" s="27"/>
      <c r="AD378" s="27"/>
      <c r="AF378" s="8"/>
      <c r="AG378" s="27"/>
      <c r="AH378" s="14">
        <f>+'Pegar ML'!Y374</f>
        <v>0</v>
      </c>
      <c r="AI378" s="13">
        <f t="shared" si="16"/>
        <v>1</v>
      </c>
      <c r="AJ378" s="7">
        <f>+'Pegar ML'!T374</f>
        <v>0</v>
      </c>
      <c r="AK378" s="27"/>
      <c r="AL378" s="27"/>
      <c r="AM378" s="27"/>
      <c r="AN378" s="27"/>
      <c r="AO378" s="27"/>
      <c r="AP378" s="27"/>
      <c r="AQ378" s="27"/>
      <c r="AR378" s="27"/>
      <c r="AS378" s="27">
        <v>17</v>
      </c>
    </row>
    <row r="379" spans="1:45" ht="15" customHeight="1" x14ac:dyDescent="0.25">
      <c r="A379" s="27">
        <f>IF('Pegar ML'!C374="Paquete de 2 productos",'Pegar ML'!A374,IF('Pegar ML'!C373="Paquete de 2 productos",'Pegar ML'!A373,'Pegar ML'!A375))</f>
        <v>0</v>
      </c>
      <c r="B379" s="27"/>
      <c r="C379" s="30" t="str">
        <f>IF(AjusteFecha!I375=0,"",AjusteFecha!I375)</f>
        <v/>
      </c>
      <c r="D379" s="27"/>
      <c r="E379" s="27"/>
      <c r="F379" s="27" t="str">
        <f>IF('Pegar ML'!C375="","",'Pegar ML'!C375)</f>
        <v/>
      </c>
      <c r="G379" s="27" t="str">
        <f>IF('Pegar ML'!G370="ARS","PS","PS")</f>
        <v>PS</v>
      </c>
      <c r="H379" s="14">
        <f>IF('Pegar ML'!C374="Paquete de 2 productos",IF('Pegar ML'!H374="",0,'Pegar ML'!H374),IF('Pegar ML'!H375="",0,'Pegar ML'!H375))</f>
        <v>0</v>
      </c>
      <c r="I379" s="14">
        <f>IF('Pegar ML'!C374="Paquete de 2 productos",IF('Pegar ML'!O374="",0,'Pegar ML'!O374),IF('Pegar ML'!O375="",0,'Pegar ML'!O375))</f>
        <v>0</v>
      </c>
      <c r="J379" s="14">
        <f>IF('Pegar ML'!C374="Paquete de 2 productos",IF('Pegar ML'!O374="",0,'Pegar ML'!O374),IF('Pegar ML'!O375="",0,'Pegar ML'!O375))</f>
        <v>0</v>
      </c>
      <c r="K379" s="14">
        <f t="shared" si="17"/>
        <v>0</v>
      </c>
      <c r="L379" s="27">
        <f>IF('Pegar ML'!AB375=" ",'Pegar ML'!AB374,'Pegar ML'!AB375)</f>
        <v>0</v>
      </c>
      <c r="M379" s="27" t="str">
        <f>IF('Pegar ML'!AC375=" ",RIGHT('Pegar ML'!AC374,8),RIGHT('Pegar ML'!AC375,8))</f>
        <v/>
      </c>
      <c r="N379" s="27" t="s">
        <v>80</v>
      </c>
      <c r="O379" s="27">
        <f t="shared" si="15"/>
        <v>0</v>
      </c>
      <c r="P379" s="27" t="s">
        <v>80</v>
      </c>
      <c r="Q379" s="55">
        <f>IF('Pegar ML'!AD375=" ",'Pegar ML'!AD374,'Pegar ML'!AD375)</f>
        <v>0</v>
      </c>
      <c r="R379" s="27" t="s">
        <v>80</v>
      </c>
      <c r="S379" s="27" t="s">
        <v>80</v>
      </c>
      <c r="T379" s="27" t="s">
        <v>80</v>
      </c>
      <c r="U379" s="55">
        <f>IF('Pegar ML'!AI375=" ",'Pegar ML'!AI374,'Pegar ML'!AI375)</f>
        <v>0</v>
      </c>
      <c r="V379" s="55">
        <f>IF('Pegar ML'!AK375=" ",'Pegar ML'!AK374,'Pegar ML'!AK375)</f>
        <v>0</v>
      </c>
      <c r="W379" s="55">
        <f>IF('Pegar ML'!AJ375=" ",'Pegar ML'!AJ374,'Pegar ML'!AJ375)</f>
        <v>0</v>
      </c>
      <c r="X379" s="55">
        <f>IF('Pegar ML'!AL375=" ",'Pegar ML'!AL374,'Pegar ML'!AL375)</f>
        <v>0</v>
      </c>
      <c r="Y379" s="27"/>
      <c r="Z379" s="27"/>
      <c r="AA379" s="27"/>
      <c r="AB379" s="27"/>
      <c r="AC379" s="27"/>
      <c r="AD379" s="27"/>
      <c r="AF379" s="8"/>
      <c r="AG379" s="27"/>
      <c r="AH379" s="14">
        <f>+'Pegar ML'!Y375</f>
        <v>0</v>
      </c>
      <c r="AI379" s="13">
        <f t="shared" si="16"/>
        <v>1</v>
      </c>
      <c r="AJ379" s="7">
        <f>+'Pegar ML'!T375</f>
        <v>0</v>
      </c>
      <c r="AK379" s="27"/>
      <c r="AL379" s="27"/>
      <c r="AM379" s="27"/>
      <c r="AN379" s="27"/>
      <c r="AO379" s="27"/>
      <c r="AP379" s="27"/>
      <c r="AQ379" s="27"/>
      <c r="AR379" s="27"/>
      <c r="AS379" s="27">
        <v>17</v>
      </c>
    </row>
    <row r="380" spans="1:45" ht="15" customHeight="1" x14ac:dyDescent="0.25">
      <c r="A380" s="27">
        <f>IF('Pegar ML'!C375="Paquete de 2 productos",'Pegar ML'!A375,IF('Pegar ML'!C374="Paquete de 2 productos",'Pegar ML'!A374,'Pegar ML'!A376))</f>
        <v>0</v>
      </c>
      <c r="B380" s="27"/>
      <c r="C380" s="30" t="str">
        <f>IF(AjusteFecha!I376=0,"",AjusteFecha!I376)</f>
        <v/>
      </c>
      <c r="D380" s="27"/>
      <c r="E380" s="27"/>
      <c r="F380" s="27" t="str">
        <f>IF('Pegar ML'!C376="","",'Pegar ML'!C376)</f>
        <v/>
      </c>
      <c r="G380" s="27" t="str">
        <f>IF('Pegar ML'!G371="ARS","PS","PS")</f>
        <v>PS</v>
      </c>
      <c r="H380" s="14">
        <f>IF('Pegar ML'!C375="Paquete de 2 productos",IF('Pegar ML'!H375="",0,'Pegar ML'!H375),IF('Pegar ML'!H376="",0,'Pegar ML'!H376))</f>
        <v>0</v>
      </c>
      <c r="I380" s="14">
        <f>IF('Pegar ML'!C375="Paquete de 2 productos",IF('Pegar ML'!O375="",0,'Pegar ML'!O375),IF('Pegar ML'!O376="",0,'Pegar ML'!O376))</f>
        <v>0</v>
      </c>
      <c r="J380" s="14">
        <f>IF('Pegar ML'!C375="Paquete de 2 productos",IF('Pegar ML'!O375="",0,'Pegar ML'!O375),IF('Pegar ML'!O376="",0,'Pegar ML'!O376))</f>
        <v>0</v>
      </c>
      <c r="K380" s="14">
        <f t="shared" si="17"/>
        <v>0</v>
      </c>
      <c r="L380" s="27">
        <f>IF('Pegar ML'!AB376=" ",'Pegar ML'!AB375,'Pegar ML'!AB376)</f>
        <v>0</v>
      </c>
      <c r="M380" s="27" t="str">
        <f>IF('Pegar ML'!AC376=" ",RIGHT('Pegar ML'!AC375,8),RIGHT('Pegar ML'!AC376,8))</f>
        <v/>
      </c>
      <c r="N380" s="27" t="s">
        <v>80</v>
      </c>
      <c r="O380" s="27">
        <f t="shared" si="15"/>
        <v>0</v>
      </c>
      <c r="P380" s="27" t="s">
        <v>80</v>
      </c>
      <c r="Q380" s="55">
        <f>IF('Pegar ML'!AD376=" ",'Pegar ML'!AD375,'Pegar ML'!AD376)</f>
        <v>0</v>
      </c>
      <c r="R380" s="27" t="s">
        <v>80</v>
      </c>
      <c r="S380" s="27" t="s">
        <v>80</v>
      </c>
      <c r="T380" s="27" t="s">
        <v>80</v>
      </c>
      <c r="U380" s="55">
        <f>IF('Pegar ML'!AI376=" ",'Pegar ML'!AI375,'Pegar ML'!AI376)</f>
        <v>0</v>
      </c>
      <c r="V380" s="55">
        <f>IF('Pegar ML'!AK376=" ",'Pegar ML'!AK375,'Pegar ML'!AK376)</f>
        <v>0</v>
      </c>
      <c r="W380" s="55">
        <f>IF('Pegar ML'!AJ376=" ",'Pegar ML'!AJ375,'Pegar ML'!AJ376)</f>
        <v>0</v>
      </c>
      <c r="X380" s="55">
        <f>IF('Pegar ML'!AL376=" ",'Pegar ML'!AL375,'Pegar ML'!AL376)</f>
        <v>0</v>
      </c>
      <c r="Y380" s="27"/>
      <c r="Z380" s="27"/>
      <c r="AA380" s="27"/>
      <c r="AB380" s="27"/>
      <c r="AC380" s="27"/>
      <c r="AD380" s="27"/>
      <c r="AF380" s="8"/>
      <c r="AG380" s="27"/>
      <c r="AH380" s="14">
        <f>+'Pegar ML'!Y376</f>
        <v>0</v>
      </c>
      <c r="AI380" s="13">
        <f t="shared" si="16"/>
        <v>1</v>
      </c>
      <c r="AJ380" s="7">
        <f>+'Pegar ML'!T376</f>
        <v>0</v>
      </c>
      <c r="AK380" s="27"/>
      <c r="AL380" s="27"/>
      <c r="AM380" s="27"/>
      <c r="AN380" s="27"/>
      <c r="AO380" s="27"/>
      <c r="AP380" s="27"/>
      <c r="AQ380" s="27"/>
      <c r="AR380" s="27"/>
      <c r="AS380" s="27">
        <v>17</v>
      </c>
    </row>
    <row r="381" spans="1:45" ht="15" customHeight="1" x14ac:dyDescent="0.25">
      <c r="A381" s="27">
        <f>IF('Pegar ML'!C376="Paquete de 2 productos",'Pegar ML'!A376,IF('Pegar ML'!C375="Paquete de 2 productos",'Pegar ML'!A375,'Pegar ML'!A377))</f>
        <v>0</v>
      </c>
      <c r="B381" s="27"/>
      <c r="C381" s="30" t="str">
        <f>IF(AjusteFecha!I377=0,"",AjusteFecha!I377)</f>
        <v/>
      </c>
      <c r="D381" s="27"/>
      <c r="E381" s="27"/>
      <c r="F381" s="27" t="str">
        <f>IF('Pegar ML'!C377="","",'Pegar ML'!C377)</f>
        <v/>
      </c>
      <c r="G381" s="27" t="str">
        <f>IF('Pegar ML'!G372="ARS","PS","PS")</f>
        <v>PS</v>
      </c>
      <c r="H381" s="14">
        <f>IF('Pegar ML'!C376="Paquete de 2 productos",IF('Pegar ML'!H376="",0,'Pegar ML'!H376),IF('Pegar ML'!H377="",0,'Pegar ML'!H377))</f>
        <v>0</v>
      </c>
      <c r="I381" s="14">
        <f>IF('Pegar ML'!C376="Paquete de 2 productos",IF('Pegar ML'!O376="",0,'Pegar ML'!O376),IF('Pegar ML'!O377="",0,'Pegar ML'!O377))</f>
        <v>0</v>
      </c>
      <c r="J381" s="14">
        <f>IF('Pegar ML'!C376="Paquete de 2 productos",IF('Pegar ML'!O376="",0,'Pegar ML'!O376),IF('Pegar ML'!O377="",0,'Pegar ML'!O377))</f>
        <v>0</v>
      </c>
      <c r="K381" s="14">
        <f t="shared" si="17"/>
        <v>0</v>
      </c>
      <c r="L381" s="27">
        <f>IF('Pegar ML'!AB377=" ",'Pegar ML'!AB376,'Pegar ML'!AB377)</f>
        <v>0</v>
      </c>
      <c r="M381" s="27" t="str">
        <f>IF('Pegar ML'!AC377=" ",RIGHT('Pegar ML'!AC376,8),RIGHT('Pegar ML'!AC377,8))</f>
        <v/>
      </c>
      <c r="N381" s="27" t="s">
        <v>80</v>
      </c>
      <c r="O381" s="27">
        <f t="shared" si="15"/>
        <v>0</v>
      </c>
      <c r="P381" s="27" t="s">
        <v>80</v>
      </c>
      <c r="Q381" s="55">
        <f>IF('Pegar ML'!AD377=" ",'Pegar ML'!AD376,'Pegar ML'!AD377)</f>
        <v>0</v>
      </c>
      <c r="R381" s="27" t="s">
        <v>80</v>
      </c>
      <c r="S381" s="27" t="s">
        <v>80</v>
      </c>
      <c r="T381" s="27" t="s">
        <v>80</v>
      </c>
      <c r="U381" s="55">
        <f>IF('Pegar ML'!AI377=" ",'Pegar ML'!AI376,'Pegar ML'!AI377)</f>
        <v>0</v>
      </c>
      <c r="V381" s="55">
        <f>IF('Pegar ML'!AK377=" ",'Pegar ML'!AK376,'Pegar ML'!AK377)</f>
        <v>0</v>
      </c>
      <c r="W381" s="55">
        <f>IF('Pegar ML'!AJ377=" ",'Pegar ML'!AJ376,'Pegar ML'!AJ377)</f>
        <v>0</v>
      </c>
      <c r="X381" s="55">
        <f>IF('Pegar ML'!AL377=" ",'Pegar ML'!AL376,'Pegar ML'!AL377)</f>
        <v>0</v>
      </c>
      <c r="Y381" s="27"/>
      <c r="Z381" s="27"/>
      <c r="AA381" s="27"/>
      <c r="AB381" s="27"/>
      <c r="AC381" s="27"/>
      <c r="AD381" s="27"/>
      <c r="AF381" s="8"/>
      <c r="AG381" s="27"/>
      <c r="AH381" s="14">
        <f>+'Pegar ML'!Y377</f>
        <v>0</v>
      </c>
      <c r="AI381" s="13">
        <f t="shared" si="16"/>
        <v>1</v>
      </c>
      <c r="AJ381" s="7">
        <f>+'Pegar ML'!T377</f>
        <v>0</v>
      </c>
      <c r="AK381" s="27"/>
      <c r="AL381" s="27"/>
      <c r="AM381" s="27"/>
      <c r="AN381" s="27"/>
      <c r="AO381" s="27"/>
      <c r="AP381" s="27"/>
      <c r="AQ381" s="27"/>
      <c r="AR381" s="27"/>
      <c r="AS381" s="27">
        <v>17</v>
      </c>
    </row>
    <row r="382" spans="1:45" ht="15" customHeight="1" x14ac:dyDescent="0.25">
      <c r="A382" s="27">
        <f>IF('Pegar ML'!C377="Paquete de 2 productos",'Pegar ML'!A377,IF('Pegar ML'!C376="Paquete de 2 productos",'Pegar ML'!A376,'Pegar ML'!A378))</f>
        <v>0</v>
      </c>
      <c r="B382" s="27"/>
      <c r="C382" s="30" t="str">
        <f>IF(AjusteFecha!I378=0,"",AjusteFecha!I378)</f>
        <v/>
      </c>
      <c r="D382" s="27"/>
      <c r="E382" s="27"/>
      <c r="F382" s="27" t="str">
        <f>IF('Pegar ML'!C378="","",'Pegar ML'!C378)</f>
        <v/>
      </c>
      <c r="G382" s="27" t="str">
        <f>IF('Pegar ML'!G373="ARS","PS","PS")</f>
        <v>PS</v>
      </c>
      <c r="H382" s="14">
        <f>IF('Pegar ML'!C377="Paquete de 2 productos",IF('Pegar ML'!H377="",0,'Pegar ML'!H377),IF('Pegar ML'!H378="",0,'Pegar ML'!H378))</f>
        <v>0</v>
      </c>
      <c r="I382" s="14">
        <f>IF('Pegar ML'!C377="Paquete de 2 productos",IF('Pegar ML'!O377="",0,'Pegar ML'!O377),IF('Pegar ML'!O378="",0,'Pegar ML'!O378))</f>
        <v>0</v>
      </c>
      <c r="J382" s="14">
        <f>IF('Pegar ML'!C377="Paquete de 2 productos",IF('Pegar ML'!O377="",0,'Pegar ML'!O377),IF('Pegar ML'!O378="",0,'Pegar ML'!O378))</f>
        <v>0</v>
      </c>
      <c r="K382" s="14">
        <f t="shared" si="17"/>
        <v>0</v>
      </c>
      <c r="L382" s="27">
        <f>IF('Pegar ML'!AB378=" ",'Pegar ML'!AB377,'Pegar ML'!AB378)</f>
        <v>0</v>
      </c>
      <c r="M382" s="27" t="str">
        <f>IF('Pegar ML'!AC378=" ",RIGHT('Pegar ML'!AC377,8),RIGHT('Pegar ML'!AC378,8))</f>
        <v/>
      </c>
      <c r="N382" s="27" t="s">
        <v>80</v>
      </c>
      <c r="O382" s="27">
        <f t="shared" si="15"/>
        <v>0</v>
      </c>
      <c r="P382" s="27" t="s">
        <v>80</v>
      </c>
      <c r="Q382" s="55">
        <f>IF('Pegar ML'!AD378=" ",'Pegar ML'!AD377,'Pegar ML'!AD378)</f>
        <v>0</v>
      </c>
      <c r="R382" s="27" t="s">
        <v>80</v>
      </c>
      <c r="S382" s="27" t="s">
        <v>80</v>
      </c>
      <c r="T382" s="27" t="s">
        <v>80</v>
      </c>
      <c r="U382" s="55">
        <f>IF('Pegar ML'!AI378=" ",'Pegar ML'!AI377,'Pegar ML'!AI378)</f>
        <v>0</v>
      </c>
      <c r="V382" s="55">
        <f>IF('Pegar ML'!AK378=" ",'Pegar ML'!AK377,'Pegar ML'!AK378)</f>
        <v>0</v>
      </c>
      <c r="W382" s="55">
        <f>IF('Pegar ML'!AJ378=" ",'Pegar ML'!AJ377,'Pegar ML'!AJ378)</f>
        <v>0</v>
      </c>
      <c r="X382" s="55">
        <f>IF('Pegar ML'!AL378=" ",'Pegar ML'!AL377,'Pegar ML'!AL378)</f>
        <v>0</v>
      </c>
      <c r="Y382" s="27"/>
      <c r="Z382" s="27"/>
      <c r="AA382" s="27"/>
      <c r="AB382" s="27"/>
      <c r="AC382" s="27"/>
      <c r="AD382" s="27"/>
      <c r="AF382" s="8"/>
      <c r="AG382" s="27"/>
      <c r="AH382" s="14">
        <f>+'Pegar ML'!Y378</f>
        <v>0</v>
      </c>
      <c r="AI382" s="13">
        <f t="shared" si="16"/>
        <v>1</v>
      </c>
      <c r="AJ382" s="7">
        <f>+'Pegar ML'!T378</f>
        <v>0</v>
      </c>
      <c r="AK382" s="27"/>
      <c r="AL382" s="27"/>
      <c r="AM382" s="27"/>
      <c r="AN382" s="27"/>
      <c r="AO382" s="27"/>
      <c r="AP382" s="27"/>
      <c r="AQ382" s="27"/>
      <c r="AR382" s="27"/>
      <c r="AS382" s="27">
        <v>17</v>
      </c>
    </row>
    <row r="383" spans="1:45" ht="15" customHeight="1" x14ac:dyDescent="0.25">
      <c r="A383" s="27">
        <f>IF('Pegar ML'!C378="Paquete de 2 productos",'Pegar ML'!A378,IF('Pegar ML'!C377="Paquete de 2 productos",'Pegar ML'!A377,'Pegar ML'!A379))</f>
        <v>0</v>
      </c>
      <c r="B383" s="27"/>
      <c r="C383" s="30" t="str">
        <f>IF(AjusteFecha!I379=0,"",AjusteFecha!I379)</f>
        <v/>
      </c>
      <c r="D383" s="27"/>
      <c r="E383" s="27"/>
      <c r="F383" s="27" t="str">
        <f>IF('Pegar ML'!C379="","",'Pegar ML'!C379)</f>
        <v/>
      </c>
      <c r="G383" s="27" t="str">
        <f>IF('Pegar ML'!G374="ARS","PS","PS")</f>
        <v>PS</v>
      </c>
      <c r="H383" s="14">
        <f>IF('Pegar ML'!C378="Paquete de 2 productos",IF('Pegar ML'!H378="",0,'Pegar ML'!H378),IF('Pegar ML'!H379="",0,'Pegar ML'!H379))</f>
        <v>0</v>
      </c>
      <c r="I383" s="14">
        <f>IF('Pegar ML'!C378="Paquete de 2 productos",IF('Pegar ML'!O378="",0,'Pegar ML'!O378),IF('Pegar ML'!O379="",0,'Pegar ML'!O379))</f>
        <v>0</v>
      </c>
      <c r="J383" s="14">
        <f>IF('Pegar ML'!C378="Paquete de 2 productos",IF('Pegar ML'!O378="",0,'Pegar ML'!O378),IF('Pegar ML'!O379="",0,'Pegar ML'!O379))</f>
        <v>0</v>
      </c>
      <c r="K383" s="14">
        <f t="shared" si="17"/>
        <v>0</v>
      </c>
      <c r="L383" s="27">
        <f>IF('Pegar ML'!AB379=" ",'Pegar ML'!AB378,'Pegar ML'!AB379)</f>
        <v>0</v>
      </c>
      <c r="M383" s="27" t="str">
        <f>IF('Pegar ML'!AC379=" ",RIGHT('Pegar ML'!AC378,8),RIGHT('Pegar ML'!AC379,8))</f>
        <v/>
      </c>
      <c r="N383" s="27" t="s">
        <v>80</v>
      </c>
      <c r="O383" s="27">
        <f t="shared" si="15"/>
        <v>0</v>
      </c>
      <c r="P383" s="27" t="s">
        <v>80</v>
      </c>
      <c r="Q383" s="55">
        <f>IF('Pegar ML'!AD379=" ",'Pegar ML'!AD378,'Pegar ML'!AD379)</f>
        <v>0</v>
      </c>
      <c r="R383" s="27" t="s">
        <v>80</v>
      </c>
      <c r="S383" s="27" t="s">
        <v>80</v>
      </c>
      <c r="T383" s="27" t="s">
        <v>80</v>
      </c>
      <c r="U383" s="55">
        <f>IF('Pegar ML'!AI379=" ",'Pegar ML'!AI378,'Pegar ML'!AI379)</f>
        <v>0</v>
      </c>
      <c r="V383" s="55">
        <f>IF('Pegar ML'!AK379=" ",'Pegar ML'!AK378,'Pegar ML'!AK379)</f>
        <v>0</v>
      </c>
      <c r="W383" s="55">
        <f>IF('Pegar ML'!AJ379=" ",'Pegar ML'!AJ378,'Pegar ML'!AJ379)</f>
        <v>0</v>
      </c>
      <c r="X383" s="55">
        <f>IF('Pegar ML'!AL379=" ",'Pegar ML'!AL378,'Pegar ML'!AL379)</f>
        <v>0</v>
      </c>
      <c r="Y383" s="27"/>
      <c r="Z383" s="27"/>
      <c r="AA383" s="27"/>
      <c r="AB383" s="27"/>
      <c r="AC383" s="27"/>
      <c r="AD383" s="27"/>
      <c r="AF383" s="8"/>
      <c r="AG383" s="27"/>
      <c r="AH383" s="14">
        <f>+'Pegar ML'!Y379</f>
        <v>0</v>
      </c>
      <c r="AI383" s="13">
        <f t="shared" si="16"/>
        <v>1</v>
      </c>
      <c r="AJ383" s="7">
        <f>+'Pegar ML'!T379</f>
        <v>0</v>
      </c>
      <c r="AK383" s="27"/>
      <c r="AL383" s="27"/>
      <c r="AM383" s="27"/>
      <c r="AN383" s="27"/>
      <c r="AO383" s="27"/>
      <c r="AP383" s="27"/>
      <c r="AQ383" s="27"/>
      <c r="AR383" s="27"/>
      <c r="AS383" s="27">
        <v>17</v>
      </c>
    </row>
    <row r="384" spans="1:45" ht="15" customHeight="1" x14ac:dyDescent="0.25">
      <c r="A384" s="27">
        <f>IF('Pegar ML'!C379="Paquete de 2 productos",'Pegar ML'!A379,IF('Pegar ML'!C378="Paquete de 2 productos",'Pegar ML'!A378,'Pegar ML'!A380))</f>
        <v>0</v>
      </c>
      <c r="B384" s="27"/>
      <c r="C384" s="30" t="str">
        <f>IF(AjusteFecha!I380=0,"",AjusteFecha!I380)</f>
        <v/>
      </c>
      <c r="D384" s="27"/>
      <c r="E384" s="27"/>
      <c r="F384" s="27" t="str">
        <f>IF('Pegar ML'!C380="","",'Pegar ML'!C380)</f>
        <v/>
      </c>
      <c r="G384" s="27" t="str">
        <f>IF('Pegar ML'!G375="ARS","PS","PS")</f>
        <v>PS</v>
      </c>
      <c r="H384" s="14">
        <f>IF('Pegar ML'!C379="Paquete de 2 productos",IF('Pegar ML'!H379="",0,'Pegar ML'!H379),IF('Pegar ML'!H380="",0,'Pegar ML'!H380))</f>
        <v>0</v>
      </c>
      <c r="I384" s="14">
        <f>IF('Pegar ML'!C379="Paquete de 2 productos",IF('Pegar ML'!O379="",0,'Pegar ML'!O379),IF('Pegar ML'!O380="",0,'Pegar ML'!O380))</f>
        <v>0</v>
      </c>
      <c r="J384" s="14">
        <f>IF('Pegar ML'!C379="Paquete de 2 productos",IF('Pegar ML'!O379="",0,'Pegar ML'!O379),IF('Pegar ML'!O380="",0,'Pegar ML'!O380))</f>
        <v>0</v>
      </c>
      <c r="K384" s="14">
        <f t="shared" si="17"/>
        <v>0</v>
      </c>
      <c r="L384" s="27">
        <f>IF('Pegar ML'!AB380=" ",'Pegar ML'!AB379,'Pegar ML'!AB380)</f>
        <v>0</v>
      </c>
      <c r="M384" s="27" t="str">
        <f>IF('Pegar ML'!AC380=" ",RIGHT('Pegar ML'!AC379,8),RIGHT('Pegar ML'!AC380,8))</f>
        <v/>
      </c>
      <c r="N384" s="27" t="s">
        <v>80</v>
      </c>
      <c r="O384" s="27">
        <f t="shared" si="15"/>
        <v>0</v>
      </c>
      <c r="P384" s="27" t="s">
        <v>80</v>
      </c>
      <c r="Q384" s="55">
        <f>IF('Pegar ML'!AD380=" ",'Pegar ML'!AD379,'Pegar ML'!AD380)</f>
        <v>0</v>
      </c>
      <c r="R384" s="27" t="s">
        <v>80</v>
      </c>
      <c r="S384" s="27" t="s">
        <v>80</v>
      </c>
      <c r="T384" s="27" t="s">
        <v>80</v>
      </c>
      <c r="U384" s="55">
        <f>IF('Pegar ML'!AI380=" ",'Pegar ML'!AI379,'Pegar ML'!AI380)</f>
        <v>0</v>
      </c>
      <c r="V384" s="55">
        <f>IF('Pegar ML'!AK380=" ",'Pegar ML'!AK379,'Pegar ML'!AK380)</f>
        <v>0</v>
      </c>
      <c r="W384" s="55">
        <f>IF('Pegar ML'!AJ380=" ",'Pegar ML'!AJ379,'Pegar ML'!AJ380)</f>
        <v>0</v>
      </c>
      <c r="X384" s="55">
        <f>IF('Pegar ML'!AL380=" ",'Pegar ML'!AL379,'Pegar ML'!AL380)</f>
        <v>0</v>
      </c>
      <c r="Y384" s="27"/>
      <c r="Z384" s="27"/>
      <c r="AA384" s="27"/>
      <c r="AB384" s="27"/>
      <c r="AC384" s="27"/>
      <c r="AD384" s="27"/>
      <c r="AF384" s="8"/>
      <c r="AG384" s="27"/>
      <c r="AH384" s="14">
        <f>+'Pegar ML'!Y380</f>
        <v>0</v>
      </c>
      <c r="AI384" s="13">
        <f t="shared" si="16"/>
        <v>1</v>
      </c>
      <c r="AJ384" s="7">
        <f>+'Pegar ML'!T380</f>
        <v>0</v>
      </c>
      <c r="AK384" s="27"/>
      <c r="AL384" s="27"/>
      <c r="AM384" s="27"/>
      <c r="AN384" s="27"/>
      <c r="AO384" s="27"/>
      <c r="AP384" s="27"/>
      <c r="AQ384" s="27"/>
      <c r="AR384" s="27"/>
      <c r="AS384" s="27">
        <v>17</v>
      </c>
    </row>
    <row r="385" spans="1:45" ht="15" customHeight="1" x14ac:dyDescent="0.25">
      <c r="A385" s="27">
        <f>IF('Pegar ML'!C380="Paquete de 2 productos",'Pegar ML'!A380,IF('Pegar ML'!C379="Paquete de 2 productos",'Pegar ML'!A379,'Pegar ML'!A381))</f>
        <v>0</v>
      </c>
      <c r="B385" s="27"/>
      <c r="C385" s="30" t="str">
        <f>IF(AjusteFecha!I381=0,"",AjusteFecha!I381)</f>
        <v/>
      </c>
      <c r="D385" s="27"/>
      <c r="E385" s="27"/>
      <c r="F385" s="27" t="str">
        <f>IF('Pegar ML'!C381="","",'Pegar ML'!C381)</f>
        <v/>
      </c>
      <c r="G385" s="27" t="str">
        <f>IF('Pegar ML'!G376="ARS","PS","PS")</f>
        <v>PS</v>
      </c>
      <c r="H385" s="14">
        <f>IF('Pegar ML'!C380="Paquete de 2 productos",IF('Pegar ML'!H380="",0,'Pegar ML'!H380),IF('Pegar ML'!H381="",0,'Pegar ML'!H381))</f>
        <v>0</v>
      </c>
      <c r="I385" s="14">
        <f>IF('Pegar ML'!C380="Paquete de 2 productos",IF('Pegar ML'!O380="",0,'Pegar ML'!O380),IF('Pegar ML'!O381="",0,'Pegar ML'!O381))</f>
        <v>0</v>
      </c>
      <c r="J385" s="14">
        <f>IF('Pegar ML'!C380="Paquete de 2 productos",IF('Pegar ML'!O380="",0,'Pegar ML'!O380),IF('Pegar ML'!O381="",0,'Pegar ML'!O381))</f>
        <v>0</v>
      </c>
      <c r="K385" s="14">
        <f t="shared" si="17"/>
        <v>0</v>
      </c>
      <c r="L385" s="27">
        <f>IF('Pegar ML'!AB381=" ",'Pegar ML'!AB380,'Pegar ML'!AB381)</f>
        <v>0</v>
      </c>
      <c r="M385" s="27" t="str">
        <f>IF('Pegar ML'!AC381=" ",RIGHT('Pegar ML'!AC380,8),RIGHT('Pegar ML'!AC381,8))</f>
        <v/>
      </c>
      <c r="N385" s="27" t="s">
        <v>80</v>
      </c>
      <c r="O385" s="27">
        <f t="shared" si="15"/>
        <v>0</v>
      </c>
      <c r="P385" s="27" t="s">
        <v>80</v>
      </c>
      <c r="Q385" s="55">
        <f>IF('Pegar ML'!AD381=" ",'Pegar ML'!AD380,'Pegar ML'!AD381)</f>
        <v>0</v>
      </c>
      <c r="R385" s="27" t="s">
        <v>80</v>
      </c>
      <c r="S385" s="27" t="s">
        <v>80</v>
      </c>
      <c r="T385" s="27" t="s">
        <v>80</v>
      </c>
      <c r="U385" s="55">
        <f>IF('Pegar ML'!AI381=" ",'Pegar ML'!AI380,'Pegar ML'!AI381)</f>
        <v>0</v>
      </c>
      <c r="V385" s="55">
        <f>IF('Pegar ML'!AK381=" ",'Pegar ML'!AK380,'Pegar ML'!AK381)</f>
        <v>0</v>
      </c>
      <c r="W385" s="55">
        <f>IF('Pegar ML'!AJ381=" ",'Pegar ML'!AJ380,'Pegar ML'!AJ381)</f>
        <v>0</v>
      </c>
      <c r="X385" s="55">
        <f>IF('Pegar ML'!AL381=" ",'Pegar ML'!AL380,'Pegar ML'!AL381)</f>
        <v>0</v>
      </c>
      <c r="Y385" s="27"/>
      <c r="Z385" s="27"/>
      <c r="AA385" s="27"/>
      <c r="AB385" s="27"/>
      <c r="AC385" s="27"/>
      <c r="AD385" s="27"/>
      <c r="AF385" s="8"/>
      <c r="AG385" s="27"/>
      <c r="AH385" s="14">
        <f>+'Pegar ML'!Y381</f>
        <v>0</v>
      </c>
      <c r="AI385" s="13">
        <f t="shared" si="16"/>
        <v>1</v>
      </c>
      <c r="AJ385" s="7">
        <f>+'Pegar ML'!T381</f>
        <v>0</v>
      </c>
      <c r="AK385" s="27"/>
      <c r="AL385" s="27"/>
      <c r="AM385" s="27"/>
      <c r="AN385" s="27"/>
      <c r="AO385" s="27"/>
      <c r="AP385" s="27"/>
      <c r="AQ385" s="27"/>
      <c r="AR385" s="27"/>
      <c r="AS385" s="27">
        <v>17</v>
      </c>
    </row>
    <row r="386" spans="1:45" ht="15" customHeight="1" x14ac:dyDescent="0.25">
      <c r="A386" s="27">
        <f>IF('Pegar ML'!C381="Paquete de 2 productos",'Pegar ML'!A381,IF('Pegar ML'!C380="Paquete de 2 productos",'Pegar ML'!A380,'Pegar ML'!A382))</f>
        <v>0</v>
      </c>
      <c r="B386" s="27"/>
      <c r="C386" s="30" t="str">
        <f>IF(AjusteFecha!I382=0,"",AjusteFecha!I382)</f>
        <v/>
      </c>
      <c r="D386" s="27"/>
      <c r="E386" s="27"/>
      <c r="F386" s="27" t="str">
        <f>IF('Pegar ML'!C382="","",'Pegar ML'!C382)</f>
        <v/>
      </c>
      <c r="G386" s="27" t="str">
        <f>IF('Pegar ML'!G377="ARS","PS","PS")</f>
        <v>PS</v>
      </c>
      <c r="H386" s="14">
        <f>IF('Pegar ML'!C381="Paquete de 2 productos",IF('Pegar ML'!H381="",0,'Pegar ML'!H381),IF('Pegar ML'!H382="",0,'Pegar ML'!H382))</f>
        <v>0</v>
      </c>
      <c r="I386" s="14">
        <f>IF('Pegar ML'!C381="Paquete de 2 productos",IF('Pegar ML'!O381="",0,'Pegar ML'!O381),IF('Pegar ML'!O382="",0,'Pegar ML'!O382))</f>
        <v>0</v>
      </c>
      <c r="J386" s="14">
        <f>IF('Pegar ML'!C381="Paquete de 2 productos",IF('Pegar ML'!O381="",0,'Pegar ML'!O381),IF('Pegar ML'!O382="",0,'Pegar ML'!O382))</f>
        <v>0</v>
      </c>
      <c r="K386" s="14">
        <f t="shared" si="17"/>
        <v>0</v>
      </c>
      <c r="L386" s="27">
        <f>IF('Pegar ML'!AB382=" ",'Pegar ML'!AB381,'Pegar ML'!AB382)</f>
        <v>0</v>
      </c>
      <c r="M386" s="27" t="str">
        <f>IF('Pegar ML'!AC382=" ",RIGHT('Pegar ML'!AC381,8),RIGHT('Pegar ML'!AC382,8))</f>
        <v/>
      </c>
      <c r="N386" s="27" t="s">
        <v>80</v>
      </c>
      <c r="O386" s="27">
        <f t="shared" si="15"/>
        <v>0</v>
      </c>
      <c r="P386" s="27" t="s">
        <v>80</v>
      </c>
      <c r="Q386" s="55">
        <f>IF('Pegar ML'!AD382=" ",'Pegar ML'!AD381,'Pegar ML'!AD382)</f>
        <v>0</v>
      </c>
      <c r="R386" s="27" t="s">
        <v>80</v>
      </c>
      <c r="S386" s="27" t="s">
        <v>80</v>
      </c>
      <c r="T386" s="27" t="s">
        <v>80</v>
      </c>
      <c r="U386" s="55">
        <f>IF('Pegar ML'!AI382=" ",'Pegar ML'!AI381,'Pegar ML'!AI382)</f>
        <v>0</v>
      </c>
      <c r="V386" s="55">
        <f>IF('Pegar ML'!AK382=" ",'Pegar ML'!AK381,'Pegar ML'!AK382)</f>
        <v>0</v>
      </c>
      <c r="W386" s="55">
        <f>IF('Pegar ML'!AJ382=" ",'Pegar ML'!AJ381,'Pegar ML'!AJ382)</f>
        <v>0</v>
      </c>
      <c r="X386" s="55">
        <f>IF('Pegar ML'!AL382=" ",'Pegar ML'!AL381,'Pegar ML'!AL382)</f>
        <v>0</v>
      </c>
      <c r="Y386" s="27"/>
      <c r="Z386" s="27"/>
      <c r="AA386" s="27"/>
      <c r="AB386" s="27"/>
      <c r="AC386" s="27"/>
      <c r="AD386" s="27"/>
      <c r="AF386" s="8"/>
      <c r="AG386" s="27"/>
      <c r="AH386" s="14">
        <f>+'Pegar ML'!Y382</f>
        <v>0</v>
      </c>
      <c r="AI386" s="13">
        <f t="shared" si="16"/>
        <v>1</v>
      </c>
      <c r="AJ386" s="7">
        <f>+'Pegar ML'!T382</f>
        <v>0</v>
      </c>
      <c r="AK386" s="27"/>
      <c r="AL386" s="27"/>
      <c r="AM386" s="27"/>
      <c r="AN386" s="27"/>
      <c r="AO386" s="27"/>
      <c r="AP386" s="27"/>
      <c r="AQ386" s="27"/>
      <c r="AR386" s="27"/>
      <c r="AS386" s="27">
        <v>17</v>
      </c>
    </row>
    <row r="387" spans="1:45" ht="15" customHeight="1" x14ac:dyDescent="0.25">
      <c r="A387" s="27">
        <f>IF('Pegar ML'!C382="Paquete de 2 productos",'Pegar ML'!A382,IF('Pegar ML'!C381="Paquete de 2 productos",'Pegar ML'!A381,'Pegar ML'!A383))</f>
        <v>0</v>
      </c>
      <c r="B387" s="27"/>
      <c r="C387" s="30" t="str">
        <f>IF(AjusteFecha!I383=0,"",AjusteFecha!I383)</f>
        <v/>
      </c>
      <c r="D387" s="27"/>
      <c r="E387" s="27"/>
      <c r="F387" s="27" t="str">
        <f>IF('Pegar ML'!C383="","",'Pegar ML'!C383)</f>
        <v/>
      </c>
      <c r="G387" s="27" t="str">
        <f>IF('Pegar ML'!G378="ARS","PS","PS")</f>
        <v>PS</v>
      </c>
      <c r="H387" s="14">
        <f>IF('Pegar ML'!C382="Paquete de 2 productos",IF('Pegar ML'!H382="",0,'Pegar ML'!H382),IF('Pegar ML'!H383="",0,'Pegar ML'!H383))</f>
        <v>0</v>
      </c>
      <c r="I387" s="14">
        <f>IF('Pegar ML'!C382="Paquete de 2 productos",IF('Pegar ML'!O382="",0,'Pegar ML'!O382),IF('Pegar ML'!O383="",0,'Pegar ML'!O383))</f>
        <v>0</v>
      </c>
      <c r="J387" s="14">
        <f>IF('Pegar ML'!C382="Paquete de 2 productos",IF('Pegar ML'!O382="",0,'Pegar ML'!O382),IF('Pegar ML'!O383="",0,'Pegar ML'!O383))</f>
        <v>0</v>
      </c>
      <c r="K387" s="14">
        <f t="shared" si="17"/>
        <v>0</v>
      </c>
      <c r="L387" s="27">
        <f>IF('Pegar ML'!AB383=" ",'Pegar ML'!AB382,'Pegar ML'!AB383)</f>
        <v>0</v>
      </c>
      <c r="M387" s="27" t="str">
        <f>IF('Pegar ML'!AC383=" ",RIGHT('Pegar ML'!AC382,8),RIGHT('Pegar ML'!AC383,8))</f>
        <v/>
      </c>
      <c r="N387" s="27" t="s">
        <v>80</v>
      </c>
      <c r="O387" s="27">
        <f t="shared" si="15"/>
        <v>0</v>
      </c>
      <c r="P387" s="27" t="s">
        <v>80</v>
      </c>
      <c r="Q387" s="55">
        <f>IF('Pegar ML'!AD383=" ",'Pegar ML'!AD382,'Pegar ML'!AD383)</f>
        <v>0</v>
      </c>
      <c r="R387" s="27" t="s">
        <v>80</v>
      </c>
      <c r="S387" s="27" t="s">
        <v>80</v>
      </c>
      <c r="T387" s="27" t="s">
        <v>80</v>
      </c>
      <c r="U387" s="55">
        <f>IF('Pegar ML'!AI383=" ",'Pegar ML'!AI382,'Pegar ML'!AI383)</f>
        <v>0</v>
      </c>
      <c r="V387" s="55">
        <f>IF('Pegar ML'!AK383=" ",'Pegar ML'!AK382,'Pegar ML'!AK383)</f>
        <v>0</v>
      </c>
      <c r="W387" s="55">
        <f>IF('Pegar ML'!AJ383=" ",'Pegar ML'!AJ382,'Pegar ML'!AJ383)</f>
        <v>0</v>
      </c>
      <c r="X387" s="55">
        <f>IF('Pegar ML'!AL383=" ",'Pegar ML'!AL382,'Pegar ML'!AL383)</f>
        <v>0</v>
      </c>
      <c r="Y387" s="27"/>
      <c r="Z387" s="27"/>
      <c r="AA387" s="27"/>
      <c r="AB387" s="27"/>
      <c r="AC387" s="27"/>
      <c r="AD387" s="27"/>
      <c r="AF387" s="8"/>
      <c r="AG387" s="27"/>
      <c r="AH387" s="14">
        <f>+'Pegar ML'!Y383</f>
        <v>0</v>
      </c>
      <c r="AI387" s="13">
        <f t="shared" si="16"/>
        <v>1</v>
      </c>
      <c r="AJ387" s="7">
        <f>+'Pegar ML'!T383</f>
        <v>0</v>
      </c>
      <c r="AK387" s="27"/>
      <c r="AL387" s="27"/>
      <c r="AM387" s="27"/>
      <c r="AN387" s="27"/>
      <c r="AO387" s="27"/>
      <c r="AP387" s="27"/>
      <c r="AQ387" s="27"/>
      <c r="AR387" s="27"/>
      <c r="AS387" s="27">
        <v>17</v>
      </c>
    </row>
    <row r="388" spans="1:45" ht="15" customHeight="1" x14ac:dyDescent="0.25">
      <c r="A388" s="27">
        <f>IF('Pegar ML'!C383="Paquete de 2 productos",'Pegar ML'!A383,IF('Pegar ML'!C382="Paquete de 2 productos",'Pegar ML'!A382,'Pegar ML'!A384))</f>
        <v>0</v>
      </c>
      <c r="B388" s="27"/>
      <c r="C388" s="30" t="str">
        <f>IF(AjusteFecha!I384=0,"",AjusteFecha!I384)</f>
        <v/>
      </c>
      <c r="D388" s="27"/>
      <c r="E388" s="27"/>
      <c r="F388" s="27" t="str">
        <f>IF('Pegar ML'!C384="","",'Pegar ML'!C384)</f>
        <v/>
      </c>
      <c r="G388" s="27" t="str">
        <f>IF('Pegar ML'!G379="ARS","PS","PS")</f>
        <v>PS</v>
      </c>
      <c r="H388" s="14">
        <f>IF('Pegar ML'!C383="Paquete de 2 productos",IF('Pegar ML'!H383="",0,'Pegar ML'!H383),IF('Pegar ML'!H384="",0,'Pegar ML'!H384))</f>
        <v>0</v>
      </c>
      <c r="I388" s="14">
        <f>IF('Pegar ML'!C383="Paquete de 2 productos",IF('Pegar ML'!O383="",0,'Pegar ML'!O383),IF('Pegar ML'!O384="",0,'Pegar ML'!O384))</f>
        <v>0</v>
      </c>
      <c r="J388" s="14">
        <f>IF('Pegar ML'!C383="Paquete de 2 productos",IF('Pegar ML'!O383="",0,'Pegar ML'!O383),IF('Pegar ML'!O384="",0,'Pegar ML'!O384))</f>
        <v>0</v>
      </c>
      <c r="K388" s="14">
        <f t="shared" si="17"/>
        <v>0</v>
      </c>
      <c r="L388" s="27">
        <f>IF('Pegar ML'!AB384=" ",'Pegar ML'!AB383,'Pegar ML'!AB384)</f>
        <v>0</v>
      </c>
      <c r="M388" s="27" t="str">
        <f>IF('Pegar ML'!AC384=" ",RIGHT('Pegar ML'!AC383,8),RIGHT('Pegar ML'!AC384,8))</f>
        <v/>
      </c>
      <c r="N388" s="27" t="s">
        <v>80</v>
      </c>
      <c r="O388" s="27">
        <f t="shared" si="15"/>
        <v>0</v>
      </c>
      <c r="P388" s="27" t="s">
        <v>80</v>
      </c>
      <c r="Q388" s="55">
        <f>IF('Pegar ML'!AD384=" ",'Pegar ML'!AD383,'Pegar ML'!AD384)</f>
        <v>0</v>
      </c>
      <c r="R388" s="27" t="s">
        <v>80</v>
      </c>
      <c r="S388" s="27" t="s">
        <v>80</v>
      </c>
      <c r="T388" s="27" t="s">
        <v>80</v>
      </c>
      <c r="U388" s="55">
        <f>IF('Pegar ML'!AI384=" ",'Pegar ML'!AI383,'Pegar ML'!AI384)</f>
        <v>0</v>
      </c>
      <c r="V388" s="55">
        <f>IF('Pegar ML'!AK384=" ",'Pegar ML'!AK383,'Pegar ML'!AK384)</f>
        <v>0</v>
      </c>
      <c r="W388" s="55">
        <f>IF('Pegar ML'!AJ384=" ",'Pegar ML'!AJ383,'Pegar ML'!AJ384)</f>
        <v>0</v>
      </c>
      <c r="X388" s="55">
        <f>IF('Pegar ML'!AL384=" ",'Pegar ML'!AL383,'Pegar ML'!AL384)</f>
        <v>0</v>
      </c>
      <c r="Y388" s="27"/>
      <c r="Z388" s="27"/>
      <c r="AA388" s="27"/>
      <c r="AB388" s="27"/>
      <c r="AC388" s="27"/>
      <c r="AD388" s="27"/>
      <c r="AF388" s="8"/>
      <c r="AG388" s="27"/>
      <c r="AH388" s="14">
        <f>+'Pegar ML'!Y384</f>
        <v>0</v>
      </c>
      <c r="AI388" s="13">
        <f t="shared" si="16"/>
        <v>1</v>
      </c>
      <c r="AJ388" s="7">
        <f>+'Pegar ML'!T384</f>
        <v>0</v>
      </c>
      <c r="AK388" s="27"/>
      <c r="AL388" s="27"/>
      <c r="AM388" s="27"/>
      <c r="AN388" s="27"/>
      <c r="AO388" s="27"/>
      <c r="AP388" s="27"/>
      <c r="AQ388" s="27"/>
      <c r="AR388" s="27"/>
      <c r="AS388" s="27">
        <v>17</v>
      </c>
    </row>
    <row r="389" spans="1:45" ht="15" customHeight="1" x14ac:dyDescent="0.25">
      <c r="A389" s="27">
        <f>IF('Pegar ML'!C384="Paquete de 2 productos",'Pegar ML'!A384,IF('Pegar ML'!C383="Paquete de 2 productos",'Pegar ML'!A383,'Pegar ML'!A385))</f>
        <v>0</v>
      </c>
      <c r="B389" s="27"/>
      <c r="C389" s="30" t="str">
        <f>IF(AjusteFecha!I385=0,"",AjusteFecha!I385)</f>
        <v/>
      </c>
      <c r="D389" s="27"/>
      <c r="E389" s="27"/>
      <c r="F389" s="27" t="str">
        <f>IF('Pegar ML'!C385="","",'Pegar ML'!C385)</f>
        <v/>
      </c>
      <c r="G389" s="27" t="str">
        <f>IF('Pegar ML'!G380="ARS","PS","PS")</f>
        <v>PS</v>
      </c>
      <c r="H389" s="14">
        <f>IF('Pegar ML'!C384="Paquete de 2 productos",IF('Pegar ML'!H384="",0,'Pegar ML'!H384),IF('Pegar ML'!H385="",0,'Pegar ML'!H385))</f>
        <v>0</v>
      </c>
      <c r="I389" s="14">
        <f>IF('Pegar ML'!C384="Paquete de 2 productos",IF('Pegar ML'!O384="",0,'Pegar ML'!O384),IF('Pegar ML'!O385="",0,'Pegar ML'!O385))</f>
        <v>0</v>
      </c>
      <c r="J389" s="14">
        <f>IF('Pegar ML'!C384="Paquete de 2 productos",IF('Pegar ML'!O384="",0,'Pegar ML'!O384),IF('Pegar ML'!O385="",0,'Pegar ML'!O385))</f>
        <v>0</v>
      </c>
      <c r="K389" s="14">
        <f t="shared" si="17"/>
        <v>0</v>
      </c>
      <c r="L389" s="27">
        <f>IF('Pegar ML'!AB385=" ",'Pegar ML'!AB384,'Pegar ML'!AB385)</f>
        <v>0</v>
      </c>
      <c r="M389" s="27" t="str">
        <f>IF('Pegar ML'!AC385=" ",RIGHT('Pegar ML'!AC384,8),RIGHT('Pegar ML'!AC385,8))</f>
        <v/>
      </c>
      <c r="N389" s="27" t="s">
        <v>80</v>
      </c>
      <c r="O389" s="27">
        <f t="shared" si="15"/>
        <v>0</v>
      </c>
      <c r="P389" s="27" t="s">
        <v>80</v>
      </c>
      <c r="Q389" s="55">
        <f>IF('Pegar ML'!AD385=" ",'Pegar ML'!AD384,'Pegar ML'!AD385)</f>
        <v>0</v>
      </c>
      <c r="R389" s="27" t="s">
        <v>80</v>
      </c>
      <c r="S389" s="27" t="s">
        <v>80</v>
      </c>
      <c r="T389" s="27" t="s">
        <v>80</v>
      </c>
      <c r="U389" s="55">
        <f>IF('Pegar ML'!AI385=" ",'Pegar ML'!AI384,'Pegar ML'!AI385)</f>
        <v>0</v>
      </c>
      <c r="V389" s="55">
        <f>IF('Pegar ML'!AK385=" ",'Pegar ML'!AK384,'Pegar ML'!AK385)</f>
        <v>0</v>
      </c>
      <c r="W389" s="55">
        <f>IF('Pegar ML'!AJ385=" ",'Pegar ML'!AJ384,'Pegar ML'!AJ385)</f>
        <v>0</v>
      </c>
      <c r="X389" s="55">
        <f>IF('Pegar ML'!AL385=" ",'Pegar ML'!AL384,'Pegar ML'!AL385)</f>
        <v>0</v>
      </c>
      <c r="Y389" s="27"/>
      <c r="Z389" s="27"/>
      <c r="AA389" s="27"/>
      <c r="AB389" s="27"/>
      <c r="AC389" s="27"/>
      <c r="AD389" s="27"/>
      <c r="AF389" s="8"/>
      <c r="AG389" s="27"/>
      <c r="AH389" s="14">
        <f>+'Pegar ML'!Y385</f>
        <v>0</v>
      </c>
      <c r="AI389" s="13">
        <f t="shared" si="16"/>
        <v>1</v>
      </c>
      <c r="AJ389" s="7">
        <f>+'Pegar ML'!T385</f>
        <v>0</v>
      </c>
      <c r="AK389" s="27"/>
      <c r="AL389" s="27"/>
      <c r="AM389" s="27"/>
      <c r="AN389" s="27"/>
      <c r="AO389" s="27"/>
      <c r="AP389" s="27"/>
      <c r="AQ389" s="27"/>
      <c r="AR389" s="27"/>
      <c r="AS389" s="27">
        <v>17</v>
      </c>
    </row>
    <row r="390" spans="1:45" ht="15" customHeight="1" x14ac:dyDescent="0.25">
      <c r="A390" s="27">
        <f>IF('Pegar ML'!C385="Paquete de 2 productos",'Pegar ML'!A385,IF('Pegar ML'!C384="Paquete de 2 productos",'Pegar ML'!A384,'Pegar ML'!A386))</f>
        <v>0</v>
      </c>
      <c r="B390" s="27"/>
      <c r="C390" s="30" t="str">
        <f>IF(AjusteFecha!I386=0,"",AjusteFecha!I386)</f>
        <v/>
      </c>
      <c r="D390" s="27"/>
      <c r="E390" s="27"/>
      <c r="F390" s="27" t="str">
        <f>IF('Pegar ML'!C386="","",'Pegar ML'!C386)</f>
        <v/>
      </c>
      <c r="G390" s="27" t="str">
        <f>IF('Pegar ML'!G381="ARS","PS","PS")</f>
        <v>PS</v>
      </c>
      <c r="H390" s="14">
        <f>IF('Pegar ML'!C385="Paquete de 2 productos",IF('Pegar ML'!H385="",0,'Pegar ML'!H385),IF('Pegar ML'!H386="",0,'Pegar ML'!H386))</f>
        <v>0</v>
      </c>
      <c r="I390" s="14">
        <f>IF('Pegar ML'!C385="Paquete de 2 productos",IF('Pegar ML'!O385="",0,'Pegar ML'!O385),IF('Pegar ML'!O386="",0,'Pegar ML'!O386))</f>
        <v>0</v>
      </c>
      <c r="J390" s="14">
        <f>IF('Pegar ML'!C385="Paquete de 2 productos",IF('Pegar ML'!O385="",0,'Pegar ML'!O385),IF('Pegar ML'!O386="",0,'Pegar ML'!O386))</f>
        <v>0</v>
      </c>
      <c r="K390" s="14">
        <f t="shared" si="17"/>
        <v>0</v>
      </c>
      <c r="L390" s="27">
        <f>IF('Pegar ML'!AB386=" ",'Pegar ML'!AB385,'Pegar ML'!AB386)</f>
        <v>0</v>
      </c>
      <c r="M390" s="27" t="str">
        <f>IF('Pegar ML'!AC386=" ",RIGHT('Pegar ML'!AC385,8),RIGHT('Pegar ML'!AC386,8))</f>
        <v/>
      </c>
      <c r="N390" s="27" t="s">
        <v>80</v>
      </c>
      <c r="O390" s="27">
        <f t="shared" si="15"/>
        <v>0</v>
      </c>
      <c r="P390" s="27" t="s">
        <v>80</v>
      </c>
      <c r="Q390" s="55">
        <f>IF('Pegar ML'!AD386=" ",'Pegar ML'!AD385,'Pegar ML'!AD386)</f>
        <v>0</v>
      </c>
      <c r="R390" s="27" t="s">
        <v>80</v>
      </c>
      <c r="S390" s="27" t="s">
        <v>80</v>
      </c>
      <c r="T390" s="27" t="s">
        <v>80</v>
      </c>
      <c r="U390" s="55">
        <f>IF('Pegar ML'!AI386=" ",'Pegar ML'!AI385,'Pegar ML'!AI386)</f>
        <v>0</v>
      </c>
      <c r="V390" s="55">
        <f>IF('Pegar ML'!AK386=" ",'Pegar ML'!AK385,'Pegar ML'!AK386)</f>
        <v>0</v>
      </c>
      <c r="W390" s="55">
        <f>IF('Pegar ML'!AJ386=" ",'Pegar ML'!AJ385,'Pegar ML'!AJ386)</f>
        <v>0</v>
      </c>
      <c r="X390" s="55">
        <f>IF('Pegar ML'!AL386=" ",'Pegar ML'!AL385,'Pegar ML'!AL386)</f>
        <v>0</v>
      </c>
      <c r="Y390" s="27"/>
      <c r="Z390" s="27"/>
      <c r="AA390" s="27"/>
      <c r="AB390" s="27"/>
      <c r="AC390" s="27"/>
      <c r="AD390" s="27"/>
      <c r="AF390" s="8"/>
      <c r="AG390" s="27"/>
      <c r="AH390" s="14">
        <f>+'Pegar ML'!Y386</f>
        <v>0</v>
      </c>
      <c r="AI390" s="13">
        <f t="shared" si="16"/>
        <v>1</v>
      </c>
      <c r="AJ390" s="7">
        <f>+'Pegar ML'!T386</f>
        <v>0</v>
      </c>
      <c r="AK390" s="27"/>
      <c r="AL390" s="27"/>
      <c r="AM390" s="27"/>
      <c r="AN390" s="27"/>
      <c r="AO390" s="27"/>
      <c r="AP390" s="27"/>
      <c r="AQ390" s="27"/>
      <c r="AR390" s="27"/>
      <c r="AS390" s="27">
        <v>17</v>
      </c>
    </row>
    <row r="391" spans="1:45" ht="15" customHeight="1" x14ac:dyDescent="0.25">
      <c r="A391" s="27">
        <f>IF('Pegar ML'!C386="Paquete de 2 productos",'Pegar ML'!A386,IF('Pegar ML'!C385="Paquete de 2 productos",'Pegar ML'!A385,'Pegar ML'!A387))</f>
        <v>0</v>
      </c>
      <c r="B391" s="27"/>
      <c r="C391" s="30" t="str">
        <f>IF(AjusteFecha!I387=0,"",AjusteFecha!I387)</f>
        <v/>
      </c>
      <c r="D391" s="27"/>
      <c r="E391" s="27"/>
      <c r="F391" s="27" t="str">
        <f>IF('Pegar ML'!C387="","",'Pegar ML'!C387)</f>
        <v/>
      </c>
      <c r="G391" s="27" t="str">
        <f>IF('Pegar ML'!G382="ARS","PS","PS")</f>
        <v>PS</v>
      </c>
      <c r="H391" s="14">
        <f>IF('Pegar ML'!C386="Paquete de 2 productos",IF('Pegar ML'!H386="",0,'Pegar ML'!H386),IF('Pegar ML'!H387="",0,'Pegar ML'!H387))</f>
        <v>0</v>
      </c>
      <c r="I391" s="14">
        <f>IF('Pegar ML'!C386="Paquete de 2 productos",IF('Pegar ML'!O386="",0,'Pegar ML'!O386),IF('Pegar ML'!O387="",0,'Pegar ML'!O387))</f>
        <v>0</v>
      </c>
      <c r="J391" s="14">
        <f>IF('Pegar ML'!C386="Paquete de 2 productos",IF('Pegar ML'!O386="",0,'Pegar ML'!O386),IF('Pegar ML'!O387="",0,'Pegar ML'!O387))</f>
        <v>0</v>
      </c>
      <c r="K391" s="14">
        <f t="shared" si="17"/>
        <v>0</v>
      </c>
      <c r="L391" s="27">
        <f>IF('Pegar ML'!AB387=" ",'Pegar ML'!AB386,'Pegar ML'!AB387)</f>
        <v>0</v>
      </c>
      <c r="M391" s="27" t="str">
        <f>IF('Pegar ML'!AC387=" ",RIGHT('Pegar ML'!AC386,8),RIGHT('Pegar ML'!AC387,8))</f>
        <v/>
      </c>
      <c r="N391" s="27" t="s">
        <v>80</v>
      </c>
      <c r="O391" s="27">
        <f t="shared" si="15"/>
        <v>0</v>
      </c>
      <c r="P391" s="27" t="s">
        <v>80</v>
      </c>
      <c r="Q391" s="55">
        <f>IF('Pegar ML'!AD387=" ",'Pegar ML'!AD386,'Pegar ML'!AD387)</f>
        <v>0</v>
      </c>
      <c r="R391" s="27" t="s">
        <v>80</v>
      </c>
      <c r="S391" s="27" t="s">
        <v>80</v>
      </c>
      <c r="T391" s="27" t="s">
        <v>80</v>
      </c>
      <c r="U391" s="55">
        <f>IF('Pegar ML'!AI387=" ",'Pegar ML'!AI386,'Pegar ML'!AI387)</f>
        <v>0</v>
      </c>
      <c r="V391" s="55">
        <f>IF('Pegar ML'!AK387=" ",'Pegar ML'!AK386,'Pegar ML'!AK387)</f>
        <v>0</v>
      </c>
      <c r="W391" s="55">
        <f>IF('Pegar ML'!AJ387=" ",'Pegar ML'!AJ386,'Pegar ML'!AJ387)</f>
        <v>0</v>
      </c>
      <c r="X391" s="55">
        <f>IF('Pegar ML'!AL387=" ",'Pegar ML'!AL386,'Pegar ML'!AL387)</f>
        <v>0</v>
      </c>
      <c r="Y391" s="27"/>
      <c r="Z391" s="27"/>
      <c r="AA391" s="27"/>
      <c r="AB391" s="27"/>
      <c r="AC391" s="27"/>
      <c r="AD391" s="27"/>
      <c r="AF391" s="8"/>
      <c r="AG391" s="27"/>
      <c r="AH391" s="14">
        <f>+'Pegar ML'!Y387</f>
        <v>0</v>
      </c>
      <c r="AI391" s="13">
        <f t="shared" si="16"/>
        <v>1</v>
      </c>
      <c r="AJ391" s="7">
        <f>+'Pegar ML'!T387</f>
        <v>0</v>
      </c>
      <c r="AK391" s="27"/>
      <c r="AL391" s="27"/>
      <c r="AM391" s="27"/>
      <c r="AN391" s="27"/>
      <c r="AO391" s="27"/>
      <c r="AP391" s="27"/>
      <c r="AQ391" s="27"/>
      <c r="AR391" s="27"/>
      <c r="AS391" s="27">
        <v>17</v>
      </c>
    </row>
    <row r="392" spans="1:45" ht="15" customHeight="1" x14ac:dyDescent="0.25">
      <c r="A392" s="27">
        <f>IF('Pegar ML'!C387="Paquete de 2 productos",'Pegar ML'!A387,IF('Pegar ML'!C386="Paquete de 2 productos",'Pegar ML'!A386,'Pegar ML'!A388))</f>
        <v>0</v>
      </c>
      <c r="B392" s="27"/>
      <c r="C392" s="30" t="str">
        <f>IF(AjusteFecha!I388=0,"",AjusteFecha!I388)</f>
        <v/>
      </c>
      <c r="D392" s="27"/>
      <c r="E392" s="27"/>
      <c r="F392" s="27" t="str">
        <f>IF('Pegar ML'!C388="","",'Pegar ML'!C388)</f>
        <v/>
      </c>
      <c r="G392" s="27" t="str">
        <f>IF('Pegar ML'!G383="ARS","PS","PS")</f>
        <v>PS</v>
      </c>
      <c r="H392" s="14">
        <f>IF('Pegar ML'!C387="Paquete de 2 productos",IF('Pegar ML'!H387="",0,'Pegar ML'!H387),IF('Pegar ML'!H388="",0,'Pegar ML'!H388))</f>
        <v>0</v>
      </c>
      <c r="I392" s="14">
        <f>IF('Pegar ML'!C387="Paquete de 2 productos",IF('Pegar ML'!O387="",0,'Pegar ML'!O387),IF('Pegar ML'!O388="",0,'Pegar ML'!O388))</f>
        <v>0</v>
      </c>
      <c r="J392" s="14">
        <f>IF('Pegar ML'!C387="Paquete de 2 productos",IF('Pegar ML'!O387="",0,'Pegar ML'!O387),IF('Pegar ML'!O388="",0,'Pegar ML'!O388))</f>
        <v>0</v>
      </c>
      <c r="K392" s="14">
        <f t="shared" si="17"/>
        <v>0</v>
      </c>
      <c r="L392" s="27">
        <f>IF('Pegar ML'!AB388=" ",'Pegar ML'!AB387,'Pegar ML'!AB388)</f>
        <v>0</v>
      </c>
      <c r="M392" s="27" t="str">
        <f>IF('Pegar ML'!AC388=" ",RIGHT('Pegar ML'!AC387,8),RIGHT('Pegar ML'!AC388,8))</f>
        <v/>
      </c>
      <c r="N392" s="27" t="s">
        <v>80</v>
      </c>
      <c r="O392" s="27">
        <f t="shared" si="15"/>
        <v>0</v>
      </c>
      <c r="P392" s="27" t="s">
        <v>80</v>
      </c>
      <c r="Q392" s="55">
        <f>IF('Pegar ML'!AD388=" ",'Pegar ML'!AD387,'Pegar ML'!AD388)</f>
        <v>0</v>
      </c>
      <c r="R392" s="27" t="s">
        <v>80</v>
      </c>
      <c r="S392" s="27" t="s">
        <v>80</v>
      </c>
      <c r="T392" s="27" t="s">
        <v>80</v>
      </c>
      <c r="U392" s="55">
        <f>IF('Pegar ML'!AI388=" ",'Pegar ML'!AI387,'Pegar ML'!AI388)</f>
        <v>0</v>
      </c>
      <c r="V392" s="55">
        <f>IF('Pegar ML'!AK388=" ",'Pegar ML'!AK387,'Pegar ML'!AK388)</f>
        <v>0</v>
      </c>
      <c r="W392" s="55">
        <f>IF('Pegar ML'!AJ388=" ",'Pegar ML'!AJ387,'Pegar ML'!AJ388)</f>
        <v>0</v>
      </c>
      <c r="X392" s="55">
        <f>IF('Pegar ML'!AL388=" ",'Pegar ML'!AL387,'Pegar ML'!AL388)</f>
        <v>0</v>
      </c>
      <c r="Y392" s="27"/>
      <c r="Z392" s="27"/>
      <c r="AA392" s="27"/>
      <c r="AB392" s="27"/>
      <c r="AC392" s="27"/>
      <c r="AD392" s="27"/>
      <c r="AF392" s="8"/>
      <c r="AG392" s="27"/>
      <c r="AH392" s="14">
        <f>+'Pegar ML'!Y388</f>
        <v>0</v>
      </c>
      <c r="AI392" s="13">
        <f t="shared" si="16"/>
        <v>1</v>
      </c>
      <c r="AJ392" s="7">
        <f>+'Pegar ML'!T388</f>
        <v>0</v>
      </c>
      <c r="AK392" s="27"/>
      <c r="AL392" s="27"/>
      <c r="AM392" s="27"/>
      <c r="AN392" s="27"/>
      <c r="AO392" s="27"/>
      <c r="AP392" s="27"/>
      <c r="AQ392" s="27"/>
      <c r="AR392" s="27"/>
      <c r="AS392" s="27">
        <v>17</v>
      </c>
    </row>
    <row r="393" spans="1:45" ht="15" customHeight="1" x14ac:dyDescent="0.25">
      <c r="A393" s="27">
        <f>IF('Pegar ML'!C388="Paquete de 2 productos",'Pegar ML'!A388,IF('Pegar ML'!C387="Paquete de 2 productos",'Pegar ML'!A387,'Pegar ML'!A389))</f>
        <v>0</v>
      </c>
      <c r="B393" s="27"/>
      <c r="C393" s="30" t="str">
        <f>IF(AjusteFecha!I389=0,"",AjusteFecha!I389)</f>
        <v/>
      </c>
      <c r="D393" s="27"/>
      <c r="E393" s="27"/>
      <c r="F393" s="27" t="str">
        <f>IF('Pegar ML'!C389="","",'Pegar ML'!C389)</f>
        <v/>
      </c>
      <c r="G393" s="27" t="str">
        <f>IF('Pegar ML'!G384="ARS","PS","PS")</f>
        <v>PS</v>
      </c>
      <c r="H393" s="14">
        <f>IF('Pegar ML'!C388="Paquete de 2 productos",IF('Pegar ML'!H388="",0,'Pegar ML'!H388),IF('Pegar ML'!H389="",0,'Pegar ML'!H389))</f>
        <v>0</v>
      </c>
      <c r="I393" s="14">
        <f>IF('Pegar ML'!C388="Paquete de 2 productos",IF('Pegar ML'!O388="",0,'Pegar ML'!O388),IF('Pegar ML'!O389="",0,'Pegar ML'!O389))</f>
        <v>0</v>
      </c>
      <c r="J393" s="14">
        <f>IF('Pegar ML'!C388="Paquete de 2 productos",IF('Pegar ML'!O388="",0,'Pegar ML'!O388),IF('Pegar ML'!O389="",0,'Pegar ML'!O389))</f>
        <v>0</v>
      </c>
      <c r="K393" s="14">
        <f t="shared" si="17"/>
        <v>0</v>
      </c>
      <c r="L393" s="27">
        <f>IF('Pegar ML'!AB389=" ",'Pegar ML'!AB388,'Pegar ML'!AB389)</f>
        <v>0</v>
      </c>
      <c r="M393" s="27" t="str">
        <f>IF('Pegar ML'!AC389=" ",RIGHT('Pegar ML'!AC388,8),RIGHT('Pegar ML'!AC389,8))</f>
        <v/>
      </c>
      <c r="N393" s="27" t="s">
        <v>80</v>
      </c>
      <c r="O393" s="27">
        <f t="shared" si="15"/>
        <v>0</v>
      </c>
      <c r="P393" s="27" t="s">
        <v>80</v>
      </c>
      <c r="Q393" s="55">
        <f>IF('Pegar ML'!AD389=" ",'Pegar ML'!AD388,'Pegar ML'!AD389)</f>
        <v>0</v>
      </c>
      <c r="R393" s="27" t="s">
        <v>80</v>
      </c>
      <c r="S393" s="27" t="s">
        <v>80</v>
      </c>
      <c r="T393" s="27" t="s">
        <v>80</v>
      </c>
      <c r="U393" s="55">
        <f>IF('Pegar ML'!AI389=" ",'Pegar ML'!AI388,'Pegar ML'!AI389)</f>
        <v>0</v>
      </c>
      <c r="V393" s="55">
        <f>IF('Pegar ML'!AK389=" ",'Pegar ML'!AK388,'Pegar ML'!AK389)</f>
        <v>0</v>
      </c>
      <c r="W393" s="55">
        <f>IF('Pegar ML'!AJ389=" ",'Pegar ML'!AJ388,'Pegar ML'!AJ389)</f>
        <v>0</v>
      </c>
      <c r="X393" s="55">
        <f>IF('Pegar ML'!AL389=" ",'Pegar ML'!AL388,'Pegar ML'!AL389)</f>
        <v>0</v>
      </c>
      <c r="Y393" s="27"/>
      <c r="Z393" s="27"/>
      <c r="AA393" s="27"/>
      <c r="AB393" s="27"/>
      <c r="AC393" s="27"/>
      <c r="AD393" s="27"/>
      <c r="AF393" s="8"/>
      <c r="AG393" s="27"/>
      <c r="AH393" s="14">
        <f>+'Pegar ML'!Y389</f>
        <v>0</v>
      </c>
      <c r="AI393" s="13">
        <f t="shared" si="16"/>
        <v>1</v>
      </c>
      <c r="AJ393" s="7">
        <f>+'Pegar ML'!T389</f>
        <v>0</v>
      </c>
      <c r="AK393" s="27"/>
      <c r="AL393" s="27"/>
      <c r="AM393" s="27"/>
      <c r="AN393" s="27"/>
      <c r="AO393" s="27"/>
      <c r="AP393" s="27"/>
      <c r="AQ393" s="27"/>
      <c r="AR393" s="27"/>
      <c r="AS393" s="27">
        <v>17</v>
      </c>
    </row>
    <row r="394" spans="1:45" ht="15" customHeight="1" x14ac:dyDescent="0.25">
      <c r="A394" s="27">
        <f>IF('Pegar ML'!C389="Paquete de 2 productos",'Pegar ML'!A389,IF('Pegar ML'!C388="Paquete de 2 productos",'Pegar ML'!A388,'Pegar ML'!A390))</f>
        <v>0</v>
      </c>
      <c r="B394" s="27"/>
      <c r="C394" s="30" t="str">
        <f>IF(AjusteFecha!I390=0,"",AjusteFecha!I390)</f>
        <v/>
      </c>
      <c r="D394" s="27"/>
      <c r="E394" s="27"/>
      <c r="F394" s="27" t="str">
        <f>IF('Pegar ML'!C390="","",'Pegar ML'!C390)</f>
        <v/>
      </c>
      <c r="G394" s="27" t="str">
        <f>IF('Pegar ML'!G385="ARS","PS","PS")</f>
        <v>PS</v>
      </c>
      <c r="H394" s="14">
        <f>IF('Pegar ML'!C389="Paquete de 2 productos",IF('Pegar ML'!H389="",0,'Pegar ML'!H389),IF('Pegar ML'!H390="",0,'Pegar ML'!H390))</f>
        <v>0</v>
      </c>
      <c r="I394" s="14">
        <f>IF('Pegar ML'!C389="Paquete de 2 productos",IF('Pegar ML'!O389="",0,'Pegar ML'!O389),IF('Pegar ML'!O390="",0,'Pegar ML'!O390))</f>
        <v>0</v>
      </c>
      <c r="J394" s="14">
        <f>IF('Pegar ML'!C389="Paquete de 2 productos",IF('Pegar ML'!O389="",0,'Pegar ML'!O389),IF('Pegar ML'!O390="",0,'Pegar ML'!O390))</f>
        <v>0</v>
      </c>
      <c r="K394" s="14">
        <f t="shared" si="17"/>
        <v>0</v>
      </c>
      <c r="L394" s="27">
        <f>IF('Pegar ML'!AB390=" ",'Pegar ML'!AB389,'Pegar ML'!AB390)</f>
        <v>0</v>
      </c>
      <c r="M394" s="27" t="str">
        <f>IF('Pegar ML'!AC390=" ",RIGHT('Pegar ML'!AC389,8),RIGHT('Pegar ML'!AC390,8))</f>
        <v/>
      </c>
      <c r="N394" s="27" t="s">
        <v>80</v>
      </c>
      <c r="O394" s="27">
        <f t="shared" si="15"/>
        <v>0</v>
      </c>
      <c r="P394" s="27" t="s">
        <v>80</v>
      </c>
      <c r="Q394" s="55">
        <f>IF('Pegar ML'!AD390=" ",'Pegar ML'!AD389,'Pegar ML'!AD390)</f>
        <v>0</v>
      </c>
      <c r="R394" s="27" t="s">
        <v>80</v>
      </c>
      <c r="S394" s="27" t="s">
        <v>80</v>
      </c>
      <c r="T394" s="27" t="s">
        <v>80</v>
      </c>
      <c r="U394" s="55">
        <f>IF('Pegar ML'!AI390=" ",'Pegar ML'!AI389,'Pegar ML'!AI390)</f>
        <v>0</v>
      </c>
      <c r="V394" s="55">
        <f>IF('Pegar ML'!AK390=" ",'Pegar ML'!AK389,'Pegar ML'!AK390)</f>
        <v>0</v>
      </c>
      <c r="W394" s="55">
        <f>IF('Pegar ML'!AJ390=" ",'Pegar ML'!AJ389,'Pegar ML'!AJ390)</f>
        <v>0</v>
      </c>
      <c r="X394" s="55">
        <f>IF('Pegar ML'!AL390=" ",'Pegar ML'!AL389,'Pegar ML'!AL390)</f>
        <v>0</v>
      </c>
      <c r="Y394" s="27"/>
      <c r="Z394" s="27"/>
      <c r="AA394" s="27"/>
      <c r="AB394" s="27"/>
      <c r="AC394" s="27"/>
      <c r="AD394" s="27"/>
      <c r="AF394" s="8"/>
      <c r="AG394" s="27"/>
      <c r="AH394" s="14">
        <f>+'Pegar ML'!Y390</f>
        <v>0</v>
      </c>
      <c r="AI394" s="13">
        <f t="shared" si="16"/>
        <v>1</v>
      </c>
      <c r="AJ394" s="7">
        <f>+'Pegar ML'!T390</f>
        <v>0</v>
      </c>
      <c r="AK394" s="27"/>
      <c r="AL394" s="27"/>
      <c r="AM394" s="27"/>
      <c r="AN394" s="27"/>
      <c r="AO394" s="27"/>
      <c r="AP394" s="27"/>
      <c r="AQ394" s="27"/>
      <c r="AR394" s="27"/>
      <c r="AS394" s="27">
        <v>17</v>
      </c>
    </row>
    <row r="395" spans="1:45" ht="15" customHeight="1" x14ac:dyDescent="0.25">
      <c r="A395" s="27">
        <f>IF('Pegar ML'!C390="Paquete de 2 productos",'Pegar ML'!A390,IF('Pegar ML'!C389="Paquete de 2 productos",'Pegar ML'!A389,'Pegar ML'!A391))</f>
        <v>0</v>
      </c>
      <c r="B395" s="27"/>
      <c r="C395" s="30" t="str">
        <f>IF(AjusteFecha!I391=0,"",AjusteFecha!I391)</f>
        <v/>
      </c>
      <c r="D395" s="27"/>
      <c r="E395" s="27"/>
      <c r="F395" s="27" t="str">
        <f>IF('Pegar ML'!C391="","",'Pegar ML'!C391)</f>
        <v/>
      </c>
      <c r="G395" s="27" t="str">
        <f>IF('Pegar ML'!G386="ARS","PS","PS")</f>
        <v>PS</v>
      </c>
      <c r="H395" s="14">
        <f>IF('Pegar ML'!C390="Paquete de 2 productos",IF('Pegar ML'!H390="",0,'Pegar ML'!H390),IF('Pegar ML'!H391="",0,'Pegar ML'!H391))</f>
        <v>0</v>
      </c>
      <c r="I395" s="14">
        <f>IF('Pegar ML'!C390="Paquete de 2 productos",IF('Pegar ML'!O390="",0,'Pegar ML'!O390),IF('Pegar ML'!O391="",0,'Pegar ML'!O391))</f>
        <v>0</v>
      </c>
      <c r="J395" s="14">
        <f>IF('Pegar ML'!C390="Paquete de 2 productos",IF('Pegar ML'!O390="",0,'Pegar ML'!O390),IF('Pegar ML'!O391="",0,'Pegar ML'!O391))</f>
        <v>0</v>
      </c>
      <c r="K395" s="14">
        <f t="shared" si="17"/>
        <v>0</v>
      </c>
      <c r="L395" s="27">
        <f>IF('Pegar ML'!AB391=" ",'Pegar ML'!AB390,'Pegar ML'!AB391)</f>
        <v>0</v>
      </c>
      <c r="M395" s="27" t="str">
        <f>IF('Pegar ML'!AC391=" ",RIGHT('Pegar ML'!AC390,8),RIGHT('Pegar ML'!AC391,8))</f>
        <v/>
      </c>
      <c r="N395" s="27" t="s">
        <v>80</v>
      </c>
      <c r="O395" s="27">
        <f t="shared" ref="O395:O458" si="18">+L395</f>
        <v>0</v>
      </c>
      <c r="P395" s="27" t="s">
        <v>80</v>
      </c>
      <c r="Q395" s="55">
        <f>IF('Pegar ML'!AD391=" ",'Pegar ML'!AD390,'Pegar ML'!AD391)</f>
        <v>0</v>
      </c>
      <c r="R395" s="27" t="s">
        <v>80</v>
      </c>
      <c r="S395" s="27" t="s">
        <v>80</v>
      </c>
      <c r="T395" s="27" t="s">
        <v>80</v>
      </c>
      <c r="U395" s="55">
        <f>IF('Pegar ML'!AI391=" ",'Pegar ML'!AI390,'Pegar ML'!AI391)</f>
        <v>0</v>
      </c>
      <c r="V395" s="55">
        <f>IF('Pegar ML'!AK391=" ",'Pegar ML'!AK390,'Pegar ML'!AK391)</f>
        <v>0</v>
      </c>
      <c r="W395" s="55">
        <f>IF('Pegar ML'!AJ391=" ",'Pegar ML'!AJ390,'Pegar ML'!AJ391)</f>
        <v>0</v>
      </c>
      <c r="X395" s="55">
        <f>IF('Pegar ML'!AL391=" ",'Pegar ML'!AL390,'Pegar ML'!AL391)</f>
        <v>0</v>
      </c>
      <c r="Y395" s="27"/>
      <c r="Z395" s="27"/>
      <c r="AA395" s="27"/>
      <c r="AB395" s="27"/>
      <c r="AC395" s="27"/>
      <c r="AD395" s="27"/>
      <c r="AF395" s="8"/>
      <c r="AG395" s="27"/>
      <c r="AH395" s="14">
        <f>+'Pegar ML'!Y391</f>
        <v>0</v>
      </c>
      <c r="AI395" s="13">
        <f t="shared" ref="AI395:AI458" si="19">IF(F395="Paquete de 2 productos","",1)</f>
        <v>1</v>
      </c>
      <c r="AJ395" s="7">
        <f>+'Pegar ML'!T391</f>
        <v>0</v>
      </c>
      <c r="AK395" s="27"/>
      <c r="AL395" s="27"/>
      <c r="AM395" s="27"/>
      <c r="AN395" s="27"/>
      <c r="AO395" s="27"/>
      <c r="AP395" s="27"/>
      <c r="AQ395" s="27"/>
      <c r="AR395" s="27"/>
      <c r="AS395" s="27">
        <v>17</v>
      </c>
    </row>
    <row r="396" spans="1:45" ht="15" customHeight="1" x14ac:dyDescent="0.25">
      <c r="A396" s="27">
        <f>IF('Pegar ML'!C391="Paquete de 2 productos",'Pegar ML'!A391,IF('Pegar ML'!C390="Paquete de 2 productos",'Pegar ML'!A390,'Pegar ML'!A392))</f>
        <v>0</v>
      </c>
      <c r="B396" s="27"/>
      <c r="C396" s="30" t="str">
        <f>IF(AjusteFecha!I392=0,"",AjusteFecha!I392)</f>
        <v/>
      </c>
      <c r="D396" s="27"/>
      <c r="E396" s="27"/>
      <c r="F396" s="27" t="str">
        <f>IF('Pegar ML'!C392="","",'Pegar ML'!C392)</f>
        <v/>
      </c>
      <c r="G396" s="27" t="str">
        <f>IF('Pegar ML'!G387="ARS","PS","PS")</f>
        <v>PS</v>
      </c>
      <c r="H396" s="14">
        <f>IF('Pegar ML'!C391="Paquete de 2 productos",IF('Pegar ML'!H391="",0,'Pegar ML'!H391),IF('Pegar ML'!H392="",0,'Pegar ML'!H392))</f>
        <v>0</v>
      </c>
      <c r="I396" s="14">
        <f>IF('Pegar ML'!C391="Paquete de 2 productos",IF('Pegar ML'!O391="",0,'Pegar ML'!O391),IF('Pegar ML'!O392="",0,'Pegar ML'!O392))</f>
        <v>0</v>
      </c>
      <c r="J396" s="14">
        <f>IF('Pegar ML'!C391="Paquete de 2 productos",IF('Pegar ML'!O391="",0,'Pegar ML'!O391),IF('Pegar ML'!O392="",0,'Pegar ML'!O392))</f>
        <v>0</v>
      </c>
      <c r="K396" s="14">
        <f t="shared" ref="K396:K459" si="20">+H396-I396+J396</f>
        <v>0</v>
      </c>
      <c r="L396" s="27">
        <f>IF('Pegar ML'!AB392=" ",'Pegar ML'!AB391,'Pegar ML'!AB392)</f>
        <v>0</v>
      </c>
      <c r="M396" s="27" t="str">
        <f>IF('Pegar ML'!AC392=" ",RIGHT('Pegar ML'!AC391,8),RIGHT('Pegar ML'!AC392,8))</f>
        <v/>
      </c>
      <c r="N396" s="27" t="s">
        <v>80</v>
      </c>
      <c r="O396" s="27">
        <f t="shared" si="18"/>
        <v>0</v>
      </c>
      <c r="P396" s="27" t="s">
        <v>80</v>
      </c>
      <c r="Q396" s="55">
        <f>IF('Pegar ML'!AD392=" ",'Pegar ML'!AD391,'Pegar ML'!AD392)</f>
        <v>0</v>
      </c>
      <c r="R396" s="27" t="s">
        <v>80</v>
      </c>
      <c r="S396" s="27" t="s">
        <v>80</v>
      </c>
      <c r="T396" s="27" t="s">
        <v>80</v>
      </c>
      <c r="U396" s="55">
        <f>IF('Pegar ML'!AI392=" ",'Pegar ML'!AI391,'Pegar ML'!AI392)</f>
        <v>0</v>
      </c>
      <c r="V396" s="55">
        <f>IF('Pegar ML'!AK392=" ",'Pegar ML'!AK391,'Pegar ML'!AK392)</f>
        <v>0</v>
      </c>
      <c r="W396" s="55">
        <f>IF('Pegar ML'!AJ392=" ",'Pegar ML'!AJ391,'Pegar ML'!AJ392)</f>
        <v>0</v>
      </c>
      <c r="X396" s="55">
        <f>IF('Pegar ML'!AL392=" ",'Pegar ML'!AL391,'Pegar ML'!AL392)</f>
        <v>0</v>
      </c>
      <c r="Y396" s="27"/>
      <c r="Z396" s="27"/>
      <c r="AA396" s="27"/>
      <c r="AB396" s="27"/>
      <c r="AC396" s="27"/>
      <c r="AD396" s="27"/>
      <c r="AF396" s="8"/>
      <c r="AG396" s="27"/>
      <c r="AH396" s="14">
        <f>+'Pegar ML'!Y392</f>
        <v>0</v>
      </c>
      <c r="AI396" s="13">
        <f t="shared" si="19"/>
        <v>1</v>
      </c>
      <c r="AJ396" s="7">
        <f>+'Pegar ML'!T392</f>
        <v>0</v>
      </c>
      <c r="AK396" s="27"/>
      <c r="AL396" s="27"/>
      <c r="AM396" s="27"/>
      <c r="AN396" s="27"/>
      <c r="AO396" s="27"/>
      <c r="AP396" s="27"/>
      <c r="AQ396" s="27"/>
      <c r="AR396" s="27"/>
      <c r="AS396" s="27">
        <v>17</v>
      </c>
    </row>
    <row r="397" spans="1:45" ht="15" customHeight="1" x14ac:dyDescent="0.25">
      <c r="A397" s="27">
        <f>IF('Pegar ML'!C392="Paquete de 2 productos",'Pegar ML'!A392,IF('Pegar ML'!C391="Paquete de 2 productos",'Pegar ML'!A391,'Pegar ML'!A393))</f>
        <v>0</v>
      </c>
      <c r="B397" s="27"/>
      <c r="C397" s="30" t="str">
        <f>IF(AjusteFecha!I393=0,"",AjusteFecha!I393)</f>
        <v/>
      </c>
      <c r="D397" s="27"/>
      <c r="E397" s="27"/>
      <c r="F397" s="27" t="str">
        <f>IF('Pegar ML'!C393="","",'Pegar ML'!C393)</f>
        <v/>
      </c>
      <c r="G397" s="27" t="str">
        <f>IF('Pegar ML'!G388="ARS","PS","PS")</f>
        <v>PS</v>
      </c>
      <c r="H397" s="14">
        <f>IF('Pegar ML'!C392="Paquete de 2 productos",IF('Pegar ML'!H392="",0,'Pegar ML'!H392),IF('Pegar ML'!H393="",0,'Pegar ML'!H393))</f>
        <v>0</v>
      </c>
      <c r="I397" s="14">
        <f>IF('Pegar ML'!C392="Paquete de 2 productos",IF('Pegar ML'!O392="",0,'Pegar ML'!O392),IF('Pegar ML'!O393="",0,'Pegar ML'!O393))</f>
        <v>0</v>
      </c>
      <c r="J397" s="14">
        <f>IF('Pegar ML'!C392="Paquete de 2 productos",IF('Pegar ML'!O392="",0,'Pegar ML'!O392),IF('Pegar ML'!O393="",0,'Pegar ML'!O393))</f>
        <v>0</v>
      </c>
      <c r="K397" s="14">
        <f t="shared" si="20"/>
        <v>0</v>
      </c>
      <c r="L397" s="27">
        <f>IF('Pegar ML'!AB393=" ",'Pegar ML'!AB392,'Pegar ML'!AB393)</f>
        <v>0</v>
      </c>
      <c r="M397" s="27" t="str">
        <f>IF('Pegar ML'!AC393=" ",RIGHT('Pegar ML'!AC392,8),RIGHT('Pegar ML'!AC393,8))</f>
        <v/>
      </c>
      <c r="N397" s="27" t="s">
        <v>80</v>
      </c>
      <c r="O397" s="27">
        <f t="shared" si="18"/>
        <v>0</v>
      </c>
      <c r="P397" s="27" t="s">
        <v>80</v>
      </c>
      <c r="Q397" s="55">
        <f>IF('Pegar ML'!AD393=" ",'Pegar ML'!AD392,'Pegar ML'!AD393)</f>
        <v>0</v>
      </c>
      <c r="R397" s="27" t="s">
        <v>80</v>
      </c>
      <c r="S397" s="27" t="s">
        <v>80</v>
      </c>
      <c r="T397" s="27" t="s">
        <v>80</v>
      </c>
      <c r="U397" s="55">
        <f>IF('Pegar ML'!AI393=" ",'Pegar ML'!AI392,'Pegar ML'!AI393)</f>
        <v>0</v>
      </c>
      <c r="V397" s="55">
        <f>IF('Pegar ML'!AK393=" ",'Pegar ML'!AK392,'Pegar ML'!AK393)</f>
        <v>0</v>
      </c>
      <c r="W397" s="55">
        <f>IF('Pegar ML'!AJ393=" ",'Pegar ML'!AJ392,'Pegar ML'!AJ393)</f>
        <v>0</v>
      </c>
      <c r="X397" s="55">
        <f>IF('Pegar ML'!AL393=" ",'Pegar ML'!AL392,'Pegar ML'!AL393)</f>
        <v>0</v>
      </c>
      <c r="Y397" s="27"/>
      <c r="Z397" s="27"/>
      <c r="AA397" s="27"/>
      <c r="AB397" s="27"/>
      <c r="AC397" s="27"/>
      <c r="AD397" s="27"/>
      <c r="AF397" s="8"/>
      <c r="AG397" s="27"/>
      <c r="AH397" s="14">
        <f>+'Pegar ML'!Y393</f>
        <v>0</v>
      </c>
      <c r="AI397" s="13">
        <f t="shared" si="19"/>
        <v>1</v>
      </c>
      <c r="AJ397" s="7">
        <f>+'Pegar ML'!T393</f>
        <v>0</v>
      </c>
      <c r="AK397" s="27"/>
      <c r="AL397" s="27"/>
      <c r="AM397" s="27"/>
      <c r="AN397" s="27"/>
      <c r="AO397" s="27"/>
      <c r="AP397" s="27"/>
      <c r="AQ397" s="27"/>
      <c r="AR397" s="27"/>
      <c r="AS397" s="27">
        <v>17</v>
      </c>
    </row>
    <row r="398" spans="1:45" ht="15" customHeight="1" x14ac:dyDescent="0.25">
      <c r="A398" s="27">
        <f>IF('Pegar ML'!C393="Paquete de 2 productos",'Pegar ML'!A393,IF('Pegar ML'!C392="Paquete de 2 productos",'Pegar ML'!A392,'Pegar ML'!A394))</f>
        <v>0</v>
      </c>
      <c r="B398" s="27"/>
      <c r="C398" s="30" t="str">
        <f>IF(AjusteFecha!I394=0,"",AjusteFecha!I394)</f>
        <v/>
      </c>
      <c r="D398" s="27"/>
      <c r="E398" s="27"/>
      <c r="F398" s="27" t="str">
        <f>IF('Pegar ML'!C394="","",'Pegar ML'!C394)</f>
        <v/>
      </c>
      <c r="G398" s="27" t="str">
        <f>IF('Pegar ML'!G389="ARS","PS","PS")</f>
        <v>PS</v>
      </c>
      <c r="H398" s="14">
        <f>IF('Pegar ML'!C393="Paquete de 2 productos",IF('Pegar ML'!H393="",0,'Pegar ML'!H393),IF('Pegar ML'!H394="",0,'Pegar ML'!H394))</f>
        <v>0</v>
      </c>
      <c r="I398" s="14">
        <f>IF('Pegar ML'!C393="Paquete de 2 productos",IF('Pegar ML'!O393="",0,'Pegar ML'!O393),IF('Pegar ML'!O394="",0,'Pegar ML'!O394))</f>
        <v>0</v>
      </c>
      <c r="J398" s="14">
        <f>IF('Pegar ML'!C393="Paquete de 2 productos",IF('Pegar ML'!O393="",0,'Pegar ML'!O393),IF('Pegar ML'!O394="",0,'Pegar ML'!O394))</f>
        <v>0</v>
      </c>
      <c r="K398" s="14">
        <f t="shared" si="20"/>
        <v>0</v>
      </c>
      <c r="L398" s="27">
        <f>IF('Pegar ML'!AB394=" ",'Pegar ML'!AB393,'Pegar ML'!AB394)</f>
        <v>0</v>
      </c>
      <c r="M398" s="27" t="str">
        <f>IF('Pegar ML'!AC394=" ",RIGHT('Pegar ML'!AC393,8),RIGHT('Pegar ML'!AC394,8))</f>
        <v/>
      </c>
      <c r="N398" s="27" t="s">
        <v>80</v>
      </c>
      <c r="O398" s="27">
        <f t="shared" si="18"/>
        <v>0</v>
      </c>
      <c r="P398" s="27" t="s">
        <v>80</v>
      </c>
      <c r="Q398" s="55">
        <f>IF('Pegar ML'!AD394=" ",'Pegar ML'!AD393,'Pegar ML'!AD394)</f>
        <v>0</v>
      </c>
      <c r="R398" s="27" t="s">
        <v>80</v>
      </c>
      <c r="S398" s="27" t="s">
        <v>80</v>
      </c>
      <c r="T398" s="27" t="s">
        <v>80</v>
      </c>
      <c r="U398" s="55">
        <f>IF('Pegar ML'!AI394=" ",'Pegar ML'!AI393,'Pegar ML'!AI394)</f>
        <v>0</v>
      </c>
      <c r="V398" s="55">
        <f>IF('Pegar ML'!AK394=" ",'Pegar ML'!AK393,'Pegar ML'!AK394)</f>
        <v>0</v>
      </c>
      <c r="W398" s="55">
        <f>IF('Pegar ML'!AJ394=" ",'Pegar ML'!AJ393,'Pegar ML'!AJ394)</f>
        <v>0</v>
      </c>
      <c r="X398" s="55">
        <f>IF('Pegar ML'!AL394=" ",'Pegar ML'!AL393,'Pegar ML'!AL394)</f>
        <v>0</v>
      </c>
      <c r="Y398" s="27"/>
      <c r="Z398" s="27"/>
      <c r="AA398" s="27"/>
      <c r="AB398" s="27"/>
      <c r="AC398" s="27"/>
      <c r="AD398" s="27"/>
      <c r="AF398" s="8"/>
      <c r="AG398" s="27"/>
      <c r="AH398" s="14">
        <f>+'Pegar ML'!Y394</f>
        <v>0</v>
      </c>
      <c r="AI398" s="13">
        <f t="shared" si="19"/>
        <v>1</v>
      </c>
      <c r="AJ398" s="7">
        <f>+'Pegar ML'!T394</f>
        <v>0</v>
      </c>
      <c r="AK398" s="27"/>
      <c r="AL398" s="27"/>
      <c r="AM398" s="27"/>
      <c r="AN398" s="27"/>
      <c r="AO398" s="27"/>
      <c r="AP398" s="27"/>
      <c r="AQ398" s="27"/>
      <c r="AR398" s="27"/>
      <c r="AS398" s="27">
        <v>17</v>
      </c>
    </row>
    <row r="399" spans="1:45" ht="15" customHeight="1" x14ac:dyDescent="0.25">
      <c r="A399" s="27">
        <f>IF('Pegar ML'!C394="Paquete de 2 productos",'Pegar ML'!A394,IF('Pegar ML'!C393="Paquete de 2 productos",'Pegar ML'!A393,'Pegar ML'!A395))</f>
        <v>0</v>
      </c>
      <c r="B399" s="27"/>
      <c r="C399" s="30" t="str">
        <f>IF(AjusteFecha!I395=0,"",AjusteFecha!I395)</f>
        <v/>
      </c>
      <c r="D399" s="27"/>
      <c r="E399" s="27"/>
      <c r="F399" s="27" t="str">
        <f>IF('Pegar ML'!C395="","",'Pegar ML'!C395)</f>
        <v/>
      </c>
      <c r="G399" s="27" t="str">
        <f>IF('Pegar ML'!G390="ARS","PS","PS")</f>
        <v>PS</v>
      </c>
      <c r="H399" s="14">
        <f>IF('Pegar ML'!C394="Paquete de 2 productos",IF('Pegar ML'!H394="",0,'Pegar ML'!H394),IF('Pegar ML'!H395="",0,'Pegar ML'!H395))</f>
        <v>0</v>
      </c>
      <c r="I399" s="14">
        <f>IF('Pegar ML'!C394="Paquete de 2 productos",IF('Pegar ML'!O394="",0,'Pegar ML'!O394),IF('Pegar ML'!O395="",0,'Pegar ML'!O395))</f>
        <v>0</v>
      </c>
      <c r="J399" s="14">
        <f>IF('Pegar ML'!C394="Paquete de 2 productos",IF('Pegar ML'!O394="",0,'Pegar ML'!O394),IF('Pegar ML'!O395="",0,'Pegar ML'!O395))</f>
        <v>0</v>
      </c>
      <c r="K399" s="14">
        <f t="shared" si="20"/>
        <v>0</v>
      </c>
      <c r="L399" s="27">
        <f>IF('Pegar ML'!AB395=" ",'Pegar ML'!AB394,'Pegar ML'!AB395)</f>
        <v>0</v>
      </c>
      <c r="M399" s="27" t="str">
        <f>IF('Pegar ML'!AC395=" ",RIGHT('Pegar ML'!AC394,8),RIGHT('Pegar ML'!AC395,8))</f>
        <v/>
      </c>
      <c r="N399" s="27" t="s">
        <v>80</v>
      </c>
      <c r="O399" s="27">
        <f t="shared" si="18"/>
        <v>0</v>
      </c>
      <c r="P399" s="27" t="s">
        <v>80</v>
      </c>
      <c r="Q399" s="55">
        <f>IF('Pegar ML'!AD395=" ",'Pegar ML'!AD394,'Pegar ML'!AD395)</f>
        <v>0</v>
      </c>
      <c r="R399" s="27" t="s">
        <v>80</v>
      </c>
      <c r="S399" s="27" t="s">
        <v>80</v>
      </c>
      <c r="T399" s="27" t="s">
        <v>80</v>
      </c>
      <c r="U399" s="55">
        <f>IF('Pegar ML'!AI395=" ",'Pegar ML'!AI394,'Pegar ML'!AI395)</f>
        <v>0</v>
      </c>
      <c r="V399" s="55">
        <f>IF('Pegar ML'!AK395=" ",'Pegar ML'!AK394,'Pegar ML'!AK395)</f>
        <v>0</v>
      </c>
      <c r="W399" s="55">
        <f>IF('Pegar ML'!AJ395=" ",'Pegar ML'!AJ394,'Pegar ML'!AJ395)</f>
        <v>0</v>
      </c>
      <c r="X399" s="55">
        <f>IF('Pegar ML'!AL395=" ",'Pegar ML'!AL394,'Pegar ML'!AL395)</f>
        <v>0</v>
      </c>
      <c r="Y399" s="27"/>
      <c r="Z399" s="27"/>
      <c r="AA399" s="27"/>
      <c r="AB399" s="27"/>
      <c r="AC399" s="27"/>
      <c r="AD399" s="27"/>
      <c r="AF399" s="8"/>
      <c r="AG399" s="27"/>
      <c r="AH399" s="14">
        <f>+'Pegar ML'!Y395</f>
        <v>0</v>
      </c>
      <c r="AI399" s="13">
        <f t="shared" si="19"/>
        <v>1</v>
      </c>
      <c r="AJ399" s="7">
        <f>+'Pegar ML'!T395</f>
        <v>0</v>
      </c>
      <c r="AK399" s="27"/>
      <c r="AL399" s="27"/>
      <c r="AM399" s="27"/>
      <c r="AN399" s="27"/>
      <c r="AO399" s="27"/>
      <c r="AP399" s="27"/>
      <c r="AQ399" s="27"/>
      <c r="AR399" s="27"/>
      <c r="AS399" s="27">
        <v>17</v>
      </c>
    </row>
    <row r="400" spans="1:45" ht="15" customHeight="1" x14ac:dyDescent="0.25">
      <c r="A400" s="27">
        <f>IF('Pegar ML'!C395="Paquete de 2 productos",'Pegar ML'!A395,IF('Pegar ML'!C394="Paquete de 2 productos",'Pegar ML'!A394,'Pegar ML'!A396))</f>
        <v>0</v>
      </c>
      <c r="B400" s="27"/>
      <c r="C400" s="30" t="str">
        <f>IF(AjusteFecha!I396=0,"",AjusteFecha!I396)</f>
        <v/>
      </c>
      <c r="D400" s="27"/>
      <c r="E400" s="27"/>
      <c r="F400" s="27" t="str">
        <f>IF('Pegar ML'!C396="","",'Pegar ML'!C396)</f>
        <v/>
      </c>
      <c r="G400" s="27" t="str">
        <f>IF('Pegar ML'!G391="ARS","PS","PS")</f>
        <v>PS</v>
      </c>
      <c r="H400" s="14">
        <f>IF('Pegar ML'!C395="Paquete de 2 productos",IF('Pegar ML'!H395="",0,'Pegar ML'!H395),IF('Pegar ML'!H396="",0,'Pegar ML'!H396))</f>
        <v>0</v>
      </c>
      <c r="I400" s="14">
        <f>IF('Pegar ML'!C395="Paquete de 2 productos",IF('Pegar ML'!O395="",0,'Pegar ML'!O395),IF('Pegar ML'!O396="",0,'Pegar ML'!O396))</f>
        <v>0</v>
      </c>
      <c r="J400" s="14">
        <f>IF('Pegar ML'!C395="Paquete de 2 productos",IF('Pegar ML'!O395="",0,'Pegar ML'!O395),IF('Pegar ML'!O396="",0,'Pegar ML'!O396))</f>
        <v>0</v>
      </c>
      <c r="K400" s="14">
        <f t="shared" si="20"/>
        <v>0</v>
      </c>
      <c r="L400" s="27">
        <f>IF('Pegar ML'!AB396=" ",'Pegar ML'!AB395,'Pegar ML'!AB396)</f>
        <v>0</v>
      </c>
      <c r="M400" s="27" t="str">
        <f>IF('Pegar ML'!AC396=" ",RIGHT('Pegar ML'!AC395,8),RIGHT('Pegar ML'!AC396,8))</f>
        <v/>
      </c>
      <c r="N400" s="27" t="s">
        <v>80</v>
      </c>
      <c r="O400" s="27">
        <f t="shared" si="18"/>
        <v>0</v>
      </c>
      <c r="P400" s="27" t="s">
        <v>80</v>
      </c>
      <c r="Q400" s="55">
        <f>IF('Pegar ML'!AD396=" ",'Pegar ML'!AD395,'Pegar ML'!AD396)</f>
        <v>0</v>
      </c>
      <c r="R400" s="27" t="s">
        <v>80</v>
      </c>
      <c r="S400" s="27" t="s">
        <v>80</v>
      </c>
      <c r="T400" s="27" t="s">
        <v>80</v>
      </c>
      <c r="U400" s="55">
        <f>IF('Pegar ML'!AI396=" ",'Pegar ML'!AI395,'Pegar ML'!AI396)</f>
        <v>0</v>
      </c>
      <c r="V400" s="55">
        <f>IF('Pegar ML'!AK396=" ",'Pegar ML'!AK395,'Pegar ML'!AK396)</f>
        <v>0</v>
      </c>
      <c r="W400" s="55">
        <f>IF('Pegar ML'!AJ396=" ",'Pegar ML'!AJ395,'Pegar ML'!AJ396)</f>
        <v>0</v>
      </c>
      <c r="X400" s="55">
        <f>IF('Pegar ML'!AL396=" ",'Pegar ML'!AL395,'Pegar ML'!AL396)</f>
        <v>0</v>
      </c>
      <c r="Y400" s="27"/>
      <c r="Z400" s="27"/>
      <c r="AA400" s="27"/>
      <c r="AB400" s="27"/>
      <c r="AC400" s="27"/>
      <c r="AD400" s="27"/>
      <c r="AF400" s="8"/>
      <c r="AG400" s="27"/>
      <c r="AH400" s="14">
        <f>+'Pegar ML'!Y396</f>
        <v>0</v>
      </c>
      <c r="AI400" s="13">
        <f t="shared" si="19"/>
        <v>1</v>
      </c>
      <c r="AJ400" s="7">
        <f>+'Pegar ML'!T396</f>
        <v>0</v>
      </c>
      <c r="AK400" s="27"/>
      <c r="AL400" s="27"/>
      <c r="AM400" s="27"/>
      <c r="AN400" s="27"/>
      <c r="AO400" s="27"/>
      <c r="AP400" s="27"/>
      <c r="AQ400" s="27"/>
      <c r="AR400" s="27"/>
      <c r="AS400" s="27">
        <v>17</v>
      </c>
    </row>
    <row r="401" spans="1:45" ht="15" customHeight="1" x14ac:dyDescent="0.25">
      <c r="A401" s="27">
        <f>IF('Pegar ML'!C396="Paquete de 2 productos",'Pegar ML'!A396,IF('Pegar ML'!C395="Paquete de 2 productos",'Pegar ML'!A395,'Pegar ML'!A397))</f>
        <v>0</v>
      </c>
      <c r="B401" s="27"/>
      <c r="C401" s="30" t="str">
        <f>IF(AjusteFecha!I397=0,"",AjusteFecha!I397)</f>
        <v/>
      </c>
      <c r="D401" s="27"/>
      <c r="E401" s="27"/>
      <c r="F401" s="27" t="str">
        <f>IF('Pegar ML'!C397="","",'Pegar ML'!C397)</f>
        <v/>
      </c>
      <c r="G401" s="27" t="str">
        <f>IF('Pegar ML'!G392="ARS","PS","PS")</f>
        <v>PS</v>
      </c>
      <c r="H401" s="14">
        <f>IF('Pegar ML'!C396="Paquete de 2 productos",IF('Pegar ML'!H396="",0,'Pegar ML'!H396),IF('Pegar ML'!H397="",0,'Pegar ML'!H397))</f>
        <v>0</v>
      </c>
      <c r="I401" s="14">
        <f>IF('Pegar ML'!C396="Paquete de 2 productos",IF('Pegar ML'!O396="",0,'Pegar ML'!O396),IF('Pegar ML'!O397="",0,'Pegar ML'!O397))</f>
        <v>0</v>
      </c>
      <c r="J401" s="14">
        <f>IF('Pegar ML'!C396="Paquete de 2 productos",IF('Pegar ML'!O396="",0,'Pegar ML'!O396),IF('Pegar ML'!O397="",0,'Pegar ML'!O397))</f>
        <v>0</v>
      </c>
      <c r="K401" s="14">
        <f t="shared" si="20"/>
        <v>0</v>
      </c>
      <c r="L401" s="27">
        <f>IF('Pegar ML'!AB397=" ",'Pegar ML'!AB396,'Pegar ML'!AB397)</f>
        <v>0</v>
      </c>
      <c r="M401" s="27" t="str">
        <f>IF('Pegar ML'!AC397=" ",RIGHT('Pegar ML'!AC396,8),RIGHT('Pegar ML'!AC397,8))</f>
        <v/>
      </c>
      <c r="N401" s="27" t="s">
        <v>80</v>
      </c>
      <c r="O401" s="27">
        <f t="shared" si="18"/>
        <v>0</v>
      </c>
      <c r="P401" s="27" t="s">
        <v>80</v>
      </c>
      <c r="Q401" s="55">
        <f>IF('Pegar ML'!AD397=" ",'Pegar ML'!AD396,'Pegar ML'!AD397)</f>
        <v>0</v>
      </c>
      <c r="R401" s="27" t="s">
        <v>80</v>
      </c>
      <c r="S401" s="27" t="s">
        <v>80</v>
      </c>
      <c r="T401" s="27" t="s">
        <v>80</v>
      </c>
      <c r="U401" s="55">
        <f>IF('Pegar ML'!AI397=" ",'Pegar ML'!AI396,'Pegar ML'!AI397)</f>
        <v>0</v>
      </c>
      <c r="V401" s="55">
        <f>IF('Pegar ML'!AK397=" ",'Pegar ML'!AK396,'Pegar ML'!AK397)</f>
        <v>0</v>
      </c>
      <c r="W401" s="55">
        <f>IF('Pegar ML'!AJ397=" ",'Pegar ML'!AJ396,'Pegar ML'!AJ397)</f>
        <v>0</v>
      </c>
      <c r="X401" s="55">
        <f>IF('Pegar ML'!AL397=" ",'Pegar ML'!AL396,'Pegar ML'!AL397)</f>
        <v>0</v>
      </c>
      <c r="Y401" s="27"/>
      <c r="Z401" s="27"/>
      <c r="AA401" s="27"/>
      <c r="AB401" s="27"/>
      <c r="AC401" s="27"/>
      <c r="AD401" s="27"/>
      <c r="AF401" s="8"/>
      <c r="AG401" s="27"/>
      <c r="AH401" s="14">
        <f>+'Pegar ML'!Y397</f>
        <v>0</v>
      </c>
      <c r="AI401" s="13">
        <f t="shared" si="19"/>
        <v>1</v>
      </c>
      <c r="AJ401" s="7">
        <f>+'Pegar ML'!T397</f>
        <v>0</v>
      </c>
      <c r="AK401" s="27"/>
      <c r="AL401" s="27"/>
      <c r="AM401" s="27"/>
      <c r="AN401" s="27"/>
      <c r="AO401" s="27"/>
      <c r="AP401" s="27"/>
      <c r="AQ401" s="27"/>
      <c r="AR401" s="27"/>
      <c r="AS401" s="27">
        <v>17</v>
      </c>
    </row>
    <row r="402" spans="1:45" ht="15" customHeight="1" x14ac:dyDescent="0.25">
      <c r="A402" s="27">
        <f>IF('Pegar ML'!C397="Paquete de 2 productos",'Pegar ML'!A397,IF('Pegar ML'!C396="Paquete de 2 productos",'Pegar ML'!A396,'Pegar ML'!A398))</f>
        <v>0</v>
      </c>
      <c r="B402" s="27"/>
      <c r="C402" s="30" t="str">
        <f>IF(AjusteFecha!I398=0,"",AjusteFecha!I398)</f>
        <v/>
      </c>
      <c r="D402" s="27"/>
      <c r="E402" s="27"/>
      <c r="F402" s="27" t="str">
        <f>IF('Pegar ML'!C398="","",'Pegar ML'!C398)</f>
        <v/>
      </c>
      <c r="G402" s="27" t="str">
        <f>IF('Pegar ML'!G393="ARS","PS","PS")</f>
        <v>PS</v>
      </c>
      <c r="H402" s="14">
        <f>IF('Pegar ML'!C397="Paquete de 2 productos",IF('Pegar ML'!H397="",0,'Pegar ML'!H397),IF('Pegar ML'!H398="",0,'Pegar ML'!H398))</f>
        <v>0</v>
      </c>
      <c r="I402" s="14">
        <f>IF('Pegar ML'!C397="Paquete de 2 productos",IF('Pegar ML'!O397="",0,'Pegar ML'!O397),IF('Pegar ML'!O398="",0,'Pegar ML'!O398))</f>
        <v>0</v>
      </c>
      <c r="J402" s="14">
        <f>IF('Pegar ML'!C397="Paquete de 2 productos",IF('Pegar ML'!O397="",0,'Pegar ML'!O397),IF('Pegar ML'!O398="",0,'Pegar ML'!O398))</f>
        <v>0</v>
      </c>
      <c r="K402" s="14">
        <f t="shared" si="20"/>
        <v>0</v>
      </c>
      <c r="L402" s="27">
        <f>IF('Pegar ML'!AB398=" ",'Pegar ML'!AB397,'Pegar ML'!AB398)</f>
        <v>0</v>
      </c>
      <c r="M402" s="27" t="str">
        <f>IF('Pegar ML'!AC398=" ",RIGHT('Pegar ML'!AC397,8),RIGHT('Pegar ML'!AC398,8))</f>
        <v/>
      </c>
      <c r="N402" s="27" t="s">
        <v>80</v>
      </c>
      <c r="O402" s="27">
        <f t="shared" si="18"/>
        <v>0</v>
      </c>
      <c r="P402" s="27" t="s">
        <v>80</v>
      </c>
      <c r="Q402" s="55">
        <f>IF('Pegar ML'!AD398=" ",'Pegar ML'!AD397,'Pegar ML'!AD398)</f>
        <v>0</v>
      </c>
      <c r="R402" s="27" t="s">
        <v>80</v>
      </c>
      <c r="S402" s="27" t="s">
        <v>80</v>
      </c>
      <c r="T402" s="27" t="s">
        <v>80</v>
      </c>
      <c r="U402" s="55">
        <f>IF('Pegar ML'!AI398=" ",'Pegar ML'!AI397,'Pegar ML'!AI398)</f>
        <v>0</v>
      </c>
      <c r="V402" s="55">
        <f>IF('Pegar ML'!AK398=" ",'Pegar ML'!AK397,'Pegar ML'!AK398)</f>
        <v>0</v>
      </c>
      <c r="W402" s="55">
        <f>IF('Pegar ML'!AJ398=" ",'Pegar ML'!AJ397,'Pegar ML'!AJ398)</f>
        <v>0</v>
      </c>
      <c r="X402" s="55">
        <f>IF('Pegar ML'!AL398=" ",'Pegar ML'!AL397,'Pegar ML'!AL398)</f>
        <v>0</v>
      </c>
      <c r="Y402" s="27"/>
      <c r="Z402" s="27"/>
      <c r="AA402" s="27"/>
      <c r="AB402" s="27"/>
      <c r="AC402" s="27"/>
      <c r="AD402" s="27"/>
      <c r="AF402" s="8"/>
      <c r="AG402" s="27"/>
      <c r="AH402" s="14">
        <f>+'Pegar ML'!Y398</f>
        <v>0</v>
      </c>
      <c r="AI402" s="13">
        <f t="shared" si="19"/>
        <v>1</v>
      </c>
      <c r="AJ402" s="7">
        <f>+'Pegar ML'!T398</f>
        <v>0</v>
      </c>
      <c r="AK402" s="27"/>
      <c r="AL402" s="27"/>
      <c r="AM402" s="27"/>
      <c r="AN402" s="27"/>
      <c r="AO402" s="27"/>
      <c r="AP402" s="27"/>
      <c r="AQ402" s="27"/>
      <c r="AR402" s="27"/>
      <c r="AS402" s="27">
        <v>17</v>
      </c>
    </row>
    <row r="403" spans="1:45" ht="15" customHeight="1" x14ac:dyDescent="0.25">
      <c r="A403" s="27">
        <f>IF('Pegar ML'!C398="Paquete de 2 productos",'Pegar ML'!A398,IF('Pegar ML'!C397="Paquete de 2 productos",'Pegar ML'!A397,'Pegar ML'!A399))</f>
        <v>0</v>
      </c>
      <c r="B403" s="27"/>
      <c r="C403" s="30" t="str">
        <f>IF(AjusteFecha!I399=0,"",AjusteFecha!I399)</f>
        <v/>
      </c>
      <c r="D403" s="27"/>
      <c r="E403" s="27"/>
      <c r="F403" s="27" t="str">
        <f>IF('Pegar ML'!C399="","",'Pegar ML'!C399)</f>
        <v/>
      </c>
      <c r="G403" s="27" t="str">
        <f>IF('Pegar ML'!G394="ARS","PS","PS")</f>
        <v>PS</v>
      </c>
      <c r="H403" s="14">
        <f>IF('Pegar ML'!C398="Paquete de 2 productos",IF('Pegar ML'!H398="",0,'Pegar ML'!H398),IF('Pegar ML'!H399="",0,'Pegar ML'!H399))</f>
        <v>0</v>
      </c>
      <c r="I403" s="14">
        <f>IF('Pegar ML'!C398="Paquete de 2 productos",IF('Pegar ML'!O398="",0,'Pegar ML'!O398),IF('Pegar ML'!O399="",0,'Pegar ML'!O399))</f>
        <v>0</v>
      </c>
      <c r="J403" s="14">
        <f>IF('Pegar ML'!C398="Paquete de 2 productos",IF('Pegar ML'!O398="",0,'Pegar ML'!O398),IF('Pegar ML'!O399="",0,'Pegar ML'!O399))</f>
        <v>0</v>
      </c>
      <c r="K403" s="14">
        <f t="shared" si="20"/>
        <v>0</v>
      </c>
      <c r="L403" s="27">
        <f>IF('Pegar ML'!AB399=" ",'Pegar ML'!AB398,'Pegar ML'!AB399)</f>
        <v>0</v>
      </c>
      <c r="M403" s="27" t="str">
        <f>IF('Pegar ML'!AC399=" ",RIGHT('Pegar ML'!AC398,8),RIGHT('Pegar ML'!AC399,8))</f>
        <v/>
      </c>
      <c r="N403" s="27" t="s">
        <v>80</v>
      </c>
      <c r="O403" s="27">
        <f t="shared" si="18"/>
        <v>0</v>
      </c>
      <c r="P403" s="27" t="s">
        <v>80</v>
      </c>
      <c r="Q403" s="55">
        <f>IF('Pegar ML'!AD399=" ",'Pegar ML'!AD398,'Pegar ML'!AD399)</f>
        <v>0</v>
      </c>
      <c r="R403" s="27" t="s">
        <v>80</v>
      </c>
      <c r="S403" s="27" t="s">
        <v>80</v>
      </c>
      <c r="T403" s="27" t="s">
        <v>80</v>
      </c>
      <c r="U403" s="55">
        <f>IF('Pegar ML'!AI399=" ",'Pegar ML'!AI398,'Pegar ML'!AI399)</f>
        <v>0</v>
      </c>
      <c r="V403" s="55">
        <f>IF('Pegar ML'!AK399=" ",'Pegar ML'!AK398,'Pegar ML'!AK399)</f>
        <v>0</v>
      </c>
      <c r="W403" s="55">
        <f>IF('Pegar ML'!AJ399=" ",'Pegar ML'!AJ398,'Pegar ML'!AJ399)</f>
        <v>0</v>
      </c>
      <c r="X403" s="55">
        <f>IF('Pegar ML'!AL399=" ",'Pegar ML'!AL398,'Pegar ML'!AL399)</f>
        <v>0</v>
      </c>
      <c r="Y403" s="27"/>
      <c r="Z403" s="27"/>
      <c r="AA403" s="27"/>
      <c r="AB403" s="27"/>
      <c r="AC403" s="27"/>
      <c r="AD403" s="27"/>
      <c r="AF403" s="8"/>
      <c r="AG403" s="27"/>
      <c r="AH403" s="14">
        <f>+'Pegar ML'!Y399</f>
        <v>0</v>
      </c>
      <c r="AI403" s="13">
        <f t="shared" si="19"/>
        <v>1</v>
      </c>
      <c r="AJ403" s="7">
        <f>+'Pegar ML'!T399</f>
        <v>0</v>
      </c>
      <c r="AK403" s="27"/>
      <c r="AL403" s="27"/>
      <c r="AM403" s="27"/>
      <c r="AN403" s="27"/>
      <c r="AO403" s="27"/>
      <c r="AP403" s="27"/>
      <c r="AQ403" s="27"/>
      <c r="AR403" s="27"/>
      <c r="AS403" s="27">
        <v>17</v>
      </c>
    </row>
    <row r="404" spans="1:45" ht="15" customHeight="1" x14ac:dyDescent="0.25">
      <c r="A404" s="27">
        <f>IF('Pegar ML'!C399="Paquete de 2 productos",'Pegar ML'!A399,IF('Pegar ML'!C398="Paquete de 2 productos",'Pegar ML'!A398,'Pegar ML'!A400))</f>
        <v>0</v>
      </c>
      <c r="B404" s="27"/>
      <c r="C404" s="30" t="str">
        <f>IF(AjusteFecha!I400=0,"",AjusteFecha!I400)</f>
        <v/>
      </c>
      <c r="D404" s="27"/>
      <c r="E404" s="27"/>
      <c r="F404" s="27" t="str">
        <f>IF('Pegar ML'!C400="","",'Pegar ML'!C400)</f>
        <v/>
      </c>
      <c r="G404" s="27" t="str">
        <f>IF('Pegar ML'!G395="ARS","PS","PS")</f>
        <v>PS</v>
      </c>
      <c r="H404" s="14">
        <f>IF('Pegar ML'!C399="Paquete de 2 productos",IF('Pegar ML'!H399="",0,'Pegar ML'!H399),IF('Pegar ML'!H400="",0,'Pegar ML'!H400))</f>
        <v>0</v>
      </c>
      <c r="I404" s="14">
        <f>IF('Pegar ML'!C399="Paquete de 2 productos",IF('Pegar ML'!O399="",0,'Pegar ML'!O399),IF('Pegar ML'!O400="",0,'Pegar ML'!O400))</f>
        <v>0</v>
      </c>
      <c r="J404" s="14">
        <f>IF('Pegar ML'!C399="Paquete de 2 productos",IF('Pegar ML'!O399="",0,'Pegar ML'!O399),IF('Pegar ML'!O400="",0,'Pegar ML'!O400))</f>
        <v>0</v>
      </c>
      <c r="K404" s="14">
        <f t="shared" si="20"/>
        <v>0</v>
      </c>
      <c r="L404" s="27">
        <f>IF('Pegar ML'!AB400=" ",'Pegar ML'!AB399,'Pegar ML'!AB400)</f>
        <v>0</v>
      </c>
      <c r="M404" s="27" t="str">
        <f>IF('Pegar ML'!AC400=" ",RIGHT('Pegar ML'!AC399,8),RIGHT('Pegar ML'!AC400,8))</f>
        <v/>
      </c>
      <c r="N404" s="27" t="s">
        <v>80</v>
      </c>
      <c r="O404" s="27">
        <f t="shared" si="18"/>
        <v>0</v>
      </c>
      <c r="P404" s="27" t="s">
        <v>80</v>
      </c>
      <c r="Q404" s="55">
        <f>IF('Pegar ML'!AD400=" ",'Pegar ML'!AD399,'Pegar ML'!AD400)</f>
        <v>0</v>
      </c>
      <c r="R404" s="27" t="s">
        <v>80</v>
      </c>
      <c r="S404" s="27" t="s">
        <v>80</v>
      </c>
      <c r="T404" s="27" t="s">
        <v>80</v>
      </c>
      <c r="U404" s="55">
        <f>IF('Pegar ML'!AI400=" ",'Pegar ML'!AI399,'Pegar ML'!AI400)</f>
        <v>0</v>
      </c>
      <c r="V404" s="55">
        <f>IF('Pegar ML'!AK400=" ",'Pegar ML'!AK399,'Pegar ML'!AK400)</f>
        <v>0</v>
      </c>
      <c r="W404" s="55">
        <f>IF('Pegar ML'!AJ400=" ",'Pegar ML'!AJ399,'Pegar ML'!AJ400)</f>
        <v>0</v>
      </c>
      <c r="X404" s="55">
        <f>IF('Pegar ML'!AL400=" ",'Pegar ML'!AL399,'Pegar ML'!AL400)</f>
        <v>0</v>
      </c>
      <c r="Y404" s="27"/>
      <c r="Z404" s="27"/>
      <c r="AA404" s="27"/>
      <c r="AB404" s="27"/>
      <c r="AC404" s="27"/>
      <c r="AD404" s="27"/>
      <c r="AF404" s="8"/>
      <c r="AG404" s="27"/>
      <c r="AH404" s="14">
        <f>+'Pegar ML'!Y400</f>
        <v>0</v>
      </c>
      <c r="AI404" s="13">
        <f t="shared" si="19"/>
        <v>1</v>
      </c>
      <c r="AJ404" s="7">
        <f>+'Pegar ML'!T400</f>
        <v>0</v>
      </c>
      <c r="AK404" s="27"/>
      <c r="AL404" s="27"/>
      <c r="AM404" s="27"/>
      <c r="AN404" s="27"/>
      <c r="AO404" s="27"/>
      <c r="AP404" s="27"/>
      <c r="AQ404" s="27"/>
      <c r="AR404" s="27"/>
      <c r="AS404" s="27">
        <v>17</v>
      </c>
    </row>
    <row r="405" spans="1:45" ht="15" customHeight="1" x14ac:dyDescent="0.25">
      <c r="A405" s="27">
        <f>IF('Pegar ML'!C400="Paquete de 2 productos",'Pegar ML'!A400,IF('Pegar ML'!C399="Paquete de 2 productos",'Pegar ML'!A399,'Pegar ML'!A401))</f>
        <v>0</v>
      </c>
      <c r="B405" s="27"/>
      <c r="C405" s="30" t="str">
        <f>IF(AjusteFecha!I401=0,"",AjusteFecha!I401)</f>
        <v/>
      </c>
      <c r="D405" s="27"/>
      <c r="E405" s="27"/>
      <c r="F405" s="27" t="str">
        <f>IF('Pegar ML'!C401="","",'Pegar ML'!C401)</f>
        <v/>
      </c>
      <c r="G405" s="27" t="str">
        <f>IF('Pegar ML'!G396="ARS","PS","PS")</f>
        <v>PS</v>
      </c>
      <c r="H405" s="14">
        <f>IF('Pegar ML'!C400="Paquete de 2 productos",IF('Pegar ML'!H400="",0,'Pegar ML'!H400),IF('Pegar ML'!H401="",0,'Pegar ML'!H401))</f>
        <v>0</v>
      </c>
      <c r="I405" s="14">
        <f>IF('Pegar ML'!C400="Paquete de 2 productos",IF('Pegar ML'!O400="",0,'Pegar ML'!O400),IF('Pegar ML'!O401="",0,'Pegar ML'!O401))</f>
        <v>0</v>
      </c>
      <c r="J405" s="14">
        <f>IF('Pegar ML'!C400="Paquete de 2 productos",IF('Pegar ML'!O400="",0,'Pegar ML'!O400),IF('Pegar ML'!O401="",0,'Pegar ML'!O401))</f>
        <v>0</v>
      </c>
      <c r="K405" s="14">
        <f t="shared" si="20"/>
        <v>0</v>
      </c>
      <c r="L405" s="27">
        <f>IF('Pegar ML'!AB401=" ",'Pegar ML'!AB400,'Pegar ML'!AB401)</f>
        <v>0</v>
      </c>
      <c r="M405" s="27" t="str">
        <f>IF('Pegar ML'!AC401=" ",RIGHT('Pegar ML'!AC400,8),RIGHT('Pegar ML'!AC401,8))</f>
        <v/>
      </c>
      <c r="N405" s="27" t="s">
        <v>80</v>
      </c>
      <c r="O405" s="27">
        <f t="shared" si="18"/>
        <v>0</v>
      </c>
      <c r="P405" s="27" t="s">
        <v>80</v>
      </c>
      <c r="Q405" s="55">
        <f>IF('Pegar ML'!AD401=" ",'Pegar ML'!AD400,'Pegar ML'!AD401)</f>
        <v>0</v>
      </c>
      <c r="R405" s="27" t="s">
        <v>80</v>
      </c>
      <c r="S405" s="27" t="s">
        <v>80</v>
      </c>
      <c r="T405" s="27" t="s">
        <v>80</v>
      </c>
      <c r="U405" s="55">
        <f>IF('Pegar ML'!AI401=" ",'Pegar ML'!AI400,'Pegar ML'!AI401)</f>
        <v>0</v>
      </c>
      <c r="V405" s="55">
        <f>IF('Pegar ML'!AK401=" ",'Pegar ML'!AK400,'Pegar ML'!AK401)</f>
        <v>0</v>
      </c>
      <c r="W405" s="55">
        <f>IF('Pegar ML'!AJ401=" ",'Pegar ML'!AJ400,'Pegar ML'!AJ401)</f>
        <v>0</v>
      </c>
      <c r="X405" s="55">
        <f>IF('Pegar ML'!AL401=" ",'Pegar ML'!AL400,'Pegar ML'!AL401)</f>
        <v>0</v>
      </c>
      <c r="Y405" s="27"/>
      <c r="Z405" s="27"/>
      <c r="AA405" s="27"/>
      <c r="AB405" s="27"/>
      <c r="AC405" s="27"/>
      <c r="AD405" s="27"/>
      <c r="AF405" s="8"/>
      <c r="AG405" s="27"/>
      <c r="AH405" s="14">
        <f>+'Pegar ML'!Y401</f>
        <v>0</v>
      </c>
      <c r="AI405" s="13">
        <f t="shared" si="19"/>
        <v>1</v>
      </c>
      <c r="AJ405" s="7">
        <f>+'Pegar ML'!T401</f>
        <v>0</v>
      </c>
      <c r="AK405" s="27"/>
      <c r="AL405" s="27"/>
      <c r="AM405" s="27"/>
      <c r="AN405" s="27"/>
      <c r="AO405" s="27"/>
      <c r="AP405" s="27"/>
      <c r="AQ405" s="27"/>
      <c r="AR405" s="27"/>
      <c r="AS405" s="27">
        <v>17</v>
      </c>
    </row>
    <row r="406" spans="1:45" ht="15" customHeight="1" x14ac:dyDescent="0.25">
      <c r="A406" s="27">
        <f>IF('Pegar ML'!C401="Paquete de 2 productos",'Pegar ML'!A401,IF('Pegar ML'!C400="Paquete de 2 productos",'Pegar ML'!A400,'Pegar ML'!A402))</f>
        <v>0</v>
      </c>
      <c r="B406" s="27"/>
      <c r="C406" s="30" t="str">
        <f>IF(AjusteFecha!I402=0,"",AjusteFecha!I402)</f>
        <v/>
      </c>
      <c r="D406" s="27"/>
      <c r="E406" s="27"/>
      <c r="F406" s="27" t="str">
        <f>IF('Pegar ML'!C402="","",'Pegar ML'!C402)</f>
        <v/>
      </c>
      <c r="G406" s="27" t="str">
        <f>IF('Pegar ML'!G397="ARS","PS","PS")</f>
        <v>PS</v>
      </c>
      <c r="H406" s="14">
        <f>IF('Pegar ML'!C401="Paquete de 2 productos",IF('Pegar ML'!H401="",0,'Pegar ML'!H401),IF('Pegar ML'!H402="",0,'Pegar ML'!H402))</f>
        <v>0</v>
      </c>
      <c r="I406" s="14">
        <f>IF('Pegar ML'!C401="Paquete de 2 productos",IF('Pegar ML'!O401="",0,'Pegar ML'!O401),IF('Pegar ML'!O402="",0,'Pegar ML'!O402))</f>
        <v>0</v>
      </c>
      <c r="J406" s="14">
        <f>IF('Pegar ML'!C401="Paquete de 2 productos",IF('Pegar ML'!O401="",0,'Pegar ML'!O401),IF('Pegar ML'!O402="",0,'Pegar ML'!O402))</f>
        <v>0</v>
      </c>
      <c r="K406" s="14">
        <f t="shared" si="20"/>
        <v>0</v>
      </c>
      <c r="L406" s="27">
        <f>IF('Pegar ML'!AB402=" ",'Pegar ML'!AB401,'Pegar ML'!AB402)</f>
        <v>0</v>
      </c>
      <c r="M406" s="27" t="str">
        <f>IF('Pegar ML'!AC402=" ",RIGHT('Pegar ML'!AC401,8),RIGHT('Pegar ML'!AC402,8))</f>
        <v/>
      </c>
      <c r="N406" s="27" t="s">
        <v>80</v>
      </c>
      <c r="O406" s="27">
        <f t="shared" si="18"/>
        <v>0</v>
      </c>
      <c r="P406" s="27" t="s">
        <v>80</v>
      </c>
      <c r="Q406" s="55">
        <f>IF('Pegar ML'!AD402=" ",'Pegar ML'!AD401,'Pegar ML'!AD402)</f>
        <v>0</v>
      </c>
      <c r="R406" s="27" t="s">
        <v>80</v>
      </c>
      <c r="S406" s="27" t="s">
        <v>80</v>
      </c>
      <c r="T406" s="27" t="s">
        <v>80</v>
      </c>
      <c r="U406" s="55">
        <f>IF('Pegar ML'!AI402=" ",'Pegar ML'!AI401,'Pegar ML'!AI402)</f>
        <v>0</v>
      </c>
      <c r="V406" s="55">
        <f>IF('Pegar ML'!AK402=" ",'Pegar ML'!AK401,'Pegar ML'!AK402)</f>
        <v>0</v>
      </c>
      <c r="W406" s="55">
        <f>IF('Pegar ML'!AJ402=" ",'Pegar ML'!AJ401,'Pegar ML'!AJ402)</f>
        <v>0</v>
      </c>
      <c r="X406" s="55">
        <f>IF('Pegar ML'!AL402=" ",'Pegar ML'!AL401,'Pegar ML'!AL402)</f>
        <v>0</v>
      </c>
      <c r="Y406" s="27"/>
      <c r="Z406" s="27"/>
      <c r="AA406" s="27"/>
      <c r="AB406" s="27"/>
      <c r="AC406" s="27"/>
      <c r="AD406" s="27"/>
      <c r="AF406" s="8"/>
      <c r="AG406" s="27"/>
      <c r="AH406" s="14">
        <f>+'Pegar ML'!Y402</f>
        <v>0</v>
      </c>
      <c r="AI406" s="13">
        <f t="shared" si="19"/>
        <v>1</v>
      </c>
      <c r="AJ406" s="7">
        <f>+'Pegar ML'!T402</f>
        <v>0</v>
      </c>
      <c r="AK406" s="27"/>
      <c r="AL406" s="27"/>
      <c r="AM406" s="27"/>
      <c r="AN406" s="27"/>
      <c r="AO406" s="27"/>
      <c r="AP406" s="27"/>
      <c r="AQ406" s="27"/>
      <c r="AR406" s="27"/>
      <c r="AS406" s="27">
        <v>17</v>
      </c>
    </row>
    <row r="407" spans="1:45" ht="15" customHeight="1" x14ac:dyDescent="0.25">
      <c r="A407" s="27">
        <f>IF('Pegar ML'!C402="Paquete de 2 productos",'Pegar ML'!A402,IF('Pegar ML'!C401="Paquete de 2 productos",'Pegar ML'!A401,'Pegar ML'!A403))</f>
        <v>0</v>
      </c>
      <c r="B407" s="27"/>
      <c r="C407" s="30" t="str">
        <f>IF(AjusteFecha!I403=0,"",AjusteFecha!I403)</f>
        <v/>
      </c>
      <c r="D407" s="27"/>
      <c r="E407" s="27"/>
      <c r="F407" s="27" t="str">
        <f>IF('Pegar ML'!C403="","",'Pegar ML'!C403)</f>
        <v/>
      </c>
      <c r="G407" s="27" t="str">
        <f>IF('Pegar ML'!G398="ARS","PS","PS")</f>
        <v>PS</v>
      </c>
      <c r="H407" s="14">
        <f>IF('Pegar ML'!C402="Paquete de 2 productos",IF('Pegar ML'!H402="",0,'Pegar ML'!H402),IF('Pegar ML'!H403="",0,'Pegar ML'!H403))</f>
        <v>0</v>
      </c>
      <c r="I407" s="14">
        <f>IF('Pegar ML'!C402="Paquete de 2 productos",IF('Pegar ML'!O402="",0,'Pegar ML'!O402),IF('Pegar ML'!O403="",0,'Pegar ML'!O403))</f>
        <v>0</v>
      </c>
      <c r="J407" s="14">
        <f>IF('Pegar ML'!C402="Paquete de 2 productos",IF('Pegar ML'!O402="",0,'Pegar ML'!O402),IF('Pegar ML'!O403="",0,'Pegar ML'!O403))</f>
        <v>0</v>
      </c>
      <c r="K407" s="14">
        <f t="shared" si="20"/>
        <v>0</v>
      </c>
      <c r="L407" s="27">
        <f>IF('Pegar ML'!AB403=" ",'Pegar ML'!AB402,'Pegar ML'!AB403)</f>
        <v>0</v>
      </c>
      <c r="M407" s="27" t="str">
        <f>IF('Pegar ML'!AC403=" ",RIGHT('Pegar ML'!AC402,8),RIGHT('Pegar ML'!AC403,8))</f>
        <v/>
      </c>
      <c r="N407" s="27" t="s">
        <v>80</v>
      </c>
      <c r="O407" s="27">
        <f t="shared" si="18"/>
        <v>0</v>
      </c>
      <c r="P407" s="27" t="s">
        <v>80</v>
      </c>
      <c r="Q407" s="55">
        <f>IF('Pegar ML'!AD403=" ",'Pegar ML'!AD402,'Pegar ML'!AD403)</f>
        <v>0</v>
      </c>
      <c r="R407" s="27" t="s">
        <v>80</v>
      </c>
      <c r="S407" s="27" t="s">
        <v>80</v>
      </c>
      <c r="T407" s="27" t="s">
        <v>80</v>
      </c>
      <c r="U407" s="55">
        <f>IF('Pegar ML'!AI403=" ",'Pegar ML'!AI402,'Pegar ML'!AI403)</f>
        <v>0</v>
      </c>
      <c r="V407" s="55">
        <f>IF('Pegar ML'!AK403=" ",'Pegar ML'!AK402,'Pegar ML'!AK403)</f>
        <v>0</v>
      </c>
      <c r="W407" s="55">
        <f>IF('Pegar ML'!AJ403=" ",'Pegar ML'!AJ402,'Pegar ML'!AJ403)</f>
        <v>0</v>
      </c>
      <c r="X407" s="55">
        <f>IF('Pegar ML'!AL403=" ",'Pegar ML'!AL402,'Pegar ML'!AL403)</f>
        <v>0</v>
      </c>
      <c r="Y407" s="27"/>
      <c r="Z407" s="27"/>
      <c r="AA407" s="27"/>
      <c r="AB407" s="27"/>
      <c r="AC407" s="27"/>
      <c r="AD407" s="27"/>
      <c r="AF407" s="8"/>
      <c r="AG407" s="27"/>
      <c r="AH407" s="14">
        <f>+'Pegar ML'!Y403</f>
        <v>0</v>
      </c>
      <c r="AI407" s="13">
        <f t="shared" si="19"/>
        <v>1</v>
      </c>
      <c r="AJ407" s="7">
        <f>+'Pegar ML'!T403</f>
        <v>0</v>
      </c>
      <c r="AK407" s="27"/>
      <c r="AL407" s="27"/>
      <c r="AM407" s="27"/>
      <c r="AN407" s="27"/>
      <c r="AO407" s="27"/>
      <c r="AP407" s="27"/>
      <c r="AQ407" s="27"/>
      <c r="AR407" s="27"/>
      <c r="AS407" s="27">
        <v>17</v>
      </c>
    </row>
    <row r="408" spans="1:45" ht="15" customHeight="1" x14ac:dyDescent="0.25">
      <c r="A408" s="27">
        <f>IF('Pegar ML'!C403="Paquete de 2 productos",'Pegar ML'!A403,IF('Pegar ML'!C402="Paquete de 2 productos",'Pegar ML'!A402,'Pegar ML'!A404))</f>
        <v>0</v>
      </c>
      <c r="B408" s="27"/>
      <c r="C408" s="30" t="str">
        <f>IF(AjusteFecha!I404=0,"",AjusteFecha!I404)</f>
        <v/>
      </c>
      <c r="D408" s="27"/>
      <c r="E408" s="27"/>
      <c r="F408" s="27" t="str">
        <f>IF('Pegar ML'!C404="","",'Pegar ML'!C404)</f>
        <v/>
      </c>
      <c r="G408" s="27" t="str">
        <f>IF('Pegar ML'!G399="ARS","PS","PS")</f>
        <v>PS</v>
      </c>
      <c r="H408" s="14">
        <f>IF('Pegar ML'!C403="Paquete de 2 productos",IF('Pegar ML'!H403="",0,'Pegar ML'!H403),IF('Pegar ML'!H404="",0,'Pegar ML'!H404))</f>
        <v>0</v>
      </c>
      <c r="I408" s="14">
        <f>IF('Pegar ML'!C403="Paquete de 2 productos",IF('Pegar ML'!O403="",0,'Pegar ML'!O403),IF('Pegar ML'!O404="",0,'Pegar ML'!O404))</f>
        <v>0</v>
      </c>
      <c r="J408" s="14">
        <f>IF('Pegar ML'!C403="Paquete de 2 productos",IF('Pegar ML'!O403="",0,'Pegar ML'!O403),IF('Pegar ML'!O404="",0,'Pegar ML'!O404))</f>
        <v>0</v>
      </c>
      <c r="K408" s="14">
        <f t="shared" si="20"/>
        <v>0</v>
      </c>
      <c r="L408" s="27">
        <f>IF('Pegar ML'!AB404=" ",'Pegar ML'!AB403,'Pegar ML'!AB404)</f>
        <v>0</v>
      </c>
      <c r="M408" s="27" t="str">
        <f>IF('Pegar ML'!AC404=" ",RIGHT('Pegar ML'!AC403,8),RIGHT('Pegar ML'!AC404,8))</f>
        <v/>
      </c>
      <c r="N408" s="27" t="s">
        <v>80</v>
      </c>
      <c r="O408" s="27">
        <f t="shared" si="18"/>
        <v>0</v>
      </c>
      <c r="P408" s="27" t="s">
        <v>80</v>
      </c>
      <c r="Q408" s="55">
        <f>IF('Pegar ML'!AD404=" ",'Pegar ML'!AD403,'Pegar ML'!AD404)</f>
        <v>0</v>
      </c>
      <c r="R408" s="27" t="s">
        <v>80</v>
      </c>
      <c r="S408" s="27" t="s">
        <v>80</v>
      </c>
      <c r="T408" s="27" t="s">
        <v>80</v>
      </c>
      <c r="U408" s="55">
        <f>IF('Pegar ML'!AI404=" ",'Pegar ML'!AI403,'Pegar ML'!AI404)</f>
        <v>0</v>
      </c>
      <c r="V408" s="55">
        <f>IF('Pegar ML'!AK404=" ",'Pegar ML'!AK403,'Pegar ML'!AK404)</f>
        <v>0</v>
      </c>
      <c r="W408" s="55">
        <f>IF('Pegar ML'!AJ404=" ",'Pegar ML'!AJ403,'Pegar ML'!AJ404)</f>
        <v>0</v>
      </c>
      <c r="X408" s="55">
        <f>IF('Pegar ML'!AL404=" ",'Pegar ML'!AL403,'Pegar ML'!AL404)</f>
        <v>0</v>
      </c>
      <c r="Y408" s="27"/>
      <c r="Z408" s="27"/>
      <c r="AA408" s="27"/>
      <c r="AB408" s="27"/>
      <c r="AC408" s="27"/>
      <c r="AD408" s="27"/>
      <c r="AF408" s="8"/>
      <c r="AG408" s="27"/>
      <c r="AH408" s="14">
        <f>+'Pegar ML'!Y404</f>
        <v>0</v>
      </c>
      <c r="AI408" s="13">
        <f t="shared" si="19"/>
        <v>1</v>
      </c>
      <c r="AJ408" s="7">
        <f>+'Pegar ML'!T404</f>
        <v>0</v>
      </c>
      <c r="AK408" s="27"/>
      <c r="AL408" s="27"/>
      <c r="AM408" s="27"/>
      <c r="AN408" s="27"/>
      <c r="AO408" s="27"/>
      <c r="AP408" s="27"/>
      <c r="AQ408" s="27"/>
      <c r="AR408" s="27"/>
      <c r="AS408" s="27">
        <v>17</v>
      </c>
    </row>
    <row r="409" spans="1:45" ht="15" customHeight="1" x14ac:dyDescent="0.25">
      <c r="A409" s="27">
        <f>IF('Pegar ML'!C404="Paquete de 2 productos",'Pegar ML'!A404,IF('Pegar ML'!C403="Paquete de 2 productos",'Pegar ML'!A403,'Pegar ML'!A405))</f>
        <v>0</v>
      </c>
      <c r="B409" s="27"/>
      <c r="C409" s="30" t="str">
        <f>IF(AjusteFecha!I405=0,"",AjusteFecha!I405)</f>
        <v/>
      </c>
      <c r="D409" s="27"/>
      <c r="E409" s="27"/>
      <c r="F409" s="27" t="str">
        <f>IF('Pegar ML'!C405="","",'Pegar ML'!C405)</f>
        <v/>
      </c>
      <c r="G409" s="27" t="str">
        <f>IF('Pegar ML'!G400="ARS","PS","PS")</f>
        <v>PS</v>
      </c>
      <c r="H409" s="14">
        <f>IF('Pegar ML'!C404="Paquete de 2 productos",IF('Pegar ML'!H404="",0,'Pegar ML'!H404),IF('Pegar ML'!H405="",0,'Pegar ML'!H405))</f>
        <v>0</v>
      </c>
      <c r="I409" s="14">
        <f>IF('Pegar ML'!C404="Paquete de 2 productos",IF('Pegar ML'!O404="",0,'Pegar ML'!O404),IF('Pegar ML'!O405="",0,'Pegar ML'!O405))</f>
        <v>0</v>
      </c>
      <c r="J409" s="14">
        <f>IF('Pegar ML'!C404="Paquete de 2 productos",IF('Pegar ML'!O404="",0,'Pegar ML'!O404),IF('Pegar ML'!O405="",0,'Pegar ML'!O405))</f>
        <v>0</v>
      </c>
      <c r="K409" s="14">
        <f t="shared" si="20"/>
        <v>0</v>
      </c>
      <c r="L409" s="27">
        <f>IF('Pegar ML'!AB405=" ",'Pegar ML'!AB404,'Pegar ML'!AB405)</f>
        <v>0</v>
      </c>
      <c r="M409" s="27" t="str">
        <f>IF('Pegar ML'!AC405=" ",RIGHT('Pegar ML'!AC404,8),RIGHT('Pegar ML'!AC405,8))</f>
        <v/>
      </c>
      <c r="N409" s="27" t="s">
        <v>80</v>
      </c>
      <c r="O409" s="27">
        <f t="shared" si="18"/>
        <v>0</v>
      </c>
      <c r="P409" s="27" t="s">
        <v>80</v>
      </c>
      <c r="Q409" s="55">
        <f>IF('Pegar ML'!AD405=" ",'Pegar ML'!AD404,'Pegar ML'!AD405)</f>
        <v>0</v>
      </c>
      <c r="R409" s="27" t="s">
        <v>80</v>
      </c>
      <c r="S409" s="27" t="s">
        <v>80</v>
      </c>
      <c r="T409" s="27" t="s">
        <v>80</v>
      </c>
      <c r="U409" s="55">
        <f>IF('Pegar ML'!AI405=" ",'Pegar ML'!AI404,'Pegar ML'!AI405)</f>
        <v>0</v>
      </c>
      <c r="V409" s="55">
        <f>IF('Pegar ML'!AK405=" ",'Pegar ML'!AK404,'Pegar ML'!AK405)</f>
        <v>0</v>
      </c>
      <c r="W409" s="55">
        <f>IF('Pegar ML'!AJ405=" ",'Pegar ML'!AJ404,'Pegar ML'!AJ405)</f>
        <v>0</v>
      </c>
      <c r="X409" s="55">
        <f>IF('Pegar ML'!AL405=" ",'Pegar ML'!AL404,'Pegar ML'!AL405)</f>
        <v>0</v>
      </c>
      <c r="Y409" s="27"/>
      <c r="Z409" s="27"/>
      <c r="AA409" s="27"/>
      <c r="AB409" s="27"/>
      <c r="AC409" s="27"/>
      <c r="AD409" s="27"/>
      <c r="AF409" s="8"/>
      <c r="AG409" s="27"/>
      <c r="AH409" s="14">
        <f>+'Pegar ML'!Y405</f>
        <v>0</v>
      </c>
      <c r="AI409" s="13">
        <f t="shared" si="19"/>
        <v>1</v>
      </c>
      <c r="AJ409" s="7">
        <f>+'Pegar ML'!T405</f>
        <v>0</v>
      </c>
      <c r="AK409" s="27"/>
      <c r="AL409" s="27"/>
      <c r="AM409" s="27"/>
      <c r="AN409" s="27"/>
      <c r="AO409" s="27"/>
      <c r="AP409" s="27"/>
      <c r="AQ409" s="27"/>
      <c r="AR409" s="27"/>
      <c r="AS409" s="27">
        <v>17</v>
      </c>
    </row>
    <row r="410" spans="1:45" ht="15" customHeight="1" x14ac:dyDescent="0.25">
      <c r="A410" s="27">
        <f>IF('Pegar ML'!C405="Paquete de 2 productos",'Pegar ML'!A405,IF('Pegar ML'!C404="Paquete de 2 productos",'Pegar ML'!A404,'Pegar ML'!A406))</f>
        <v>0</v>
      </c>
      <c r="B410" s="27"/>
      <c r="C410" s="30" t="str">
        <f>IF(AjusteFecha!I406=0,"",AjusteFecha!I406)</f>
        <v/>
      </c>
      <c r="D410" s="27"/>
      <c r="E410" s="27"/>
      <c r="F410" s="27" t="str">
        <f>IF('Pegar ML'!C406="","",'Pegar ML'!C406)</f>
        <v/>
      </c>
      <c r="G410" s="27" t="str">
        <f>IF('Pegar ML'!G401="ARS","PS","PS")</f>
        <v>PS</v>
      </c>
      <c r="H410" s="14">
        <f>IF('Pegar ML'!C405="Paquete de 2 productos",IF('Pegar ML'!H405="",0,'Pegar ML'!H405),IF('Pegar ML'!H406="",0,'Pegar ML'!H406))</f>
        <v>0</v>
      </c>
      <c r="I410" s="14">
        <f>IF('Pegar ML'!C405="Paquete de 2 productos",IF('Pegar ML'!O405="",0,'Pegar ML'!O405),IF('Pegar ML'!O406="",0,'Pegar ML'!O406))</f>
        <v>0</v>
      </c>
      <c r="J410" s="14">
        <f>IF('Pegar ML'!C405="Paquete de 2 productos",IF('Pegar ML'!O405="",0,'Pegar ML'!O405),IF('Pegar ML'!O406="",0,'Pegar ML'!O406))</f>
        <v>0</v>
      </c>
      <c r="K410" s="14">
        <f t="shared" si="20"/>
        <v>0</v>
      </c>
      <c r="L410" s="27">
        <f>IF('Pegar ML'!AB406=" ",'Pegar ML'!AB405,'Pegar ML'!AB406)</f>
        <v>0</v>
      </c>
      <c r="M410" s="27" t="str">
        <f>IF('Pegar ML'!AC406=" ",RIGHT('Pegar ML'!AC405,8),RIGHT('Pegar ML'!AC406,8))</f>
        <v/>
      </c>
      <c r="N410" s="27" t="s">
        <v>80</v>
      </c>
      <c r="O410" s="27">
        <f t="shared" si="18"/>
        <v>0</v>
      </c>
      <c r="P410" s="27" t="s">
        <v>80</v>
      </c>
      <c r="Q410" s="55">
        <f>IF('Pegar ML'!AD406=" ",'Pegar ML'!AD405,'Pegar ML'!AD406)</f>
        <v>0</v>
      </c>
      <c r="R410" s="27" t="s">
        <v>80</v>
      </c>
      <c r="S410" s="27" t="s">
        <v>80</v>
      </c>
      <c r="T410" s="27" t="s">
        <v>80</v>
      </c>
      <c r="U410" s="55">
        <f>IF('Pegar ML'!AI406=" ",'Pegar ML'!AI405,'Pegar ML'!AI406)</f>
        <v>0</v>
      </c>
      <c r="V410" s="55">
        <f>IF('Pegar ML'!AK406=" ",'Pegar ML'!AK405,'Pegar ML'!AK406)</f>
        <v>0</v>
      </c>
      <c r="W410" s="55">
        <f>IF('Pegar ML'!AJ406=" ",'Pegar ML'!AJ405,'Pegar ML'!AJ406)</f>
        <v>0</v>
      </c>
      <c r="X410" s="55">
        <f>IF('Pegar ML'!AL406=" ",'Pegar ML'!AL405,'Pegar ML'!AL406)</f>
        <v>0</v>
      </c>
      <c r="Y410" s="27"/>
      <c r="Z410" s="27"/>
      <c r="AA410" s="27"/>
      <c r="AB410" s="27"/>
      <c r="AC410" s="27"/>
      <c r="AD410" s="27"/>
      <c r="AF410" s="8"/>
      <c r="AG410" s="27"/>
      <c r="AH410" s="14">
        <f>+'Pegar ML'!Y406</f>
        <v>0</v>
      </c>
      <c r="AI410" s="13">
        <f t="shared" si="19"/>
        <v>1</v>
      </c>
      <c r="AJ410" s="7">
        <f>+'Pegar ML'!T406</f>
        <v>0</v>
      </c>
      <c r="AK410" s="27"/>
      <c r="AL410" s="27"/>
      <c r="AM410" s="27"/>
      <c r="AN410" s="27"/>
      <c r="AO410" s="27"/>
      <c r="AP410" s="27"/>
      <c r="AQ410" s="27"/>
      <c r="AR410" s="27"/>
      <c r="AS410" s="27">
        <v>17</v>
      </c>
    </row>
    <row r="411" spans="1:45" ht="15" customHeight="1" x14ac:dyDescent="0.25">
      <c r="A411" s="27">
        <f>IF('Pegar ML'!C406="Paquete de 2 productos",'Pegar ML'!A406,IF('Pegar ML'!C405="Paquete de 2 productos",'Pegar ML'!A405,'Pegar ML'!A407))</f>
        <v>0</v>
      </c>
      <c r="B411" s="27"/>
      <c r="C411" s="30" t="str">
        <f>IF(AjusteFecha!I407=0,"",AjusteFecha!I407)</f>
        <v/>
      </c>
      <c r="D411" s="27"/>
      <c r="E411" s="27"/>
      <c r="F411" s="27" t="str">
        <f>IF('Pegar ML'!C407="","",'Pegar ML'!C407)</f>
        <v/>
      </c>
      <c r="G411" s="27" t="str">
        <f>IF('Pegar ML'!G402="ARS","PS","PS")</f>
        <v>PS</v>
      </c>
      <c r="H411" s="14">
        <f>IF('Pegar ML'!C406="Paquete de 2 productos",IF('Pegar ML'!H406="",0,'Pegar ML'!H406),IF('Pegar ML'!H407="",0,'Pegar ML'!H407))</f>
        <v>0</v>
      </c>
      <c r="I411" s="14">
        <f>IF('Pegar ML'!C406="Paquete de 2 productos",IF('Pegar ML'!O406="",0,'Pegar ML'!O406),IF('Pegar ML'!O407="",0,'Pegar ML'!O407))</f>
        <v>0</v>
      </c>
      <c r="J411" s="14">
        <f>IF('Pegar ML'!C406="Paquete de 2 productos",IF('Pegar ML'!O406="",0,'Pegar ML'!O406),IF('Pegar ML'!O407="",0,'Pegar ML'!O407))</f>
        <v>0</v>
      </c>
      <c r="K411" s="14">
        <f t="shared" si="20"/>
        <v>0</v>
      </c>
      <c r="L411" s="27">
        <f>IF('Pegar ML'!AB407=" ",'Pegar ML'!AB406,'Pegar ML'!AB407)</f>
        <v>0</v>
      </c>
      <c r="M411" s="27" t="str">
        <f>IF('Pegar ML'!AC407=" ",RIGHT('Pegar ML'!AC406,8),RIGHT('Pegar ML'!AC407,8))</f>
        <v/>
      </c>
      <c r="N411" s="27" t="s">
        <v>80</v>
      </c>
      <c r="O411" s="27">
        <f t="shared" si="18"/>
        <v>0</v>
      </c>
      <c r="P411" s="27" t="s">
        <v>80</v>
      </c>
      <c r="Q411" s="55">
        <f>IF('Pegar ML'!AD407=" ",'Pegar ML'!AD406,'Pegar ML'!AD407)</f>
        <v>0</v>
      </c>
      <c r="R411" s="27" t="s">
        <v>80</v>
      </c>
      <c r="S411" s="27" t="s">
        <v>80</v>
      </c>
      <c r="T411" s="27" t="s">
        <v>80</v>
      </c>
      <c r="U411" s="55">
        <f>IF('Pegar ML'!AI407=" ",'Pegar ML'!AI406,'Pegar ML'!AI407)</f>
        <v>0</v>
      </c>
      <c r="V411" s="55">
        <f>IF('Pegar ML'!AK407=" ",'Pegar ML'!AK406,'Pegar ML'!AK407)</f>
        <v>0</v>
      </c>
      <c r="W411" s="55">
        <f>IF('Pegar ML'!AJ407=" ",'Pegar ML'!AJ406,'Pegar ML'!AJ407)</f>
        <v>0</v>
      </c>
      <c r="X411" s="55">
        <f>IF('Pegar ML'!AL407=" ",'Pegar ML'!AL406,'Pegar ML'!AL407)</f>
        <v>0</v>
      </c>
      <c r="Y411" s="27"/>
      <c r="Z411" s="27"/>
      <c r="AA411" s="27"/>
      <c r="AB411" s="27"/>
      <c r="AC411" s="27"/>
      <c r="AD411" s="27"/>
      <c r="AF411" s="8"/>
      <c r="AG411" s="27"/>
      <c r="AH411" s="14">
        <f>+'Pegar ML'!Y407</f>
        <v>0</v>
      </c>
      <c r="AI411" s="13">
        <f t="shared" si="19"/>
        <v>1</v>
      </c>
      <c r="AJ411" s="7">
        <f>+'Pegar ML'!T407</f>
        <v>0</v>
      </c>
      <c r="AK411" s="27"/>
      <c r="AL411" s="27"/>
      <c r="AM411" s="27"/>
      <c r="AN411" s="27"/>
      <c r="AO411" s="27"/>
      <c r="AP411" s="27"/>
      <c r="AQ411" s="27"/>
      <c r="AR411" s="27"/>
      <c r="AS411" s="27">
        <v>17</v>
      </c>
    </row>
    <row r="412" spans="1:45" ht="15" customHeight="1" x14ac:dyDescent="0.25">
      <c r="A412" s="27">
        <f>IF('Pegar ML'!C407="Paquete de 2 productos",'Pegar ML'!A407,IF('Pegar ML'!C406="Paquete de 2 productos",'Pegar ML'!A406,'Pegar ML'!A408))</f>
        <v>0</v>
      </c>
      <c r="B412" s="27"/>
      <c r="C412" s="30" t="str">
        <f>IF(AjusteFecha!I408=0,"",AjusteFecha!I408)</f>
        <v/>
      </c>
      <c r="D412" s="27"/>
      <c r="E412" s="27"/>
      <c r="F412" s="27" t="str">
        <f>IF('Pegar ML'!C408="","",'Pegar ML'!C408)</f>
        <v/>
      </c>
      <c r="G412" s="27" t="str">
        <f>IF('Pegar ML'!G403="ARS","PS","PS")</f>
        <v>PS</v>
      </c>
      <c r="H412" s="14">
        <f>IF('Pegar ML'!C407="Paquete de 2 productos",IF('Pegar ML'!H407="",0,'Pegar ML'!H407),IF('Pegar ML'!H408="",0,'Pegar ML'!H408))</f>
        <v>0</v>
      </c>
      <c r="I412" s="14">
        <f>IF('Pegar ML'!C407="Paquete de 2 productos",IF('Pegar ML'!O407="",0,'Pegar ML'!O407),IF('Pegar ML'!O408="",0,'Pegar ML'!O408))</f>
        <v>0</v>
      </c>
      <c r="J412" s="14">
        <f>IF('Pegar ML'!C407="Paquete de 2 productos",IF('Pegar ML'!O407="",0,'Pegar ML'!O407),IF('Pegar ML'!O408="",0,'Pegar ML'!O408))</f>
        <v>0</v>
      </c>
      <c r="K412" s="14">
        <f t="shared" si="20"/>
        <v>0</v>
      </c>
      <c r="L412" s="27">
        <f>IF('Pegar ML'!AB408=" ",'Pegar ML'!AB407,'Pegar ML'!AB408)</f>
        <v>0</v>
      </c>
      <c r="M412" s="27" t="str">
        <f>IF('Pegar ML'!AC408=" ",RIGHT('Pegar ML'!AC407,8),RIGHT('Pegar ML'!AC408,8))</f>
        <v/>
      </c>
      <c r="N412" s="27" t="s">
        <v>80</v>
      </c>
      <c r="O412" s="27">
        <f t="shared" si="18"/>
        <v>0</v>
      </c>
      <c r="P412" s="27" t="s">
        <v>80</v>
      </c>
      <c r="Q412" s="55">
        <f>IF('Pegar ML'!AD408=" ",'Pegar ML'!AD407,'Pegar ML'!AD408)</f>
        <v>0</v>
      </c>
      <c r="R412" s="27" t="s">
        <v>80</v>
      </c>
      <c r="S412" s="27" t="s">
        <v>80</v>
      </c>
      <c r="T412" s="27" t="s">
        <v>80</v>
      </c>
      <c r="U412" s="55">
        <f>IF('Pegar ML'!AI408=" ",'Pegar ML'!AI407,'Pegar ML'!AI408)</f>
        <v>0</v>
      </c>
      <c r="V412" s="55">
        <f>IF('Pegar ML'!AK408=" ",'Pegar ML'!AK407,'Pegar ML'!AK408)</f>
        <v>0</v>
      </c>
      <c r="W412" s="55">
        <f>IF('Pegar ML'!AJ408=" ",'Pegar ML'!AJ407,'Pegar ML'!AJ408)</f>
        <v>0</v>
      </c>
      <c r="X412" s="55">
        <f>IF('Pegar ML'!AL408=" ",'Pegar ML'!AL407,'Pegar ML'!AL408)</f>
        <v>0</v>
      </c>
      <c r="Y412" s="27"/>
      <c r="Z412" s="27"/>
      <c r="AA412" s="27"/>
      <c r="AB412" s="27"/>
      <c r="AC412" s="27"/>
      <c r="AD412" s="27"/>
      <c r="AF412" s="8"/>
      <c r="AG412" s="27"/>
      <c r="AH412" s="14">
        <f>+'Pegar ML'!Y408</f>
        <v>0</v>
      </c>
      <c r="AI412" s="13">
        <f t="shared" si="19"/>
        <v>1</v>
      </c>
      <c r="AJ412" s="7">
        <f>+'Pegar ML'!T408</f>
        <v>0</v>
      </c>
      <c r="AK412" s="27"/>
      <c r="AL412" s="27"/>
      <c r="AM412" s="27"/>
      <c r="AN412" s="27"/>
      <c r="AO412" s="27"/>
      <c r="AP412" s="27"/>
      <c r="AQ412" s="27"/>
      <c r="AR412" s="27"/>
      <c r="AS412" s="27">
        <v>17</v>
      </c>
    </row>
    <row r="413" spans="1:45" ht="15" customHeight="1" x14ac:dyDescent="0.25">
      <c r="A413" s="27">
        <f>IF('Pegar ML'!C408="Paquete de 2 productos",'Pegar ML'!A408,IF('Pegar ML'!C407="Paquete de 2 productos",'Pegar ML'!A407,'Pegar ML'!A409))</f>
        <v>0</v>
      </c>
      <c r="B413" s="27"/>
      <c r="C413" s="30" t="str">
        <f>IF(AjusteFecha!I409=0,"",AjusteFecha!I409)</f>
        <v/>
      </c>
      <c r="D413" s="27"/>
      <c r="E413" s="27"/>
      <c r="F413" s="27" t="str">
        <f>IF('Pegar ML'!C409="","",'Pegar ML'!C409)</f>
        <v/>
      </c>
      <c r="G413" s="27" t="str">
        <f>IF('Pegar ML'!G404="ARS","PS","PS")</f>
        <v>PS</v>
      </c>
      <c r="H413" s="14">
        <f>IF('Pegar ML'!C408="Paquete de 2 productos",IF('Pegar ML'!H408="",0,'Pegar ML'!H408),IF('Pegar ML'!H409="",0,'Pegar ML'!H409))</f>
        <v>0</v>
      </c>
      <c r="I413" s="14">
        <f>IF('Pegar ML'!C408="Paquete de 2 productos",IF('Pegar ML'!O408="",0,'Pegar ML'!O408),IF('Pegar ML'!O409="",0,'Pegar ML'!O409))</f>
        <v>0</v>
      </c>
      <c r="J413" s="14">
        <f>IF('Pegar ML'!C408="Paquete de 2 productos",IF('Pegar ML'!O408="",0,'Pegar ML'!O408),IF('Pegar ML'!O409="",0,'Pegar ML'!O409))</f>
        <v>0</v>
      </c>
      <c r="K413" s="14">
        <f t="shared" si="20"/>
        <v>0</v>
      </c>
      <c r="L413" s="27">
        <f>IF('Pegar ML'!AB409=" ",'Pegar ML'!AB408,'Pegar ML'!AB409)</f>
        <v>0</v>
      </c>
      <c r="M413" s="27" t="str">
        <f>IF('Pegar ML'!AC409=" ",RIGHT('Pegar ML'!AC408,8),RIGHT('Pegar ML'!AC409,8))</f>
        <v/>
      </c>
      <c r="N413" s="27" t="s">
        <v>80</v>
      </c>
      <c r="O413" s="27">
        <f t="shared" si="18"/>
        <v>0</v>
      </c>
      <c r="P413" s="27" t="s">
        <v>80</v>
      </c>
      <c r="Q413" s="55">
        <f>IF('Pegar ML'!AD409=" ",'Pegar ML'!AD408,'Pegar ML'!AD409)</f>
        <v>0</v>
      </c>
      <c r="R413" s="27" t="s">
        <v>80</v>
      </c>
      <c r="S413" s="27" t="s">
        <v>80</v>
      </c>
      <c r="T413" s="27" t="s">
        <v>80</v>
      </c>
      <c r="U413" s="55">
        <f>IF('Pegar ML'!AI409=" ",'Pegar ML'!AI408,'Pegar ML'!AI409)</f>
        <v>0</v>
      </c>
      <c r="V413" s="55">
        <f>IF('Pegar ML'!AK409=" ",'Pegar ML'!AK408,'Pegar ML'!AK409)</f>
        <v>0</v>
      </c>
      <c r="W413" s="55">
        <f>IF('Pegar ML'!AJ409=" ",'Pegar ML'!AJ408,'Pegar ML'!AJ409)</f>
        <v>0</v>
      </c>
      <c r="X413" s="55">
        <f>IF('Pegar ML'!AL409=" ",'Pegar ML'!AL408,'Pegar ML'!AL409)</f>
        <v>0</v>
      </c>
      <c r="Y413" s="27"/>
      <c r="Z413" s="27"/>
      <c r="AA413" s="27"/>
      <c r="AB413" s="27"/>
      <c r="AC413" s="27"/>
      <c r="AD413" s="27"/>
      <c r="AF413" s="8"/>
      <c r="AG413" s="27"/>
      <c r="AH413" s="14">
        <f>+'Pegar ML'!Y409</f>
        <v>0</v>
      </c>
      <c r="AI413" s="13">
        <f t="shared" si="19"/>
        <v>1</v>
      </c>
      <c r="AJ413" s="7">
        <f>+'Pegar ML'!T409</f>
        <v>0</v>
      </c>
      <c r="AK413" s="27"/>
      <c r="AL413" s="27"/>
      <c r="AM413" s="27"/>
      <c r="AN413" s="27"/>
      <c r="AO413" s="27"/>
      <c r="AP413" s="27"/>
      <c r="AQ413" s="27"/>
      <c r="AR413" s="27"/>
      <c r="AS413" s="27">
        <v>17</v>
      </c>
    </row>
    <row r="414" spans="1:45" ht="15" customHeight="1" x14ac:dyDescent="0.25">
      <c r="A414" s="27">
        <f>IF('Pegar ML'!C409="Paquete de 2 productos",'Pegar ML'!A409,IF('Pegar ML'!C408="Paquete de 2 productos",'Pegar ML'!A408,'Pegar ML'!A410))</f>
        <v>0</v>
      </c>
      <c r="B414" s="27"/>
      <c r="C414" s="30" t="str">
        <f>IF(AjusteFecha!I410=0,"",AjusteFecha!I410)</f>
        <v/>
      </c>
      <c r="D414" s="27"/>
      <c r="E414" s="27"/>
      <c r="F414" s="27" t="str">
        <f>IF('Pegar ML'!C410="","",'Pegar ML'!C410)</f>
        <v/>
      </c>
      <c r="G414" s="27" t="str">
        <f>IF('Pegar ML'!G405="ARS","PS","PS")</f>
        <v>PS</v>
      </c>
      <c r="H414" s="14">
        <f>IF('Pegar ML'!C409="Paquete de 2 productos",IF('Pegar ML'!H409="",0,'Pegar ML'!H409),IF('Pegar ML'!H410="",0,'Pegar ML'!H410))</f>
        <v>0</v>
      </c>
      <c r="I414" s="14">
        <f>IF('Pegar ML'!C409="Paquete de 2 productos",IF('Pegar ML'!O409="",0,'Pegar ML'!O409),IF('Pegar ML'!O410="",0,'Pegar ML'!O410))</f>
        <v>0</v>
      </c>
      <c r="J414" s="14">
        <f>IF('Pegar ML'!C409="Paquete de 2 productos",IF('Pegar ML'!O409="",0,'Pegar ML'!O409),IF('Pegar ML'!O410="",0,'Pegar ML'!O410))</f>
        <v>0</v>
      </c>
      <c r="K414" s="14">
        <f t="shared" si="20"/>
        <v>0</v>
      </c>
      <c r="L414" s="27">
        <f>IF('Pegar ML'!AB410=" ",'Pegar ML'!AB409,'Pegar ML'!AB410)</f>
        <v>0</v>
      </c>
      <c r="M414" s="27" t="str">
        <f>IF('Pegar ML'!AC410=" ",RIGHT('Pegar ML'!AC409,8),RIGHT('Pegar ML'!AC410,8))</f>
        <v/>
      </c>
      <c r="N414" s="27" t="s">
        <v>80</v>
      </c>
      <c r="O414" s="27">
        <f t="shared" si="18"/>
        <v>0</v>
      </c>
      <c r="P414" s="27" t="s">
        <v>80</v>
      </c>
      <c r="Q414" s="55">
        <f>IF('Pegar ML'!AD410=" ",'Pegar ML'!AD409,'Pegar ML'!AD410)</f>
        <v>0</v>
      </c>
      <c r="R414" s="27" t="s">
        <v>80</v>
      </c>
      <c r="S414" s="27" t="s">
        <v>80</v>
      </c>
      <c r="T414" s="27" t="s">
        <v>80</v>
      </c>
      <c r="U414" s="55">
        <f>IF('Pegar ML'!AI410=" ",'Pegar ML'!AI409,'Pegar ML'!AI410)</f>
        <v>0</v>
      </c>
      <c r="V414" s="55">
        <f>IF('Pegar ML'!AK410=" ",'Pegar ML'!AK409,'Pegar ML'!AK410)</f>
        <v>0</v>
      </c>
      <c r="W414" s="55">
        <f>IF('Pegar ML'!AJ410=" ",'Pegar ML'!AJ409,'Pegar ML'!AJ410)</f>
        <v>0</v>
      </c>
      <c r="X414" s="55">
        <f>IF('Pegar ML'!AL410=" ",'Pegar ML'!AL409,'Pegar ML'!AL410)</f>
        <v>0</v>
      </c>
      <c r="Y414" s="27"/>
      <c r="Z414" s="27"/>
      <c r="AA414" s="27"/>
      <c r="AB414" s="27"/>
      <c r="AC414" s="27"/>
      <c r="AD414" s="27"/>
      <c r="AF414" s="8"/>
      <c r="AG414" s="27"/>
      <c r="AH414" s="14">
        <f>+'Pegar ML'!Y410</f>
        <v>0</v>
      </c>
      <c r="AI414" s="13">
        <f t="shared" si="19"/>
        <v>1</v>
      </c>
      <c r="AJ414" s="7">
        <f>+'Pegar ML'!T410</f>
        <v>0</v>
      </c>
      <c r="AK414" s="27"/>
      <c r="AL414" s="27"/>
      <c r="AM414" s="27"/>
      <c r="AN414" s="27"/>
      <c r="AO414" s="27"/>
      <c r="AP414" s="27"/>
      <c r="AQ414" s="27"/>
      <c r="AR414" s="27"/>
      <c r="AS414" s="27">
        <v>17</v>
      </c>
    </row>
    <row r="415" spans="1:45" ht="15" customHeight="1" x14ac:dyDescent="0.25">
      <c r="A415" s="27">
        <f>IF('Pegar ML'!C410="Paquete de 2 productos",'Pegar ML'!A410,IF('Pegar ML'!C409="Paquete de 2 productos",'Pegar ML'!A409,'Pegar ML'!A411))</f>
        <v>0</v>
      </c>
      <c r="B415" s="27"/>
      <c r="C415" s="30" t="str">
        <f>IF(AjusteFecha!I411=0,"",AjusteFecha!I411)</f>
        <v/>
      </c>
      <c r="D415" s="27"/>
      <c r="E415" s="27"/>
      <c r="F415" s="27" t="str">
        <f>IF('Pegar ML'!C411="","",'Pegar ML'!C411)</f>
        <v/>
      </c>
      <c r="G415" s="27" t="str">
        <f>IF('Pegar ML'!G406="ARS","PS","PS")</f>
        <v>PS</v>
      </c>
      <c r="H415" s="14">
        <f>IF('Pegar ML'!C410="Paquete de 2 productos",IF('Pegar ML'!H410="",0,'Pegar ML'!H410),IF('Pegar ML'!H411="",0,'Pegar ML'!H411))</f>
        <v>0</v>
      </c>
      <c r="I415" s="14">
        <f>IF('Pegar ML'!C410="Paquete de 2 productos",IF('Pegar ML'!O410="",0,'Pegar ML'!O410),IF('Pegar ML'!O411="",0,'Pegar ML'!O411))</f>
        <v>0</v>
      </c>
      <c r="J415" s="14">
        <f>IF('Pegar ML'!C410="Paquete de 2 productos",IF('Pegar ML'!O410="",0,'Pegar ML'!O410),IF('Pegar ML'!O411="",0,'Pegar ML'!O411))</f>
        <v>0</v>
      </c>
      <c r="K415" s="14">
        <f t="shared" si="20"/>
        <v>0</v>
      </c>
      <c r="L415" s="27">
        <f>IF('Pegar ML'!AB411=" ",'Pegar ML'!AB410,'Pegar ML'!AB411)</f>
        <v>0</v>
      </c>
      <c r="M415" s="27" t="str">
        <f>IF('Pegar ML'!AC411=" ",RIGHT('Pegar ML'!AC410,8),RIGHT('Pegar ML'!AC411,8))</f>
        <v/>
      </c>
      <c r="N415" s="27" t="s">
        <v>80</v>
      </c>
      <c r="O415" s="27">
        <f t="shared" si="18"/>
        <v>0</v>
      </c>
      <c r="P415" s="27" t="s">
        <v>80</v>
      </c>
      <c r="Q415" s="55">
        <f>IF('Pegar ML'!AD411=" ",'Pegar ML'!AD410,'Pegar ML'!AD411)</f>
        <v>0</v>
      </c>
      <c r="R415" s="27" t="s">
        <v>80</v>
      </c>
      <c r="S415" s="27" t="s">
        <v>80</v>
      </c>
      <c r="T415" s="27" t="s">
        <v>80</v>
      </c>
      <c r="U415" s="55">
        <f>IF('Pegar ML'!AI411=" ",'Pegar ML'!AI410,'Pegar ML'!AI411)</f>
        <v>0</v>
      </c>
      <c r="V415" s="55">
        <f>IF('Pegar ML'!AK411=" ",'Pegar ML'!AK410,'Pegar ML'!AK411)</f>
        <v>0</v>
      </c>
      <c r="W415" s="55">
        <f>IF('Pegar ML'!AJ411=" ",'Pegar ML'!AJ410,'Pegar ML'!AJ411)</f>
        <v>0</v>
      </c>
      <c r="X415" s="55">
        <f>IF('Pegar ML'!AL411=" ",'Pegar ML'!AL410,'Pegar ML'!AL411)</f>
        <v>0</v>
      </c>
      <c r="Y415" s="27"/>
      <c r="Z415" s="27"/>
      <c r="AA415" s="27"/>
      <c r="AB415" s="27"/>
      <c r="AC415" s="27"/>
      <c r="AD415" s="27"/>
      <c r="AF415" s="8"/>
      <c r="AG415" s="27"/>
      <c r="AH415" s="14">
        <f>+'Pegar ML'!Y411</f>
        <v>0</v>
      </c>
      <c r="AI415" s="13">
        <f t="shared" si="19"/>
        <v>1</v>
      </c>
      <c r="AJ415" s="7">
        <f>+'Pegar ML'!T411</f>
        <v>0</v>
      </c>
      <c r="AK415" s="27"/>
      <c r="AL415" s="27"/>
      <c r="AM415" s="27"/>
      <c r="AN415" s="27"/>
      <c r="AO415" s="27"/>
      <c r="AP415" s="27"/>
      <c r="AQ415" s="27"/>
      <c r="AR415" s="27"/>
      <c r="AS415" s="27">
        <v>17</v>
      </c>
    </row>
    <row r="416" spans="1:45" ht="15" customHeight="1" x14ac:dyDescent="0.25">
      <c r="A416" s="27">
        <f>IF('Pegar ML'!C411="Paquete de 2 productos",'Pegar ML'!A411,IF('Pegar ML'!C410="Paquete de 2 productos",'Pegar ML'!A410,'Pegar ML'!A412))</f>
        <v>0</v>
      </c>
      <c r="B416" s="27"/>
      <c r="C416" s="30" t="str">
        <f>IF(AjusteFecha!I412=0,"",AjusteFecha!I412)</f>
        <v/>
      </c>
      <c r="D416" s="27"/>
      <c r="E416" s="27"/>
      <c r="F416" s="27" t="str">
        <f>IF('Pegar ML'!C412="","",'Pegar ML'!C412)</f>
        <v/>
      </c>
      <c r="G416" s="27" t="str">
        <f>IF('Pegar ML'!G407="ARS","PS","PS")</f>
        <v>PS</v>
      </c>
      <c r="H416" s="14">
        <f>IF('Pegar ML'!C411="Paquete de 2 productos",IF('Pegar ML'!H411="",0,'Pegar ML'!H411),IF('Pegar ML'!H412="",0,'Pegar ML'!H412))</f>
        <v>0</v>
      </c>
      <c r="I416" s="14">
        <f>IF('Pegar ML'!C411="Paquete de 2 productos",IF('Pegar ML'!O411="",0,'Pegar ML'!O411),IF('Pegar ML'!O412="",0,'Pegar ML'!O412))</f>
        <v>0</v>
      </c>
      <c r="J416" s="14">
        <f>IF('Pegar ML'!C411="Paquete de 2 productos",IF('Pegar ML'!O411="",0,'Pegar ML'!O411),IF('Pegar ML'!O412="",0,'Pegar ML'!O412))</f>
        <v>0</v>
      </c>
      <c r="K416" s="14">
        <f t="shared" si="20"/>
        <v>0</v>
      </c>
      <c r="L416" s="27">
        <f>IF('Pegar ML'!AB412=" ",'Pegar ML'!AB411,'Pegar ML'!AB412)</f>
        <v>0</v>
      </c>
      <c r="M416" s="27" t="str">
        <f>IF('Pegar ML'!AC412=" ",RIGHT('Pegar ML'!AC411,8),RIGHT('Pegar ML'!AC412,8))</f>
        <v/>
      </c>
      <c r="N416" s="27" t="s">
        <v>80</v>
      </c>
      <c r="O416" s="27">
        <f t="shared" si="18"/>
        <v>0</v>
      </c>
      <c r="P416" s="27" t="s">
        <v>80</v>
      </c>
      <c r="Q416" s="55">
        <f>IF('Pegar ML'!AD412=" ",'Pegar ML'!AD411,'Pegar ML'!AD412)</f>
        <v>0</v>
      </c>
      <c r="R416" s="27" t="s">
        <v>80</v>
      </c>
      <c r="S416" s="27" t="s">
        <v>80</v>
      </c>
      <c r="T416" s="27" t="s">
        <v>80</v>
      </c>
      <c r="U416" s="55">
        <f>IF('Pegar ML'!AI412=" ",'Pegar ML'!AI411,'Pegar ML'!AI412)</f>
        <v>0</v>
      </c>
      <c r="V416" s="55">
        <f>IF('Pegar ML'!AK412=" ",'Pegar ML'!AK411,'Pegar ML'!AK412)</f>
        <v>0</v>
      </c>
      <c r="W416" s="55">
        <f>IF('Pegar ML'!AJ412=" ",'Pegar ML'!AJ411,'Pegar ML'!AJ412)</f>
        <v>0</v>
      </c>
      <c r="X416" s="55">
        <f>IF('Pegar ML'!AL412=" ",'Pegar ML'!AL411,'Pegar ML'!AL412)</f>
        <v>0</v>
      </c>
      <c r="Y416" s="27"/>
      <c r="Z416" s="27"/>
      <c r="AA416" s="27"/>
      <c r="AB416" s="27"/>
      <c r="AC416" s="27"/>
      <c r="AD416" s="27"/>
      <c r="AF416" s="8"/>
      <c r="AG416" s="27"/>
      <c r="AH416" s="14">
        <f>+'Pegar ML'!Y412</f>
        <v>0</v>
      </c>
      <c r="AI416" s="13">
        <f t="shared" si="19"/>
        <v>1</v>
      </c>
      <c r="AJ416" s="7">
        <f>+'Pegar ML'!T412</f>
        <v>0</v>
      </c>
      <c r="AK416" s="27"/>
      <c r="AL416" s="27"/>
      <c r="AM416" s="27"/>
      <c r="AN416" s="27"/>
      <c r="AO416" s="27"/>
      <c r="AP416" s="27"/>
      <c r="AQ416" s="27"/>
      <c r="AR416" s="27"/>
      <c r="AS416" s="27">
        <v>17</v>
      </c>
    </row>
    <row r="417" spans="1:45" ht="15" customHeight="1" x14ac:dyDescent="0.25">
      <c r="A417" s="27">
        <f>IF('Pegar ML'!C412="Paquete de 2 productos",'Pegar ML'!A412,IF('Pegar ML'!C411="Paquete de 2 productos",'Pegar ML'!A411,'Pegar ML'!A413))</f>
        <v>0</v>
      </c>
      <c r="B417" s="27"/>
      <c r="C417" s="30" t="str">
        <f>IF(AjusteFecha!I413=0,"",AjusteFecha!I413)</f>
        <v/>
      </c>
      <c r="D417" s="27"/>
      <c r="E417" s="27"/>
      <c r="F417" s="27" t="str">
        <f>IF('Pegar ML'!C413="","",'Pegar ML'!C413)</f>
        <v/>
      </c>
      <c r="G417" s="27" t="str">
        <f>IF('Pegar ML'!G408="ARS","PS","PS")</f>
        <v>PS</v>
      </c>
      <c r="H417" s="14">
        <f>IF('Pegar ML'!C412="Paquete de 2 productos",IF('Pegar ML'!H412="",0,'Pegar ML'!H412),IF('Pegar ML'!H413="",0,'Pegar ML'!H413))</f>
        <v>0</v>
      </c>
      <c r="I417" s="14">
        <f>IF('Pegar ML'!C412="Paquete de 2 productos",IF('Pegar ML'!O412="",0,'Pegar ML'!O412),IF('Pegar ML'!O413="",0,'Pegar ML'!O413))</f>
        <v>0</v>
      </c>
      <c r="J417" s="14">
        <f>IF('Pegar ML'!C412="Paquete de 2 productos",IF('Pegar ML'!O412="",0,'Pegar ML'!O412),IF('Pegar ML'!O413="",0,'Pegar ML'!O413))</f>
        <v>0</v>
      </c>
      <c r="K417" s="14">
        <f t="shared" si="20"/>
        <v>0</v>
      </c>
      <c r="L417" s="27">
        <f>IF('Pegar ML'!AB413=" ",'Pegar ML'!AB412,'Pegar ML'!AB413)</f>
        <v>0</v>
      </c>
      <c r="M417" s="27" t="str">
        <f>IF('Pegar ML'!AC413=" ",RIGHT('Pegar ML'!AC412,8),RIGHT('Pegar ML'!AC413,8))</f>
        <v/>
      </c>
      <c r="N417" s="27" t="s">
        <v>80</v>
      </c>
      <c r="O417" s="27">
        <f t="shared" si="18"/>
        <v>0</v>
      </c>
      <c r="P417" s="27" t="s">
        <v>80</v>
      </c>
      <c r="Q417" s="55">
        <f>IF('Pegar ML'!AD413=" ",'Pegar ML'!AD412,'Pegar ML'!AD413)</f>
        <v>0</v>
      </c>
      <c r="R417" s="27" t="s">
        <v>80</v>
      </c>
      <c r="S417" s="27" t="s">
        <v>80</v>
      </c>
      <c r="T417" s="27" t="s">
        <v>80</v>
      </c>
      <c r="U417" s="55">
        <f>IF('Pegar ML'!AI413=" ",'Pegar ML'!AI412,'Pegar ML'!AI413)</f>
        <v>0</v>
      </c>
      <c r="V417" s="55">
        <f>IF('Pegar ML'!AK413=" ",'Pegar ML'!AK412,'Pegar ML'!AK413)</f>
        <v>0</v>
      </c>
      <c r="W417" s="55">
        <f>IF('Pegar ML'!AJ413=" ",'Pegar ML'!AJ412,'Pegar ML'!AJ413)</f>
        <v>0</v>
      </c>
      <c r="X417" s="55">
        <f>IF('Pegar ML'!AL413=" ",'Pegar ML'!AL412,'Pegar ML'!AL413)</f>
        <v>0</v>
      </c>
      <c r="Y417" s="27"/>
      <c r="Z417" s="27"/>
      <c r="AA417" s="27"/>
      <c r="AB417" s="27"/>
      <c r="AC417" s="27"/>
      <c r="AD417" s="27"/>
      <c r="AF417" s="8"/>
      <c r="AG417" s="27"/>
      <c r="AH417" s="14">
        <f>+'Pegar ML'!Y413</f>
        <v>0</v>
      </c>
      <c r="AI417" s="13">
        <f t="shared" si="19"/>
        <v>1</v>
      </c>
      <c r="AJ417" s="7">
        <f>+'Pegar ML'!T413</f>
        <v>0</v>
      </c>
      <c r="AK417" s="27"/>
      <c r="AL417" s="27"/>
      <c r="AM417" s="27"/>
      <c r="AN417" s="27"/>
      <c r="AO417" s="27"/>
      <c r="AP417" s="27"/>
      <c r="AQ417" s="27"/>
      <c r="AR417" s="27"/>
      <c r="AS417" s="27">
        <v>17</v>
      </c>
    </row>
    <row r="418" spans="1:45" ht="15" customHeight="1" x14ac:dyDescent="0.25">
      <c r="A418" s="27">
        <f>IF('Pegar ML'!C413="Paquete de 2 productos",'Pegar ML'!A413,IF('Pegar ML'!C412="Paquete de 2 productos",'Pegar ML'!A412,'Pegar ML'!A414))</f>
        <v>0</v>
      </c>
      <c r="B418" s="27"/>
      <c r="C418" s="30" t="str">
        <f>IF(AjusteFecha!I414=0,"",AjusteFecha!I414)</f>
        <v/>
      </c>
      <c r="D418" s="27"/>
      <c r="E418" s="27"/>
      <c r="F418" s="27" t="str">
        <f>IF('Pegar ML'!C414="","",'Pegar ML'!C414)</f>
        <v/>
      </c>
      <c r="G418" s="27" t="str">
        <f>IF('Pegar ML'!G409="ARS","PS","PS")</f>
        <v>PS</v>
      </c>
      <c r="H418" s="14">
        <f>IF('Pegar ML'!C413="Paquete de 2 productos",IF('Pegar ML'!H413="",0,'Pegar ML'!H413),IF('Pegar ML'!H414="",0,'Pegar ML'!H414))</f>
        <v>0</v>
      </c>
      <c r="I418" s="14">
        <f>IF('Pegar ML'!C413="Paquete de 2 productos",IF('Pegar ML'!O413="",0,'Pegar ML'!O413),IF('Pegar ML'!O414="",0,'Pegar ML'!O414))</f>
        <v>0</v>
      </c>
      <c r="J418" s="14">
        <f>IF('Pegar ML'!C413="Paquete de 2 productos",IF('Pegar ML'!O413="",0,'Pegar ML'!O413),IF('Pegar ML'!O414="",0,'Pegar ML'!O414))</f>
        <v>0</v>
      </c>
      <c r="K418" s="14">
        <f t="shared" si="20"/>
        <v>0</v>
      </c>
      <c r="L418" s="27">
        <f>IF('Pegar ML'!AB414=" ",'Pegar ML'!AB413,'Pegar ML'!AB414)</f>
        <v>0</v>
      </c>
      <c r="M418" s="27" t="str">
        <f>IF('Pegar ML'!AC414=" ",RIGHT('Pegar ML'!AC413,8),RIGHT('Pegar ML'!AC414,8))</f>
        <v/>
      </c>
      <c r="N418" s="27" t="s">
        <v>80</v>
      </c>
      <c r="O418" s="27">
        <f t="shared" si="18"/>
        <v>0</v>
      </c>
      <c r="P418" s="27" t="s">
        <v>80</v>
      </c>
      <c r="Q418" s="55">
        <f>IF('Pegar ML'!AD414=" ",'Pegar ML'!AD413,'Pegar ML'!AD414)</f>
        <v>0</v>
      </c>
      <c r="R418" s="27" t="s">
        <v>80</v>
      </c>
      <c r="S418" s="27" t="s">
        <v>80</v>
      </c>
      <c r="T418" s="27" t="s">
        <v>80</v>
      </c>
      <c r="U418" s="55">
        <f>IF('Pegar ML'!AI414=" ",'Pegar ML'!AI413,'Pegar ML'!AI414)</f>
        <v>0</v>
      </c>
      <c r="V418" s="55">
        <f>IF('Pegar ML'!AK414=" ",'Pegar ML'!AK413,'Pegar ML'!AK414)</f>
        <v>0</v>
      </c>
      <c r="W418" s="55">
        <f>IF('Pegar ML'!AJ414=" ",'Pegar ML'!AJ413,'Pegar ML'!AJ414)</f>
        <v>0</v>
      </c>
      <c r="X418" s="55">
        <f>IF('Pegar ML'!AL414=" ",'Pegar ML'!AL413,'Pegar ML'!AL414)</f>
        <v>0</v>
      </c>
      <c r="Y418" s="27"/>
      <c r="Z418" s="27"/>
      <c r="AA418" s="27"/>
      <c r="AB418" s="27"/>
      <c r="AC418" s="27"/>
      <c r="AD418" s="27"/>
      <c r="AF418" s="8"/>
      <c r="AG418" s="27"/>
      <c r="AH418" s="14">
        <f>+'Pegar ML'!Y414</f>
        <v>0</v>
      </c>
      <c r="AI418" s="13">
        <f t="shared" si="19"/>
        <v>1</v>
      </c>
      <c r="AJ418" s="7">
        <f>+'Pegar ML'!T414</f>
        <v>0</v>
      </c>
      <c r="AK418" s="27"/>
      <c r="AL418" s="27"/>
      <c r="AM418" s="27"/>
      <c r="AN418" s="27"/>
      <c r="AO418" s="27"/>
      <c r="AP418" s="27"/>
      <c r="AQ418" s="27"/>
      <c r="AR418" s="27"/>
      <c r="AS418" s="27">
        <v>17</v>
      </c>
    </row>
    <row r="419" spans="1:45" ht="15" customHeight="1" x14ac:dyDescent="0.25">
      <c r="A419" s="27">
        <f>IF('Pegar ML'!C414="Paquete de 2 productos",'Pegar ML'!A414,IF('Pegar ML'!C413="Paquete de 2 productos",'Pegar ML'!A413,'Pegar ML'!A415))</f>
        <v>0</v>
      </c>
      <c r="B419" s="27"/>
      <c r="C419" s="30" t="str">
        <f>IF(AjusteFecha!I415=0,"",AjusteFecha!I415)</f>
        <v/>
      </c>
      <c r="D419" s="27"/>
      <c r="E419" s="27"/>
      <c r="F419" s="27" t="str">
        <f>IF('Pegar ML'!C415="","",'Pegar ML'!C415)</f>
        <v/>
      </c>
      <c r="G419" s="27" t="str">
        <f>IF('Pegar ML'!G410="ARS","PS","PS")</f>
        <v>PS</v>
      </c>
      <c r="H419" s="14">
        <f>IF('Pegar ML'!C414="Paquete de 2 productos",IF('Pegar ML'!H414="",0,'Pegar ML'!H414),IF('Pegar ML'!H415="",0,'Pegar ML'!H415))</f>
        <v>0</v>
      </c>
      <c r="I419" s="14">
        <f>IF('Pegar ML'!C414="Paquete de 2 productos",IF('Pegar ML'!O414="",0,'Pegar ML'!O414),IF('Pegar ML'!O415="",0,'Pegar ML'!O415))</f>
        <v>0</v>
      </c>
      <c r="J419" s="14">
        <f>IF('Pegar ML'!C414="Paquete de 2 productos",IF('Pegar ML'!O414="",0,'Pegar ML'!O414),IF('Pegar ML'!O415="",0,'Pegar ML'!O415))</f>
        <v>0</v>
      </c>
      <c r="K419" s="14">
        <f t="shared" si="20"/>
        <v>0</v>
      </c>
      <c r="L419" s="27">
        <f>IF('Pegar ML'!AB415=" ",'Pegar ML'!AB414,'Pegar ML'!AB415)</f>
        <v>0</v>
      </c>
      <c r="M419" s="27" t="str">
        <f>IF('Pegar ML'!AC415=" ",RIGHT('Pegar ML'!AC414,8),RIGHT('Pegar ML'!AC415,8))</f>
        <v/>
      </c>
      <c r="N419" s="27" t="s">
        <v>80</v>
      </c>
      <c r="O419" s="27">
        <f t="shared" si="18"/>
        <v>0</v>
      </c>
      <c r="P419" s="27" t="s">
        <v>80</v>
      </c>
      <c r="Q419" s="55">
        <f>IF('Pegar ML'!AD415=" ",'Pegar ML'!AD414,'Pegar ML'!AD415)</f>
        <v>0</v>
      </c>
      <c r="R419" s="27" t="s">
        <v>80</v>
      </c>
      <c r="S419" s="27" t="s">
        <v>80</v>
      </c>
      <c r="T419" s="27" t="s">
        <v>80</v>
      </c>
      <c r="U419" s="55">
        <f>IF('Pegar ML'!AI415=" ",'Pegar ML'!AI414,'Pegar ML'!AI415)</f>
        <v>0</v>
      </c>
      <c r="V419" s="55">
        <f>IF('Pegar ML'!AK415=" ",'Pegar ML'!AK414,'Pegar ML'!AK415)</f>
        <v>0</v>
      </c>
      <c r="W419" s="55">
        <f>IF('Pegar ML'!AJ415=" ",'Pegar ML'!AJ414,'Pegar ML'!AJ415)</f>
        <v>0</v>
      </c>
      <c r="X419" s="55">
        <f>IF('Pegar ML'!AL415=" ",'Pegar ML'!AL414,'Pegar ML'!AL415)</f>
        <v>0</v>
      </c>
      <c r="Y419" s="27"/>
      <c r="Z419" s="27"/>
      <c r="AA419" s="27"/>
      <c r="AB419" s="27"/>
      <c r="AC419" s="27"/>
      <c r="AD419" s="27"/>
      <c r="AF419" s="8"/>
      <c r="AG419" s="27"/>
      <c r="AH419" s="14">
        <f>+'Pegar ML'!Y415</f>
        <v>0</v>
      </c>
      <c r="AI419" s="13">
        <f t="shared" si="19"/>
        <v>1</v>
      </c>
      <c r="AJ419" s="7">
        <f>+'Pegar ML'!T415</f>
        <v>0</v>
      </c>
      <c r="AK419" s="27"/>
      <c r="AL419" s="27"/>
      <c r="AM419" s="27"/>
      <c r="AN419" s="27"/>
      <c r="AO419" s="27"/>
      <c r="AP419" s="27"/>
      <c r="AQ419" s="27"/>
      <c r="AR419" s="27"/>
      <c r="AS419" s="27">
        <v>17</v>
      </c>
    </row>
    <row r="420" spans="1:45" ht="15" customHeight="1" x14ac:dyDescent="0.25">
      <c r="A420" s="27">
        <f>IF('Pegar ML'!C415="Paquete de 2 productos",'Pegar ML'!A415,IF('Pegar ML'!C414="Paquete de 2 productos",'Pegar ML'!A414,'Pegar ML'!A416))</f>
        <v>0</v>
      </c>
      <c r="B420" s="27"/>
      <c r="C420" s="30" t="str">
        <f>IF(AjusteFecha!I416=0,"",AjusteFecha!I416)</f>
        <v/>
      </c>
      <c r="D420" s="27"/>
      <c r="E420" s="27"/>
      <c r="F420" s="27" t="str">
        <f>IF('Pegar ML'!C416="","",'Pegar ML'!C416)</f>
        <v/>
      </c>
      <c r="G420" s="27" t="str">
        <f>IF('Pegar ML'!G411="ARS","PS","PS")</f>
        <v>PS</v>
      </c>
      <c r="H420" s="14">
        <f>IF('Pegar ML'!C415="Paquete de 2 productos",IF('Pegar ML'!H415="",0,'Pegar ML'!H415),IF('Pegar ML'!H416="",0,'Pegar ML'!H416))</f>
        <v>0</v>
      </c>
      <c r="I420" s="14">
        <f>IF('Pegar ML'!C415="Paquete de 2 productos",IF('Pegar ML'!O415="",0,'Pegar ML'!O415),IF('Pegar ML'!O416="",0,'Pegar ML'!O416))</f>
        <v>0</v>
      </c>
      <c r="J420" s="14">
        <f>IF('Pegar ML'!C415="Paquete de 2 productos",IF('Pegar ML'!O415="",0,'Pegar ML'!O415),IF('Pegar ML'!O416="",0,'Pegar ML'!O416))</f>
        <v>0</v>
      </c>
      <c r="K420" s="14">
        <f t="shared" si="20"/>
        <v>0</v>
      </c>
      <c r="L420" s="27">
        <f>IF('Pegar ML'!AB416=" ",'Pegar ML'!AB415,'Pegar ML'!AB416)</f>
        <v>0</v>
      </c>
      <c r="M420" s="27" t="str">
        <f>IF('Pegar ML'!AC416=" ",RIGHT('Pegar ML'!AC415,8),RIGHT('Pegar ML'!AC416,8))</f>
        <v/>
      </c>
      <c r="N420" s="27" t="s">
        <v>80</v>
      </c>
      <c r="O420" s="27">
        <f t="shared" si="18"/>
        <v>0</v>
      </c>
      <c r="P420" s="27" t="s">
        <v>80</v>
      </c>
      <c r="Q420" s="55">
        <f>IF('Pegar ML'!AD416=" ",'Pegar ML'!AD415,'Pegar ML'!AD416)</f>
        <v>0</v>
      </c>
      <c r="R420" s="27" t="s">
        <v>80</v>
      </c>
      <c r="S420" s="27" t="s">
        <v>80</v>
      </c>
      <c r="T420" s="27" t="s">
        <v>80</v>
      </c>
      <c r="U420" s="55">
        <f>IF('Pegar ML'!AI416=" ",'Pegar ML'!AI415,'Pegar ML'!AI416)</f>
        <v>0</v>
      </c>
      <c r="V420" s="55">
        <f>IF('Pegar ML'!AK416=" ",'Pegar ML'!AK415,'Pegar ML'!AK416)</f>
        <v>0</v>
      </c>
      <c r="W420" s="55">
        <f>IF('Pegar ML'!AJ416=" ",'Pegar ML'!AJ415,'Pegar ML'!AJ416)</f>
        <v>0</v>
      </c>
      <c r="X420" s="55">
        <f>IF('Pegar ML'!AL416=" ",'Pegar ML'!AL415,'Pegar ML'!AL416)</f>
        <v>0</v>
      </c>
      <c r="Y420" s="27"/>
      <c r="Z420" s="27"/>
      <c r="AA420" s="27"/>
      <c r="AB420" s="27"/>
      <c r="AC420" s="27"/>
      <c r="AD420" s="27"/>
      <c r="AF420" s="8"/>
      <c r="AG420" s="27"/>
      <c r="AH420" s="14">
        <f>+'Pegar ML'!Y416</f>
        <v>0</v>
      </c>
      <c r="AI420" s="13">
        <f t="shared" si="19"/>
        <v>1</v>
      </c>
      <c r="AJ420" s="7">
        <f>+'Pegar ML'!T416</f>
        <v>0</v>
      </c>
      <c r="AK420" s="27"/>
      <c r="AL420" s="27"/>
      <c r="AM420" s="27"/>
      <c r="AN420" s="27"/>
      <c r="AO420" s="27"/>
      <c r="AP420" s="27"/>
      <c r="AQ420" s="27"/>
      <c r="AR420" s="27"/>
      <c r="AS420" s="27">
        <v>17</v>
      </c>
    </row>
    <row r="421" spans="1:45" ht="15" customHeight="1" x14ac:dyDescent="0.25">
      <c r="A421" s="27">
        <f>IF('Pegar ML'!C416="Paquete de 2 productos",'Pegar ML'!A416,IF('Pegar ML'!C415="Paquete de 2 productos",'Pegar ML'!A415,'Pegar ML'!A417))</f>
        <v>0</v>
      </c>
      <c r="B421" s="27"/>
      <c r="C421" s="30" t="str">
        <f>IF(AjusteFecha!I417=0,"",AjusteFecha!I417)</f>
        <v/>
      </c>
      <c r="D421" s="27"/>
      <c r="E421" s="27"/>
      <c r="F421" s="27" t="str">
        <f>IF('Pegar ML'!C417="","",'Pegar ML'!C417)</f>
        <v/>
      </c>
      <c r="G421" s="27" t="str">
        <f>IF('Pegar ML'!G412="ARS","PS","PS")</f>
        <v>PS</v>
      </c>
      <c r="H421" s="14">
        <f>IF('Pegar ML'!C416="Paquete de 2 productos",IF('Pegar ML'!H416="",0,'Pegar ML'!H416),IF('Pegar ML'!H417="",0,'Pegar ML'!H417))</f>
        <v>0</v>
      </c>
      <c r="I421" s="14">
        <f>IF('Pegar ML'!C416="Paquete de 2 productos",IF('Pegar ML'!O416="",0,'Pegar ML'!O416),IF('Pegar ML'!O417="",0,'Pegar ML'!O417))</f>
        <v>0</v>
      </c>
      <c r="J421" s="14">
        <f>IF('Pegar ML'!C416="Paquete de 2 productos",IF('Pegar ML'!O416="",0,'Pegar ML'!O416),IF('Pegar ML'!O417="",0,'Pegar ML'!O417))</f>
        <v>0</v>
      </c>
      <c r="K421" s="14">
        <f t="shared" si="20"/>
        <v>0</v>
      </c>
      <c r="L421" s="27">
        <f>IF('Pegar ML'!AB417=" ",'Pegar ML'!AB416,'Pegar ML'!AB417)</f>
        <v>0</v>
      </c>
      <c r="M421" s="27" t="str">
        <f>IF('Pegar ML'!AC417=" ",RIGHT('Pegar ML'!AC416,8),RIGHT('Pegar ML'!AC417,8))</f>
        <v/>
      </c>
      <c r="N421" s="27" t="s">
        <v>80</v>
      </c>
      <c r="O421" s="27">
        <f t="shared" si="18"/>
        <v>0</v>
      </c>
      <c r="P421" s="27" t="s">
        <v>80</v>
      </c>
      <c r="Q421" s="55">
        <f>IF('Pegar ML'!AD417=" ",'Pegar ML'!AD416,'Pegar ML'!AD417)</f>
        <v>0</v>
      </c>
      <c r="R421" s="27" t="s">
        <v>80</v>
      </c>
      <c r="S421" s="27" t="s">
        <v>80</v>
      </c>
      <c r="T421" s="27" t="s">
        <v>80</v>
      </c>
      <c r="U421" s="55">
        <f>IF('Pegar ML'!AI417=" ",'Pegar ML'!AI416,'Pegar ML'!AI417)</f>
        <v>0</v>
      </c>
      <c r="V421" s="55">
        <f>IF('Pegar ML'!AK417=" ",'Pegar ML'!AK416,'Pegar ML'!AK417)</f>
        <v>0</v>
      </c>
      <c r="W421" s="55">
        <f>IF('Pegar ML'!AJ417=" ",'Pegar ML'!AJ416,'Pegar ML'!AJ417)</f>
        <v>0</v>
      </c>
      <c r="X421" s="55">
        <f>IF('Pegar ML'!AL417=" ",'Pegar ML'!AL416,'Pegar ML'!AL417)</f>
        <v>0</v>
      </c>
      <c r="Y421" s="27"/>
      <c r="Z421" s="27"/>
      <c r="AA421" s="27"/>
      <c r="AB421" s="27"/>
      <c r="AC421" s="27"/>
      <c r="AD421" s="27"/>
      <c r="AF421" s="8"/>
      <c r="AG421" s="27"/>
      <c r="AH421" s="14">
        <f>+'Pegar ML'!Y417</f>
        <v>0</v>
      </c>
      <c r="AI421" s="13">
        <f t="shared" si="19"/>
        <v>1</v>
      </c>
      <c r="AJ421" s="7">
        <f>+'Pegar ML'!T417</f>
        <v>0</v>
      </c>
      <c r="AK421" s="27"/>
      <c r="AL421" s="27"/>
      <c r="AM421" s="27"/>
      <c r="AN421" s="27"/>
      <c r="AO421" s="27"/>
      <c r="AP421" s="27"/>
      <c r="AQ421" s="27"/>
      <c r="AR421" s="27"/>
      <c r="AS421" s="27">
        <v>17</v>
      </c>
    </row>
    <row r="422" spans="1:45" ht="15" customHeight="1" x14ac:dyDescent="0.25">
      <c r="A422" s="27">
        <f>IF('Pegar ML'!C417="Paquete de 2 productos",'Pegar ML'!A417,IF('Pegar ML'!C416="Paquete de 2 productos",'Pegar ML'!A416,'Pegar ML'!A418))</f>
        <v>0</v>
      </c>
      <c r="B422" s="27"/>
      <c r="C422" s="30" t="str">
        <f>IF(AjusteFecha!I418=0,"",AjusteFecha!I418)</f>
        <v/>
      </c>
      <c r="D422" s="27"/>
      <c r="E422" s="27"/>
      <c r="F422" s="27" t="str">
        <f>IF('Pegar ML'!C418="","",'Pegar ML'!C418)</f>
        <v/>
      </c>
      <c r="G422" s="27" t="str">
        <f>IF('Pegar ML'!G413="ARS","PS","PS")</f>
        <v>PS</v>
      </c>
      <c r="H422" s="14">
        <f>IF('Pegar ML'!C417="Paquete de 2 productos",IF('Pegar ML'!H417="",0,'Pegar ML'!H417),IF('Pegar ML'!H418="",0,'Pegar ML'!H418))</f>
        <v>0</v>
      </c>
      <c r="I422" s="14">
        <f>IF('Pegar ML'!C417="Paquete de 2 productos",IF('Pegar ML'!O417="",0,'Pegar ML'!O417),IF('Pegar ML'!O418="",0,'Pegar ML'!O418))</f>
        <v>0</v>
      </c>
      <c r="J422" s="14">
        <f>IF('Pegar ML'!C417="Paquete de 2 productos",IF('Pegar ML'!O417="",0,'Pegar ML'!O417),IF('Pegar ML'!O418="",0,'Pegar ML'!O418))</f>
        <v>0</v>
      </c>
      <c r="K422" s="14">
        <f t="shared" si="20"/>
        <v>0</v>
      </c>
      <c r="L422" s="27">
        <f>IF('Pegar ML'!AB418=" ",'Pegar ML'!AB417,'Pegar ML'!AB418)</f>
        <v>0</v>
      </c>
      <c r="M422" s="27" t="str">
        <f>IF('Pegar ML'!AC418=" ",RIGHT('Pegar ML'!AC417,8),RIGHT('Pegar ML'!AC418,8))</f>
        <v/>
      </c>
      <c r="N422" s="27" t="s">
        <v>80</v>
      </c>
      <c r="O422" s="27">
        <f t="shared" si="18"/>
        <v>0</v>
      </c>
      <c r="P422" s="27" t="s">
        <v>80</v>
      </c>
      <c r="Q422" s="55">
        <f>IF('Pegar ML'!AD418=" ",'Pegar ML'!AD417,'Pegar ML'!AD418)</f>
        <v>0</v>
      </c>
      <c r="R422" s="27" t="s">
        <v>80</v>
      </c>
      <c r="S422" s="27" t="s">
        <v>80</v>
      </c>
      <c r="T422" s="27" t="s">
        <v>80</v>
      </c>
      <c r="U422" s="55">
        <f>IF('Pegar ML'!AI418=" ",'Pegar ML'!AI417,'Pegar ML'!AI418)</f>
        <v>0</v>
      </c>
      <c r="V422" s="55">
        <f>IF('Pegar ML'!AK418=" ",'Pegar ML'!AK417,'Pegar ML'!AK418)</f>
        <v>0</v>
      </c>
      <c r="W422" s="55">
        <f>IF('Pegar ML'!AJ418=" ",'Pegar ML'!AJ417,'Pegar ML'!AJ418)</f>
        <v>0</v>
      </c>
      <c r="X422" s="55">
        <f>IF('Pegar ML'!AL418=" ",'Pegar ML'!AL417,'Pegar ML'!AL418)</f>
        <v>0</v>
      </c>
      <c r="Y422" s="27"/>
      <c r="Z422" s="27"/>
      <c r="AA422" s="27"/>
      <c r="AB422" s="27"/>
      <c r="AC422" s="27"/>
      <c r="AD422" s="27"/>
      <c r="AF422" s="8"/>
      <c r="AG422" s="27"/>
      <c r="AH422" s="14">
        <f>+'Pegar ML'!Y418</f>
        <v>0</v>
      </c>
      <c r="AI422" s="13">
        <f t="shared" si="19"/>
        <v>1</v>
      </c>
      <c r="AJ422" s="7">
        <f>+'Pegar ML'!T418</f>
        <v>0</v>
      </c>
      <c r="AK422" s="27"/>
      <c r="AL422" s="27"/>
      <c r="AM422" s="27"/>
      <c r="AN422" s="27"/>
      <c r="AO422" s="27"/>
      <c r="AP422" s="27"/>
      <c r="AQ422" s="27"/>
      <c r="AR422" s="27"/>
      <c r="AS422" s="27">
        <v>17</v>
      </c>
    </row>
    <row r="423" spans="1:45" ht="15" customHeight="1" x14ac:dyDescent="0.25">
      <c r="A423" s="27">
        <f>IF('Pegar ML'!C418="Paquete de 2 productos",'Pegar ML'!A418,IF('Pegar ML'!C417="Paquete de 2 productos",'Pegar ML'!A417,'Pegar ML'!A419))</f>
        <v>0</v>
      </c>
      <c r="B423" s="27"/>
      <c r="C423" s="30" t="str">
        <f>IF(AjusteFecha!I419=0,"",AjusteFecha!I419)</f>
        <v/>
      </c>
      <c r="D423" s="27"/>
      <c r="E423" s="27"/>
      <c r="F423" s="27" t="str">
        <f>IF('Pegar ML'!C419="","",'Pegar ML'!C419)</f>
        <v/>
      </c>
      <c r="G423" s="27" t="str">
        <f>IF('Pegar ML'!G414="ARS","PS","PS")</f>
        <v>PS</v>
      </c>
      <c r="H423" s="14">
        <f>IF('Pegar ML'!C418="Paquete de 2 productos",IF('Pegar ML'!H418="",0,'Pegar ML'!H418),IF('Pegar ML'!H419="",0,'Pegar ML'!H419))</f>
        <v>0</v>
      </c>
      <c r="I423" s="14">
        <f>IF('Pegar ML'!C418="Paquete de 2 productos",IF('Pegar ML'!O418="",0,'Pegar ML'!O418),IF('Pegar ML'!O419="",0,'Pegar ML'!O419))</f>
        <v>0</v>
      </c>
      <c r="J423" s="14">
        <f>IF('Pegar ML'!C418="Paquete de 2 productos",IF('Pegar ML'!O418="",0,'Pegar ML'!O418),IF('Pegar ML'!O419="",0,'Pegar ML'!O419))</f>
        <v>0</v>
      </c>
      <c r="K423" s="14">
        <f t="shared" si="20"/>
        <v>0</v>
      </c>
      <c r="L423" s="27">
        <f>IF('Pegar ML'!AB419=" ",'Pegar ML'!AB418,'Pegar ML'!AB419)</f>
        <v>0</v>
      </c>
      <c r="M423" s="27" t="str">
        <f>IF('Pegar ML'!AC419=" ",RIGHT('Pegar ML'!AC418,8),RIGHT('Pegar ML'!AC419,8))</f>
        <v/>
      </c>
      <c r="N423" s="27" t="s">
        <v>80</v>
      </c>
      <c r="O423" s="27">
        <f t="shared" si="18"/>
        <v>0</v>
      </c>
      <c r="P423" s="27" t="s">
        <v>80</v>
      </c>
      <c r="Q423" s="55">
        <f>IF('Pegar ML'!AD419=" ",'Pegar ML'!AD418,'Pegar ML'!AD419)</f>
        <v>0</v>
      </c>
      <c r="R423" s="27" t="s">
        <v>80</v>
      </c>
      <c r="S423" s="27" t="s">
        <v>80</v>
      </c>
      <c r="T423" s="27" t="s">
        <v>80</v>
      </c>
      <c r="U423" s="55">
        <f>IF('Pegar ML'!AI419=" ",'Pegar ML'!AI418,'Pegar ML'!AI419)</f>
        <v>0</v>
      </c>
      <c r="V423" s="55">
        <f>IF('Pegar ML'!AK419=" ",'Pegar ML'!AK418,'Pegar ML'!AK419)</f>
        <v>0</v>
      </c>
      <c r="W423" s="55">
        <f>IF('Pegar ML'!AJ419=" ",'Pegar ML'!AJ418,'Pegar ML'!AJ419)</f>
        <v>0</v>
      </c>
      <c r="X423" s="55">
        <f>IF('Pegar ML'!AL419=" ",'Pegar ML'!AL418,'Pegar ML'!AL419)</f>
        <v>0</v>
      </c>
      <c r="Y423" s="27"/>
      <c r="Z423" s="27"/>
      <c r="AA423" s="27"/>
      <c r="AB423" s="27"/>
      <c r="AC423" s="27"/>
      <c r="AD423" s="27"/>
      <c r="AF423" s="8"/>
      <c r="AG423" s="27"/>
      <c r="AH423" s="14">
        <f>+'Pegar ML'!Y419</f>
        <v>0</v>
      </c>
      <c r="AI423" s="13">
        <f t="shared" si="19"/>
        <v>1</v>
      </c>
      <c r="AJ423" s="7">
        <f>+'Pegar ML'!T419</f>
        <v>0</v>
      </c>
      <c r="AK423" s="27"/>
      <c r="AL423" s="27"/>
      <c r="AM423" s="27"/>
      <c r="AN423" s="27"/>
      <c r="AO423" s="27"/>
      <c r="AP423" s="27"/>
      <c r="AQ423" s="27"/>
      <c r="AR423" s="27"/>
      <c r="AS423" s="27">
        <v>17</v>
      </c>
    </row>
    <row r="424" spans="1:45" ht="15" customHeight="1" x14ac:dyDescent="0.25">
      <c r="A424" s="27">
        <f>IF('Pegar ML'!C419="Paquete de 2 productos",'Pegar ML'!A419,IF('Pegar ML'!C418="Paquete de 2 productos",'Pegar ML'!A418,'Pegar ML'!A420))</f>
        <v>0</v>
      </c>
      <c r="B424" s="27"/>
      <c r="C424" s="30" t="str">
        <f>IF(AjusteFecha!I420=0,"",AjusteFecha!I420)</f>
        <v/>
      </c>
      <c r="D424" s="27"/>
      <c r="E424" s="27"/>
      <c r="F424" s="27" t="str">
        <f>IF('Pegar ML'!C420="","",'Pegar ML'!C420)</f>
        <v/>
      </c>
      <c r="G424" s="27" t="str">
        <f>IF('Pegar ML'!G415="ARS","PS","PS")</f>
        <v>PS</v>
      </c>
      <c r="H424" s="14">
        <f>IF('Pegar ML'!C419="Paquete de 2 productos",IF('Pegar ML'!H419="",0,'Pegar ML'!H419),IF('Pegar ML'!H420="",0,'Pegar ML'!H420))</f>
        <v>0</v>
      </c>
      <c r="I424" s="14">
        <f>IF('Pegar ML'!C419="Paquete de 2 productos",IF('Pegar ML'!O419="",0,'Pegar ML'!O419),IF('Pegar ML'!O420="",0,'Pegar ML'!O420))</f>
        <v>0</v>
      </c>
      <c r="J424" s="14">
        <f>IF('Pegar ML'!C419="Paquete de 2 productos",IF('Pegar ML'!O419="",0,'Pegar ML'!O419),IF('Pegar ML'!O420="",0,'Pegar ML'!O420))</f>
        <v>0</v>
      </c>
      <c r="K424" s="14">
        <f t="shared" si="20"/>
        <v>0</v>
      </c>
      <c r="L424" s="27">
        <f>IF('Pegar ML'!AB420=" ",'Pegar ML'!AB419,'Pegar ML'!AB420)</f>
        <v>0</v>
      </c>
      <c r="M424" s="27" t="str">
        <f>IF('Pegar ML'!AC420=" ",RIGHT('Pegar ML'!AC419,8),RIGHT('Pegar ML'!AC420,8))</f>
        <v/>
      </c>
      <c r="N424" s="27" t="s">
        <v>80</v>
      </c>
      <c r="O424" s="27">
        <f t="shared" si="18"/>
        <v>0</v>
      </c>
      <c r="P424" s="27" t="s">
        <v>80</v>
      </c>
      <c r="Q424" s="55">
        <f>IF('Pegar ML'!AD420=" ",'Pegar ML'!AD419,'Pegar ML'!AD420)</f>
        <v>0</v>
      </c>
      <c r="R424" s="27" t="s">
        <v>80</v>
      </c>
      <c r="S424" s="27" t="s">
        <v>80</v>
      </c>
      <c r="T424" s="27" t="s">
        <v>80</v>
      </c>
      <c r="U424" s="55">
        <f>IF('Pegar ML'!AI420=" ",'Pegar ML'!AI419,'Pegar ML'!AI420)</f>
        <v>0</v>
      </c>
      <c r="V424" s="55">
        <f>IF('Pegar ML'!AK420=" ",'Pegar ML'!AK419,'Pegar ML'!AK420)</f>
        <v>0</v>
      </c>
      <c r="W424" s="55">
        <f>IF('Pegar ML'!AJ420=" ",'Pegar ML'!AJ419,'Pegar ML'!AJ420)</f>
        <v>0</v>
      </c>
      <c r="X424" s="55">
        <f>IF('Pegar ML'!AL420=" ",'Pegar ML'!AL419,'Pegar ML'!AL420)</f>
        <v>0</v>
      </c>
      <c r="Y424" s="27"/>
      <c r="Z424" s="27"/>
      <c r="AA424" s="27"/>
      <c r="AB424" s="27"/>
      <c r="AC424" s="27"/>
      <c r="AD424" s="27"/>
      <c r="AF424" s="8"/>
      <c r="AG424" s="27"/>
      <c r="AH424" s="14">
        <f>+'Pegar ML'!Y420</f>
        <v>0</v>
      </c>
      <c r="AI424" s="13">
        <f t="shared" si="19"/>
        <v>1</v>
      </c>
      <c r="AJ424" s="7">
        <f>+'Pegar ML'!T420</f>
        <v>0</v>
      </c>
      <c r="AK424" s="27"/>
      <c r="AL424" s="27"/>
      <c r="AM424" s="27"/>
      <c r="AN424" s="27"/>
      <c r="AO424" s="27"/>
      <c r="AP424" s="27"/>
      <c r="AQ424" s="27"/>
      <c r="AR424" s="27"/>
      <c r="AS424" s="27">
        <v>17</v>
      </c>
    </row>
    <row r="425" spans="1:45" ht="15" customHeight="1" x14ac:dyDescent="0.25">
      <c r="A425" s="27">
        <f>IF('Pegar ML'!C420="Paquete de 2 productos",'Pegar ML'!A420,IF('Pegar ML'!C419="Paquete de 2 productos",'Pegar ML'!A419,'Pegar ML'!A421))</f>
        <v>0</v>
      </c>
      <c r="B425" s="27"/>
      <c r="C425" s="30" t="str">
        <f>IF(AjusteFecha!I421=0,"",AjusteFecha!I421)</f>
        <v/>
      </c>
      <c r="D425" s="27"/>
      <c r="E425" s="27"/>
      <c r="F425" s="27" t="str">
        <f>IF('Pegar ML'!C421="","",'Pegar ML'!C421)</f>
        <v/>
      </c>
      <c r="G425" s="27" t="str">
        <f>IF('Pegar ML'!G416="ARS","PS","PS")</f>
        <v>PS</v>
      </c>
      <c r="H425" s="14">
        <f>IF('Pegar ML'!C420="Paquete de 2 productos",IF('Pegar ML'!H420="",0,'Pegar ML'!H420),IF('Pegar ML'!H421="",0,'Pegar ML'!H421))</f>
        <v>0</v>
      </c>
      <c r="I425" s="14">
        <f>IF('Pegar ML'!C420="Paquete de 2 productos",IF('Pegar ML'!O420="",0,'Pegar ML'!O420),IF('Pegar ML'!O421="",0,'Pegar ML'!O421))</f>
        <v>0</v>
      </c>
      <c r="J425" s="14">
        <f>IF('Pegar ML'!C420="Paquete de 2 productos",IF('Pegar ML'!O420="",0,'Pegar ML'!O420),IF('Pegar ML'!O421="",0,'Pegar ML'!O421))</f>
        <v>0</v>
      </c>
      <c r="K425" s="14">
        <f t="shared" si="20"/>
        <v>0</v>
      </c>
      <c r="L425" s="27">
        <f>IF('Pegar ML'!AB421=" ",'Pegar ML'!AB420,'Pegar ML'!AB421)</f>
        <v>0</v>
      </c>
      <c r="M425" s="27" t="str">
        <f>IF('Pegar ML'!AC421=" ",RIGHT('Pegar ML'!AC420,8),RIGHT('Pegar ML'!AC421,8))</f>
        <v/>
      </c>
      <c r="N425" s="27" t="s">
        <v>80</v>
      </c>
      <c r="O425" s="27">
        <f t="shared" si="18"/>
        <v>0</v>
      </c>
      <c r="P425" s="27" t="s">
        <v>80</v>
      </c>
      <c r="Q425" s="55">
        <f>IF('Pegar ML'!AD421=" ",'Pegar ML'!AD420,'Pegar ML'!AD421)</f>
        <v>0</v>
      </c>
      <c r="R425" s="27" t="s">
        <v>80</v>
      </c>
      <c r="S425" s="27" t="s">
        <v>80</v>
      </c>
      <c r="T425" s="27" t="s">
        <v>80</v>
      </c>
      <c r="U425" s="55">
        <f>IF('Pegar ML'!AI421=" ",'Pegar ML'!AI420,'Pegar ML'!AI421)</f>
        <v>0</v>
      </c>
      <c r="V425" s="55">
        <f>IF('Pegar ML'!AK421=" ",'Pegar ML'!AK420,'Pegar ML'!AK421)</f>
        <v>0</v>
      </c>
      <c r="W425" s="55">
        <f>IF('Pegar ML'!AJ421=" ",'Pegar ML'!AJ420,'Pegar ML'!AJ421)</f>
        <v>0</v>
      </c>
      <c r="X425" s="55">
        <f>IF('Pegar ML'!AL421=" ",'Pegar ML'!AL420,'Pegar ML'!AL421)</f>
        <v>0</v>
      </c>
      <c r="Y425" s="27"/>
      <c r="Z425" s="27"/>
      <c r="AA425" s="27"/>
      <c r="AB425" s="27"/>
      <c r="AC425" s="27"/>
      <c r="AD425" s="27"/>
      <c r="AF425" s="8"/>
      <c r="AG425" s="27"/>
      <c r="AH425" s="14">
        <f>+'Pegar ML'!Y421</f>
        <v>0</v>
      </c>
      <c r="AI425" s="13">
        <f t="shared" si="19"/>
        <v>1</v>
      </c>
      <c r="AJ425" s="7">
        <f>+'Pegar ML'!T421</f>
        <v>0</v>
      </c>
      <c r="AK425" s="27"/>
      <c r="AL425" s="27"/>
      <c r="AM425" s="27"/>
      <c r="AN425" s="27"/>
      <c r="AO425" s="27"/>
      <c r="AP425" s="27"/>
      <c r="AQ425" s="27"/>
      <c r="AR425" s="27"/>
      <c r="AS425" s="27">
        <v>17</v>
      </c>
    </row>
    <row r="426" spans="1:45" ht="15" customHeight="1" x14ac:dyDescent="0.25">
      <c r="A426" s="27">
        <f>IF('Pegar ML'!C421="Paquete de 2 productos",'Pegar ML'!A421,IF('Pegar ML'!C420="Paquete de 2 productos",'Pegar ML'!A420,'Pegar ML'!A422))</f>
        <v>0</v>
      </c>
      <c r="B426" s="27"/>
      <c r="C426" s="30" t="str">
        <f>IF(AjusteFecha!I422=0,"",AjusteFecha!I422)</f>
        <v/>
      </c>
      <c r="D426" s="27"/>
      <c r="E426" s="27"/>
      <c r="F426" s="27" t="str">
        <f>IF('Pegar ML'!C422="","",'Pegar ML'!C422)</f>
        <v/>
      </c>
      <c r="G426" s="27" t="str">
        <f>IF('Pegar ML'!G417="ARS","PS","PS")</f>
        <v>PS</v>
      </c>
      <c r="H426" s="14">
        <f>IF('Pegar ML'!C421="Paquete de 2 productos",IF('Pegar ML'!H421="",0,'Pegar ML'!H421),IF('Pegar ML'!H422="",0,'Pegar ML'!H422))</f>
        <v>0</v>
      </c>
      <c r="I426" s="14">
        <f>IF('Pegar ML'!C421="Paquete de 2 productos",IF('Pegar ML'!O421="",0,'Pegar ML'!O421),IF('Pegar ML'!O422="",0,'Pegar ML'!O422))</f>
        <v>0</v>
      </c>
      <c r="J426" s="14">
        <f>IF('Pegar ML'!C421="Paquete de 2 productos",IF('Pegar ML'!O421="",0,'Pegar ML'!O421),IF('Pegar ML'!O422="",0,'Pegar ML'!O422))</f>
        <v>0</v>
      </c>
      <c r="K426" s="14">
        <f t="shared" si="20"/>
        <v>0</v>
      </c>
      <c r="L426" s="27">
        <f>IF('Pegar ML'!AB422=" ",'Pegar ML'!AB421,'Pegar ML'!AB422)</f>
        <v>0</v>
      </c>
      <c r="M426" s="27" t="str">
        <f>IF('Pegar ML'!AC422=" ",RIGHT('Pegar ML'!AC421,8),RIGHT('Pegar ML'!AC422,8))</f>
        <v/>
      </c>
      <c r="N426" s="27" t="s">
        <v>80</v>
      </c>
      <c r="O426" s="27">
        <f t="shared" si="18"/>
        <v>0</v>
      </c>
      <c r="P426" s="27" t="s">
        <v>80</v>
      </c>
      <c r="Q426" s="55">
        <f>IF('Pegar ML'!AD422=" ",'Pegar ML'!AD421,'Pegar ML'!AD422)</f>
        <v>0</v>
      </c>
      <c r="R426" s="27" t="s">
        <v>80</v>
      </c>
      <c r="S426" s="27" t="s">
        <v>80</v>
      </c>
      <c r="T426" s="27" t="s">
        <v>80</v>
      </c>
      <c r="U426" s="55">
        <f>IF('Pegar ML'!AI422=" ",'Pegar ML'!AI421,'Pegar ML'!AI422)</f>
        <v>0</v>
      </c>
      <c r="V426" s="55">
        <f>IF('Pegar ML'!AK422=" ",'Pegar ML'!AK421,'Pegar ML'!AK422)</f>
        <v>0</v>
      </c>
      <c r="W426" s="55">
        <f>IF('Pegar ML'!AJ422=" ",'Pegar ML'!AJ421,'Pegar ML'!AJ422)</f>
        <v>0</v>
      </c>
      <c r="X426" s="55">
        <f>IF('Pegar ML'!AL422=" ",'Pegar ML'!AL421,'Pegar ML'!AL422)</f>
        <v>0</v>
      </c>
      <c r="Y426" s="27"/>
      <c r="Z426" s="27"/>
      <c r="AA426" s="27"/>
      <c r="AB426" s="27"/>
      <c r="AC426" s="27"/>
      <c r="AD426" s="27"/>
      <c r="AF426" s="8"/>
      <c r="AG426" s="27"/>
      <c r="AH426" s="14">
        <f>+'Pegar ML'!Y422</f>
        <v>0</v>
      </c>
      <c r="AI426" s="13">
        <f t="shared" si="19"/>
        <v>1</v>
      </c>
      <c r="AJ426" s="7">
        <f>+'Pegar ML'!T422</f>
        <v>0</v>
      </c>
      <c r="AK426" s="27"/>
      <c r="AL426" s="27"/>
      <c r="AM426" s="27"/>
      <c r="AN426" s="27"/>
      <c r="AO426" s="27"/>
      <c r="AP426" s="27"/>
      <c r="AQ426" s="27"/>
      <c r="AR426" s="27"/>
      <c r="AS426" s="27">
        <v>17</v>
      </c>
    </row>
    <row r="427" spans="1:45" ht="15" customHeight="1" x14ac:dyDescent="0.25">
      <c r="A427" s="27">
        <f>IF('Pegar ML'!C422="Paquete de 2 productos",'Pegar ML'!A422,IF('Pegar ML'!C421="Paquete de 2 productos",'Pegar ML'!A421,'Pegar ML'!A423))</f>
        <v>0</v>
      </c>
      <c r="B427" s="27"/>
      <c r="C427" s="30" t="str">
        <f>IF(AjusteFecha!I423=0,"",AjusteFecha!I423)</f>
        <v/>
      </c>
      <c r="D427" s="27"/>
      <c r="E427" s="27"/>
      <c r="F427" s="27" t="str">
        <f>IF('Pegar ML'!C423="","",'Pegar ML'!C423)</f>
        <v/>
      </c>
      <c r="G427" s="27" t="str">
        <f>IF('Pegar ML'!G418="ARS","PS","PS")</f>
        <v>PS</v>
      </c>
      <c r="H427" s="14">
        <f>IF('Pegar ML'!C422="Paquete de 2 productos",IF('Pegar ML'!H422="",0,'Pegar ML'!H422),IF('Pegar ML'!H423="",0,'Pegar ML'!H423))</f>
        <v>0</v>
      </c>
      <c r="I427" s="14">
        <f>IF('Pegar ML'!C422="Paquete de 2 productos",IF('Pegar ML'!O422="",0,'Pegar ML'!O422),IF('Pegar ML'!O423="",0,'Pegar ML'!O423))</f>
        <v>0</v>
      </c>
      <c r="J427" s="14">
        <f>IF('Pegar ML'!C422="Paquete de 2 productos",IF('Pegar ML'!O422="",0,'Pegar ML'!O422),IF('Pegar ML'!O423="",0,'Pegar ML'!O423))</f>
        <v>0</v>
      </c>
      <c r="K427" s="14">
        <f t="shared" si="20"/>
        <v>0</v>
      </c>
      <c r="L427" s="27">
        <f>IF('Pegar ML'!AB423=" ",'Pegar ML'!AB422,'Pegar ML'!AB423)</f>
        <v>0</v>
      </c>
      <c r="M427" s="27" t="str">
        <f>IF('Pegar ML'!AC423=" ",RIGHT('Pegar ML'!AC422,8),RIGHT('Pegar ML'!AC423,8))</f>
        <v/>
      </c>
      <c r="N427" s="27" t="s">
        <v>80</v>
      </c>
      <c r="O427" s="27">
        <f t="shared" si="18"/>
        <v>0</v>
      </c>
      <c r="P427" s="27" t="s">
        <v>80</v>
      </c>
      <c r="Q427" s="55">
        <f>IF('Pegar ML'!AD423=" ",'Pegar ML'!AD422,'Pegar ML'!AD423)</f>
        <v>0</v>
      </c>
      <c r="R427" s="27" t="s">
        <v>80</v>
      </c>
      <c r="S427" s="27" t="s">
        <v>80</v>
      </c>
      <c r="T427" s="27" t="s">
        <v>80</v>
      </c>
      <c r="U427" s="55">
        <f>IF('Pegar ML'!AI423=" ",'Pegar ML'!AI422,'Pegar ML'!AI423)</f>
        <v>0</v>
      </c>
      <c r="V427" s="55">
        <f>IF('Pegar ML'!AK423=" ",'Pegar ML'!AK422,'Pegar ML'!AK423)</f>
        <v>0</v>
      </c>
      <c r="W427" s="55">
        <f>IF('Pegar ML'!AJ423=" ",'Pegar ML'!AJ422,'Pegar ML'!AJ423)</f>
        <v>0</v>
      </c>
      <c r="X427" s="55">
        <f>IF('Pegar ML'!AL423=" ",'Pegar ML'!AL422,'Pegar ML'!AL423)</f>
        <v>0</v>
      </c>
      <c r="Y427" s="27"/>
      <c r="Z427" s="27"/>
      <c r="AA427" s="27"/>
      <c r="AB427" s="27"/>
      <c r="AC427" s="27"/>
      <c r="AD427" s="27"/>
      <c r="AF427" s="8"/>
      <c r="AG427" s="27"/>
      <c r="AH427" s="14">
        <f>+'Pegar ML'!Y423</f>
        <v>0</v>
      </c>
      <c r="AI427" s="13">
        <f t="shared" si="19"/>
        <v>1</v>
      </c>
      <c r="AJ427" s="7">
        <f>+'Pegar ML'!T423</f>
        <v>0</v>
      </c>
      <c r="AK427" s="27"/>
      <c r="AL427" s="27"/>
      <c r="AM427" s="27"/>
      <c r="AN427" s="27"/>
      <c r="AO427" s="27"/>
      <c r="AP427" s="27"/>
      <c r="AQ427" s="27"/>
      <c r="AR427" s="27"/>
      <c r="AS427" s="27">
        <v>17</v>
      </c>
    </row>
    <row r="428" spans="1:45" ht="15" customHeight="1" x14ac:dyDescent="0.25">
      <c r="A428" s="27">
        <f>IF('Pegar ML'!C423="Paquete de 2 productos",'Pegar ML'!A423,IF('Pegar ML'!C422="Paquete de 2 productos",'Pegar ML'!A422,'Pegar ML'!A424))</f>
        <v>0</v>
      </c>
      <c r="B428" s="27"/>
      <c r="C428" s="30" t="str">
        <f>IF(AjusteFecha!I424=0,"",AjusteFecha!I424)</f>
        <v/>
      </c>
      <c r="D428" s="27"/>
      <c r="E428" s="27"/>
      <c r="F428" s="27" t="str">
        <f>IF('Pegar ML'!C424="","",'Pegar ML'!C424)</f>
        <v/>
      </c>
      <c r="G428" s="27" t="str">
        <f>IF('Pegar ML'!G419="ARS","PS","PS")</f>
        <v>PS</v>
      </c>
      <c r="H428" s="14">
        <f>IF('Pegar ML'!C423="Paquete de 2 productos",IF('Pegar ML'!H423="",0,'Pegar ML'!H423),IF('Pegar ML'!H424="",0,'Pegar ML'!H424))</f>
        <v>0</v>
      </c>
      <c r="I428" s="14">
        <f>IF('Pegar ML'!C423="Paquete de 2 productos",IF('Pegar ML'!O423="",0,'Pegar ML'!O423),IF('Pegar ML'!O424="",0,'Pegar ML'!O424))</f>
        <v>0</v>
      </c>
      <c r="J428" s="14">
        <f>IF('Pegar ML'!C423="Paquete de 2 productos",IF('Pegar ML'!O423="",0,'Pegar ML'!O423),IF('Pegar ML'!O424="",0,'Pegar ML'!O424))</f>
        <v>0</v>
      </c>
      <c r="K428" s="14">
        <f t="shared" si="20"/>
        <v>0</v>
      </c>
      <c r="L428" s="27">
        <f>IF('Pegar ML'!AB424=" ",'Pegar ML'!AB423,'Pegar ML'!AB424)</f>
        <v>0</v>
      </c>
      <c r="M428" s="27" t="str">
        <f>IF('Pegar ML'!AC424=" ",RIGHT('Pegar ML'!AC423,8),RIGHT('Pegar ML'!AC424,8))</f>
        <v/>
      </c>
      <c r="N428" s="27" t="s">
        <v>80</v>
      </c>
      <c r="O428" s="27">
        <f t="shared" si="18"/>
        <v>0</v>
      </c>
      <c r="P428" s="27" t="s">
        <v>80</v>
      </c>
      <c r="Q428" s="55">
        <f>IF('Pegar ML'!AD424=" ",'Pegar ML'!AD423,'Pegar ML'!AD424)</f>
        <v>0</v>
      </c>
      <c r="R428" s="27" t="s">
        <v>80</v>
      </c>
      <c r="S428" s="27" t="s">
        <v>80</v>
      </c>
      <c r="T428" s="27" t="s">
        <v>80</v>
      </c>
      <c r="U428" s="55">
        <f>IF('Pegar ML'!AI424=" ",'Pegar ML'!AI423,'Pegar ML'!AI424)</f>
        <v>0</v>
      </c>
      <c r="V428" s="55">
        <f>IF('Pegar ML'!AK424=" ",'Pegar ML'!AK423,'Pegar ML'!AK424)</f>
        <v>0</v>
      </c>
      <c r="W428" s="55">
        <f>IF('Pegar ML'!AJ424=" ",'Pegar ML'!AJ423,'Pegar ML'!AJ424)</f>
        <v>0</v>
      </c>
      <c r="X428" s="55">
        <f>IF('Pegar ML'!AL424=" ",'Pegar ML'!AL423,'Pegar ML'!AL424)</f>
        <v>0</v>
      </c>
      <c r="Y428" s="27"/>
      <c r="Z428" s="27"/>
      <c r="AA428" s="27"/>
      <c r="AB428" s="27"/>
      <c r="AC428" s="27"/>
      <c r="AD428" s="27"/>
      <c r="AF428" s="8"/>
      <c r="AG428" s="27"/>
      <c r="AH428" s="14">
        <f>+'Pegar ML'!Y424</f>
        <v>0</v>
      </c>
      <c r="AI428" s="13">
        <f t="shared" si="19"/>
        <v>1</v>
      </c>
      <c r="AJ428" s="7">
        <f>+'Pegar ML'!T424</f>
        <v>0</v>
      </c>
      <c r="AK428" s="27"/>
      <c r="AL428" s="27"/>
      <c r="AM428" s="27"/>
      <c r="AN428" s="27"/>
      <c r="AO428" s="27"/>
      <c r="AP428" s="27"/>
      <c r="AQ428" s="27"/>
      <c r="AR428" s="27"/>
      <c r="AS428" s="27">
        <v>17</v>
      </c>
    </row>
    <row r="429" spans="1:45" ht="15" customHeight="1" x14ac:dyDescent="0.25">
      <c r="A429" s="27">
        <f>IF('Pegar ML'!C424="Paquete de 2 productos",'Pegar ML'!A424,IF('Pegar ML'!C423="Paquete de 2 productos",'Pegar ML'!A423,'Pegar ML'!A425))</f>
        <v>0</v>
      </c>
      <c r="B429" s="27"/>
      <c r="C429" s="30" t="str">
        <f>IF(AjusteFecha!I425=0,"",AjusteFecha!I425)</f>
        <v/>
      </c>
      <c r="D429" s="27"/>
      <c r="E429" s="27"/>
      <c r="F429" s="27" t="str">
        <f>IF('Pegar ML'!C425="","",'Pegar ML'!C425)</f>
        <v/>
      </c>
      <c r="G429" s="27" t="str">
        <f>IF('Pegar ML'!G420="ARS","PS","PS")</f>
        <v>PS</v>
      </c>
      <c r="H429" s="14">
        <f>IF('Pegar ML'!C424="Paquete de 2 productos",IF('Pegar ML'!H424="",0,'Pegar ML'!H424),IF('Pegar ML'!H425="",0,'Pegar ML'!H425))</f>
        <v>0</v>
      </c>
      <c r="I429" s="14">
        <f>IF('Pegar ML'!C424="Paquete de 2 productos",IF('Pegar ML'!O424="",0,'Pegar ML'!O424),IF('Pegar ML'!O425="",0,'Pegar ML'!O425))</f>
        <v>0</v>
      </c>
      <c r="J429" s="14">
        <f>IF('Pegar ML'!C424="Paquete de 2 productos",IF('Pegar ML'!O424="",0,'Pegar ML'!O424),IF('Pegar ML'!O425="",0,'Pegar ML'!O425))</f>
        <v>0</v>
      </c>
      <c r="K429" s="14">
        <f t="shared" si="20"/>
        <v>0</v>
      </c>
      <c r="L429" s="27">
        <f>IF('Pegar ML'!AB425=" ",'Pegar ML'!AB424,'Pegar ML'!AB425)</f>
        <v>0</v>
      </c>
      <c r="M429" s="27" t="str">
        <f>IF('Pegar ML'!AC425=" ",RIGHT('Pegar ML'!AC424,8),RIGHT('Pegar ML'!AC425,8))</f>
        <v/>
      </c>
      <c r="N429" s="27" t="s">
        <v>80</v>
      </c>
      <c r="O429" s="27">
        <f t="shared" si="18"/>
        <v>0</v>
      </c>
      <c r="P429" s="27" t="s">
        <v>80</v>
      </c>
      <c r="Q429" s="55">
        <f>IF('Pegar ML'!AD425=" ",'Pegar ML'!AD424,'Pegar ML'!AD425)</f>
        <v>0</v>
      </c>
      <c r="R429" s="27" t="s">
        <v>80</v>
      </c>
      <c r="S429" s="27" t="s">
        <v>80</v>
      </c>
      <c r="T429" s="27" t="s">
        <v>80</v>
      </c>
      <c r="U429" s="55">
        <f>IF('Pegar ML'!AI425=" ",'Pegar ML'!AI424,'Pegar ML'!AI425)</f>
        <v>0</v>
      </c>
      <c r="V429" s="55">
        <f>IF('Pegar ML'!AK425=" ",'Pegar ML'!AK424,'Pegar ML'!AK425)</f>
        <v>0</v>
      </c>
      <c r="W429" s="55">
        <f>IF('Pegar ML'!AJ425=" ",'Pegar ML'!AJ424,'Pegar ML'!AJ425)</f>
        <v>0</v>
      </c>
      <c r="X429" s="55">
        <f>IF('Pegar ML'!AL425=" ",'Pegar ML'!AL424,'Pegar ML'!AL425)</f>
        <v>0</v>
      </c>
      <c r="Y429" s="27"/>
      <c r="Z429" s="27"/>
      <c r="AA429" s="27"/>
      <c r="AB429" s="27"/>
      <c r="AC429" s="27"/>
      <c r="AD429" s="27"/>
      <c r="AF429" s="8"/>
      <c r="AG429" s="27"/>
      <c r="AH429" s="14">
        <f>+'Pegar ML'!Y425</f>
        <v>0</v>
      </c>
      <c r="AI429" s="13">
        <f t="shared" si="19"/>
        <v>1</v>
      </c>
      <c r="AJ429" s="7">
        <f>+'Pegar ML'!T425</f>
        <v>0</v>
      </c>
      <c r="AK429" s="27"/>
      <c r="AL429" s="27"/>
      <c r="AM429" s="27"/>
      <c r="AN429" s="27"/>
      <c r="AO429" s="27"/>
      <c r="AP429" s="27"/>
      <c r="AQ429" s="27"/>
      <c r="AR429" s="27"/>
      <c r="AS429" s="27">
        <v>17</v>
      </c>
    </row>
    <row r="430" spans="1:45" ht="15" customHeight="1" x14ac:dyDescent="0.25">
      <c r="A430" s="27">
        <f>IF('Pegar ML'!C425="Paquete de 2 productos",'Pegar ML'!A425,IF('Pegar ML'!C424="Paquete de 2 productos",'Pegar ML'!A424,'Pegar ML'!A426))</f>
        <v>0</v>
      </c>
      <c r="B430" s="27"/>
      <c r="C430" s="30" t="str">
        <f>IF(AjusteFecha!I426=0,"",AjusteFecha!I426)</f>
        <v/>
      </c>
      <c r="D430" s="27"/>
      <c r="E430" s="27"/>
      <c r="F430" s="27" t="str">
        <f>IF('Pegar ML'!C426="","",'Pegar ML'!C426)</f>
        <v/>
      </c>
      <c r="G430" s="27" t="str">
        <f>IF('Pegar ML'!G421="ARS","PS","PS")</f>
        <v>PS</v>
      </c>
      <c r="H430" s="14">
        <f>IF('Pegar ML'!C425="Paquete de 2 productos",IF('Pegar ML'!H425="",0,'Pegar ML'!H425),IF('Pegar ML'!H426="",0,'Pegar ML'!H426))</f>
        <v>0</v>
      </c>
      <c r="I430" s="14">
        <f>IF('Pegar ML'!C425="Paquete de 2 productos",IF('Pegar ML'!O425="",0,'Pegar ML'!O425),IF('Pegar ML'!O426="",0,'Pegar ML'!O426))</f>
        <v>0</v>
      </c>
      <c r="J430" s="14">
        <f>IF('Pegar ML'!C425="Paquete de 2 productos",IF('Pegar ML'!O425="",0,'Pegar ML'!O425),IF('Pegar ML'!O426="",0,'Pegar ML'!O426))</f>
        <v>0</v>
      </c>
      <c r="K430" s="14">
        <f t="shared" si="20"/>
        <v>0</v>
      </c>
      <c r="L430" s="27">
        <f>IF('Pegar ML'!AB426=" ",'Pegar ML'!AB425,'Pegar ML'!AB426)</f>
        <v>0</v>
      </c>
      <c r="M430" s="27" t="str">
        <f>IF('Pegar ML'!AC426=" ",RIGHT('Pegar ML'!AC425,8),RIGHT('Pegar ML'!AC426,8))</f>
        <v/>
      </c>
      <c r="N430" s="27" t="s">
        <v>80</v>
      </c>
      <c r="O430" s="27">
        <f t="shared" si="18"/>
        <v>0</v>
      </c>
      <c r="P430" s="27" t="s">
        <v>80</v>
      </c>
      <c r="Q430" s="55">
        <f>IF('Pegar ML'!AD426=" ",'Pegar ML'!AD425,'Pegar ML'!AD426)</f>
        <v>0</v>
      </c>
      <c r="R430" s="27" t="s">
        <v>80</v>
      </c>
      <c r="S430" s="27" t="s">
        <v>80</v>
      </c>
      <c r="T430" s="27" t="s">
        <v>80</v>
      </c>
      <c r="U430" s="55">
        <f>IF('Pegar ML'!AI426=" ",'Pegar ML'!AI425,'Pegar ML'!AI426)</f>
        <v>0</v>
      </c>
      <c r="V430" s="55">
        <f>IF('Pegar ML'!AK426=" ",'Pegar ML'!AK425,'Pegar ML'!AK426)</f>
        <v>0</v>
      </c>
      <c r="W430" s="55">
        <f>IF('Pegar ML'!AJ426=" ",'Pegar ML'!AJ425,'Pegar ML'!AJ426)</f>
        <v>0</v>
      </c>
      <c r="X430" s="55">
        <f>IF('Pegar ML'!AL426=" ",'Pegar ML'!AL425,'Pegar ML'!AL426)</f>
        <v>0</v>
      </c>
      <c r="Y430" s="27"/>
      <c r="Z430" s="27"/>
      <c r="AA430" s="27"/>
      <c r="AB430" s="27"/>
      <c r="AC430" s="27"/>
      <c r="AD430" s="27"/>
      <c r="AF430" s="8"/>
      <c r="AG430" s="27"/>
      <c r="AH430" s="14">
        <f>+'Pegar ML'!Y426</f>
        <v>0</v>
      </c>
      <c r="AI430" s="13">
        <f t="shared" si="19"/>
        <v>1</v>
      </c>
      <c r="AJ430" s="7">
        <f>+'Pegar ML'!T426</f>
        <v>0</v>
      </c>
      <c r="AK430" s="27"/>
      <c r="AL430" s="27"/>
      <c r="AM430" s="27"/>
      <c r="AN430" s="27"/>
      <c r="AO430" s="27"/>
      <c r="AP430" s="27"/>
      <c r="AQ430" s="27"/>
      <c r="AR430" s="27"/>
      <c r="AS430" s="27">
        <v>17</v>
      </c>
    </row>
    <row r="431" spans="1:45" ht="15" customHeight="1" x14ac:dyDescent="0.25">
      <c r="A431" s="27">
        <f>IF('Pegar ML'!C426="Paquete de 2 productos",'Pegar ML'!A426,IF('Pegar ML'!C425="Paquete de 2 productos",'Pegar ML'!A425,'Pegar ML'!A427))</f>
        <v>0</v>
      </c>
      <c r="B431" s="27"/>
      <c r="C431" s="30" t="str">
        <f>IF(AjusteFecha!I427=0,"",AjusteFecha!I427)</f>
        <v/>
      </c>
      <c r="D431" s="27"/>
      <c r="E431" s="27"/>
      <c r="F431" s="27" t="str">
        <f>IF('Pegar ML'!C427="","",'Pegar ML'!C427)</f>
        <v/>
      </c>
      <c r="G431" s="27" t="str">
        <f>IF('Pegar ML'!G422="ARS","PS","PS")</f>
        <v>PS</v>
      </c>
      <c r="H431" s="14">
        <f>IF('Pegar ML'!C426="Paquete de 2 productos",IF('Pegar ML'!H426="",0,'Pegar ML'!H426),IF('Pegar ML'!H427="",0,'Pegar ML'!H427))</f>
        <v>0</v>
      </c>
      <c r="I431" s="14">
        <f>IF('Pegar ML'!C426="Paquete de 2 productos",IF('Pegar ML'!O426="",0,'Pegar ML'!O426),IF('Pegar ML'!O427="",0,'Pegar ML'!O427))</f>
        <v>0</v>
      </c>
      <c r="J431" s="14">
        <f>IF('Pegar ML'!C426="Paquete de 2 productos",IF('Pegar ML'!O426="",0,'Pegar ML'!O426),IF('Pegar ML'!O427="",0,'Pegar ML'!O427))</f>
        <v>0</v>
      </c>
      <c r="K431" s="14">
        <f t="shared" si="20"/>
        <v>0</v>
      </c>
      <c r="L431" s="27">
        <f>IF('Pegar ML'!AB427=" ",'Pegar ML'!AB426,'Pegar ML'!AB427)</f>
        <v>0</v>
      </c>
      <c r="M431" s="27" t="str">
        <f>IF('Pegar ML'!AC427=" ",RIGHT('Pegar ML'!AC426,8),RIGHT('Pegar ML'!AC427,8))</f>
        <v/>
      </c>
      <c r="N431" s="27" t="s">
        <v>80</v>
      </c>
      <c r="O431" s="27">
        <f t="shared" si="18"/>
        <v>0</v>
      </c>
      <c r="P431" s="27" t="s">
        <v>80</v>
      </c>
      <c r="Q431" s="55">
        <f>IF('Pegar ML'!AD427=" ",'Pegar ML'!AD426,'Pegar ML'!AD427)</f>
        <v>0</v>
      </c>
      <c r="R431" s="27" t="s">
        <v>80</v>
      </c>
      <c r="S431" s="27" t="s">
        <v>80</v>
      </c>
      <c r="T431" s="27" t="s">
        <v>80</v>
      </c>
      <c r="U431" s="55">
        <f>IF('Pegar ML'!AI427=" ",'Pegar ML'!AI426,'Pegar ML'!AI427)</f>
        <v>0</v>
      </c>
      <c r="V431" s="55">
        <f>IF('Pegar ML'!AK427=" ",'Pegar ML'!AK426,'Pegar ML'!AK427)</f>
        <v>0</v>
      </c>
      <c r="W431" s="55">
        <f>IF('Pegar ML'!AJ427=" ",'Pegar ML'!AJ426,'Pegar ML'!AJ427)</f>
        <v>0</v>
      </c>
      <c r="X431" s="55">
        <f>IF('Pegar ML'!AL427=" ",'Pegar ML'!AL426,'Pegar ML'!AL427)</f>
        <v>0</v>
      </c>
      <c r="Y431" s="27"/>
      <c r="Z431" s="27"/>
      <c r="AA431" s="27"/>
      <c r="AB431" s="27"/>
      <c r="AC431" s="27"/>
      <c r="AD431" s="27"/>
      <c r="AF431" s="8"/>
      <c r="AG431" s="27"/>
      <c r="AH431" s="14">
        <f>+'Pegar ML'!Y427</f>
        <v>0</v>
      </c>
      <c r="AI431" s="13">
        <f t="shared" si="19"/>
        <v>1</v>
      </c>
      <c r="AJ431" s="7">
        <f>+'Pegar ML'!T427</f>
        <v>0</v>
      </c>
      <c r="AK431" s="27"/>
      <c r="AL431" s="27"/>
      <c r="AM431" s="27"/>
      <c r="AN431" s="27"/>
      <c r="AO431" s="27"/>
      <c r="AP431" s="27"/>
      <c r="AQ431" s="27"/>
      <c r="AR431" s="27"/>
      <c r="AS431" s="27">
        <v>17</v>
      </c>
    </row>
    <row r="432" spans="1:45" ht="15" customHeight="1" x14ac:dyDescent="0.25">
      <c r="A432" s="27">
        <f>IF('Pegar ML'!C427="Paquete de 2 productos",'Pegar ML'!A427,IF('Pegar ML'!C426="Paquete de 2 productos",'Pegar ML'!A426,'Pegar ML'!A428))</f>
        <v>0</v>
      </c>
      <c r="B432" s="27"/>
      <c r="C432" s="30" t="str">
        <f>IF(AjusteFecha!I428=0,"",AjusteFecha!I428)</f>
        <v/>
      </c>
      <c r="D432" s="27"/>
      <c r="E432" s="27"/>
      <c r="F432" s="27" t="str">
        <f>IF('Pegar ML'!C428="","",'Pegar ML'!C428)</f>
        <v/>
      </c>
      <c r="G432" s="27" t="str">
        <f>IF('Pegar ML'!G423="ARS","PS","PS")</f>
        <v>PS</v>
      </c>
      <c r="H432" s="14">
        <f>IF('Pegar ML'!C427="Paquete de 2 productos",IF('Pegar ML'!H427="",0,'Pegar ML'!H427),IF('Pegar ML'!H428="",0,'Pegar ML'!H428))</f>
        <v>0</v>
      </c>
      <c r="I432" s="14">
        <f>IF('Pegar ML'!C427="Paquete de 2 productos",IF('Pegar ML'!O427="",0,'Pegar ML'!O427),IF('Pegar ML'!O428="",0,'Pegar ML'!O428))</f>
        <v>0</v>
      </c>
      <c r="J432" s="14">
        <f>IF('Pegar ML'!C427="Paquete de 2 productos",IF('Pegar ML'!O427="",0,'Pegar ML'!O427),IF('Pegar ML'!O428="",0,'Pegar ML'!O428))</f>
        <v>0</v>
      </c>
      <c r="K432" s="14">
        <f t="shared" si="20"/>
        <v>0</v>
      </c>
      <c r="L432" s="27">
        <f>IF('Pegar ML'!AB428=" ",'Pegar ML'!AB427,'Pegar ML'!AB428)</f>
        <v>0</v>
      </c>
      <c r="M432" s="27" t="str">
        <f>IF('Pegar ML'!AC428=" ",RIGHT('Pegar ML'!AC427,8),RIGHT('Pegar ML'!AC428,8))</f>
        <v/>
      </c>
      <c r="N432" s="27" t="s">
        <v>80</v>
      </c>
      <c r="O432" s="27">
        <f t="shared" si="18"/>
        <v>0</v>
      </c>
      <c r="P432" s="27" t="s">
        <v>80</v>
      </c>
      <c r="Q432" s="55">
        <f>IF('Pegar ML'!AD428=" ",'Pegar ML'!AD427,'Pegar ML'!AD428)</f>
        <v>0</v>
      </c>
      <c r="R432" s="27" t="s">
        <v>80</v>
      </c>
      <c r="S432" s="27" t="s">
        <v>80</v>
      </c>
      <c r="T432" s="27" t="s">
        <v>80</v>
      </c>
      <c r="U432" s="55">
        <f>IF('Pegar ML'!AI428=" ",'Pegar ML'!AI427,'Pegar ML'!AI428)</f>
        <v>0</v>
      </c>
      <c r="V432" s="55">
        <f>IF('Pegar ML'!AK428=" ",'Pegar ML'!AK427,'Pegar ML'!AK428)</f>
        <v>0</v>
      </c>
      <c r="W432" s="55">
        <f>IF('Pegar ML'!AJ428=" ",'Pegar ML'!AJ427,'Pegar ML'!AJ428)</f>
        <v>0</v>
      </c>
      <c r="X432" s="55">
        <f>IF('Pegar ML'!AL428=" ",'Pegar ML'!AL427,'Pegar ML'!AL428)</f>
        <v>0</v>
      </c>
      <c r="Y432" s="27"/>
      <c r="Z432" s="27"/>
      <c r="AA432" s="27"/>
      <c r="AB432" s="27"/>
      <c r="AC432" s="27"/>
      <c r="AD432" s="27"/>
      <c r="AF432" s="8"/>
      <c r="AG432" s="27"/>
      <c r="AH432" s="14">
        <f>+'Pegar ML'!Y428</f>
        <v>0</v>
      </c>
      <c r="AI432" s="13">
        <f t="shared" si="19"/>
        <v>1</v>
      </c>
      <c r="AJ432" s="7">
        <f>+'Pegar ML'!T428</f>
        <v>0</v>
      </c>
      <c r="AK432" s="27"/>
      <c r="AL432" s="27"/>
      <c r="AM432" s="27"/>
      <c r="AN432" s="27"/>
      <c r="AO432" s="27"/>
      <c r="AP432" s="27"/>
      <c r="AQ432" s="27"/>
      <c r="AR432" s="27"/>
      <c r="AS432" s="27">
        <v>17</v>
      </c>
    </row>
    <row r="433" spans="1:45" ht="15" customHeight="1" x14ac:dyDescent="0.25">
      <c r="A433" s="27">
        <f>IF('Pegar ML'!C428="Paquete de 2 productos",'Pegar ML'!A428,IF('Pegar ML'!C427="Paquete de 2 productos",'Pegar ML'!A427,'Pegar ML'!A429))</f>
        <v>0</v>
      </c>
      <c r="B433" s="27"/>
      <c r="C433" s="30" t="str">
        <f>IF(AjusteFecha!I429=0,"",AjusteFecha!I429)</f>
        <v/>
      </c>
      <c r="D433" s="27"/>
      <c r="E433" s="27"/>
      <c r="F433" s="27" t="str">
        <f>IF('Pegar ML'!C429="","",'Pegar ML'!C429)</f>
        <v/>
      </c>
      <c r="G433" s="27" t="str">
        <f>IF('Pegar ML'!G424="ARS","PS","PS")</f>
        <v>PS</v>
      </c>
      <c r="H433" s="14">
        <f>IF('Pegar ML'!C428="Paquete de 2 productos",IF('Pegar ML'!H428="",0,'Pegar ML'!H428),IF('Pegar ML'!H429="",0,'Pegar ML'!H429))</f>
        <v>0</v>
      </c>
      <c r="I433" s="14">
        <f>IF('Pegar ML'!C428="Paquete de 2 productos",IF('Pegar ML'!O428="",0,'Pegar ML'!O428),IF('Pegar ML'!O429="",0,'Pegar ML'!O429))</f>
        <v>0</v>
      </c>
      <c r="J433" s="14">
        <f>IF('Pegar ML'!C428="Paquete de 2 productos",IF('Pegar ML'!O428="",0,'Pegar ML'!O428),IF('Pegar ML'!O429="",0,'Pegar ML'!O429))</f>
        <v>0</v>
      </c>
      <c r="K433" s="14">
        <f t="shared" si="20"/>
        <v>0</v>
      </c>
      <c r="L433" s="27">
        <f>IF('Pegar ML'!AB429=" ",'Pegar ML'!AB428,'Pegar ML'!AB429)</f>
        <v>0</v>
      </c>
      <c r="M433" s="27" t="str">
        <f>IF('Pegar ML'!AC429=" ",RIGHT('Pegar ML'!AC428,8),RIGHT('Pegar ML'!AC429,8))</f>
        <v/>
      </c>
      <c r="N433" s="27" t="s">
        <v>80</v>
      </c>
      <c r="O433" s="27">
        <f t="shared" si="18"/>
        <v>0</v>
      </c>
      <c r="P433" s="27" t="s">
        <v>80</v>
      </c>
      <c r="Q433" s="55">
        <f>IF('Pegar ML'!AD429=" ",'Pegar ML'!AD428,'Pegar ML'!AD429)</f>
        <v>0</v>
      </c>
      <c r="R433" s="27" t="s">
        <v>80</v>
      </c>
      <c r="S433" s="27" t="s">
        <v>80</v>
      </c>
      <c r="T433" s="27" t="s">
        <v>80</v>
      </c>
      <c r="U433" s="55">
        <f>IF('Pegar ML'!AI429=" ",'Pegar ML'!AI428,'Pegar ML'!AI429)</f>
        <v>0</v>
      </c>
      <c r="V433" s="55">
        <f>IF('Pegar ML'!AK429=" ",'Pegar ML'!AK428,'Pegar ML'!AK429)</f>
        <v>0</v>
      </c>
      <c r="W433" s="55">
        <f>IF('Pegar ML'!AJ429=" ",'Pegar ML'!AJ428,'Pegar ML'!AJ429)</f>
        <v>0</v>
      </c>
      <c r="X433" s="55">
        <f>IF('Pegar ML'!AL429=" ",'Pegar ML'!AL428,'Pegar ML'!AL429)</f>
        <v>0</v>
      </c>
      <c r="Y433" s="27"/>
      <c r="Z433" s="27"/>
      <c r="AA433" s="27"/>
      <c r="AB433" s="27"/>
      <c r="AC433" s="27"/>
      <c r="AD433" s="27"/>
      <c r="AF433" s="8"/>
      <c r="AG433" s="27"/>
      <c r="AH433" s="14">
        <f>+'Pegar ML'!Y429</f>
        <v>0</v>
      </c>
      <c r="AI433" s="13">
        <f t="shared" si="19"/>
        <v>1</v>
      </c>
      <c r="AJ433" s="7">
        <f>+'Pegar ML'!T429</f>
        <v>0</v>
      </c>
      <c r="AK433" s="27"/>
      <c r="AL433" s="27"/>
      <c r="AM433" s="27"/>
      <c r="AN433" s="27"/>
      <c r="AO433" s="27"/>
      <c r="AP433" s="27"/>
      <c r="AQ433" s="27"/>
      <c r="AR433" s="27"/>
      <c r="AS433" s="27">
        <v>17</v>
      </c>
    </row>
    <row r="434" spans="1:45" ht="15" customHeight="1" x14ac:dyDescent="0.25">
      <c r="A434" s="27">
        <f>IF('Pegar ML'!C429="Paquete de 2 productos",'Pegar ML'!A429,IF('Pegar ML'!C428="Paquete de 2 productos",'Pegar ML'!A428,'Pegar ML'!A430))</f>
        <v>0</v>
      </c>
      <c r="B434" s="27"/>
      <c r="C434" s="30" t="str">
        <f>IF(AjusteFecha!I430=0,"",AjusteFecha!I430)</f>
        <v/>
      </c>
      <c r="D434" s="27"/>
      <c r="E434" s="27"/>
      <c r="F434" s="27" t="str">
        <f>IF('Pegar ML'!C430="","",'Pegar ML'!C430)</f>
        <v/>
      </c>
      <c r="G434" s="27" t="str">
        <f>IF('Pegar ML'!G425="ARS","PS","PS")</f>
        <v>PS</v>
      </c>
      <c r="H434" s="14">
        <f>IF('Pegar ML'!C429="Paquete de 2 productos",IF('Pegar ML'!H429="",0,'Pegar ML'!H429),IF('Pegar ML'!H430="",0,'Pegar ML'!H430))</f>
        <v>0</v>
      </c>
      <c r="I434" s="14">
        <f>IF('Pegar ML'!C429="Paquete de 2 productos",IF('Pegar ML'!O429="",0,'Pegar ML'!O429),IF('Pegar ML'!O430="",0,'Pegar ML'!O430))</f>
        <v>0</v>
      </c>
      <c r="J434" s="14">
        <f>IF('Pegar ML'!C429="Paquete de 2 productos",IF('Pegar ML'!O429="",0,'Pegar ML'!O429),IF('Pegar ML'!O430="",0,'Pegar ML'!O430))</f>
        <v>0</v>
      </c>
      <c r="K434" s="14">
        <f t="shared" si="20"/>
        <v>0</v>
      </c>
      <c r="L434" s="27">
        <f>IF('Pegar ML'!AB430=" ",'Pegar ML'!AB429,'Pegar ML'!AB430)</f>
        <v>0</v>
      </c>
      <c r="M434" s="27" t="str">
        <f>IF('Pegar ML'!AC430=" ",RIGHT('Pegar ML'!AC429,8),RIGHT('Pegar ML'!AC430,8))</f>
        <v/>
      </c>
      <c r="N434" s="27" t="s">
        <v>80</v>
      </c>
      <c r="O434" s="27">
        <f t="shared" si="18"/>
        <v>0</v>
      </c>
      <c r="P434" s="27" t="s">
        <v>80</v>
      </c>
      <c r="Q434" s="55">
        <f>IF('Pegar ML'!AD430=" ",'Pegar ML'!AD429,'Pegar ML'!AD430)</f>
        <v>0</v>
      </c>
      <c r="R434" s="27" t="s">
        <v>80</v>
      </c>
      <c r="S434" s="27" t="s">
        <v>80</v>
      </c>
      <c r="T434" s="27" t="s">
        <v>80</v>
      </c>
      <c r="U434" s="55">
        <f>IF('Pegar ML'!AI430=" ",'Pegar ML'!AI429,'Pegar ML'!AI430)</f>
        <v>0</v>
      </c>
      <c r="V434" s="55">
        <f>IF('Pegar ML'!AK430=" ",'Pegar ML'!AK429,'Pegar ML'!AK430)</f>
        <v>0</v>
      </c>
      <c r="W434" s="55">
        <f>IF('Pegar ML'!AJ430=" ",'Pegar ML'!AJ429,'Pegar ML'!AJ430)</f>
        <v>0</v>
      </c>
      <c r="X434" s="55">
        <f>IF('Pegar ML'!AL430=" ",'Pegar ML'!AL429,'Pegar ML'!AL430)</f>
        <v>0</v>
      </c>
      <c r="Y434" s="27"/>
      <c r="Z434" s="27"/>
      <c r="AA434" s="27"/>
      <c r="AB434" s="27"/>
      <c r="AC434" s="27"/>
      <c r="AD434" s="27"/>
      <c r="AF434" s="8"/>
      <c r="AG434" s="27"/>
      <c r="AH434" s="14">
        <f>+'Pegar ML'!Y430</f>
        <v>0</v>
      </c>
      <c r="AI434" s="13">
        <f t="shared" si="19"/>
        <v>1</v>
      </c>
      <c r="AJ434" s="7">
        <f>+'Pegar ML'!T430</f>
        <v>0</v>
      </c>
      <c r="AK434" s="27"/>
      <c r="AL434" s="27"/>
      <c r="AM434" s="27"/>
      <c r="AN434" s="27"/>
      <c r="AO434" s="27"/>
      <c r="AP434" s="27"/>
      <c r="AQ434" s="27"/>
      <c r="AR434" s="27"/>
      <c r="AS434" s="27">
        <v>17</v>
      </c>
    </row>
    <row r="435" spans="1:45" ht="15" customHeight="1" x14ac:dyDescent="0.25">
      <c r="A435" s="27">
        <f>IF('Pegar ML'!C430="Paquete de 2 productos",'Pegar ML'!A430,IF('Pegar ML'!C429="Paquete de 2 productos",'Pegar ML'!A429,'Pegar ML'!A431))</f>
        <v>0</v>
      </c>
      <c r="B435" s="27"/>
      <c r="C435" s="30" t="str">
        <f>IF(AjusteFecha!I431=0,"",AjusteFecha!I431)</f>
        <v/>
      </c>
      <c r="D435" s="27"/>
      <c r="E435" s="27"/>
      <c r="F435" s="27" t="str">
        <f>IF('Pegar ML'!C431="","",'Pegar ML'!C431)</f>
        <v/>
      </c>
      <c r="G435" s="27" t="str">
        <f>IF('Pegar ML'!G426="ARS","PS","PS")</f>
        <v>PS</v>
      </c>
      <c r="H435" s="14">
        <f>IF('Pegar ML'!C430="Paquete de 2 productos",IF('Pegar ML'!H430="",0,'Pegar ML'!H430),IF('Pegar ML'!H431="",0,'Pegar ML'!H431))</f>
        <v>0</v>
      </c>
      <c r="I435" s="14">
        <f>IF('Pegar ML'!C430="Paquete de 2 productos",IF('Pegar ML'!O430="",0,'Pegar ML'!O430),IF('Pegar ML'!O431="",0,'Pegar ML'!O431))</f>
        <v>0</v>
      </c>
      <c r="J435" s="14">
        <f>IF('Pegar ML'!C430="Paquete de 2 productos",IF('Pegar ML'!O430="",0,'Pegar ML'!O430),IF('Pegar ML'!O431="",0,'Pegar ML'!O431))</f>
        <v>0</v>
      </c>
      <c r="K435" s="14">
        <f t="shared" si="20"/>
        <v>0</v>
      </c>
      <c r="L435" s="27">
        <f>IF('Pegar ML'!AB431=" ",'Pegar ML'!AB430,'Pegar ML'!AB431)</f>
        <v>0</v>
      </c>
      <c r="M435" s="27" t="str">
        <f>IF('Pegar ML'!AC431=" ",RIGHT('Pegar ML'!AC430,8),RIGHT('Pegar ML'!AC431,8))</f>
        <v/>
      </c>
      <c r="N435" s="27" t="s">
        <v>80</v>
      </c>
      <c r="O435" s="27">
        <f t="shared" si="18"/>
        <v>0</v>
      </c>
      <c r="P435" s="27" t="s">
        <v>80</v>
      </c>
      <c r="Q435" s="55">
        <f>IF('Pegar ML'!AD431=" ",'Pegar ML'!AD430,'Pegar ML'!AD431)</f>
        <v>0</v>
      </c>
      <c r="R435" s="27" t="s">
        <v>80</v>
      </c>
      <c r="S435" s="27" t="s">
        <v>80</v>
      </c>
      <c r="T435" s="27" t="s">
        <v>80</v>
      </c>
      <c r="U435" s="55">
        <f>IF('Pegar ML'!AI431=" ",'Pegar ML'!AI430,'Pegar ML'!AI431)</f>
        <v>0</v>
      </c>
      <c r="V435" s="55">
        <f>IF('Pegar ML'!AK431=" ",'Pegar ML'!AK430,'Pegar ML'!AK431)</f>
        <v>0</v>
      </c>
      <c r="W435" s="55">
        <f>IF('Pegar ML'!AJ431=" ",'Pegar ML'!AJ430,'Pegar ML'!AJ431)</f>
        <v>0</v>
      </c>
      <c r="X435" s="55">
        <f>IF('Pegar ML'!AL431=" ",'Pegar ML'!AL430,'Pegar ML'!AL431)</f>
        <v>0</v>
      </c>
      <c r="Y435" s="27"/>
      <c r="Z435" s="27"/>
      <c r="AA435" s="27"/>
      <c r="AB435" s="27"/>
      <c r="AC435" s="27"/>
      <c r="AD435" s="27"/>
      <c r="AF435" s="8"/>
      <c r="AG435" s="27"/>
      <c r="AH435" s="14">
        <f>+'Pegar ML'!Y431</f>
        <v>0</v>
      </c>
      <c r="AI435" s="13">
        <f t="shared" si="19"/>
        <v>1</v>
      </c>
      <c r="AJ435" s="7">
        <f>+'Pegar ML'!T431</f>
        <v>0</v>
      </c>
      <c r="AK435" s="27"/>
      <c r="AL435" s="27"/>
      <c r="AM435" s="27"/>
      <c r="AN435" s="27"/>
      <c r="AO435" s="27"/>
      <c r="AP435" s="27"/>
      <c r="AQ435" s="27"/>
      <c r="AR435" s="27"/>
      <c r="AS435" s="27">
        <v>17</v>
      </c>
    </row>
    <row r="436" spans="1:45" ht="15" customHeight="1" x14ac:dyDescent="0.25">
      <c r="A436" s="27">
        <f>IF('Pegar ML'!C431="Paquete de 2 productos",'Pegar ML'!A431,IF('Pegar ML'!C430="Paquete de 2 productos",'Pegar ML'!A430,'Pegar ML'!A432))</f>
        <v>0</v>
      </c>
      <c r="B436" s="27"/>
      <c r="C436" s="30" t="str">
        <f>IF(AjusteFecha!I432=0,"",AjusteFecha!I432)</f>
        <v/>
      </c>
      <c r="D436" s="27"/>
      <c r="E436" s="27"/>
      <c r="F436" s="27" t="str">
        <f>IF('Pegar ML'!C432="","",'Pegar ML'!C432)</f>
        <v/>
      </c>
      <c r="G436" s="27" t="str">
        <f>IF('Pegar ML'!G427="ARS","PS","PS")</f>
        <v>PS</v>
      </c>
      <c r="H436" s="14">
        <f>IF('Pegar ML'!C431="Paquete de 2 productos",IF('Pegar ML'!H431="",0,'Pegar ML'!H431),IF('Pegar ML'!H432="",0,'Pegar ML'!H432))</f>
        <v>0</v>
      </c>
      <c r="I436" s="14">
        <f>IF('Pegar ML'!C431="Paquete de 2 productos",IF('Pegar ML'!O431="",0,'Pegar ML'!O431),IF('Pegar ML'!O432="",0,'Pegar ML'!O432))</f>
        <v>0</v>
      </c>
      <c r="J436" s="14">
        <f>IF('Pegar ML'!C431="Paquete de 2 productos",IF('Pegar ML'!O431="",0,'Pegar ML'!O431),IF('Pegar ML'!O432="",0,'Pegar ML'!O432))</f>
        <v>0</v>
      </c>
      <c r="K436" s="14">
        <f t="shared" si="20"/>
        <v>0</v>
      </c>
      <c r="L436" s="27">
        <f>IF('Pegar ML'!AB432=" ",'Pegar ML'!AB431,'Pegar ML'!AB432)</f>
        <v>0</v>
      </c>
      <c r="M436" s="27" t="str">
        <f>IF('Pegar ML'!AC432=" ",RIGHT('Pegar ML'!AC431,8),RIGHT('Pegar ML'!AC432,8))</f>
        <v/>
      </c>
      <c r="N436" s="27" t="s">
        <v>80</v>
      </c>
      <c r="O436" s="27">
        <f t="shared" si="18"/>
        <v>0</v>
      </c>
      <c r="P436" s="27" t="s">
        <v>80</v>
      </c>
      <c r="Q436" s="55">
        <f>IF('Pegar ML'!AD432=" ",'Pegar ML'!AD431,'Pegar ML'!AD432)</f>
        <v>0</v>
      </c>
      <c r="R436" s="27" t="s">
        <v>80</v>
      </c>
      <c r="S436" s="27" t="s">
        <v>80</v>
      </c>
      <c r="T436" s="27" t="s">
        <v>80</v>
      </c>
      <c r="U436" s="55">
        <f>IF('Pegar ML'!AI432=" ",'Pegar ML'!AI431,'Pegar ML'!AI432)</f>
        <v>0</v>
      </c>
      <c r="V436" s="55">
        <f>IF('Pegar ML'!AK432=" ",'Pegar ML'!AK431,'Pegar ML'!AK432)</f>
        <v>0</v>
      </c>
      <c r="W436" s="55">
        <f>IF('Pegar ML'!AJ432=" ",'Pegar ML'!AJ431,'Pegar ML'!AJ432)</f>
        <v>0</v>
      </c>
      <c r="X436" s="55">
        <f>IF('Pegar ML'!AL432=" ",'Pegar ML'!AL431,'Pegar ML'!AL432)</f>
        <v>0</v>
      </c>
      <c r="Y436" s="27"/>
      <c r="Z436" s="27"/>
      <c r="AA436" s="27"/>
      <c r="AB436" s="27"/>
      <c r="AC436" s="27"/>
      <c r="AD436" s="27"/>
      <c r="AF436" s="8"/>
      <c r="AG436" s="27"/>
      <c r="AH436" s="14">
        <f>+'Pegar ML'!Y432</f>
        <v>0</v>
      </c>
      <c r="AI436" s="13">
        <f t="shared" si="19"/>
        <v>1</v>
      </c>
      <c r="AJ436" s="7">
        <f>+'Pegar ML'!T432</f>
        <v>0</v>
      </c>
      <c r="AK436" s="27"/>
      <c r="AL436" s="27"/>
      <c r="AM436" s="27"/>
      <c r="AN436" s="27"/>
      <c r="AO436" s="27"/>
      <c r="AP436" s="27"/>
      <c r="AQ436" s="27"/>
      <c r="AR436" s="27"/>
      <c r="AS436" s="27">
        <v>17</v>
      </c>
    </row>
    <row r="437" spans="1:45" ht="15" customHeight="1" x14ac:dyDescent="0.25">
      <c r="A437" s="27">
        <f>IF('Pegar ML'!C432="Paquete de 2 productos",'Pegar ML'!A432,IF('Pegar ML'!C431="Paquete de 2 productos",'Pegar ML'!A431,'Pegar ML'!A433))</f>
        <v>0</v>
      </c>
      <c r="B437" s="27"/>
      <c r="C437" s="30" t="str">
        <f>IF(AjusteFecha!I433=0,"",AjusteFecha!I433)</f>
        <v/>
      </c>
      <c r="D437" s="27"/>
      <c r="E437" s="27"/>
      <c r="F437" s="27" t="str">
        <f>IF('Pegar ML'!C433="","",'Pegar ML'!C433)</f>
        <v/>
      </c>
      <c r="G437" s="27" t="str">
        <f>IF('Pegar ML'!G428="ARS","PS","PS")</f>
        <v>PS</v>
      </c>
      <c r="H437" s="14">
        <f>IF('Pegar ML'!C432="Paquete de 2 productos",IF('Pegar ML'!H432="",0,'Pegar ML'!H432),IF('Pegar ML'!H433="",0,'Pegar ML'!H433))</f>
        <v>0</v>
      </c>
      <c r="I437" s="14">
        <f>IF('Pegar ML'!C432="Paquete de 2 productos",IF('Pegar ML'!O432="",0,'Pegar ML'!O432),IF('Pegar ML'!O433="",0,'Pegar ML'!O433))</f>
        <v>0</v>
      </c>
      <c r="J437" s="14">
        <f>IF('Pegar ML'!C432="Paquete de 2 productos",IF('Pegar ML'!O432="",0,'Pegar ML'!O432),IF('Pegar ML'!O433="",0,'Pegar ML'!O433))</f>
        <v>0</v>
      </c>
      <c r="K437" s="14">
        <f t="shared" si="20"/>
        <v>0</v>
      </c>
      <c r="L437" s="27">
        <f>IF('Pegar ML'!AB433=" ",'Pegar ML'!AB432,'Pegar ML'!AB433)</f>
        <v>0</v>
      </c>
      <c r="M437" s="27" t="str">
        <f>IF('Pegar ML'!AC433=" ",RIGHT('Pegar ML'!AC432,8),RIGHT('Pegar ML'!AC433,8))</f>
        <v/>
      </c>
      <c r="N437" s="27" t="s">
        <v>80</v>
      </c>
      <c r="O437" s="27">
        <f t="shared" si="18"/>
        <v>0</v>
      </c>
      <c r="P437" s="27" t="s">
        <v>80</v>
      </c>
      <c r="Q437" s="55">
        <f>IF('Pegar ML'!AD433=" ",'Pegar ML'!AD432,'Pegar ML'!AD433)</f>
        <v>0</v>
      </c>
      <c r="R437" s="27" t="s">
        <v>80</v>
      </c>
      <c r="S437" s="27" t="s">
        <v>80</v>
      </c>
      <c r="T437" s="27" t="s">
        <v>80</v>
      </c>
      <c r="U437" s="55">
        <f>IF('Pegar ML'!AI433=" ",'Pegar ML'!AI432,'Pegar ML'!AI433)</f>
        <v>0</v>
      </c>
      <c r="V437" s="55">
        <f>IF('Pegar ML'!AK433=" ",'Pegar ML'!AK432,'Pegar ML'!AK433)</f>
        <v>0</v>
      </c>
      <c r="W437" s="55">
        <f>IF('Pegar ML'!AJ433=" ",'Pegar ML'!AJ432,'Pegar ML'!AJ433)</f>
        <v>0</v>
      </c>
      <c r="X437" s="55">
        <f>IF('Pegar ML'!AL433=" ",'Pegar ML'!AL432,'Pegar ML'!AL433)</f>
        <v>0</v>
      </c>
      <c r="Y437" s="27"/>
      <c r="Z437" s="27"/>
      <c r="AA437" s="27"/>
      <c r="AB437" s="27"/>
      <c r="AC437" s="27"/>
      <c r="AD437" s="27"/>
      <c r="AF437" s="8"/>
      <c r="AG437" s="27"/>
      <c r="AH437" s="14">
        <f>+'Pegar ML'!Y433</f>
        <v>0</v>
      </c>
      <c r="AI437" s="13">
        <f t="shared" si="19"/>
        <v>1</v>
      </c>
      <c r="AJ437" s="7">
        <f>+'Pegar ML'!T433</f>
        <v>0</v>
      </c>
      <c r="AK437" s="27"/>
      <c r="AL437" s="27"/>
      <c r="AM437" s="27"/>
      <c r="AN437" s="27"/>
      <c r="AO437" s="27"/>
      <c r="AP437" s="27"/>
      <c r="AQ437" s="27"/>
      <c r="AR437" s="27"/>
      <c r="AS437" s="27">
        <v>17</v>
      </c>
    </row>
    <row r="438" spans="1:45" ht="15" customHeight="1" x14ac:dyDescent="0.25">
      <c r="A438" s="27">
        <f>IF('Pegar ML'!C433="Paquete de 2 productos",'Pegar ML'!A433,IF('Pegar ML'!C432="Paquete de 2 productos",'Pegar ML'!A432,'Pegar ML'!A434))</f>
        <v>0</v>
      </c>
      <c r="B438" s="27"/>
      <c r="C438" s="30" t="str">
        <f>IF(AjusteFecha!I434=0,"",AjusteFecha!I434)</f>
        <v/>
      </c>
      <c r="D438" s="27"/>
      <c r="E438" s="27"/>
      <c r="F438" s="27" t="str">
        <f>IF('Pegar ML'!C434="","",'Pegar ML'!C434)</f>
        <v/>
      </c>
      <c r="G438" s="27" t="str">
        <f>IF('Pegar ML'!G429="ARS","PS","PS")</f>
        <v>PS</v>
      </c>
      <c r="H438" s="14">
        <f>IF('Pegar ML'!C433="Paquete de 2 productos",IF('Pegar ML'!H433="",0,'Pegar ML'!H433),IF('Pegar ML'!H434="",0,'Pegar ML'!H434))</f>
        <v>0</v>
      </c>
      <c r="I438" s="14">
        <f>IF('Pegar ML'!C433="Paquete de 2 productos",IF('Pegar ML'!O433="",0,'Pegar ML'!O433),IF('Pegar ML'!O434="",0,'Pegar ML'!O434))</f>
        <v>0</v>
      </c>
      <c r="J438" s="14">
        <f>IF('Pegar ML'!C433="Paquete de 2 productos",IF('Pegar ML'!O433="",0,'Pegar ML'!O433),IF('Pegar ML'!O434="",0,'Pegar ML'!O434))</f>
        <v>0</v>
      </c>
      <c r="K438" s="14">
        <f t="shared" si="20"/>
        <v>0</v>
      </c>
      <c r="L438" s="27">
        <f>IF('Pegar ML'!AB434=" ",'Pegar ML'!AB433,'Pegar ML'!AB434)</f>
        <v>0</v>
      </c>
      <c r="M438" s="27" t="str">
        <f>IF('Pegar ML'!AC434=" ",RIGHT('Pegar ML'!AC433,8),RIGHT('Pegar ML'!AC434,8))</f>
        <v/>
      </c>
      <c r="N438" s="27" t="s">
        <v>80</v>
      </c>
      <c r="O438" s="27">
        <f t="shared" si="18"/>
        <v>0</v>
      </c>
      <c r="P438" s="27" t="s">
        <v>80</v>
      </c>
      <c r="Q438" s="55">
        <f>IF('Pegar ML'!AD434=" ",'Pegar ML'!AD433,'Pegar ML'!AD434)</f>
        <v>0</v>
      </c>
      <c r="R438" s="27" t="s">
        <v>80</v>
      </c>
      <c r="S438" s="27" t="s">
        <v>80</v>
      </c>
      <c r="T438" s="27" t="s">
        <v>80</v>
      </c>
      <c r="U438" s="55">
        <f>IF('Pegar ML'!AI434=" ",'Pegar ML'!AI433,'Pegar ML'!AI434)</f>
        <v>0</v>
      </c>
      <c r="V438" s="55">
        <f>IF('Pegar ML'!AK434=" ",'Pegar ML'!AK433,'Pegar ML'!AK434)</f>
        <v>0</v>
      </c>
      <c r="W438" s="55">
        <f>IF('Pegar ML'!AJ434=" ",'Pegar ML'!AJ433,'Pegar ML'!AJ434)</f>
        <v>0</v>
      </c>
      <c r="X438" s="55">
        <f>IF('Pegar ML'!AL434=" ",'Pegar ML'!AL433,'Pegar ML'!AL434)</f>
        <v>0</v>
      </c>
      <c r="Y438" s="27"/>
      <c r="Z438" s="27"/>
      <c r="AA438" s="27"/>
      <c r="AB438" s="27"/>
      <c r="AC438" s="27"/>
      <c r="AD438" s="27"/>
      <c r="AF438" s="8"/>
      <c r="AG438" s="27"/>
      <c r="AH438" s="14">
        <f>+'Pegar ML'!Y434</f>
        <v>0</v>
      </c>
      <c r="AI438" s="13">
        <f t="shared" si="19"/>
        <v>1</v>
      </c>
      <c r="AJ438" s="7">
        <f>+'Pegar ML'!T434</f>
        <v>0</v>
      </c>
      <c r="AK438" s="27"/>
      <c r="AL438" s="27"/>
      <c r="AM438" s="27"/>
      <c r="AN438" s="27"/>
      <c r="AO438" s="27"/>
      <c r="AP438" s="27"/>
      <c r="AQ438" s="27"/>
      <c r="AR438" s="27"/>
      <c r="AS438" s="27">
        <v>17</v>
      </c>
    </row>
    <row r="439" spans="1:45" ht="15" customHeight="1" x14ac:dyDescent="0.25">
      <c r="A439" s="27">
        <f>IF('Pegar ML'!C434="Paquete de 2 productos",'Pegar ML'!A434,IF('Pegar ML'!C433="Paquete de 2 productos",'Pegar ML'!A433,'Pegar ML'!A435))</f>
        <v>0</v>
      </c>
      <c r="B439" s="27"/>
      <c r="C439" s="30" t="str">
        <f>IF(AjusteFecha!I435=0,"",AjusteFecha!I435)</f>
        <v/>
      </c>
      <c r="D439" s="27"/>
      <c r="E439" s="27"/>
      <c r="F439" s="27" t="str">
        <f>IF('Pegar ML'!C435="","",'Pegar ML'!C435)</f>
        <v/>
      </c>
      <c r="G439" s="27" t="str">
        <f>IF('Pegar ML'!G430="ARS","PS","PS")</f>
        <v>PS</v>
      </c>
      <c r="H439" s="14">
        <f>IF('Pegar ML'!C434="Paquete de 2 productos",IF('Pegar ML'!H434="",0,'Pegar ML'!H434),IF('Pegar ML'!H435="",0,'Pegar ML'!H435))</f>
        <v>0</v>
      </c>
      <c r="I439" s="14">
        <f>IF('Pegar ML'!C434="Paquete de 2 productos",IF('Pegar ML'!O434="",0,'Pegar ML'!O434),IF('Pegar ML'!O435="",0,'Pegar ML'!O435))</f>
        <v>0</v>
      </c>
      <c r="J439" s="14">
        <f>IF('Pegar ML'!C434="Paquete de 2 productos",IF('Pegar ML'!O434="",0,'Pegar ML'!O434),IF('Pegar ML'!O435="",0,'Pegar ML'!O435))</f>
        <v>0</v>
      </c>
      <c r="K439" s="14">
        <f t="shared" si="20"/>
        <v>0</v>
      </c>
      <c r="L439" s="27">
        <f>IF('Pegar ML'!AB435=" ",'Pegar ML'!AB434,'Pegar ML'!AB435)</f>
        <v>0</v>
      </c>
      <c r="M439" s="27" t="str">
        <f>IF('Pegar ML'!AC435=" ",RIGHT('Pegar ML'!AC434,8),RIGHT('Pegar ML'!AC435,8))</f>
        <v/>
      </c>
      <c r="N439" s="27" t="s">
        <v>80</v>
      </c>
      <c r="O439" s="27">
        <f t="shared" si="18"/>
        <v>0</v>
      </c>
      <c r="P439" s="27" t="s">
        <v>80</v>
      </c>
      <c r="Q439" s="55">
        <f>IF('Pegar ML'!AD435=" ",'Pegar ML'!AD434,'Pegar ML'!AD435)</f>
        <v>0</v>
      </c>
      <c r="R439" s="27" t="s">
        <v>80</v>
      </c>
      <c r="S439" s="27" t="s">
        <v>80</v>
      </c>
      <c r="T439" s="27" t="s">
        <v>80</v>
      </c>
      <c r="U439" s="55">
        <f>IF('Pegar ML'!AI435=" ",'Pegar ML'!AI434,'Pegar ML'!AI435)</f>
        <v>0</v>
      </c>
      <c r="V439" s="55">
        <f>IF('Pegar ML'!AK435=" ",'Pegar ML'!AK434,'Pegar ML'!AK435)</f>
        <v>0</v>
      </c>
      <c r="W439" s="55">
        <f>IF('Pegar ML'!AJ435=" ",'Pegar ML'!AJ434,'Pegar ML'!AJ435)</f>
        <v>0</v>
      </c>
      <c r="X439" s="55">
        <f>IF('Pegar ML'!AL435=" ",'Pegar ML'!AL434,'Pegar ML'!AL435)</f>
        <v>0</v>
      </c>
      <c r="Y439" s="27"/>
      <c r="Z439" s="27"/>
      <c r="AA439" s="27"/>
      <c r="AB439" s="27"/>
      <c r="AC439" s="27"/>
      <c r="AD439" s="27"/>
      <c r="AF439" s="8"/>
      <c r="AG439" s="27"/>
      <c r="AH439" s="14">
        <f>+'Pegar ML'!Y435</f>
        <v>0</v>
      </c>
      <c r="AI439" s="13">
        <f t="shared" si="19"/>
        <v>1</v>
      </c>
      <c r="AJ439" s="7">
        <f>+'Pegar ML'!T435</f>
        <v>0</v>
      </c>
      <c r="AK439" s="27"/>
      <c r="AL439" s="27"/>
      <c r="AM439" s="27"/>
      <c r="AN439" s="27"/>
      <c r="AO439" s="27"/>
      <c r="AP439" s="27"/>
      <c r="AQ439" s="27"/>
      <c r="AR439" s="27"/>
      <c r="AS439" s="27">
        <v>17</v>
      </c>
    </row>
    <row r="440" spans="1:45" ht="15" customHeight="1" x14ac:dyDescent="0.25">
      <c r="A440" s="27">
        <f>IF('Pegar ML'!C435="Paquete de 2 productos",'Pegar ML'!A435,IF('Pegar ML'!C434="Paquete de 2 productos",'Pegar ML'!A434,'Pegar ML'!A436))</f>
        <v>0</v>
      </c>
      <c r="B440" s="27"/>
      <c r="C440" s="30" t="str">
        <f>IF(AjusteFecha!I436=0,"",AjusteFecha!I436)</f>
        <v/>
      </c>
      <c r="D440" s="27"/>
      <c r="E440" s="27"/>
      <c r="F440" s="27" t="str">
        <f>IF('Pegar ML'!C436="","",'Pegar ML'!C436)</f>
        <v/>
      </c>
      <c r="G440" s="27" t="str">
        <f>IF('Pegar ML'!G431="ARS","PS","PS")</f>
        <v>PS</v>
      </c>
      <c r="H440" s="14">
        <f>IF('Pegar ML'!C435="Paquete de 2 productos",IF('Pegar ML'!H435="",0,'Pegar ML'!H435),IF('Pegar ML'!H436="",0,'Pegar ML'!H436))</f>
        <v>0</v>
      </c>
      <c r="I440" s="14">
        <f>IF('Pegar ML'!C435="Paquete de 2 productos",IF('Pegar ML'!O435="",0,'Pegar ML'!O435),IF('Pegar ML'!O436="",0,'Pegar ML'!O436))</f>
        <v>0</v>
      </c>
      <c r="J440" s="14">
        <f>IF('Pegar ML'!C435="Paquete de 2 productos",IF('Pegar ML'!O435="",0,'Pegar ML'!O435),IF('Pegar ML'!O436="",0,'Pegar ML'!O436))</f>
        <v>0</v>
      </c>
      <c r="K440" s="14">
        <f t="shared" si="20"/>
        <v>0</v>
      </c>
      <c r="L440" s="27">
        <f>IF('Pegar ML'!AB436=" ",'Pegar ML'!AB435,'Pegar ML'!AB436)</f>
        <v>0</v>
      </c>
      <c r="M440" s="27" t="str">
        <f>IF('Pegar ML'!AC436=" ",RIGHT('Pegar ML'!AC435,8),RIGHT('Pegar ML'!AC436,8))</f>
        <v/>
      </c>
      <c r="N440" s="27" t="s">
        <v>80</v>
      </c>
      <c r="O440" s="27">
        <f t="shared" si="18"/>
        <v>0</v>
      </c>
      <c r="P440" s="27" t="s">
        <v>80</v>
      </c>
      <c r="Q440" s="55">
        <f>IF('Pegar ML'!AD436=" ",'Pegar ML'!AD435,'Pegar ML'!AD436)</f>
        <v>0</v>
      </c>
      <c r="R440" s="27" t="s">
        <v>80</v>
      </c>
      <c r="S440" s="27" t="s">
        <v>80</v>
      </c>
      <c r="T440" s="27" t="s">
        <v>80</v>
      </c>
      <c r="U440" s="55">
        <f>IF('Pegar ML'!AI436=" ",'Pegar ML'!AI435,'Pegar ML'!AI436)</f>
        <v>0</v>
      </c>
      <c r="V440" s="55">
        <f>IF('Pegar ML'!AK436=" ",'Pegar ML'!AK435,'Pegar ML'!AK436)</f>
        <v>0</v>
      </c>
      <c r="W440" s="55">
        <f>IF('Pegar ML'!AJ436=" ",'Pegar ML'!AJ435,'Pegar ML'!AJ436)</f>
        <v>0</v>
      </c>
      <c r="X440" s="55">
        <f>IF('Pegar ML'!AL436=" ",'Pegar ML'!AL435,'Pegar ML'!AL436)</f>
        <v>0</v>
      </c>
      <c r="Y440" s="27"/>
      <c r="Z440" s="27"/>
      <c r="AA440" s="27"/>
      <c r="AB440" s="27"/>
      <c r="AC440" s="27"/>
      <c r="AD440" s="27"/>
      <c r="AF440" s="8"/>
      <c r="AG440" s="27"/>
      <c r="AH440" s="14">
        <f>+'Pegar ML'!Y436</f>
        <v>0</v>
      </c>
      <c r="AI440" s="13">
        <f t="shared" si="19"/>
        <v>1</v>
      </c>
      <c r="AJ440" s="7">
        <f>+'Pegar ML'!T436</f>
        <v>0</v>
      </c>
      <c r="AK440" s="27"/>
      <c r="AL440" s="27"/>
      <c r="AM440" s="27"/>
      <c r="AN440" s="27"/>
      <c r="AO440" s="27"/>
      <c r="AP440" s="27"/>
      <c r="AQ440" s="27"/>
      <c r="AR440" s="27"/>
      <c r="AS440" s="27">
        <v>17</v>
      </c>
    </row>
    <row r="441" spans="1:45" ht="15" customHeight="1" x14ac:dyDescent="0.25">
      <c r="A441" s="27">
        <f>IF('Pegar ML'!C436="Paquete de 2 productos",'Pegar ML'!A436,IF('Pegar ML'!C435="Paquete de 2 productos",'Pegar ML'!A435,'Pegar ML'!A437))</f>
        <v>0</v>
      </c>
      <c r="B441" s="27"/>
      <c r="C441" s="30" t="str">
        <f>IF(AjusteFecha!I437=0,"",AjusteFecha!I437)</f>
        <v/>
      </c>
      <c r="D441" s="27"/>
      <c r="E441" s="27"/>
      <c r="F441" s="27" t="str">
        <f>IF('Pegar ML'!C437="","",'Pegar ML'!C437)</f>
        <v/>
      </c>
      <c r="G441" s="27" t="str">
        <f>IF('Pegar ML'!G432="ARS","PS","PS")</f>
        <v>PS</v>
      </c>
      <c r="H441" s="14">
        <f>IF('Pegar ML'!C436="Paquete de 2 productos",IF('Pegar ML'!H436="",0,'Pegar ML'!H436),IF('Pegar ML'!H437="",0,'Pegar ML'!H437))</f>
        <v>0</v>
      </c>
      <c r="I441" s="14">
        <f>IF('Pegar ML'!C436="Paquete de 2 productos",IF('Pegar ML'!O436="",0,'Pegar ML'!O436),IF('Pegar ML'!O437="",0,'Pegar ML'!O437))</f>
        <v>0</v>
      </c>
      <c r="J441" s="14">
        <f>IF('Pegar ML'!C436="Paquete de 2 productos",IF('Pegar ML'!O436="",0,'Pegar ML'!O436),IF('Pegar ML'!O437="",0,'Pegar ML'!O437))</f>
        <v>0</v>
      </c>
      <c r="K441" s="14">
        <f t="shared" si="20"/>
        <v>0</v>
      </c>
      <c r="L441" s="27">
        <f>IF('Pegar ML'!AB437=" ",'Pegar ML'!AB436,'Pegar ML'!AB437)</f>
        <v>0</v>
      </c>
      <c r="M441" s="27" t="str">
        <f>IF('Pegar ML'!AC437=" ",RIGHT('Pegar ML'!AC436,8),RIGHT('Pegar ML'!AC437,8))</f>
        <v/>
      </c>
      <c r="N441" s="27" t="s">
        <v>80</v>
      </c>
      <c r="O441" s="27">
        <f t="shared" si="18"/>
        <v>0</v>
      </c>
      <c r="P441" s="27" t="s">
        <v>80</v>
      </c>
      <c r="Q441" s="55">
        <f>IF('Pegar ML'!AD437=" ",'Pegar ML'!AD436,'Pegar ML'!AD437)</f>
        <v>0</v>
      </c>
      <c r="R441" s="27" t="s">
        <v>80</v>
      </c>
      <c r="S441" s="27" t="s">
        <v>80</v>
      </c>
      <c r="T441" s="27" t="s">
        <v>80</v>
      </c>
      <c r="U441" s="55">
        <f>IF('Pegar ML'!AI437=" ",'Pegar ML'!AI436,'Pegar ML'!AI437)</f>
        <v>0</v>
      </c>
      <c r="V441" s="55">
        <f>IF('Pegar ML'!AK437=" ",'Pegar ML'!AK436,'Pegar ML'!AK437)</f>
        <v>0</v>
      </c>
      <c r="W441" s="55">
        <f>IF('Pegar ML'!AJ437=" ",'Pegar ML'!AJ436,'Pegar ML'!AJ437)</f>
        <v>0</v>
      </c>
      <c r="X441" s="55">
        <f>IF('Pegar ML'!AL437=" ",'Pegar ML'!AL436,'Pegar ML'!AL437)</f>
        <v>0</v>
      </c>
      <c r="Y441" s="27"/>
      <c r="Z441" s="27"/>
      <c r="AA441" s="27"/>
      <c r="AB441" s="27"/>
      <c r="AC441" s="27"/>
      <c r="AD441" s="27"/>
      <c r="AF441" s="8"/>
      <c r="AG441" s="27"/>
      <c r="AH441" s="14">
        <f>+'Pegar ML'!Y437</f>
        <v>0</v>
      </c>
      <c r="AI441" s="13">
        <f t="shared" si="19"/>
        <v>1</v>
      </c>
      <c r="AJ441" s="7">
        <f>+'Pegar ML'!T437</f>
        <v>0</v>
      </c>
      <c r="AK441" s="27"/>
      <c r="AL441" s="27"/>
      <c r="AM441" s="27"/>
      <c r="AN441" s="27"/>
      <c r="AO441" s="27"/>
      <c r="AP441" s="27"/>
      <c r="AQ441" s="27"/>
      <c r="AR441" s="27"/>
      <c r="AS441" s="27">
        <v>17</v>
      </c>
    </row>
    <row r="442" spans="1:45" ht="15" customHeight="1" x14ac:dyDescent="0.25">
      <c r="A442" s="27">
        <f>IF('Pegar ML'!C437="Paquete de 2 productos",'Pegar ML'!A437,IF('Pegar ML'!C436="Paquete de 2 productos",'Pegar ML'!A436,'Pegar ML'!A438))</f>
        <v>0</v>
      </c>
      <c r="B442" s="27"/>
      <c r="C442" s="30" t="str">
        <f>IF(AjusteFecha!I438=0,"",AjusteFecha!I438)</f>
        <v/>
      </c>
      <c r="D442" s="27"/>
      <c r="E442" s="27"/>
      <c r="F442" s="27" t="str">
        <f>IF('Pegar ML'!C438="","",'Pegar ML'!C438)</f>
        <v/>
      </c>
      <c r="G442" s="27" t="str">
        <f>IF('Pegar ML'!G433="ARS","PS","PS")</f>
        <v>PS</v>
      </c>
      <c r="H442" s="14">
        <f>IF('Pegar ML'!C437="Paquete de 2 productos",IF('Pegar ML'!H437="",0,'Pegar ML'!H437),IF('Pegar ML'!H438="",0,'Pegar ML'!H438))</f>
        <v>0</v>
      </c>
      <c r="I442" s="14">
        <f>IF('Pegar ML'!C437="Paquete de 2 productos",IF('Pegar ML'!O437="",0,'Pegar ML'!O437),IF('Pegar ML'!O438="",0,'Pegar ML'!O438))</f>
        <v>0</v>
      </c>
      <c r="J442" s="14">
        <f>IF('Pegar ML'!C437="Paquete de 2 productos",IF('Pegar ML'!O437="",0,'Pegar ML'!O437),IF('Pegar ML'!O438="",0,'Pegar ML'!O438))</f>
        <v>0</v>
      </c>
      <c r="K442" s="14">
        <f t="shared" si="20"/>
        <v>0</v>
      </c>
      <c r="L442" s="27">
        <f>IF('Pegar ML'!AB438=" ",'Pegar ML'!AB437,'Pegar ML'!AB438)</f>
        <v>0</v>
      </c>
      <c r="M442" s="27" t="str">
        <f>IF('Pegar ML'!AC438=" ",RIGHT('Pegar ML'!AC437,8),RIGHT('Pegar ML'!AC438,8))</f>
        <v/>
      </c>
      <c r="N442" s="27" t="s">
        <v>80</v>
      </c>
      <c r="O442" s="27">
        <f t="shared" si="18"/>
        <v>0</v>
      </c>
      <c r="P442" s="27" t="s">
        <v>80</v>
      </c>
      <c r="Q442" s="55">
        <f>IF('Pegar ML'!AD438=" ",'Pegar ML'!AD437,'Pegar ML'!AD438)</f>
        <v>0</v>
      </c>
      <c r="R442" s="27" t="s">
        <v>80</v>
      </c>
      <c r="S442" s="27" t="s">
        <v>80</v>
      </c>
      <c r="T442" s="27" t="s">
        <v>80</v>
      </c>
      <c r="U442" s="55">
        <f>IF('Pegar ML'!AI438=" ",'Pegar ML'!AI437,'Pegar ML'!AI438)</f>
        <v>0</v>
      </c>
      <c r="V442" s="55">
        <f>IF('Pegar ML'!AK438=" ",'Pegar ML'!AK437,'Pegar ML'!AK438)</f>
        <v>0</v>
      </c>
      <c r="W442" s="55">
        <f>IF('Pegar ML'!AJ438=" ",'Pegar ML'!AJ437,'Pegar ML'!AJ438)</f>
        <v>0</v>
      </c>
      <c r="X442" s="55">
        <f>IF('Pegar ML'!AL438=" ",'Pegar ML'!AL437,'Pegar ML'!AL438)</f>
        <v>0</v>
      </c>
      <c r="Y442" s="27"/>
      <c r="Z442" s="27"/>
      <c r="AA442" s="27"/>
      <c r="AB442" s="27"/>
      <c r="AC442" s="27"/>
      <c r="AD442" s="27"/>
      <c r="AF442" s="8"/>
      <c r="AG442" s="27"/>
      <c r="AH442" s="14">
        <f>+'Pegar ML'!Y438</f>
        <v>0</v>
      </c>
      <c r="AI442" s="13">
        <f t="shared" si="19"/>
        <v>1</v>
      </c>
      <c r="AJ442" s="7">
        <f>+'Pegar ML'!T438</f>
        <v>0</v>
      </c>
      <c r="AK442" s="27"/>
      <c r="AL442" s="27"/>
      <c r="AM442" s="27"/>
      <c r="AN442" s="27"/>
      <c r="AO442" s="27"/>
      <c r="AP442" s="27"/>
      <c r="AQ442" s="27"/>
      <c r="AR442" s="27"/>
      <c r="AS442" s="27">
        <v>17</v>
      </c>
    </row>
    <row r="443" spans="1:45" ht="15" customHeight="1" x14ac:dyDescent="0.25">
      <c r="A443" s="27">
        <f>IF('Pegar ML'!C438="Paquete de 2 productos",'Pegar ML'!A438,IF('Pegar ML'!C437="Paquete de 2 productos",'Pegar ML'!A437,'Pegar ML'!A439))</f>
        <v>0</v>
      </c>
      <c r="B443" s="27"/>
      <c r="C443" s="30" t="str">
        <f>IF(AjusteFecha!I439=0,"",AjusteFecha!I439)</f>
        <v/>
      </c>
      <c r="D443" s="27"/>
      <c r="E443" s="27"/>
      <c r="F443" s="27" t="str">
        <f>IF('Pegar ML'!C439="","",'Pegar ML'!C439)</f>
        <v/>
      </c>
      <c r="G443" s="27" t="str">
        <f>IF('Pegar ML'!G434="ARS","PS","PS")</f>
        <v>PS</v>
      </c>
      <c r="H443" s="14">
        <f>IF('Pegar ML'!C438="Paquete de 2 productos",IF('Pegar ML'!H438="",0,'Pegar ML'!H438),IF('Pegar ML'!H439="",0,'Pegar ML'!H439))</f>
        <v>0</v>
      </c>
      <c r="I443" s="14">
        <f>IF('Pegar ML'!C438="Paquete de 2 productos",IF('Pegar ML'!O438="",0,'Pegar ML'!O438),IF('Pegar ML'!O439="",0,'Pegar ML'!O439))</f>
        <v>0</v>
      </c>
      <c r="J443" s="14">
        <f>IF('Pegar ML'!C438="Paquete de 2 productos",IF('Pegar ML'!O438="",0,'Pegar ML'!O438),IF('Pegar ML'!O439="",0,'Pegar ML'!O439))</f>
        <v>0</v>
      </c>
      <c r="K443" s="14">
        <f t="shared" si="20"/>
        <v>0</v>
      </c>
      <c r="L443" s="27">
        <f>IF('Pegar ML'!AB439=" ",'Pegar ML'!AB438,'Pegar ML'!AB439)</f>
        <v>0</v>
      </c>
      <c r="M443" s="27" t="str">
        <f>IF('Pegar ML'!AC439=" ",RIGHT('Pegar ML'!AC438,8),RIGHT('Pegar ML'!AC439,8))</f>
        <v/>
      </c>
      <c r="N443" s="27" t="s">
        <v>80</v>
      </c>
      <c r="O443" s="27">
        <f t="shared" si="18"/>
        <v>0</v>
      </c>
      <c r="P443" s="27" t="s">
        <v>80</v>
      </c>
      <c r="Q443" s="55">
        <f>IF('Pegar ML'!AD439=" ",'Pegar ML'!AD438,'Pegar ML'!AD439)</f>
        <v>0</v>
      </c>
      <c r="R443" s="27" t="s">
        <v>80</v>
      </c>
      <c r="S443" s="27" t="s">
        <v>80</v>
      </c>
      <c r="T443" s="27" t="s">
        <v>80</v>
      </c>
      <c r="U443" s="55">
        <f>IF('Pegar ML'!AI439=" ",'Pegar ML'!AI438,'Pegar ML'!AI439)</f>
        <v>0</v>
      </c>
      <c r="V443" s="55">
        <f>IF('Pegar ML'!AK439=" ",'Pegar ML'!AK438,'Pegar ML'!AK439)</f>
        <v>0</v>
      </c>
      <c r="W443" s="55">
        <f>IF('Pegar ML'!AJ439=" ",'Pegar ML'!AJ438,'Pegar ML'!AJ439)</f>
        <v>0</v>
      </c>
      <c r="X443" s="55">
        <f>IF('Pegar ML'!AL439=" ",'Pegar ML'!AL438,'Pegar ML'!AL439)</f>
        <v>0</v>
      </c>
      <c r="Y443" s="27"/>
      <c r="Z443" s="27"/>
      <c r="AA443" s="27"/>
      <c r="AB443" s="27"/>
      <c r="AC443" s="27"/>
      <c r="AD443" s="27"/>
      <c r="AF443" s="8"/>
      <c r="AG443" s="27"/>
      <c r="AH443" s="14">
        <f>+'Pegar ML'!Y439</f>
        <v>0</v>
      </c>
      <c r="AI443" s="13">
        <f t="shared" si="19"/>
        <v>1</v>
      </c>
      <c r="AJ443" s="7">
        <f>+'Pegar ML'!T439</f>
        <v>0</v>
      </c>
      <c r="AK443" s="27"/>
      <c r="AL443" s="27"/>
      <c r="AM443" s="27"/>
      <c r="AN443" s="27"/>
      <c r="AO443" s="27"/>
      <c r="AP443" s="27"/>
      <c r="AQ443" s="27"/>
      <c r="AR443" s="27"/>
      <c r="AS443" s="27">
        <v>17</v>
      </c>
    </row>
    <row r="444" spans="1:45" ht="15" customHeight="1" x14ac:dyDescent="0.25">
      <c r="A444" s="27">
        <f>IF('Pegar ML'!C439="Paquete de 2 productos",'Pegar ML'!A439,IF('Pegar ML'!C438="Paquete de 2 productos",'Pegar ML'!A438,'Pegar ML'!A440))</f>
        <v>0</v>
      </c>
      <c r="B444" s="27"/>
      <c r="C444" s="30" t="str">
        <f>IF(AjusteFecha!I440=0,"",AjusteFecha!I440)</f>
        <v/>
      </c>
      <c r="D444" s="27"/>
      <c r="E444" s="27"/>
      <c r="F444" s="27" t="str">
        <f>IF('Pegar ML'!C440="","",'Pegar ML'!C440)</f>
        <v/>
      </c>
      <c r="G444" s="27" t="str">
        <f>IF('Pegar ML'!G435="ARS","PS","PS")</f>
        <v>PS</v>
      </c>
      <c r="H444" s="14">
        <f>IF('Pegar ML'!C439="Paquete de 2 productos",IF('Pegar ML'!H439="",0,'Pegar ML'!H439),IF('Pegar ML'!H440="",0,'Pegar ML'!H440))</f>
        <v>0</v>
      </c>
      <c r="I444" s="14">
        <f>IF('Pegar ML'!C439="Paquete de 2 productos",IF('Pegar ML'!O439="",0,'Pegar ML'!O439),IF('Pegar ML'!O440="",0,'Pegar ML'!O440))</f>
        <v>0</v>
      </c>
      <c r="J444" s="14">
        <f>IF('Pegar ML'!C439="Paquete de 2 productos",IF('Pegar ML'!O439="",0,'Pegar ML'!O439),IF('Pegar ML'!O440="",0,'Pegar ML'!O440))</f>
        <v>0</v>
      </c>
      <c r="K444" s="14">
        <f t="shared" si="20"/>
        <v>0</v>
      </c>
      <c r="L444" s="27">
        <f>IF('Pegar ML'!AB440=" ",'Pegar ML'!AB439,'Pegar ML'!AB440)</f>
        <v>0</v>
      </c>
      <c r="M444" s="27" t="str">
        <f>IF('Pegar ML'!AC440=" ",RIGHT('Pegar ML'!AC439,8),RIGHT('Pegar ML'!AC440,8))</f>
        <v/>
      </c>
      <c r="N444" s="27" t="s">
        <v>80</v>
      </c>
      <c r="O444" s="27">
        <f t="shared" si="18"/>
        <v>0</v>
      </c>
      <c r="P444" s="27" t="s">
        <v>80</v>
      </c>
      <c r="Q444" s="55">
        <f>IF('Pegar ML'!AD440=" ",'Pegar ML'!AD439,'Pegar ML'!AD440)</f>
        <v>0</v>
      </c>
      <c r="R444" s="27" t="s">
        <v>80</v>
      </c>
      <c r="S444" s="27" t="s">
        <v>80</v>
      </c>
      <c r="T444" s="27" t="s">
        <v>80</v>
      </c>
      <c r="U444" s="55">
        <f>IF('Pegar ML'!AI440=" ",'Pegar ML'!AI439,'Pegar ML'!AI440)</f>
        <v>0</v>
      </c>
      <c r="V444" s="55">
        <f>IF('Pegar ML'!AK440=" ",'Pegar ML'!AK439,'Pegar ML'!AK440)</f>
        <v>0</v>
      </c>
      <c r="W444" s="55">
        <f>IF('Pegar ML'!AJ440=" ",'Pegar ML'!AJ439,'Pegar ML'!AJ440)</f>
        <v>0</v>
      </c>
      <c r="X444" s="55">
        <f>IF('Pegar ML'!AL440=" ",'Pegar ML'!AL439,'Pegar ML'!AL440)</f>
        <v>0</v>
      </c>
      <c r="Y444" s="27"/>
      <c r="Z444" s="27"/>
      <c r="AA444" s="27"/>
      <c r="AB444" s="27"/>
      <c r="AC444" s="27"/>
      <c r="AD444" s="27"/>
      <c r="AF444" s="8"/>
      <c r="AG444" s="27"/>
      <c r="AH444" s="14">
        <f>+'Pegar ML'!Y440</f>
        <v>0</v>
      </c>
      <c r="AI444" s="13">
        <f t="shared" si="19"/>
        <v>1</v>
      </c>
      <c r="AJ444" s="7">
        <f>+'Pegar ML'!T440</f>
        <v>0</v>
      </c>
      <c r="AK444" s="27"/>
      <c r="AL444" s="27"/>
      <c r="AM444" s="27"/>
      <c r="AN444" s="27"/>
      <c r="AO444" s="27"/>
      <c r="AP444" s="27"/>
      <c r="AQ444" s="27"/>
      <c r="AR444" s="27"/>
      <c r="AS444" s="27">
        <v>17</v>
      </c>
    </row>
    <row r="445" spans="1:45" ht="15" customHeight="1" x14ac:dyDescent="0.25">
      <c r="A445" s="27">
        <f>IF('Pegar ML'!C440="Paquete de 2 productos",'Pegar ML'!A440,IF('Pegar ML'!C439="Paquete de 2 productos",'Pegar ML'!A439,'Pegar ML'!A441))</f>
        <v>0</v>
      </c>
      <c r="B445" s="27"/>
      <c r="C445" s="30" t="str">
        <f>IF(AjusteFecha!I441=0,"",AjusteFecha!I441)</f>
        <v/>
      </c>
      <c r="D445" s="27"/>
      <c r="E445" s="27"/>
      <c r="F445" s="27" t="str">
        <f>IF('Pegar ML'!C441="","",'Pegar ML'!C441)</f>
        <v/>
      </c>
      <c r="G445" s="27" t="str">
        <f>IF('Pegar ML'!G436="ARS","PS","PS")</f>
        <v>PS</v>
      </c>
      <c r="H445" s="14">
        <f>IF('Pegar ML'!C440="Paquete de 2 productos",IF('Pegar ML'!H440="",0,'Pegar ML'!H440),IF('Pegar ML'!H441="",0,'Pegar ML'!H441))</f>
        <v>0</v>
      </c>
      <c r="I445" s="14">
        <f>IF('Pegar ML'!C440="Paquete de 2 productos",IF('Pegar ML'!O440="",0,'Pegar ML'!O440),IF('Pegar ML'!O441="",0,'Pegar ML'!O441))</f>
        <v>0</v>
      </c>
      <c r="J445" s="14">
        <f>IF('Pegar ML'!C440="Paquete de 2 productos",IF('Pegar ML'!O440="",0,'Pegar ML'!O440),IF('Pegar ML'!O441="",0,'Pegar ML'!O441))</f>
        <v>0</v>
      </c>
      <c r="K445" s="14">
        <f t="shared" si="20"/>
        <v>0</v>
      </c>
      <c r="L445" s="27">
        <f>IF('Pegar ML'!AB441=" ",'Pegar ML'!AB440,'Pegar ML'!AB441)</f>
        <v>0</v>
      </c>
      <c r="M445" s="27" t="str">
        <f>IF('Pegar ML'!AC441=" ",RIGHT('Pegar ML'!AC440,8),RIGHT('Pegar ML'!AC441,8))</f>
        <v/>
      </c>
      <c r="N445" s="27" t="s">
        <v>80</v>
      </c>
      <c r="O445" s="27">
        <f t="shared" si="18"/>
        <v>0</v>
      </c>
      <c r="P445" s="27" t="s">
        <v>80</v>
      </c>
      <c r="Q445" s="55">
        <f>IF('Pegar ML'!AD441=" ",'Pegar ML'!AD440,'Pegar ML'!AD441)</f>
        <v>0</v>
      </c>
      <c r="R445" s="27" t="s">
        <v>80</v>
      </c>
      <c r="S445" s="27" t="s">
        <v>80</v>
      </c>
      <c r="T445" s="27" t="s">
        <v>80</v>
      </c>
      <c r="U445" s="55">
        <f>IF('Pegar ML'!AI441=" ",'Pegar ML'!AI440,'Pegar ML'!AI441)</f>
        <v>0</v>
      </c>
      <c r="V445" s="55">
        <f>IF('Pegar ML'!AK441=" ",'Pegar ML'!AK440,'Pegar ML'!AK441)</f>
        <v>0</v>
      </c>
      <c r="W445" s="55">
        <f>IF('Pegar ML'!AJ441=" ",'Pegar ML'!AJ440,'Pegar ML'!AJ441)</f>
        <v>0</v>
      </c>
      <c r="X445" s="55">
        <f>IF('Pegar ML'!AL441=" ",'Pegar ML'!AL440,'Pegar ML'!AL441)</f>
        <v>0</v>
      </c>
      <c r="Y445" s="27"/>
      <c r="Z445" s="27"/>
      <c r="AA445" s="27"/>
      <c r="AB445" s="27"/>
      <c r="AC445" s="27"/>
      <c r="AD445" s="27"/>
      <c r="AF445" s="8"/>
      <c r="AG445" s="27"/>
      <c r="AH445" s="14">
        <f>+'Pegar ML'!Y441</f>
        <v>0</v>
      </c>
      <c r="AI445" s="13">
        <f t="shared" si="19"/>
        <v>1</v>
      </c>
      <c r="AJ445" s="7">
        <f>+'Pegar ML'!T441</f>
        <v>0</v>
      </c>
      <c r="AK445" s="27"/>
      <c r="AL445" s="27"/>
      <c r="AM445" s="27"/>
      <c r="AN445" s="27"/>
      <c r="AO445" s="27"/>
      <c r="AP445" s="27"/>
      <c r="AQ445" s="27"/>
      <c r="AR445" s="27"/>
      <c r="AS445" s="27">
        <v>17</v>
      </c>
    </row>
    <row r="446" spans="1:45" ht="15" customHeight="1" x14ac:dyDescent="0.25">
      <c r="A446" s="27">
        <f>IF('Pegar ML'!C441="Paquete de 2 productos",'Pegar ML'!A441,IF('Pegar ML'!C440="Paquete de 2 productos",'Pegar ML'!A440,'Pegar ML'!A442))</f>
        <v>0</v>
      </c>
      <c r="B446" s="27"/>
      <c r="C446" s="30" t="str">
        <f>IF(AjusteFecha!I442=0,"",AjusteFecha!I442)</f>
        <v/>
      </c>
      <c r="D446" s="27"/>
      <c r="E446" s="27"/>
      <c r="F446" s="27" t="str">
        <f>IF('Pegar ML'!C442="","",'Pegar ML'!C442)</f>
        <v/>
      </c>
      <c r="G446" s="27" t="str">
        <f>IF('Pegar ML'!G437="ARS","PS","PS")</f>
        <v>PS</v>
      </c>
      <c r="H446" s="14">
        <f>IF('Pegar ML'!C441="Paquete de 2 productos",IF('Pegar ML'!H441="",0,'Pegar ML'!H441),IF('Pegar ML'!H442="",0,'Pegar ML'!H442))</f>
        <v>0</v>
      </c>
      <c r="I446" s="14">
        <f>IF('Pegar ML'!C441="Paquete de 2 productos",IF('Pegar ML'!O441="",0,'Pegar ML'!O441),IF('Pegar ML'!O442="",0,'Pegar ML'!O442))</f>
        <v>0</v>
      </c>
      <c r="J446" s="14">
        <f>IF('Pegar ML'!C441="Paquete de 2 productos",IF('Pegar ML'!O441="",0,'Pegar ML'!O441),IF('Pegar ML'!O442="",0,'Pegar ML'!O442))</f>
        <v>0</v>
      </c>
      <c r="K446" s="14">
        <f t="shared" si="20"/>
        <v>0</v>
      </c>
      <c r="L446" s="27">
        <f>IF('Pegar ML'!AB442=" ",'Pegar ML'!AB441,'Pegar ML'!AB442)</f>
        <v>0</v>
      </c>
      <c r="M446" s="27" t="str">
        <f>IF('Pegar ML'!AC442=" ",RIGHT('Pegar ML'!AC441,8),RIGHT('Pegar ML'!AC442,8))</f>
        <v/>
      </c>
      <c r="N446" s="27" t="s">
        <v>80</v>
      </c>
      <c r="O446" s="27">
        <f t="shared" si="18"/>
        <v>0</v>
      </c>
      <c r="P446" s="27" t="s">
        <v>80</v>
      </c>
      <c r="Q446" s="55">
        <f>IF('Pegar ML'!AD442=" ",'Pegar ML'!AD441,'Pegar ML'!AD442)</f>
        <v>0</v>
      </c>
      <c r="R446" s="27" t="s">
        <v>80</v>
      </c>
      <c r="S446" s="27" t="s">
        <v>80</v>
      </c>
      <c r="T446" s="27" t="s">
        <v>80</v>
      </c>
      <c r="U446" s="55">
        <f>IF('Pegar ML'!AI442=" ",'Pegar ML'!AI441,'Pegar ML'!AI442)</f>
        <v>0</v>
      </c>
      <c r="V446" s="55">
        <f>IF('Pegar ML'!AK442=" ",'Pegar ML'!AK441,'Pegar ML'!AK442)</f>
        <v>0</v>
      </c>
      <c r="W446" s="55">
        <f>IF('Pegar ML'!AJ442=" ",'Pegar ML'!AJ441,'Pegar ML'!AJ442)</f>
        <v>0</v>
      </c>
      <c r="X446" s="55">
        <f>IF('Pegar ML'!AL442=" ",'Pegar ML'!AL441,'Pegar ML'!AL442)</f>
        <v>0</v>
      </c>
      <c r="Y446" s="27"/>
      <c r="Z446" s="27"/>
      <c r="AA446" s="27"/>
      <c r="AB446" s="27"/>
      <c r="AC446" s="27"/>
      <c r="AD446" s="27"/>
      <c r="AF446" s="8"/>
      <c r="AG446" s="27"/>
      <c r="AH446" s="14">
        <f>+'Pegar ML'!Y442</f>
        <v>0</v>
      </c>
      <c r="AI446" s="13">
        <f t="shared" si="19"/>
        <v>1</v>
      </c>
      <c r="AJ446" s="7">
        <f>+'Pegar ML'!T442</f>
        <v>0</v>
      </c>
      <c r="AK446" s="27"/>
      <c r="AL446" s="27"/>
      <c r="AM446" s="27"/>
      <c r="AN446" s="27"/>
      <c r="AO446" s="27"/>
      <c r="AP446" s="27"/>
      <c r="AQ446" s="27"/>
      <c r="AR446" s="27"/>
      <c r="AS446" s="27">
        <v>17</v>
      </c>
    </row>
    <row r="447" spans="1:45" ht="15" customHeight="1" x14ac:dyDescent="0.25">
      <c r="A447" s="27">
        <f>IF('Pegar ML'!C442="Paquete de 2 productos",'Pegar ML'!A442,IF('Pegar ML'!C441="Paquete de 2 productos",'Pegar ML'!A441,'Pegar ML'!A443))</f>
        <v>0</v>
      </c>
      <c r="B447" s="27"/>
      <c r="C447" s="30" t="str">
        <f>IF(AjusteFecha!I443=0,"",AjusteFecha!I443)</f>
        <v/>
      </c>
      <c r="D447" s="27"/>
      <c r="E447" s="27"/>
      <c r="F447" s="27" t="str">
        <f>IF('Pegar ML'!C443="","",'Pegar ML'!C443)</f>
        <v/>
      </c>
      <c r="G447" s="27" t="str">
        <f>IF('Pegar ML'!G438="ARS","PS","PS")</f>
        <v>PS</v>
      </c>
      <c r="H447" s="14">
        <f>IF('Pegar ML'!C442="Paquete de 2 productos",IF('Pegar ML'!H442="",0,'Pegar ML'!H442),IF('Pegar ML'!H443="",0,'Pegar ML'!H443))</f>
        <v>0</v>
      </c>
      <c r="I447" s="14">
        <f>IF('Pegar ML'!C442="Paquete de 2 productos",IF('Pegar ML'!O442="",0,'Pegar ML'!O442),IF('Pegar ML'!O443="",0,'Pegar ML'!O443))</f>
        <v>0</v>
      </c>
      <c r="J447" s="14">
        <f>IF('Pegar ML'!C442="Paquete de 2 productos",IF('Pegar ML'!O442="",0,'Pegar ML'!O442),IF('Pegar ML'!O443="",0,'Pegar ML'!O443))</f>
        <v>0</v>
      </c>
      <c r="K447" s="14">
        <f t="shared" si="20"/>
        <v>0</v>
      </c>
      <c r="L447" s="27">
        <f>IF('Pegar ML'!AB443=" ",'Pegar ML'!AB442,'Pegar ML'!AB443)</f>
        <v>0</v>
      </c>
      <c r="M447" s="27" t="str">
        <f>IF('Pegar ML'!AC443=" ",RIGHT('Pegar ML'!AC442,8),RIGHT('Pegar ML'!AC443,8))</f>
        <v/>
      </c>
      <c r="N447" s="27" t="s">
        <v>80</v>
      </c>
      <c r="O447" s="27">
        <f t="shared" si="18"/>
        <v>0</v>
      </c>
      <c r="P447" s="27" t="s">
        <v>80</v>
      </c>
      <c r="Q447" s="55">
        <f>IF('Pegar ML'!AD443=" ",'Pegar ML'!AD442,'Pegar ML'!AD443)</f>
        <v>0</v>
      </c>
      <c r="R447" s="27" t="s">
        <v>80</v>
      </c>
      <c r="S447" s="27" t="s">
        <v>80</v>
      </c>
      <c r="T447" s="27" t="s">
        <v>80</v>
      </c>
      <c r="U447" s="55">
        <f>IF('Pegar ML'!AI443=" ",'Pegar ML'!AI442,'Pegar ML'!AI443)</f>
        <v>0</v>
      </c>
      <c r="V447" s="55">
        <f>IF('Pegar ML'!AK443=" ",'Pegar ML'!AK442,'Pegar ML'!AK443)</f>
        <v>0</v>
      </c>
      <c r="W447" s="55">
        <f>IF('Pegar ML'!AJ443=" ",'Pegar ML'!AJ442,'Pegar ML'!AJ443)</f>
        <v>0</v>
      </c>
      <c r="X447" s="55">
        <f>IF('Pegar ML'!AL443=" ",'Pegar ML'!AL442,'Pegar ML'!AL443)</f>
        <v>0</v>
      </c>
      <c r="Y447" s="27"/>
      <c r="Z447" s="27"/>
      <c r="AA447" s="27"/>
      <c r="AB447" s="27"/>
      <c r="AC447" s="27"/>
      <c r="AD447" s="27"/>
      <c r="AF447" s="8"/>
      <c r="AG447" s="27"/>
      <c r="AH447" s="14">
        <f>+'Pegar ML'!Y443</f>
        <v>0</v>
      </c>
      <c r="AI447" s="13">
        <f t="shared" si="19"/>
        <v>1</v>
      </c>
      <c r="AJ447" s="7">
        <f>+'Pegar ML'!T443</f>
        <v>0</v>
      </c>
      <c r="AK447" s="27"/>
      <c r="AL447" s="27"/>
      <c r="AM447" s="27"/>
      <c r="AN447" s="27"/>
      <c r="AO447" s="27"/>
      <c r="AP447" s="27"/>
      <c r="AQ447" s="27"/>
      <c r="AR447" s="27"/>
      <c r="AS447" s="27">
        <v>17</v>
      </c>
    </row>
    <row r="448" spans="1:45" ht="15" customHeight="1" x14ac:dyDescent="0.25">
      <c r="A448" s="27">
        <f>IF('Pegar ML'!C443="Paquete de 2 productos",'Pegar ML'!A443,IF('Pegar ML'!C442="Paquete de 2 productos",'Pegar ML'!A442,'Pegar ML'!A444))</f>
        <v>0</v>
      </c>
      <c r="B448" s="27"/>
      <c r="C448" s="30" t="str">
        <f>IF(AjusteFecha!I444=0,"",AjusteFecha!I444)</f>
        <v/>
      </c>
      <c r="D448" s="27"/>
      <c r="E448" s="27"/>
      <c r="F448" s="27" t="str">
        <f>IF('Pegar ML'!C444="","",'Pegar ML'!C444)</f>
        <v/>
      </c>
      <c r="G448" s="27" t="str">
        <f>IF('Pegar ML'!G439="ARS","PS","PS")</f>
        <v>PS</v>
      </c>
      <c r="H448" s="14">
        <f>IF('Pegar ML'!C443="Paquete de 2 productos",IF('Pegar ML'!H443="",0,'Pegar ML'!H443),IF('Pegar ML'!H444="",0,'Pegar ML'!H444))</f>
        <v>0</v>
      </c>
      <c r="I448" s="14">
        <f>IF('Pegar ML'!C443="Paquete de 2 productos",IF('Pegar ML'!O443="",0,'Pegar ML'!O443),IF('Pegar ML'!O444="",0,'Pegar ML'!O444))</f>
        <v>0</v>
      </c>
      <c r="J448" s="14">
        <f>IF('Pegar ML'!C443="Paquete de 2 productos",IF('Pegar ML'!O443="",0,'Pegar ML'!O443),IF('Pegar ML'!O444="",0,'Pegar ML'!O444))</f>
        <v>0</v>
      </c>
      <c r="K448" s="14">
        <f t="shared" si="20"/>
        <v>0</v>
      </c>
      <c r="L448" s="27">
        <f>IF('Pegar ML'!AB444=" ",'Pegar ML'!AB443,'Pegar ML'!AB444)</f>
        <v>0</v>
      </c>
      <c r="M448" s="27" t="str">
        <f>IF('Pegar ML'!AC444=" ",RIGHT('Pegar ML'!AC443,8),RIGHT('Pegar ML'!AC444,8))</f>
        <v/>
      </c>
      <c r="N448" s="27" t="s">
        <v>80</v>
      </c>
      <c r="O448" s="27">
        <f t="shared" si="18"/>
        <v>0</v>
      </c>
      <c r="P448" s="27" t="s">
        <v>80</v>
      </c>
      <c r="Q448" s="55">
        <f>IF('Pegar ML'!AD444=" ",'Pegar ML'!AD443,'Pegar ML'!AD444)</f>
        <v>0</v>
      </c>
      <c r="R448" s="27" t="s">
        <v>80</v>
      </c>
      <c r="S448" s="27" t="s">
        <v>80</v>
      </c>
      <c r="T448" s="27" t="s">
        <v>80</v>
      </c>
      <c r="U448" s="55">
        <f>IF('Pegar ML'!AI444=" ",'Pegar ML'!AI443,'Pegar ML'!AI444)</f>
        <v>0</v>
      </c>
      <c r="V448" s="55">
        <f>IF('Pegar ML'!AK444=" ",'Pegar ML'!AK443,'Pegar ML'!AK444)</f>
        <v>0</v>
      </c>
      <c r="W448" s="55">
        <f>IF('Pegar ML'!AJ444=" ",'Pegar ML'!AJ443,'Pegar ML'!AJ444)</f>
        <v>0</v>
      </c>
      <c r="X448" s="55">
        <f>IF('Pegar ML'!AL444=" ",'Pegar ML'!AL443,'Pegar ML'!AL444)</f>
        <v>0</v>
      </c>
      <c r="Y448" s="27"/>
      <c r="Z448" s="27"/>
      <c r="AA448" s="27"/>
      <c r="AB448" s="27"/>
      <c r="AC448" s="27"/>
      <c r="AD448" s="27"/>
      <c r="AF448" s="8"/>
      <c r="AG448" s="27"/>
      <c r="AH448" s="14">
        <f>+'Pegar ML'!Y444</f>
        <v>0</v>
      </c>
      <c r="AI448" s="13">
        <f t="shared" si="19"/>
        <v>1</v>
      </c>
      <c r="AJ448" s="7">
        <f>+'Pegar ML'!T444</f>
        <v>0</v>
      </c>
      <c r="AK448" s="27"/>
      <c r="AL448" s="27"/>
      <c r="AM448" s="27"/>
      <c r="AN448" s="27"/>
      <c r="AO448" s="27"/>
      <c r="AP448" s="27"/>
      <c r="AQ448" s="27"/>
      <c r="AR448" s="27"/>
      <c r="AS448" s="27">
        <v>17</v>
      </c>
    </row>
    <row r="449" spans="1:45" ht="15" customHeight="1" x14ac:dyDescent="0.25">
      <c r="A449" s="27">
        <f>IF('Pegar ML'!C444="Paquete de 2 productos",'Pegar ML'!A444,IF('Pegar ML'!C443="Paquete de 2 productos",'Pegar ML'!A443,'Pegar ML'!A445))</f>
        <v>0</v>
      </c>
      <c r="B449" s="27"/>
      <c r="C449" s="30" t="str">
        <f>IF(AjusteFecha!I445=0,"",AjusteFecha!I445)</f>
        <v/>
      </c>
      <c r="D449" s="27"/>
      <c r="E449" s="27"/>
      <c r="F449" s="27" t="str">
        <f>IF('Pegar ML'!C445="","",'Pegar ML'!C445)</f>
        <v/>
      </c>
      <c r="G449" s="27" t="str">
        <f>IF('Pegar ML'!G440="ARS","PS","PS")</f>
        <v>PS</v>
      </c>
      <c r="H449" s="14">
        <f>IF('Pegar ML'!C444="Paquete de 2 productos",IF('Pegar ML'!H444="",0,'Pegar ML'!H444),IF('Pegar ML'!H445="",0,'Pegar ML'!H445))</f>
        <v>0</v>
      </c>
      <c r="I449" s="14">
        <f>IF('Pegar ML'!C444="Paquete de 2 productos",IF('Pegar ML'!O444="",0,'Pegar ML'!O444),IF('Pegar ML'!O445="",0,'Pegar ML'!O445))</f>
        <v>0</v>
      </c>
      <c r="J449" s="14">
        <f>IF('Pegar ML'!C444="Paquete de 2 productos",IF('Pegar ML'!O444="",0,'Pegar ML'!O444),IF('Pegar ML'!O445="",0,'Pegar ML'!O445))</f>
        <v>0</v>
      </c>
      <c r="K449" s="14">
        <f t="shared" si="20"/>
        <v>0</v>
      </c>
      <c r="L449" s="27">
        <f>IF('Pegar ML'!AB445=" ",'Pegar ML'!AB444,'Pegar ML'!AB445)</f>
        <v>0</v>
      </c>
      <c r="M449" s="27" t="str">
        <f>IF('Pegar ML'!AC445=" ",RIGHT('Pegar ML'!AC444,8),RIGHT('Pegar ML'!AC445,8))</f>
        <v/>
      </c>
      <c r="N449" s="27" t="s">
        <v>80</v>
      </c>
      <c r="O449" s="27">
        <f t="shared" si="18"/>
        <v>0</v>
      </c>
      <c r="P449" s="27" t="s">
        <v>80</v>
      </c>
      <c r="Q449" s="55">
        <f>IF('Pegar ML'!AD445=" ",'Pegar ML'!AD444,'Pegar ML'!AD445)</f>
        <v>0</v>
      </c>
      <c r="R449" s="27" t="s">
        <v>80</v>
      </c>
      <c r="S449" s="27" t="s">
        <v>80</v>
      </c>
      <c r="T449" s="27" t="s">
        <v>80</v>
      </c>
      <c r="U449" s="55">
        <f>IF('Pegar ML'!AI445=" ",'Pegar ML'!AI444,'Pegar ML'!AI445)</f>
        <v>0</v>
      </c>
      <c r="V449" s="55">
        <f>IF('Pegar ML'!AK445=" ",'Pegar ML'!AK444,'Pegar ML'!AK445)</f>
        <v>0</v>
      </c>
      <c r="W449" s="55">
        <f>IF('Pegar ML'!AJ445=" ",'Pegar ML'!AJ444,'Pegar ML'!AJ445)</f>
        <v>0</v>
      </c>
      <c r="X449" s="55">
        <f>IF('Pegar ML'!AL445=" ",'Pegar ML'!AL444,'Pegar ML'!AL445)</f>
        <v>0</v>
      </c>
      <c r="Y449" s="27"/>
      <c r="Z449" s="27"/>
      <c r="AA449" s="27"/>
      <c r="AB449" s="27"/>
      <c r="AC449" s="27"/>
      <c r="AD449" s="27"/>
      <c r="AF449" s="8"/>
      <c r="AG449" s="27"/>
      <c r="AH449" s="14">
        <f>+'Pegar ML'!Y445</f>
        <v>0</v>
      </c>
      <c r="AI449" s="13">
        <f t="shared" si="19"/>
        <v>1</v>
      </c>
      <c r="AJ449" s="7">
        <f>+'Pegar ML'!T445</f>
        <v>0</v>
      </c>
      <c r="AK449" s="27"/>
      <c r="AL449" s="27"/>
      <c r="AM449" s="27"/>
      <c r="AN449" s="27"/>
      <c r="AO449" s="27"/>
      <c r="AP449" s="27"/>
      <c r="AQ449" s="27"/>
      <c r="AR449" s="27"/>
      <c r="AS449" s="27">
        <v>17</v>
      </c>
    </row>
    <row r="450" spans="1:45" ht="15" customHeight="1" x14ac:dyDescent="0.25">
      <c r="A450" s="27">
        <f>IF('Pegar ML'!C445="Paquete de 2 productos",'Pegar ML'!A445,IF('Pegar ML'!C444="Paquete de 2 productos",'Pegar ML'!A444,'Pegar ML'!A446))</f>
        <v>0</v>
      </c>
      <c r="B450" s="27"/>
      <c r="C450" s="30" t="str">
        <f>IF(AjusteFecha!I446=0,"",AjusteFecha!I446)</f>
        <v/>
      </c>
      <c r="D450" s="27"/>
      <c r="E450" s="27"/>
      <c r="F450" s="27" t="str">
        <f>IF('Pegar ML'!C446="","",'Pegar ML'!C446)</f>
        <v/>
      </c>
      <c r="G450" s="27" t="str">
        <f>IF('Pegar ML'!G441="ARS","PS","PS")</f>
        <v>PS</v>
      </c>
      <c r="H450" s="14">
        <f>IF('Pegar ML'!C445="Paquete de 2 productos",IF('Pegar ML'!H445="",0,'Pegar ML'!H445),IF('Pegar ML'!H446="",0,'Pegar ML'!H446))</f>
        <v>0</v>
      </c>
      <c r="I450" s="14">
        <f>IF('Pegar ML'!C445="Paquete de 2 productos",IF('Pegar ML'!O445="",0,'Pegar ML'!O445),IF('Pegar ML'!O446="",0,'Pegar ML'!O446))</f>
        <v>0</v>
      </c>
      <c r="J450" s="14">
        <f>IF('Pegar ML'!C445="Paquete de 2 productos",IF('Pegar ML'!O445="",0,'Pegar ML'!O445),IF('Pegar ML'!O446="",0,'Pegar ML'!O446))</f>
        <v>0</v>
      </c>
      <c r="K450" s="14">
        <f t="shared" si="20"/>
        <v>0</v>
      </c>
      <c r="L450" s="27">
        <f>IF('Pegar ML'!AB446=" ",'Pegar ML'!AB445,'Pegar ML'!AB446)</f>
        <v>0</v>
      </c>
      <c r="M450" s="27" t="str">
        <f>IF('Pegar ML'!AC446=" ",RIGHT('Pegar ML'!AC445,8),RIGHT('Pegar ML'!AC446,8))</f>
        <v/>
      </c>
      <c r="N450" s="27" t="s">
        <v>80</v>
      </c>
      <c r="O450" s="27">
        <f t="shared" si="18"/>
        <v>0</v>
      </c>
      <c r="P450" s="27" t="s">
        <v>80</v>
      </c>
      <c r="Q450" s="55">
        <f>IF('Pegar ML'!AD446=" ",'Pegar ML'!AD445,'Pegar ML'!AD446)</f>
        <v>0</v>
      </c>
      <c r="R450" s="27" t="s">
        <v>80</v>
      </c>
      <c r="S450" s="27" t="s">
        <v>80</v>
      </c>
      <c r="T450" s="27" t="s">
        <v>80</v>
      </c>
      <c r="U450" s="55">
        <f>IF('Pegar ML'!AI446=" ",'Pegar ML'!AI445,'Pegar ML'!AI446)</f>
        <v>0</v>
      </c>
      <c r="V450" s="55">
        <f>IF('Pegar ML'!AK446=" ",'Pegar ML'!AK445,'Pegar ML'!AK446)</f>
        <v>0</v>
      </c>
      <c r="W450" s="55">
        <f>IF('Pegar ML'!AJ446=" ",'Pegar ML'!AJ445,'Pegar ML'!AJ446)</f>
        <v>0</v>
      </c>
      <c r="X450" s="55">
        <f>IF('Pegar ML'!AL446=" ",'Pegar ML'!AL445,'Pegar ML'!AL446)</f>
        <v>0</v>
      </c>
      <c r="Y450" s="27"/>
      <c r="Z450" s="27"/>
      <c r="AA450" s="27"/>
      <c r="AB450" s="27"/>
      <c r="AC450" s="27"/>
      <c r="AD450" s="27"/>
      <c r="AF450" s="8"/>
      <c r="AG450" s="27"/>
      <c r="AH450" s="14">
        <f>+'Pegar ML'!Y446</f>
        <v>0</v>
      </c>
      <c r="AI450" s="13">
        <f t="shared" si="19"/>
        <v>1</v>
      </c>
      <c r="AJ450" s="7">
        <f>+'Pegar ML'!T446</f>
        <v>0</v>
      </c>
      <c r="AK450" s="27"/>
      <c r="AL450" s="27"/>
      <c r="AM450" s="27"/>
      <c r="AN450" s="27"/>
      <c r="AO450" s="27"/>
      <c r="AP450" s="27"/>
      <c r="AQ450" s="27"/>
      <c r="AR450" s="27"/>
      <c r="AS450" s="27">
        <v>17</v>
      </c>
    </row>
    <row r="451" spans="1:45" ht="15" customHeight="1" x14ac:dyDescent="0.25">
      <c r="A451" s="27">
        <f>IF('Pegar ML'!C446="Paquete de 2 productos",'Pegar ML'!A446,IF('Pegar ML'!C445="Paquete de 2 productos",'Pegar ML'!A445,'Pegar ML'!A447))</f>
        <v>0</v>
      </c>
      <c r="B451" s="27"/>
      <c r="C451" s="30" t="str">
        <f>IF(AjusteFecha!I447=0,"",AjusteFecha!I447)</f>
        <v/>
      </c>
      <c r="D451" s="27"/>
      <c r="E451" s="27"/>
      <c r="F451" s="27" t="str">
        <f>IF('Pegar ML'!C447="","",'Pegar ML'!C447)</f>
        <v/>
      </c>
      <c r="G451" s="27" t="str">
        <f>IF('Pegar ML'!G442="ARS","PS","PS")</f>
        <v>PS</v>
      </c>
      <c r="H451" s="14">
        <f>IF('Pegar ML'!C446="Paquete de 2 productos",IF('Pegar ML'!H446="",0,'Pegar ML'!H446),IF('Pegar ML'!H447="",0,'Pegar ML'!H447))</f>
        <v>0</v>
      </c>
      <c r="I451" s="14">
        <f>IF('Pegar ML'!C446="Paquete de 2 productos",IF('Pegar ML'!O446="",0,'Pegar ML'!O446),IF('Pegar ML'!O447="",0,'Pegar ML'!O447))</f>
        <v>0</v>
      </c>
      <c r="J451" s="14">
        <f>IF('Pegar ML'!C446="Paquete de 2 productos",IF('Pegar ML'!O446="",0,'Pegar ML'!O446),IF('Pegar ML'!O447="",0,'Pegar ML'!O447))</f>
        <v>0</v>
      </c>
      <c r="K451" s="14">
        <f t="shared" si="20"/>
        <v>0</v>
      </c>
      <c r="L451" s="27">
        <f>IF('Pegar ML'!AB447=" ",'Pegar ML'!AB446,'Pegar ML'!AB447)</f>
        <v>0</v>
      </c>
      <c r="M451" s="27" t="str">
        <f>IF('Pegar ML'!AC447=" ",RIGHT('Pegar ML'!AC446,8),RIGHT('Pegar ML'!AC447,8))</f>
        <v/>
      </c>
      <c r="N451" s="27" t="s">
        <v>80</v>
      </c>
      <c r="O451" s="27">
        <f t="shared" si="18"/>
        <v>0</v>
      </c>
      <c r="P451" s="27" t="s">
        <v>80</v>
      </c>
      <c r="Q451" s="55">
        <f>IF('Pegar ML'!AD447=" ",'Pegar ML'!AD446,'Pegar ML'!AD447)</f>
        <v>0</v>
      </c>
      <c r="R451" s="27" t="s">
        <v>80</v>
      </c>
      <c r="S451" s="27" t="s">
        <v>80</v>
      </c>
      <c r="T451" s="27" t="s">
        <v>80</v>
      </c>
      <c r="U451" s="55">
        <f>IF('Pegar ML'!AI447=" ",'Pegar ML'!AI446,'Pegar ML'!AI447)</f>
        <v>0</v>
      </c>
      <c r="V451" s="55">
        <f>IF('Pegar ML'!AK447=" ",'Pegar ML'!AK446,'Pegar ML'!AK447)</f>
        <v>0</v>
      </c>
      <c r="W451" s="55">
        <f>IF('Pegar ML'!AJ447=" ",'Pegar ML'!AJ446,'Pegar ML'!AJ447)</f>
        <v>0</v>
      </c>
      <c r="X451" s="55">
        <f>IF('Pegar ML'!AL447=" ",'Pegar ML'!AL446,'Pegar ML'!AL447)</f>
        <v>0</v>
      </c>
      <c r="Y451" s="27"/>
      <c r="Z451" s="27"/>
      <c r="AA451" s="27"/>
      <c r="AB451" s="27"/>
      <c r="AC451" s="27"/>
      <c r="AD451" s="27"/>
      <c r="AF451" s="8"/>
      <c r="AG451" s="27"/>
      <c r="AH451" s="14">
        <f>+'Pegar ML'!Y447</f>
        <v>0</v>
      </c>
      <c r="AI451" s="13">
        <f t="shared" si="19"/>
        <v>1</v>
      </c>
      <c r="AJ451" s="7">
        <f>+'Pegar ML'!T447</f>
        <v>0</v>
      </c>
      <c r="AK451" s="27"/>
      <c r="AL451" s="27"/>
      <c r="AM451" s="27"/>
      <c r="AN451" s="27"/>
      <c r="AO451" s="27"/>
      <c r="AP451" s="27"/>
      <c r="AQ451" s="27"/>
      <c r="AR451" s="27"/>
      <c r="AS451" s="27">
        <v>17</v>
      </c>
    </row>
    <row r="452" spans="1:45" ht="15" customHeight="1" x14ac:dyDescent="0.25">
      <c r="A452" s="27">
        <f>IF('Pegar ML'!C447="Paquete de 2 productos",'Pegar ML'!A447,IF('Pegar ML'!C446="Paquete de 2 productos",'Pegar ML'!A446,'Pegar ML'!A448))</f>
        <v>0</v>
      </c>
      <c r="B452" s="27"/>
      <c r="C452" s="30" t="str">
        <f>IF(AjusteFecha!I448=0,"",AjusteFecha!I448)</f>
        <v/>
      </c>
      <c r="D452" s="27"/>
      <c r="E452" s="27"/>
      <c r="F452" s="27" t="str">
        <f>IF('Pegar ML'!C448="","",'Pegar ML'!C448)</f>
        <v/>
      </c>
      <c r="G452" s="27" t="str">
        <f>IF('Pegar ML'!G443="ARS","PS","PS")</f>
        <v>PS</v>
      </c>
      <c r="H452" s="14">
        <f>IF('Pegar ML'!C447="Paquete de 2 productos",IF('Pegar ML'!H447="",0,'Pegar ML'!H447),IF('Pegar ML'!H448="",0,'Pegar ML'!H448))</f>
        <v>0</v>
      </c>
      <c r="I452" s="14">
        <f>IF('Pegar ML'!C447="Paquete de 2 productos",IF('Pegar ML'!O447="",0,'Pegar ML'!O447),IF('Pegar ML'!O448="",0,'Pegar ML'!O448))</f>
        <v>0</v>
      </c>
      <c r="J452" s="14">
        <f>IF('Pegar ML'!C447="Paquete de 2 productos",IF('Pegar ML'!O447="",0,'Pegar ML'!O447),IF('Pegar ML'!O448="",0,'Pegar ML'!O448))</f>
        <v>0</v>
      </c>
      <c r="K452" s="14">
        <f t="shared" si="20"/>
        <v>0</v>
      </c>
      <c r="L452" s="27">
        <f>IF('Pegar ML'!AB448=" ",'Pegar ML'!AB447,'Pegar ML'!AB448)</f>
        <v>0</v>
      </c>
      <c r="M452" s="27" t="str">
        <f>IF('Pegar ML'!AC448=" ",RIGHT('Pegar ML'!AC447,8),RIGHT('Pegar ML'!AC448,8))</f>
        <v/>
      </c>
      <c r="N452" s="27" t="s">
        <v>80</v>
      </c>
      <c r="O452" s="27">
        <f t="shared" si="18"/>
        <v>0</v>
      </c>
      <c r="P452" s="27" t="s">
        <v>80</v>
      </c>
      <c r="Q452" s="55">
        <f>IF('Pegar ML'!AD448=" ",'Pegar ML'!AD447,'Pegar ML'!AD448)</f>
        <v>0</v>
      </c>
      <c r="R452" s="27" t="s">
        <v>80</v>
      </c>
      <c r="S452" s="27" t="s">
        <v>80</v>
      </c>
      <c r="T452" s="27" t="s">
        <v>80</v>
      </c>
      <c r="U452" s="55">
        <f>IF('Pegar ML'!AI448=" ",'Pegar ML'!AI447,'Pegar ML'!AI448)</f>
        <v>0</v>
      </c>
      <c r="V452" s="55">
        <f>IF('Pegar ML'!AK448=" ",'Pegar ML'!AK447,'Pegar ML'!AK448)</f>
        <v>0</v>
      </c>
      <c r="W452" s="55">
        <f>IF('Pegar ML'!AJ448=" ",'Pegar ML'!AJ447,'Pegar ML'!AJ448)</f>
        <v>0</v>
      </c>
      <c r="X452" s="55">
        <f>IF('Pegar ML'!AL448=" ",'Pegar ML'!AL447,'Pegar ML'!AL448)</f>
        <v>0</v>
      </c>
      <c r="Y452" s="27"/>
      <c r="Z452" s="27"/>
      <c r="AA452" s="27"/>
      <c r="AB452" s="27"/>
      <c r="AC452" s="27"/>
      <c r="AD452" s="27"/>
      <c r="AF452" s="8"/>
      <c r="AG452" s="27"/>
      <c r="AH452" s="14">
        <f>+'Pegar ML'!Y448</f>
        <v>0</v>
      </c>
      <c r="AI452" s="13">
        <f t="shared" si="19"/>
        <v>1</v>
      </c>
      <c r="AJ452" s="7">
        <f>+'Pegar ML'!T448</f>
        <v>0</v>
      </c>
      <c r="AK452" s="27"/>
      <c r="AL452" s="27"/>
      <c r="AM452" s="27"/>
      <c r="AN452" s="27"/>
      <c r="AO452" s="27"/>
      <c r="AP452" s="27"/>
      <c r="AQ452" s="27"/>
      <c r="AR452" s="27"/>
      <c r="AS452" s="27">
        <v>17</v>
      </c>
    </row>
    <row r="453" spans="1:45" ht="15" customHeight="1" x14ac:dyDescent="0.25">
      <c r="A453" s="27">
        <f>IF('Pegar ML'!C448="Paquete de 2 productos",'Pegar ML'!A448,IF('Pegar ML'!C447="Paquete de 2 productos",'Pegar ML'!A447,'Pegar ML'!A449))</f>
        <v>0</v>
      </c>
      <c r="B453" s="27"/>
      <c r="C453" s="30" t="str">
        <f>IF(AjusteFecha!I449=0,"",AjusteFecha!I449)</f>
        <v/>
      </c>
      <c r="D453" s="27"/>
      <c r="E453" s="27"/>
      <c r="F453" s="27" t="str">
        <f>IF('Pegar ML'!C449="","",'Pegar ML'!C449)</f>
        <v/>
      </c>
      <c r="G453" s="27" t="str">
        <f>IF('Pegar ML'!G444="ARS","PS","PS")</f>
        <v>PS</v>
      </c>
      <c r="H453" s="14">
        <f>IF('Pegar ML'!C448="Paquete de 2 productos",IF('Pegar ML'!H448="",0,'Pegar ML'!H448),IF('Pegar ML'!H449="",0,'Pegar ML'!H449))</f>
        <v>0</v>
      </c>
      <c r="I453" s="14">
        <f>IF('Pegar ML'!C448="Paquete de 2 productos",IF('Pegar ML'!O448="",0,'Pegar ML'!O448),IF('Pegar ML'!O449="",0,'Pegar ML'!O449))</f>
        <v>0</v>
      </c>
      <c r="J453" s="14">
        <f>IF('Pegar ML'!C448="Paquete de 2 productos",IF('Pegar ML'!O448="",0,'Pegar ML'!O448),IF('Pegar ML'!O449="",0,'Pegar ML'!O449))</f>
        <v>0</v>
      </c>
      <c r="K453" s="14">
        <f t="shared" si="20"/>
        <v>0</v>
      </c>
      <c r="L453" s="27">
        <f>IF('Pegar ML'!AB449=" ",'Pegar ML'!AB448,'Pegar ML'!AB449)</f>
        <v>0</v>
      </c>
      <c r="M453" s="27" t="str">
        <f>IF('Pegar ML'!AC449=" ",RIGHT('Pegar ML'!AC448,8),RIGHT('Pegar ML'!AC449,8))</f>
        <v/>
      </c>
      <c r="N453" s="27" t="s">
        <v>80</v>
      </c>
      <c r="O453" s="27">
        <f t="shared" si="18"/>
        <v>0</v>
      </c>
      <c r="P453" s="27" t="s">
        <v>80</v>
      </c>
      <c r="Q453" s="55">
        <f>IF('Pegar ML'!AD449=" ",'Pegar ML'!AD448,'Pegar ML'!AD449)</f>
        <v>0</v>
      </c>
      <c r="R453" s="27" t="s">
        <v>80</v>
      </c>
      <c r="S453" s="27" t="s">
        <v>80</v>
      </c>
      <c r="T453" s="27" t="s">
        <v>80</v>
      </c>
      <c r="U453" s="55">
        <f>IF('Pegar ML'!AI449=" ",'Pegar ML'!AI448,'Pegar ML'!AI449)</f>
        <v>0</v>
      </c>
      <c r="V453" s="55">
        <f>IF('Pegar ML'!AK449=" ",'Pegar ML'!AK448,'Pegar ML'!AK449)</f>
        <v>0</v>
      </c>
      <c r="W453" s="55">
        <f>IF('Pegar ML'!AJ449=" ",'Pegar ML'!AJ448,'Pegar ML'!AJ449)</f>
        <v>0</v>
      </c>
      <c r="X453" s="55">
        <f>IF('Pegar ML'!AL449=" ",'Pegar ML'!AL448,'Pegar ML'!AL449)</f>
        <v>0</v>
      </c>
      <c r="Y453" s="27"/>
      <c r="Z453" s="27"/>
      <c r="AA453" s="27"/>
      <c r="AB453" s="27"/>
      <c r="AC453" s="27"/>
      <c r="AD453" s="27"/>
      <c r="AF453" s="8"/>
      <c r="AG453" s="27"/>
      <c r="AH453" s="14">
        <f>+'Pegar ML'!Y449</f>
        <v>0</v>
      </c>
      <c r="AI453" s="13">
        <f t="shared" si="19"/>
        <v>1</v>
      </c>
      <c r="AJ453" s="7">
        <f>+'Pegar ML'!T449</f>
        <v>0</v>
      </c>
      <c r="AK453" s="27"/>
      <c r="AL453" s="27"/>
      <c r="AM453" s="27"/>
      <c r="AN453" s="27"/>
      <c r="AO453" s="27"/>
      <c r="AP453" s="27"/>
      <c r="AQ453" s="27"/>
      <c r="AR453" s="27"/>
      <c r="AS453" s="27">
        <v>17</v>
      </c>
    </row>
    <row r="454" spans="1:45" ht="15" customHeight="1" x14ac:dyDescent="0.25">
      <c r="A454" s="27">
        <f>IF('Pegar ML'!C449="Paquete de 2 productos",'Pegar ML'!A449,IF('Pegar ML'!C448="Paquete de 2 productos",'Pegar ML'!A448,'Pegar ML'!A450))</f>
        <v>0</v>
      </c>
      <c r="B454" s="27"/>
      <c r="C454" s="30" t="str">
        <f>IF(AjusteFecha!I450=0,"",AjusteFecha!I450)</f>
        <v/>
      </c>
      <c r="D454" s="27"/>
      <c r="E454" s="27"/>
      <c r="F454" s="27" t="str">
        <f>IF('Pegar ML'!C450="","",'Pegar ML'!C450)</f>
        <v/>
      </c>
      <c r="G454" s="27" t="str">
        <f>IF('Pegar ML'!G445="ARS","PS","PS")</f>
        <v>PS</v>
      </c>
      <c r="H454" s="14">
        <f>IF('Pegar ML'!C449="Paquete de 2 productos",IF('Pegar ML'!H449="",0,'Pegar ML'!H449),IF('Pegar ML'!H450="",0,'Pegar ML'!H450))</f>
        <v>0</v>
      </c>
      <c r="I454" s="14">
        <f>IF('Pegar ML'!C449="Paquete de 2 productos",IF('Pegar ML'!O449="",0,'Pegar ML'!O449),IF('Pegar ML'!O450="",0,'Pegar ML'!O450))</f>
        <v>0</v>
      </c>
      <c r="J454" s="14">
        <f>IF('Pegar ML'!C449="Paquete de 2 productos",IF('Pegar ML'!O449="",0,'Pegar ML'!O449),IF('Pegar ML'!O450="",0,'Pegar ML'!O450))</f>
        <v>0</v>
      </c>
      <c r="K454" s="14">
        <f t="shared" si="20"/>
        <v>0</v>
      </c>
      <c r="L454" s="27">
        <f>IF('Pegar ML'!AB450=" ",'Pegar ML'!AB449,'Pegar ML'!AB450)</f>
        <v>0</v>
      </c>
      <c r="M454" s="27" t="str">
        <f>IF('Pegar ML'!AC450=" ",RIGHT('Pegar ML'!AC449,8),RIGHT('Pegar ML'!AC450,8))</f>
        <v/>
      </c>
      <c r="N454" s="27" t="s">
        <v>80</v>
      </c>
      <c r="O454" s="27">
        <f t="shared" si="18"/>
        <v>0</v>
      </c>
      <c r="P454" s="27" t="s">
        <v>80</v>
      </c>
      <c r="Q454" s="55">
        <f>IF('Pegar ML'!AD450=" ",'Pegar ML'!AD449,'Pegar ML'!AD450)</f>
        <v>0</v>
      </c>
      <c r="R454" s="27" t="s">
        <v>80</v>
      </c>
      <c r="S454" s="27" t="s">
        <v>80</v>
      </c>
      <c r="T454" s="27" t="s">
        <v>80</v>
      </c>
      <c r="U454" s="55">
        <f>IF('Pegar ML'!AI450=" ",'Pegar ML'!AI449,'Pegar ML'!AI450)</f>
        <v>0</v>
      </c>
      <c r="V454" s="55">
        <f>IF('Pegar ML'!AK450=" ",'Pegar ML'!AK449,'Pegar ML'!AK450)</f>
        <v>0</v>
      </c>
      <c r="W454" s="55">
        <f>IF('Pegar ML'!AJ450=" ",'Pegar ML'!AJ449,'Pegar ML'!AJ450)</f>
        <v>0</v>
      </c>
      <c r="X454" s="55">
        <f>IF('Pegar ML'!AL450=" ",'Pegar ML'!AL449,'Pegar ML'!AL450)</f>
        <v>0</v>
      </c>
      <c r="Y454" s="27"/>
      <c r="Z454" s="27"/>
      <c r="AA454" s="27"/>
      <c r="AB454" s="27"/>
      <c r="AC454" s="27"/>
      <c r="AD454" s="27"/>
      <c r="AF454" s="8"/>
      <c r="AG454" s="27"/>
      <c r="AH454" s="14">
        <f>+'Pegar ML'!Y450</f>
        <v>0</v>
      </c>
      <c r="AI454" s="13">
        <f t="shared" si="19"/>
        <v>1</v>
      </c>
      <c r="AJ454" s="7">
        <f>+'Pegar ML'!T450</f>
        <v>0</v>
      </c>
      <c r="AK454" s="27"/>
      <c r="AL454" s="27"/>
      <c r="AM454" s="27"/>
      <c r="AN454" s="27"/>
      <c r="AO454" s="27"/>
      <c r="AP454" s="27"/>
      <c r="AQ454" s="27"/>
      <c r="AR454" s="27"/>
      <c r="AS454" s="27">
        <v>17</v>
      </c>
    </row>
    <row r="455" spans="1:45" ht="15" customHeight="1" x14ac:dyDescent="0.25">
      <c r="A455" s="27">
        <f>IF('Pegar ML'!C450="Paquete de 2 productos",'Pegar ML'!A450,IF('Pegar ML'!C449="Paquete de 2 productos",'Pegar ML'!A449,'Pegar ML'!A451))</f>
        <v>0</v>
      </c>
      <c r="B455" s="27"/>
      <c r="C455" s="30" t="str">
        <f>IF(AjusteFecha!I451=0,"",AjusteFecha!I451)</f>
        <v/>
      </c>
      <c r="D455" s="27"/>
      <c r="E455" s="27"/>
      <c r="F455" s="27" t="str">
        <f>IF('Pegar ML'!C451="","",'Pegar ML'!C451)</f>
        <v/>
      </c>
      <c r="G455" s="27" t="str">
        <f>IF('Pegar ML'!G446="ARS","PS","PS")</f>
        <v>PS</v>
      </c>
      <c r="H455" s="14">
        <f>IF('Pegar ML'!C450="Paquete de 2 productos",IF('Pegar ML'!H450="",0,'Pegar ML'!H450),IF('Pegar ML'!H451="",0,'Pegar ML'!H451))</f>
        <v>0</v>
      </c>
      <c r="I455" s="14">
        <f>IF('Pegar ML'!C450="Paquete de 2 productos",IF('Pegar ML'!O450="",0,'Pegar ML'!O450),IF('Pegar ML'!O451="",0,'Pegar ML'!O451))</f>
        <v>0</v>
      </c>
      <c r="J455" s="14">
        <f>IF('Pegar ML'!C450="Paquete de 2 productos",IF('Pegar ML'!O450="",0,'Pegar ML'!O450),IF('Pegar ML'!O451="",0,'Pegar ML'!O451))</f>
        <v>0</v>
      </c>
      <c r="K455" s="14">
        <f t="shared" si="20"/>
        <v>0</v>
      </c>
      <c r="L455" s="27">
        <f>IF('Pegar ML'!AB451=" ",'Pegar ML'!AB450,'Pegar ML'!AB451)</f>
        <v>0</v>
      </c>
      <c r="M455" s="27" t="str">
        <f>IF('Pegar ML'!AC451=" ",RIGHT('Pegar ML'!AC450,8),RIGHT('Pegar ML'!AC451,8))</f>
        <v/>
      </c>
      <c r="N455" s="27" t="s">
        <v>80</v>
      </c>
      <c r="O455" s="27">
        <f t="shared" si="18"/>
        <v>0</v>
      </c>
      <c r="P455" s="27" t="s">
        <v>80</v>
      </c>
      <c r="Q455" s="55">
        <f>IF('Pegar ML'!AD451=" ",'Pegar ML'!AD450,'Pegar ML'!AD451)</f>
        <v>0</v>
      </c>
      <c r="R455" s="27" t="s">
        <v>80</v>
      </c>
      <c r="S455" s="27" t="s">
        <v>80</v>
      </c>
      <c r="T455" s="27" t="s">
        <v>80</v>
      </c>
      <c r="U455" s="55">
        <f>IF('Pegar ML'!AI451=" ",'Pegar ML'!AI450,'Pegar ML'!AI451)</f>
        <v>0</v>
      </c>
      <c r="V455" s="55">
        <f>IF('Pegar ML'!AK451=" ",'Pegar ML'!AK450,'Pegar ML'!AK451)</f>
        <v>0</v>
      </c>
      <c r="W455" s="55">
        <f>IF('Pegar ML'!AJ451=" ",'Pegar ML'!AJ450,'Pegar ML'!AJ451)</f>
        <v>0</v>
      </c>
      <c r="X455" s="55">
        <f>IF('Pegar ML'!AL451=" ",'Pegar ML'!AL450,'Pegar ML'!AL451)</f>
        <v>0</v>
      </c>
      <c r="Y455" s="27"/>
      <c r="Z455" s="27"/>
      <c r="AA455" s="27"/>
      <c r="AB455" s="27"/>
      <c r="AC455" s="27"/>
      <c r="AD455" s="27"/>
      <c r="AF455" s="8"/>
      <c r="AG455" s="27"/>
      <c r="AH455" s="14">
        <f>+'Pegar ML'!Y451</f>
        <v>0</v>
      </c>
      <c r="AI455" s="13">
        <f t="shared" si="19"/>
        <v>1</v>
      </c>
      <c r="AJ455" s="7">
        <f>+'Pegar ML'!T451</f>
        <v>0</v>
      </c>
      <c r="AK455" s="27"/>
      <c r="AL455" s="27"/>
      <c r="AM455" s="27"/>
      <c r="AN455" s="27"/>
      <c r="AO455" s="27"/>
      <c r="AP455" s="27"/>
      <c r="AQ455" s="27"/>
      <c r="AR455" s="27"/>
      <c r="AS455" s="27">
        <v>17</v>
      </c>
    </row>
    <row r="456" spans="1:45" ht="15" customHeight="1" x14ac:dyDescent="0.25">
      <c r="A456" s="27">
        <f>IF('Pegar ML'!C451="Paquete de 2 productos",'Pegar ML'!A451,IF('Pegar ML'!C450="Paquete de 2 productos",'Pegar ML'!A450,'Pegar ML'!A452))</f>
        <v>0</v>
      </c>
      <c r="B456" s="27"/>
      <c r="C456" s="30" t="str">
        <f>IF(AjusteFecha!I452=0,"",AjusteFecha!I452)</f>
        <v/>
      </c>
      <c r="D456" s="27"/>
      <c r="E456" s="27"/>
      <c r="F456" s="27" t="str">
        <f>IF('Pegar ML'!C452="","",'Pegar ML'!C452)</f>
        <v/>
      </c>
      <c r="G456" s="27" t="str">
        <f>IF('Pegar ML'!G447="ARS","PS","PS")</f>
        <v>PS</v>
      </c>
      <c r="H456" s="14">
        <f>IF('Pegar ML'!C451="Paquete de 2 productos",IF('Pegar ML'!H451="",0,'Pegar ML'!H451),IF('Pegar ML'!H452="",0,'Pegar ML'!H452))</f>
        <v>0</v>
      </c>
      <c r="I456" s="14">
        <f>IF('Pegar ML'!C451="Paquete de 2 productos",IF('Pegar ML'!O451="",0,'Pegar ML'!O451),IF('Pegar ML'!O452="",0,'Pegar ML'!O452))</f>
        <v>0</v>
      </c>
      <c r="J456" s="14">
        <f>IF('Pegar ML'!C451="Paquete de 2 productos",IF('Pegar ML'!O451="",0,'Pegar ML'!O451),IF('Pegar ML'!O452="",0,'Pegar ML'!O452))</f>
        <v>0</v>
      </c>
      <c r="K456" s="14">
        <f t="shared" si="20"/>
        <v>0</v>
      </c>
      <c r="L456" s="27">
        <f>IF('Pegar ML'!AB452=" ",'Pegar ML'!AB451,'Pegar ML'!AB452)</f>
        <v>0</v>
      </c>
      <c r="M456" s="27" t="str">
        <f>IF('Pegar ML'!AC452=" ",RIGHT('Pegar ML'!AC451,8),RIGHT('Pegar ML'!AC452,8))</f>
        <v/>
      </c>
      <c r="N456" s="27" t="s">
        <v>80</v>
      </c>
      <c r="O456" s="27">
        <f t="shared" si="18"/>
        <v>0</v>
      </c>
      <c r="P456" s="27" t="s">
        <v>80</v>
      </c>
      <c r="Q456" s="55">
        <f>IF('Pegar ML'!AD452=" ",'Pegar ML'!AD451,'Pegar ML'!AD452)</f>
        <v>0</v>
      </c>
      <c r="R456" s="27" t="s">
        <v>80</v>
      </c>
      <c r="S456" s="27" t="s">
        <v>80</v>
      </c>
      <c r="T456" s="27" t="s">
        <v>80</v>
      </c>
      <c r="U456" s="55">
        <f>IF('Pegar ML'!AI452=" ",'Pegar ML'!AI451,'Pegar ML'!AI452)</f>
        <v>0</v>
      </c>
      <c r="V456" s="55">
        <f>IF('Pegar ML'!AK452=" ",'Pegar ML'!AK451,'Pegar ML'!AK452)</f>
        <v>0</v>
      </c>
      <c r="W456" s="55">
        <f>IF('Pegar ML'!AJ452=" ",'Pegar ML'!AJ451,'Pegar ML'!AJ452)</f>
        <v>0</v>
      </c>
      <c r="X456" s="55">
        <f>IF('Pegar ML'!AL452=" ",'Pegar ML'!AL451,'Pegar ML'!AL452)</f>
        <v>0</v>
      </c>
      <c r="Y456" s="27"/>
      <c r="Z456" s="27"/>
      <c r="AA456" s="27"/>
      <c r="AB456" s="27"/>
      <c r="AC456" s="27"/>
      <c r="AD456" s="27"/>
      <c r="AF456" s="8"/>
      <c r="AG456" s="27"/>
      <c r="AH456" s="14">
        <f>+'Pegar ML'!Y452</f>
        <v>0</v>
      </c>
      <c r="AI456" s="13">
        <f t="shared" si="19"/>
        <v>1</v>
      </c>
      <c r="AJ456" s="7">
        <f>+'Pegar ML'!T452</f>
        <v>0</v>
      </c>
      <c r="AK456" s="27"/>
      <c r="AL456" s="27"/>
      <c r="AM456" s="27"/>
      <c r="AN456" s="27"/>
      <c r="AO456" s="27"/>
      <c r="AP456" s="27"/>
      <c r="AQ456" s="27"/>
      <c r="AR456" s="27"/>
      <c r="AS456" s="27">
        <v>17</v>
      </c>
    </row>
    <row r="457" spans="1:45" ht="15" customHeight="1" x14ac:dyDescent="0.25">
      <c r="A457" s="27">
        <f>IF('Pegar ML'!C452="Paquete de 2 productos",'Pegar ML'!A452,IF('Pegar ML'!C451="Paquete de 2 productos",'Pegar ML'!A451,'Pegar ML'!A453))</f>
        <v>0</v>
      </c>
      <c r="B457" s="27"/>
      <c r="C457" s="30" t="str">
        <f>IF(AjusteFecha!I453=0,"",AjusteFecha!I453)</f>
        <v/>
      </c>
      <c r="D457" s="27"/>
      <c r="E457" s="27"/>
      <c r="F457" s="27" t="str">
        <f>IF('Pegar ML'!C453="","",'Pegar ML'!C453)</f>
        <v/>
      </c>
      <c r="G457" s="27" t="str">
        <f>IF('Pegar ML'!G448="ARS","PS","PS")</f>
        <v>PS</v>
      </c>
      <c r="H457" s="14">
        <f>IF('Pegar ML'!C452="Paquete de 2 productos",IF('Pegar ML'!H452="",0,'Pegar ML'!H452),IF('Pegar ML'!H453="",0,'Pegar ML'!H453))</f>
        <v>0</v>
      </c>
      <c r="I457" s="14">
        <f>IF('Pegar ML'!C452="Paquete de 2 productos",IF('Pegar ML'!O452="",0,'Pegar ML'!O452),IF('Pegar ML'!O453="",0,'Pegar ML'!O453))</f>
        <v>0</v>
      </c>
      <c r="J457" s="14">
        <f>IF('Pegar ML'!C452="Paquete de 2 productos",IF('Pegar ML'!O452="",0,'Pegar ML'!O452),IF('Pegar ML'!O453="",0,'Pegar ML'!O453))</f>
        <v>0</v>
      </c>
      <c r="K457" s="14">
        <f t="shared" si="20"/>
        <v>0</v>
      </c>
      <c r="L457" s="27">
        <f>IF('Pegar ML'!AB453=" ",'Pegar ML'!AB452,'Pegar ML'!AB453)</f>
        <v>0</v>
      </c>
      <c r="M457" s="27" t="str">
        <f>IF('Pegar ML'!AC453=" ",RIGHT('Pegar ML'!AC452,8),RIGHT('Pegar ML'!AC453,8))</f>
        <v/>
      </c>
      <c r="N457" s="27" t="s">
        <v>80</v>
      </c>
      <c r="O457" s="27">
        <f t="shared" si="18"/>
        <v>0</v>
      </c>
      <c r="P457" s="27" t="s">
        <v>80</v>
      </c>
      <c r="Q457" s="55">
        <f>IF('Pegar ML'!AD453=" ",'Pegar ML'!AD452,'Pegar ML'!AD453)</f>
        <v>0</v>
      </c>
      <c r="R457" s="27" t="s">
        <v>80</v>
      </c>
      <c r="S457" s="27" t="s">
        <v>80</v>
      </c>
      <c r="T457" s="27" t="s">
        <v>80</v>
      </c>
      <c r="U457" s="55">
        <f>IF('Pegar ML'!AI453=" ",'Pegar ML'!AI452,'Pegar ML'!AI453)</f>
        <v>0</v>
      </c>
      <c r="V457" s="55">
        <f>IF('Pegar ML'!AK453=" ",'Pegar ML'!AK452,'Pegar ML'!AK453)</f>
        <v>0</v>
      </c>
      <c r="W457" s="55">
        <f>IF('Pegar ML'!AJ453=" ",'Pegar ML'!AJ452,'Pegar ML'!AJ453)</f>
        <v>0</v>
      </c>
      <c r="X457" s="55">
        <f>IF('Pegar ML'!AL453=" ",'Pegar ML'!AL452,'Pegar ML'!AL453)</f>
        <v>0</v>
      </c>
      <c r="Y457" s="27"/>
      <c r="Z457" s="27"/>
      <c r="AA457" s="27"/>
      <c r="AB457" s="27"/>
      <c r="AC457" s="27"/>
      <c r="AD457" s="27"/>
      <c r="AF457" s="8"/>
      <c r="AG457" s="27"/>
      <c r="AH457" s="14">
        <f>+'Pegar ML'!Y453</f>
        <v>0</v>
      </c>
      <c r="AI457" s="13">
        <f t="shared" si="19"/>
        <v>1</v>
      </c>
      <c r="AJ457" s="7">
        <f>+'Pegar ML'!T453</f>
        <v>0</v>
      </c>
      <c r="AK457" s="27"/>
      <c r="AL457" s="27"/>
      <c r="AM457" s="27"/>
      <c r="AN457" s="27"/>
      <c r="AO457" s="27"/>
      <c r="AP457" s="27"/>
      <c r="AQ457" s="27"/>
      <c r="AR457" s="27"/>
      <c r="AS457" s="27">
        <v>17</v>
      </c>
    </row>
    <row r="458" spans="1:45" ht="15" customHeight="1" x14ac:dyDescent="0.25">
      <c r="A458" s="27">
        <f>IF('Pegar ML'!C453="Paquete de 2 productos",'Pegar ML'!A453,IF('Pegar ML'!C452="Paquete de 2 productos",'Pegar ML'!A452,'Pegar ML'!A454))</f>
        <v>0</v>
      </c>
      <c r="B458" s="27"/>
      <c r="C458" s="30" t="str">
        <f>IF(AjusteFecha!I454=0,"",AjusteFecha!I454)</f>
        <v/>
      </c>
      <c r="D458" s="27"/>
      <c r="E458" s="27"/>
      <c r="F458" s="27" t="str">
        <f>IF('Pegar ML'!C454="","",'Pegar ML'!C454)</f>
        <v/>
      </c>
      <c r="G458" s="27" t="str">
        <f>IF('Pegar ML'!G449="ARS","PS","PS")</f>
        <v>PS</v>
      </c>
      <c r="H458" s="14">
        <f>IF('Pegar ML'!C453="Paquete de 2 productos",IF('Pegar ML'!H453="",0,'Pegar ML'!H453),IF('Pegar ML'!H454="",0,'Pegar ML'!H454))</f>
        <v>0</v>
      </c>
      <c r="I458" s="14">
        <f>IF('Pegar ML'!C453="Paquete de 2 productos",IF('Pegar ML'!O453="",0,'Pegar ML'!O453),IF('Pegar ML'!O454="",0,'Pegar ML'!O454))</f>
        <v>0</v>
      </c>
      <c r="J458" s="14">
        <f>IF('Pegar ML'!C453="Paquete de 2 productos",IF('Pegar ML'!O453="",0,'Pegar ML'!O453),IF('Pegar ML'!O454="",0,'Pegar ML'!O454))</f>
        <v>0</v>
      </c>
      <c r="K458" s="14">
        <f t="shared" si="20"/>
        <v>0</v>
      </c>
      <c r="L458" s="27">
        <f>IF('Pegar ML'!AB454=" ",'Pegar ML'!AB453,'Pegar ML'!AB454)</f>
        <v>0</v>
      </c>
      <c r="M458" s="27" t="str">
        <f>IF('Pegar ML'!AC454=" ",RIGHT('Pegar ML'!AC453,8),RIGHT('Pegar ML'!AC454,8))</f>
        <v/>
      </c>
      <c r="N458" s="27" t="s">
        <v>80</v>
      </c>
      <c r="O458" s="27">
        <f t="shared" si="18"/>
        <v>0</v>
      </c>
      <c r="P458" s="27" t="s">
        <v>80</v>
      </c>
      <c r="Q458" s="55">
        <f>IF('Pegar ML'!AD454=" ",'Pegar ML'!AD453,'Pegar ML'!AD454)</f>
        <v>0</v>
      </c>
      <c r="R458" s="27" t="s">
        <v>80</v>
      </c>
      <c r="S458" s="27" t="s">
        <v>80</v>
      </c>
      <c r="T458" s="27" t="s">
        <v>80</v>
      </c>
      <c r="U458" s="55">
        <f>IF('Pegar ML'!AI454=" ",'Pegar ML'!AI453,'Pegar ML'!AI454)</f>
        <v>0</v>
      </c>
      <c r="V458" s="55">
        <f>IF('Pegar ML'!AK454=" ",'Pegar ML'!AK453,'Pegar ML'!AK454)</f>
        <v>0</v>
      </c>
      <c r="W458" s="55">
        <f>IF('Pegar ML'!AJ454=" ",'Pegar ML'!AJ453,'Pegar ML'!AJ454)</f>
        <v>0</v>
      </c>
      <c r="X458" s="55">
        <f>IF('Pegar ML'!AL454=" ",'Pegar ML'!AL453,'Pegar ML'!AL454)</f>
        <v>0</v>
      </c>
      <c r="Y458" s="27"/>
      <c r="Z458" s="27"/>
      <c r="AA458" s="27"/>
      <c r="AB458" s="27"/>
      <c r="AC458" s="27"/>
      <c r="AD458" s="27"/>
      <c r="AF458" s="8"/>
      <c r="AG458" s="27"/>
      <c r="AH458" s="14">
        <f>+'Pegar ML'!Y454</f>
        <v>0</v>
      </c>
      <c r="AI458" s="13">
        <f t="shared" si="19"/>
        <v>1</v>
      </c>
      <c r="AJ458" s="7">
        <f>+'Pegar ML'!T454</f>
        <v>0</v>
      </c>
      <c r="AK458" s="27"/>
      <c r="AL458" s="27"/>
      <c r="AM458" s="27"/>
      <c r="AN458" s="27"/>
      <c r="AO458" s="27"/>
      <c r="AP458" s="27"/>
      <c r="AQ458" s="27"/>
      <c r="AR458" s="27"/>
      <c r="AS458" s="27">
        <v>17</v>
      </c>
    </row>
    <row r="459" spans="1:45" ht="15" customHeight="1" x14ac:dyDescent="0.25">
      <c r="A459" s="27">
        <f>IF('Pegar ML'!C454="Paquete de 2 productos",'Pegar ML'!A454,IF('Pegar ML'!C453="Paquete de 2 productos",'Pegar ML'!A453,'Pegar ML'!A455))</f>
        <v>0</v>
      </c>
      <c r="B459" s="27"/>
      <c r="C459" s="30" t="str">
        <f>IF(AjusteFecha!I455=0,"",AjusteFecha!I455)</f>
        <v/>
      </c>
      <c r="D459" s="27"/>
      <c r="E459" s="27"/>
      <c r="F459" s="27" t="str">
        <f>IF('Pegar ML'!C455="","",'Pegar ML'!C455)</f>
        <v/>
      </c>
      <c r="G459" s="27" t="str">
        <f>IF('Pegar ML'!G450="ARS","PS","PS")</f>
        <v>PS</v>
      </c>
      <c r="H459" s="14">
        <f>IF('Pegar ML'!C454="Paquete de 2 productos",IF('Pegar ML'!H454="",0,'Pegar ML'!H454),IF('Pegar ML'!H455="",0,'Pegar ML'!H455))</f>
        <v>0</v>
      </c>
      <c r="I459" s="14">
        <f>IF('Pegar ML'!C454="Paquete de 2 productos",IF('Pegar ML'!O454="",0,'Pegar ML'!O454),IF('Pegar ML'!O455="",0,'Pegar ML'!O455))</f>
        <v>0</v>
      </c>
      <c r="J459" s="14">
        <f>IF('Pegar ML'!C454="Paquete de 2 productos",IF('Pegar ML'!O454="",0,'Pegar ML'!O454),IF('Pegar ML'!O455="",0,'Pegar ML'!O455))</f>
        <v>0</v>
      </c>
      <c r="K459" s="14">
        <f t="shared" si="20"/>
        <v>0</v>
      </c>
      <c r="L459" s="27">
        <f>IF('Pegar ML'!AB455=" ",'Pegar ML'!AB454,'Pegar ML'!AB455)</f>
        <v>0</v>
      </c>
      <c r="M459" s="27" t="str">
        <f>IF('Pegar ML'!AC455=" ",RIGHT('Pegar ML'!AC454,8),RIGHT('Pegar ML'!AC455,8))</f>
        <v/>
      </c>
      <c r="N459" s="27" t="s">
        <v>80</v>
      </c>
      <c r="O459" s="27">
        <f t="shared" ref="O459:O522" si="21">+L459</f>
        <v>0</v>
      </c>
      <c r="P459" s="27" t="s">
        <v>80</v>
      </c>
      <c r="Q459" s="55">
        <f>IF('Pegar ML'!AD455=" ",'Pegar ML'!AD454,'Pegar ML'!AD455)</f>
        <v>0</v>
      </c>
      <c r="R459" s="27" t="s">
        <v>80</v>
      </c>
      <c r="S459" s="27" t="s">
        <v>80</v>
      </c>
      <c r="T459" s="27" t="s">
        <v>80</v>
      </c>
      <c r="U459" s="55">
        <f>IF('Pegar ML'!AI455=" ",'Pegar ML'!AI454,'Pegar ML'!AI455)</f>
        <v>0</v>
      </c>
      <c r="V459" s="55">
        <f>IF('Pegar ML'!AK455=" ",'Pegar ML'!AK454,'Pegar ML'!AK455)</f>
        <v>0</v>
      </c>
      <c r="W459" s="55">
        <f>IF('Pegar ML'!AJ455=" ",'Pegar ML'!AJ454,'Pegar ML'!AJ455)</f>
        <v>0</v>
      </c>
      <c r="X459" s="55">
        <f>IF('Pegar ML'!AL455=" ",'Pegar ML'!AL454,'Pegar ML'!AL455)</f>
        <v>0</v>
      </c>
      <c r="Y459" s="27"/>
      <c r="Z459" s="27"/>
      <c r="AA459" s="27"/>
      <c r="AB459" s="27"/>
      <c r="AC459" s="27"/>
      <c r="AD459" s="27"/>
      <c r="AF459" s="8"/>
      <c r="AG459" s="27"/>
      <c r="AH459" s="14">
        <f>+'Pegar ML'!Y455</f>
        <v>0</v>
      </c>
      <c r="AI459" s="13">
        <f t="shared" ref="AI459:AI522" si="22">IF(F459="Paquete de 2 productos","",1)</f>
        <v>1</v>
      </c>
      <c r="AJ459" s="7">
        <f>+'Pegar ML'!T455</f>
        <v>0</v>
      </c>
      <c r="AK459" s="27"/>
      <c r="AL459" s="27"/>
      <c r="AM459" s="27"/>
      <c r="AN459" s="27"/>
      <c r="AO459" s="27"/>
      <c r="AP459" s="27"/>
      <c r="AQ459" s="27"/>
      <c r="AR459" s="27"/>
      <c r="AS459" s="27">
        <v>17</v>
      </c>
    </row>
    <row r="460" spans="1:45" ht="15" customHeight="1" x14ac:dyDescent="0.25">
      <c r="A460" s="27">
        <f>IF('Pegar ML'!C455="Paquete de 2 productos",'Pegar ML'!A455,IF('Pegar ML'!C454="Paquete de 2 productos",'Pegar ML'!A454,'Pegar ML'!A456))</f>
        <v>0</v>
      </c>
      <c r="B460" s="27"/>
      <c r="C460" s="30" t="str">
        <f>IF(AjusteFecha!I456=0,"",AjusteFecha!I456)</f>
        <v/>
      </c>
      <c r="D460" s="27"/>
      <c r="E460" s="27"/>
      <c r="F460" s="27" t="str">
        <f>IF('Pegar ML'!C456="","",'Pegar ML'!C456)</f>
        <v/>
      </c>
      <c r="G460" s="27" t="str">
        <f>IF('Pegar ML'!G451="ARS","PS","PS")</f>
        <v>PS</v>
      </c>
      <c r="H460" s="14">
        <f>IF('Pegar ML'!C455="Paquete de 2 productos",IF('Pegar ML'!H455="",0,'Pegar ML'!H455),IF('Pegar ML'!H456="",0,'Pegar ML'!H456))</f>
        <v>0</v>
      </c>
      <c r="I460" s="14">
        <f>IF('Pegar ML'!C455="Paquete de 2 productos",IF('Pegar ML'!O455="",0,'Pegar ML'!O455),IF('Pegar ML'!O456="",0,'Pegar ML'!O456))</f>
        <v>0</v>
      </c>
      <c r="J460" s="14">
        <f>IF('Pegar ML'!C455="Paquete de 2 productos",IF('Pegar ML'!O455="",0,'Pegar ML'!O455),IF('Pegar ML'!O456="",0,'Pegar ML'!O456))</f>
        <v>0</v>
      </c>
      <c r="K460" s="14">
        <f t="shared" ref="K460:K523" si="23">+H460-I460+J460</f>
        <v>0</v>
      </c>
      <c r="L460" s="27">
        <f>IF('Pegar ML'!AB456=" ",'Pegar ML'!AB455,'Pegar ML'!AB456)</f>
        <v>0</v>
      </c>
      <c r="M460" s="27" t="str">
        <f>IF('Pegar ML'!AC456=" ",RIGHT('Pegar ML'!AC455,8),RIGHT('Pegar ML'!AC456,8))</f>
        <v/>
      </c>
      <c r="N460" s="27" t="s">
        <v>80</v>
      </c>
      <c r="O460" s="27">
        <f t="shared" si="21"/>
        <v>0</v>
      </c>
      <c r="P460" s="27" t="s">
        <v>80</v>
      </c>
      <c r="Q460" s="55">
        <f>IF('Pegar ML'!AD456=" ",'Pegar ML'!AD455,'Pegar ML'!AD456)</f>
        <v>0</v>
      </c>
      <c r="R460" s="27" t="s">
        <v>80</v>
      </c>
      <c r="S460" s="27" t="s">
        <v>80</v>
      </c>
      <c r="T460" s="27" t="s">
        <v>80</v>
      </c>
      <c r="U460" s="55">
        <f>IF('Pegar ML'!AI456=" ",'Pegar ML'!AI455,'Pegar ML'!AI456)</f>
        <v>0</v>
      </c>
      <c r="V460" s="55">
        <f>IF('Pegar ML'!AK456=" ",'Pegar ML'!AK455,'Pegar ML'!AK456)</f>
        <v>0</v>
      </c>
      <c r="W460" s="55">
        <f>IF('Pegar ML'!AJ456=" ",'Pegar ML'!AJ455,'Pegar ML'!AJ456)</f>
        <v>0</v>
      </c>
      <c r="X460" s="55">
        <f>IF('Pegar ML'!AL456=" ",'Pegar ML'!AL455,'Pegar ML'!AL456)</f>
        <v>0</v>
      </c>
      <c r="Y460" s="27"/>
      <c r="Z460" s="27"/>
      <c r="AA460" s="27"/>
      <c r="AB460" s="27"/>
      <c r="AC460" s="27"/>
      <c r="AD460" s="27"/>
      <c r="AF460" s="8"/>
      <c r="AG460" s="27"/>
      <c r="AH460" s="14">
        <f>+'Pegar ML'!Y456</f>
        <v>0</v>
      </c>
      <c r="AI460" s="13">
        <f t="shared" si="22"/>
        <v>1</v>
      </c>
      <c r="AJ460" s="7">
        <f>+'Pegar ML'!T456</f>
        <v>0</v>
      </c>
      <c r="AK460" s="27"/>
      <c r="AL460" s="27"/>
      <c r="AM460" s="27"/>
      <c r="AN460" s="27"/>
      <c r="AO460" s="27"/>
      <c r="AP460" s="27"/>
      <c r="AQ460" s="27"/>
      <c r="AR460" s="27"/>
      <c r="AS460" s="27">
        <v>17</v>
      </c>
    </row>
    <row r="461" spans="1:45" ht="15" customHeight="1" x14ac:dyDescent="0.25">
      <c r="A461" s="27">
        <f>IF('Pegar ML'!C456="Paquete de 2 productos",'Pegar ML'!A456,IF('Pegar ML'!C455="Paquete de 2 productos",'Pegar ML'!A455,'Pegar ML'!A457))</f>
        <v>0</v>
      </c>
      <c r="B461" s="27"/>
      <c r="C461" s="30" t="str">
        <f>IF(AjusteFecha!I457=0,"",AjusteFecha!I457)</f>
        <v/>
      </c>
      <c r="D461" s="27"/>
      <c r="E461" s="27"/>
      <c r="F461" s="27" t="str">
        <f>IF('Pegar ML'!C457="","",'Pegar ML'!C457)</f>
        <v/>
      </c>
      <c r="G461" s="27" t="str">
        <f>IF('Pegar ML'!G452="ARS","PS","PS")</f>
        <v>PS</v>
      </c>
      <c r="H461" s="14">
        <f>IF('Pegar ML'!C456="Paquete de 2 productos",IF('Pegar ML'!H456="",0,'Pegar ML'!H456),IF('Pegar ML'!H457="",0,'Pegar ML'!H457))</f>
        <v>0</v>
      </c>
      <c r="I461" s="14">
        <f>IF('Pegar ML'!C456="Paquete de 2 productos",IF('Pegar ML'!O456="",0,'Pegar ML'!O456),IF('Pegar ML'!O457="",0,'Pegar ML'!O457))</f>
        <v>0</v>
      </c>
      <c r="J461" s="14">
        <f>IF('Pegar ML'!C456="Paquete de 2 productos",IF('Pegar ML'!O456="",0,'Pegar ML'!O456),IF('Pegar ML'!O457="",0,'Pegar ML'!O457))</f>
        <v>0</v>
      </c>
      <c r="K461" s="14">
        <f t="shared" si="23"/>
        <v>0</v>
      </c>
      <c r="L461" s="27">
        <f>IF('Pegar ML'!AB457=" ",'Pegar ML'!AB456,'Pegar ML'!AB457)</f>
        <v>0</v>
      </c>
      <c r="M461" s="27" t="str">
        <f>IF('Pegar ML'!AC457=" ",RIGHT('Pegar ML'!AC456,8),RIGHT('Pegar ML'!AC457,8))</f>
        <v/>
      </c>
      <c r="N461" s="27" t="s">
        <v>80</v>
      </c>
      <c r="O461" s="27">
        <f t="shared" si="21"/>
        <v>0</v>
      </c>
      <c r="P461" s="27" t="s">
        <v>80</v>
      </c>
      <c r="Q461" s="55">
        <f>IF('Pegar ML'!AD457=" ",'Pegar ML'!AD456,'Pegar ML'!AD457)</f>
        <v>0</v>
      </c>
      <c r="R461" s="27" t="s">
        <v>80</v>
      </c>
      <c r="S461" s="27" t="s">
        <v>80</v>
      </c>
      <c r="T461" s="27" t="s">
        <v>80</v>
      </c>
      <c r="U461" s="55">
        <f>IF('Pegar ML'!AI457=" ",'Pegar ML'!AI456,'Pegar ML'!AI457)</f>
        <v>0</v>
      </c>
      <c r="V461" s="55">
        <f>IF('Pegar ML'!AK457=" ",'Pegar ML'!AK456,'Pegar ML'!AK457)</f>
        <v>0</v>
      </c>
      <c r="W461" s="55">
        <f>IF('Pegar ML'!AJ457=" ",'Pegar ML'!AJ456,'Pegar ML'!AJ457)</f>
        <v>0</v>
      </c>
      <c r="X461" s="55">
        <f>IF('Pegar ML'!AL457=" ",'Pegar ML'!AL456,'Pegar ML'!AL457)</f>
        <v>0</v>
      </c>
      <c r="Y461" s="27"/>
      <c r="Z461" s="27"/>
      <c r="AA461" s="27"/>
      <c r="AB461" s="27"/>
      <c r="AC461" s="27"/>
      <c r="AD461" s="27"/>
      <c r="AF461" s="8"/>
      <c r="AG461" s="27"/>
      <c r="AH461" s="14">
        <f>+'Pegar ML'!Y457</f>
        <v>0</v>
      </c>
      <c r="AI461" s="13">
        <f t="shared" si="22"/>
        <v>1</v>
      </c>
      <c r="AJ461" s="7">
        <f>+'Pegar ML'!T457</f>
        <v>0</v>
      </c>
      <c r="AK461" s="27"/>
      <c r="AL461" s="27"/>
      <c r="AM461" s="27"/>
      <c r="AN461" s="27"/>
      <c r="AO461" s="27"/>
      <c r="AP461" s="27"/>
      <c r="AQ461" s="27"/>
      <c r="AR461" s="27"/>
      <c r="AS461" s="27">
        <v>17</v>
      </c>
    </row>
    <row r="462" spans="1:45" ht="15" customHeight="1" x14ac:dyDescent="0.25">
      <c r="A462" s="27">
        <f>IF('Pegar ML'!C457="Paquete de 2 productos",'Pegar ML'!A457,IF('Pegar ML'!C456="Paquete de 2 productos",'Pegar ML'!A456,'Pegar ML'!A458))</f>
        <v>0</v>
      </c>
      <c r="B462" s="27"/>
      <c r="C462" s="30" t="str">
        <f>IF(AjusteFecha!I458=0,"",AjusteFecha!I458)</f>
        <v/>
      </c>
      <c r="D462" s="27"/>
      <c r="E462" s="27"/>
      <c r="F462" s="27" t="str">
        <f>IF('Pegar ML'!C458="","",'Pegar ML'!C458)</f>
        <v/>
      </c>
      <c r="G462" s="27" t="str">
        <f>IF('Pegar ML'!G453="ARS","PS","PS")</f>
        <v>PS</v>
      </c>
      <c r="H462" s="14">
        <f>IF('Pegar ML'!C457="Paquete de 2 productos",IF('Pegar ML'!H457="",0,'Pegar ML'!H457),IF('Pegar ML'!H458="",0,'Pegar ML'!H458))</f>
        <v>0</v>
      </c>
      <c r="I462" s="14">
        <f>IF('Pegar ML'!C457="Paquete de 2 productos",IF('Pegar ML'!O457="",0,'Pegar ML'!O457),IF('Pegar ML'!O458="",0,'Pegar ML'!O458))</f>
        <v>0</v>
      </c>
      <c r="J462" s="14">
        <f>IF('Pegar ML'!C457="Paquete de 2 productos",IF('Pegar ML'!O457="",0,'Pegar ML'!O457),IF('Pegar ML'!O458="",0,'Pegar ML'!O458))</f>
        <v>0</v>
      </c>
      <c r="K462" s="14">
        <f t="shared" si="23"/>
        <v>0</v>
      </c>
      <c r="L462" s="27">
        <f>IF('Pegar ML'!AB458=" ",'Pegar ML'!AB457,'Pegar ML'!AB458)</f>
        <v>0</v>
      </c>
      <c r="M462" s="27" t="str">
        <f>IF('Pegar ML'!AC458=" ",RIGHT('Pegar ML'!AC457,8),RIGHT('Pegar ML'!AC458,8))</f>
        <v/>
      </c>
      <c r="N462" s="27" t="s">
        <v>80</v>
      </c>
      <c r="O462" s="27">
        <f t="shared" si="21"/>
        <v>0</v>
      </c>
      <c r="P462" s="27" t="s">
        <v>80</v>
      </c>
      <c r="Q462" s="55">
        <f>IF('Pegar ML'!AD458=" ",'Pegar ML'!AD457,'Pegar ML'!AD458)</f>
        <v>0</v>
      </c>
      <c r="R462" s="27" t="s">
        <v>80</v>
      </c>
      <c r="S462" s="27" t="s">
        <v>80</v>
      </c>
      <c r="T462" s="27" t="s">
        <v>80</v>
      </c>
      <c r="U462" s="55">
        <f>IF('Pegar ML'!AI458=" ",'Pegar ML'!AI457,'Pegar ML'!AI458)</f>
        <v>0</v>
      </c>
      <c r="V462" s="55">
        <f>IF('Pegar ML'!AK458=" ",'Pegar ML'!AK457,'Pegar ML'!AK458)</f>
        <v>0</v>
      </c>
      <c r="W462" s="55">
        <f>IF('Pegar ML'!AJ458=" ",'Pegar ML'!AJ457,'Pegar ML'!AJ458)</f>
        <v>0</v>
      </c>
      <c r="X462" s="55">
        <f>IF('Pegar ML'!AL458=" ",'Pegar ML'!AL457,'Pegar ML'!AL458)</f>
        <v>0</v>
      </c>
      <c r="Y462" s="27"/>
      <c r="Z462" s="27"/>
      <c r="AA462" s="27"/>
      <c r="AB462" s="27"/>
      <c r="AC462" s="27"/>
      <c r="AD462" s="27"/>
      <c r="AF462" s="8"/>
      <c r="AG462" s="27"/>
      <c r="AH462" s="14">
        <f>+'Pegar ML'!Y458</f>
        <v>0</v>
      </c>
      <c r="AI462" s="13">
        <f t="shared" si="22"/>
        <v>1</v>
      </c>
      <c r="AJ462" s="7">
        <f>+'Pegar ML'!T458</f>
        <v>0</v>
      </c>
      <c r="AK462" s="27"/>
      <c r="AL462" s="27"/>
      <c r="AM462" s="27"/>
      <c r="AN462" s="27"/>
      <c r="AO462" s="27"/>
      <c r="AP462" s="27"/>
      <c r="AQ462" s="27"/>
      <c r="AR462" s="27"/>
      <c r="AS462" s="27">
        <v>17</v>
      </c>
    </row>
    <row r="463" spans="1:45" ht="15" customHeight="1" x14ac:dyDescent="0.25">
      <c r="A463" s="27">
        <f>IF('Pegar ML'!C458="Paquete de 2 productos",'Pegar ML'!A458,IF('Pegar ML'!C457="Paquete de 2 productos",'Pegar ML'!A457,'Pegar ML'!A459))</f>
        <v>0</v>
      </c>
      <c r="B463" s="27"/>
      <c r="C463" s="30" t="str">
        <f>IF(AjusteFecha!I459=0,"",AjusteFecha!I459)</f>
        <v/>
      </c>
      <c r="D463" s="27"/>
      <c r="E463" s="27"/>
      <c r="F463" s="27" t="str">
        <f>IF('Pegar ML'!C459="","",'Pegar ML'!C459)</f>
        <v/>
      </c>
      <c r="G463" s="27" t="str">
        <f>IF('Pegar ML'!G454="ARS","PS","PS")</f>
        <v>PS</v>
      </c>
      <c r="H463" s="14">
        <f>IF('Pegar ML'!C458="Paquete de 2 productos",IF('Pegar ML'!H458="",0,'Pegar ML'!H458),IF('Pegar ML'!H459="",0,'Pegar ML'!H459))</f>
        <v>0</v>
      </c>
      <c r="I463" s="14">
        <f>IF('Pegar ML'!C458="Paquete de 2 productos",IF('Pegar ML'!O458="",0,'Pegar ML'!O458),IF('Pegar ML'!O459="",0,'Pegar ML'!O459))</f>
        <v>0</v>
      </c>
      <c r="J463" s="14">
        <f>IF('Pegar ML'!C458="Paquete de 2 productos",IF('Pegar ML'!O458="",0,'Pegar ML'!O458),IF('Pegar ML'!O459="",0,'Pegar ML'!O459))</f>
        <v>0</v>
      </c>
      <c r="K463" s="14">
        <f t="shared" si="23"/>
        <v>0</v>
      </c>
      <c r="L463" s="27">
        <f>IF('Pegar ML'!AB459=" ",'Pegar ML'!AB458,'Pegar ML'!AB459)</f>
        <v>0</v>
      </c>
      <c r="M463" s="27" t="str">
        <f>IF('Pegar ML'!AC459=" ",RIGHT('Pegar ML'!AC458,8),RIGHT('Pegar ML'!AC459,8))</f>
        <v/>
      </c>
      <c r="N463" s="27" t="s">
        <v>80</v>
      </c>
      <c r="O463" s="27">
        <f t="shared" si="21"/>
        <v>0</v>
      </c>
      <c r="P463" s="27" t="s">
        <v>80</v>
      </c>
      <c r="Q463" s="55">
        <f>IF('Pegar ML'!AD459=" ",'Pegar ML'!AD458,'Pegar ML'!AD459)</f>
        <v>0</v>
      </c>
      <c r="R463" s="27" t="s">
        <v>80</v>
      </c>
      <c r="S463" s="27" t="s">
        <v>80</v>
      </c>
      <c r="T463" s="27" t="s">
        <v>80</v>
      </c>
      <c r="U463" s="55">
        <f>IF('Pegar ML'!AI459=" ",'Pegar ML'!AI458,'Pegar ML'!AI459)</f>
        <v>0</v>
      </c>
      <c r="V463" s="55">
        <f>IF('Pegar ML'!AK459=" ",'Pegar ML'!AK458,'Pegar ML'!AK459)</f>
        <v>0</v>
      </c>
      <c r="W463" s="55">
        <f>IF('Pegar ML'!AJ459=" ",'Pegar ML'!AJ458,'Pegar ML'!AJ459)</f>
        <v>0</v>
      </c>
      <c r="X463" s="55">
        <f>IF('Pegar ML'!AL459=" ",'Pegar ML'!AL458,'Pegar ML'!AL459)</f>
        <v>0</v>
      </c>
      <c r="Y463" s="27"/>
      <c r="Z463" s="27"/>
      <c r="AA463" s="27"/>
      <c r="AB463" s="27"/>
      <c r="AC463" s="27"/>
      <c r="AD463" s="27"/>
      <c r="AF463" s="8"/>
      <c r="AG463" s="27"/>
      <c r="AH463" s="14">
        <f>+'Pegar ML'!Y459</f>
        <v>0</v>
      </c>
      <c r="AI463" s="13">
        <f t="shared" si="22"/>
        <v>1</v>
      </c>
      <c r="AJ463" s="7">
        <f>+'Pegar ML'!T459</f>
        <v>0</v>
      </c>
      <c r="AK463" s="27"/>
      <c r="AL463" s="27"/>
      <c r="AM463" s="27"/>
      <c r="AN463" s="27"/>
      <c r="AO463" s="27"/>
      <c r="AP463" s="27"/>
      <c r="AQ463" s="27"/>
      <c r="AR463" s="27"/>
      <c r="AS463" s="27">
        <v>17</v>
      </c>
    </row>
    <row r="464" spans="1:45" ht="15" customHeight="1" x14ac:dyDescent="0.25">
      <c r="A464" s="27">
        <f>IF('Pegar ML'!C459="Paquete de 2 productos",'Pegar ML'!A459,IF('Pegar ML'!C458="Paquete de 2 productos",'Pegar ML'!A458,'Pegar ML'!A460))</f>
        <v>0</v>
      </c>
      <c r="B464" s="27"/>
      <c r="C464" s="30" t="str">
        <f>IF(AjusteFecha!I460=0,"",AjusteFecha!I460)</f>
        <v/>
      </c>
      <c r="D464" s="27"/>
      <c r="E464" s="27"/>
      <c r="F464" s="27" t="str">
        <f>IF('Pegar ML'!C460="","",'Pegar ML'!C460)</f>
        <v/>
      </c>
      <c r="G464" s="27" t="str">
        <f>IF('Pegar ML'!G455="ARS","PS","PS")</f>
        <v>PS</v>
      </c>
      <c r="H464" s="14">
        <f>IF('Pegar ML'!C459="Paquete de 2 productos",IF('Pegar ML'!H459="",0,'Pegar ML'!H459),IF('Pegar ML'!H460="",0,'Pegar ML'!H460))</f>
        <v>0</v>
      </c>
      <c r="I464" s="14">
        <f>IF('Pegar ML'!C459="Paquete de 2 productos",IF('Pegar ML'!O459="",0,'Pegar ML'!O459),IF('Pegar ML'!O460="",0,'Pegar ML'!O460))</f>
        <v>0</v>
      </c>
      <c r="J464" s="14">
        <f>IF('Pegar ML'!C459="Paquete de 2 productos",IF('Pegar ML'!O459="",0,'Pegar ML'!O459),IF('Pegar ML'!O460="",0,'Pegar ML'!O460))</f>
        <v>0</v>
      </c>
      <c r="K464" s="14">
        <f t="shared" si="23"/>
        <v>0</v>
      </c>
      <c r="L464" s="27">
        <f>IF('Pegar ML'!AB460=" ",'Pegar ML'!AB459,'Pegar ML'!AB460)</f>
        <v>0</v>
      </c>
      <c r="M464" s="27" t="str">
        <f>IF('Pegar ML'!AC460=" ",RIGHT('Pegar ML'!AC459,8),RIGHT('Pegar ML'!AC460,8))</f>
        <v/>
      </c>
      <c r="N464" s="27" t="s">
        <v>80</v>
      </c>
      <c r="O464" s="27">
        <f t="shared" si="21"/>
        <v>0</v>
      </c>
      <c r="P464" s="27" t="s">
        <v>80</v>
      </c>
      <c r="Q464" s="55">
        <f>IF('Pegar ML'!AD460=" ",'Pegar ML'!AD459,'Pegar ML'!AD460)</f>
        <v>0</v>
      </c>
      <c r="R464" s="27" t="s">
        <v>80</v>
      </c>
      <c r="S464" s="27" t="s">
        <v>80</v>
      </c>
      <c r="T464" s="27" t="s">
        <v>80</v>
      </c>
      <c r="U464" s="55">
        <f>IF('Pegar ML'!AI460=" ",'Pegar ML'!AI459,'Pegar ML'!AI460)</f>
        <v>0</v>
      </c>
      <c r="V464" s="55">
        <f>IF('Pegar ML'!AK460=" ",'Pegar ML'!AK459,'Pegar ML'!AK460)</f>
        <v>0</v>
      </c>
      <c r="W464" s="55">
        <f>IF('Pegar ML'!AJ460=" ",'Pegar ML'!AJ459,'Pegar ML'!AJ460)</f>
        <v>0</v>
      </c>
      <c r="X464" s="55">
        <f>IF('Pegar ML'!AL460=" ",'Pegar ML'!AL459,'Pegar ML'!AL460)</f>
        <v>0</v>
      </c>
      <c r="Y464" s="27"/>
      <c r="Z464" s="27"/>
      <c r="AA464" s="27"/>
      <c r="AB464" s="27"/>
      <c r="AC464" s="27"/>
      <c r="AD464" s="27"/>
      <c r="AF464" s="8"/>
      <c r="AG464" s="27"/>
      <c r="AH464" s="14">
        <f>+'Pegar ML'!Y460</f>
        <v>0</v>
      </c>
      <c r="AI464" s="13">
        <f t="shared" si="22"/>
        <v>1</v>
      </c>
      <c r="AJ464" s="7">
        <f>+'Pegar ML'!T460</f>
        <v>0</v>
      </c>
      <c r="AK464" s="27"/>
      <c r="AL464" s="27"/>
      <c r="AM464" s="27"/>
      <c r="AN464" s="27"/>
      <c r="AO464" s="27"/>
      <c r="AP464" s="27"/>
      <c r="AQ464" s="27"/>
      <c r="AR464" s="27"/>
      <c r="AS464" s="27">
        <v>17</v>
      </c>
    </row>
    <row r="465" spans="1:45" ht="15" customHeight="1" x14ac:dyDescent="0.25">
      <c r="A465" s="27">
        <f>IF('Pegar ML'!C460="Paquete de 2 productos",'Pegar ML'!A460,IF('Pegar ML'!C459="Paquete de 2 productos",'Pegar ML'!A459,'Pegar ML'!A461))</f>
        <v>0</v>
      </c>
      <c r="B465" s="27"/>
      <c r="C465" s="30" t="str">
        <f>IF(AjusteFecha!I461=0,"",AjusteFecha!I461)</f>
        <v/>
      </c>
      <c r="D465" s="27"/>
      <c r="E465" s="27"/>
      <c r="F465" s="27" t="str">
        <f>IF('Pegar ML'!C461="","",'Pegar ML'!C461)</f>
        <v/>
      </c>
      <c r="G465" s="27" t="str">
        <f>IF('Pegar ML'!G456="ARS","PS","PS")</f>
        <v>PS</v>
      </c>
      <c r="H465" s="14">
        <f>IF('Pegar ML'!C460="Paquete de 2 productos",IF('Pegar ML'!H460="",0,'Pegar ML'!H460),IF('Pegar ML'!H461="",0,'Pegar ML'!H461))</f>
        <v>0</v>
      </c>
      <c r="I465" s="14">
        <f>IF('Pegar ML'!C460="Paquete de 2 productos",IF('Pegar ML'!O460="",0,'Pegar ML'!O460),IF('Pegar ML'!O461="",0,'Pegar ML'!O461))</f>
        <v>0</v>
      </c>
      <c r="J465" s="14">
        <f>IF('Pegar ML'!C460="Paquete de 2 productos",IF('Pegar ML'!O460="",0,'Pegar ML'!O460),IF('Pegar ML'!O461="",0,'Pegar ML'!O461))</f>
        <v>0</v>
      </c>
      <c r="K465" s="14">
        <f t="shared" si="23"/>
        <v>0</v>
      </c>
      <c r="L465" s="27">
        <f>IF('Pegar ML'!AB461=" ",'Pegar ML'!AB460,'Pegar ML'!AB461)</f>
        <v>0</v>
      </c>
      <c r="M465" s="27" t="str">
        <f>IF('Pegar ML'!AC461=" ",RIGHT('Pegar ML'!AC460,8),RIGHT('Pegar ML'!AC461,8))</f>
        <v/>
      </c>
      <c r="N465" s="27" t="s">
        <v>80</v>
      </c>
      <c r="O465" s="27">
        <f t="shared" si="21"/>
        <v>0</v>
      </c>
      <c r="P465" s="27" t="s">
        <v>80</v>
      </c>
      <c r="Q465" s="55">
        <f>IF('Pegar ML'!AD461=" ",'Pegar ML'!AD460,'Pegar ML'!AD461)</f>
        <v>0</v>
      </c>
      <c r="R465" s="27" t="s">
        <v>80</v>
      </c>
      <c r="S465" s="27" t="s">
        <v>80</v>
      </c>
      <c r="T465" s="27" t="s">
        <v>80</v>
      </c>
      <c r="U465" s="55">
        <f>IF('Pegar ML'!AI461=" ",'Pegar ML'!AI460,'Pegar ML'!AI461)</f>
        <v>0</v>
      </c>
      <c r="V465" s="55">
        <f>IF('Pegar ML'!AK461=" ",'Pegar ML'!AK460,'Pegar ML'!AK461)</f>
        <v>0</v>
      </c>
      <c r="W465" s="55">
        <f>IF('Pegar ML'!AJ461=" ",'Pegar ML'!AJ460,'Pegar ML'!AJ461)</f>
        <v>0</v>
      </c>
      <c r="X465" s="55">
        <f>IF('Pegar ML'!AL461=" ",'Pegar ML'!AL460,'Pegar ML'!AL461)</f>
        <v>0</v>
      </c>
      <c r="Y465" s="27"/>
      <c r="Z465" s="27"/>
      <c r="AA465" s="27"/>
      <c r="AB465" s="27"/>
      <c r="AC465" s="27"/>
      <c r="AD465" s="27"/>
      <c r="AF465" s="8"/>
      <c r="AG465" s="27"/>
      <c r="AH465" s="14">
        <f>+'Pegar ML'!Y461</f>
        <v>0</v>
      </c>
      <c r="AI465" s="13">
        <f t="shared" si="22"/>
        <v>1</v>
      </c>
      <c r="AJ465" s="7">
        <f>+'Pegar ML'!T461</f>
        <v>0</v>
      </c>
      <c r="AK465" s="27"/>
      <c r="AL465" s="27"/>
      <c r="AM465" s="27"/>
      <c r="AN465" s="27"/>
      <c r="AO465" s="27"/>
      <c r="AP465" s="27"/>
      <c r="AQ465" s="27"/>
      <c r="AR465" s="27"/>
      <c r="AS465" s="27">
        <v>17</v>
      </c>
    </row>
    <row r="466" spans="1:45" ht="15" customHeight="1" x14ac:dyDescent="0.25">
      <c r="A466" s="27">
        <f>IF('Pegar ML'!C461="Paquete de 2 productos",'Pegar ML'!A461,IF('Pegar ML'!C460="Paquete de 2 productos",'Pegar ML'!A460,'Pegar ML'!A462))</f>
        <v>0</v>
      </c>
      <c r="B466" s="27"/>
      <c r="C466" s="30" t="str">
        <f>IF(AjusteFecha!I462=0,"",AjusteFecha!I462)</f>
        <v/>
      </c>
      <c r="D466" s="27"/>
      <c r="E466" s="27"/>
      <c r="F466" s="27" t="str">
        <f>IF('Pegar ML'!C462="","",'Pegar ML'!C462)</f>
        <v/>
      </c>
      <c r="G466" s="27" t="str">
        <f>IF('Pegar ML'!G457="ARS","PS","PS")</f>
        <v>PS</v>
      </c>
      <c r="H466" s="14">
        <f>IF('Pegar ML'!C461="Paquete de 2 productos",IF('Pegar ML'!H461="",0,'Pegar ML'!H461),IF('Pegar ML'!H462="",0,'Pegar ML'!H462))</f>
        <v>0</v>
      </c>
      <c r="I466" s="14">
        <f>IF('Pegar ML'!C461="Paquete de 2 productos",IF('Pegar ML'!O461="",0,'Pegar ML'!O461),IF('Pegar ML'!O462="",0,'Pegar ML'!O462))</f>
        <v>0</v>
      </c>
      <c r="J466" s="14">
        <f>IF('Pegar ML'!C461="Paquete de 2 productos",IF('Pegar ML'!O461="",0,'Pegar ML'!O461),IF('Pegar ML'!O462="",0,'Pegar ML'!O462))</f>
        <v>0</v>
      </c>
      <c r="K466" s="14">
        <f t="shared" si="23"/>
        <v>0</v>
      </c>
      <c r="L466" s="27">
        <f>IF('Pegar ML'!AB462=" ",'Pegar ML'!AB461,'Pegar ML'!AB462)</f>
        <v>0</v>
      </c>
      <c r="M466" s="27" t="str">
        <f>IF('Pegar ML'!AC462=" ",RIGHT('Pegar ML'!AC461,8),RIGHT('Pegar ML'!AC462,8))</f>
        <v/>
      </c>
      <c r="N466" s="27" t="s">
        <v>80</v>
      </c>
      <c r="O466" s="27">
        <f t="shared" si="21"/>
        <v>0</v>
      </c>
      <c r="P466" s="27" t="s">
        <v>80</v>
      </c>
      <c r="Q466" s="55">
        <f>IF('Pegar ML'!AD462=" ",'Pegar ML'!AD461,'Pegar ML'!AD462)</f>
        <v>0</v>
      </c>
      <c r="R466" s="27" t="s">
        <v>80</v>
      </c>
      <c r="S466" s="27" t="s">
        <v>80</v>
      </c>
      <c r="T466" s="27" t="s">
        <v>80</v>
      </c>
      <c r="U466" s="55">
        <f>IF('Pegar ML'!AI462=" ",'Pegar ML'!AI461,'Pegar ML'!AI462)</f>
        <v>0</v>
      </c>
      <c r="V466" s="55">
        <f>IF('Pegar ML'!AK462=" ",'Pegar ML'!AK461,'Pegar ML'!AK462)</f>
        <v>0</v>
      </c>
      <c r="W466" s="55">
        <f>IF('Pegar ML'!AJ462=" ",'Pegar ML'!AJ461,'Pegar ML'!AJ462)</f>
        <v>0</v>
      </c>
      <c r="X466" s="55">
        <f>IF('Pegar ML'!AL462=" ",'Pegar ML'!AL461,'Pegar ML'!AL462)</f>
        <v>0</v>
      </c>
      <c r="Y466" s="27"/>
      <c r="Z466" s="27"/>
      <c r="AA466" s="27"/>
      <c r="AB466" s="27"/>
      <c r="AC466" s="27"/>
      <c r="AD466" s="27"/>
      <c r="AF466" s="8"/>
      <c r="AG466" s="27"/>
      <c r="AH466" s="14">
        <f>+'Pegar ML'!Y462</f>
        <v>0</v>
      </c>
      <c r="AI466" s="13">
        <f t="shared" si="22"/>
        <v>1</v>
      </c>
      <c r="AJ466" s="7">
        <f>+'Pegar ML'!T462</f>
        <v>0</v>
      </c>
      <c r="AK466" s="27"/>
      <c r="AL466" s="27"/>
      <c r="AM466" s="27"/>
      <c r="AN466" s="27"/>
      <c r="AO466" s="27"/>
      <c r="AP466" s="27"/>
      <c r="AQ466" s="27"/>
      <c r="AR466" s="27"/>
      <c r="AS466" s="27">
        <v>17</v>
      </c>
    </row>
    <row r="467" spans="1:45" ht="15" customHeight="1" x14ac:dyDescent="0.25">
      <c r="A467" s="27">
        <f>IF('Pegar ML'!C462="Paquete de 2 productos",'Pegar ML'!A462,IF('Pegar ML'!C461="Paquete de 2 productos",'Pegar ML'!A461,'Pegar ML'!A463))</f>
        <v>0</v>
      </c>
      <c r="B467" s="27"/>
      <c r="C467" s="30" t="str">
        <f>IF(AjusteFecha!I463=0,"",AjusteFecha!I463)</f>
        <v/>
      </c>
      <c r="D467" s="27"/>
      <c r="E467" s="27"/>
      <c r="F467" s="27" t="str">
        <f>IF('Pegar ML'!C463="","",'Pegar ML'!C463)</f>
        <v/>
      </c>
      <c r="G467" s="27" t="str">
        <f>IF('Pegar ML'!G458="ARS","PS","PS")</f>
        <v>PS</v>
      </c>
      <c r="H467" s="14">
        <f>IF('Pegar ML'!C462="Paquete de 2 productos",IF('Pegar ML'!H462="",0,'Pegar ML'!H462),IF('Pegar ML'!H463="",0,'Pegar ML'!H463))</f>
        <v>0</v>
      </c>
      <c r="I467" s="14">
        <f>IF('Pegar ML'!C462="Paquete de 2 productos",IF('Pegar ML'!O462="",0,'Pegar ML'!O462),IF('Pegar ML'!O463="",0,'Pegar ML'!O463))</f>
        <v>0</v>
      </c>
      <c r="J467" s="14">
        <f>IF('Pegar ML'!C462="Paquete de 2 productos",IF('Pegar ML'!O462="",0,'Pegar ML'!O462),IF('Pegar ML'!O463="",0,'Pegar ML'!O463))</f>
        <v>0</v>
      </c>
      <c r="K467" s="14">
        <f t="shared" si="23"/>
        <v>0</v>
      </c>
      <c r="L467" s="27">
        <f>IF('Pegar ML'!AB463=" ",'Pegar ML'!AB462,'Pegar ML'!AB463)</f>
        <v>0</v>
      </c>
      <c r="M467" s="27" t="str">
        <f>IF('Pegar ML'!AC463=" ",RIGHT('Pegar ML'!AC462,8),RIGHT('Pegar ML'!AC463,8))</f>
        <v/>
      </c>
      <c r="N467" s="27" t="s">
        <v>80</v>
      </c>
      <c r="O467" s="27">
        <f t="shared" si="21"/>
        <v>0</v>
      </c>
      <c r="P467" s="27" t="s">
        <v>80</v>
      </c>
      <c r="Q467" s="55">
        <f>IF('Pegar ML'!AD463=" ",'Pegar ML'!AD462,'Pegar ML'!AD463)</f>
        <v>0</v>
      </c>
      <c r="R467" s="27" t="s">
        <v>80</v>
      </c>
      <c r="S467" s="27" t="s">
        <v>80</v>
      </c>
      <c r="T467" s="27" t="s">
        <v>80</v>
      </c>
      <c r="U467" s="55">
        <f>IF('Pegar ML'!AI463=" ",'Pegar ML'!AI462,'Pegar ML'!AI463)</f>
        <v>0</v>
      </c>
      <c r="V467" s="55">
        <f>IF('Pegar ML'!AK463=" ",'Pegar ML'!AK462,'Pegar ML'!AK463)</f>
        <v>0</v>
      </c>
      <c r="W467" s="55">
        <f>IF('Pegar ML'!AJ463=" ",'Pegar ML'!AJ462,'Pegar ML'!AJ463)</f>
        <v>0</v>
      </c>
      <c r="X467" s="55">
        <f>IF('Pegar ML'!AL463=" ",'Pegar ML'!AL462,'Pegar ML'!AL463)</f>
        <v>0</v>
      </c>
      <c r="Y467" s="27"/>
      <c r="Z467" s="27"/>
      <c r="AA467" s="27"/>
      <c r="AB467" s="27"/>
      <c r="AC467" s="27"/>
      <c r="AD467" s="27"/>
      <c r="AF467" s="8"/>
      <c r="AG467" s="27"/>
      <c r="AH467" s="14">
        <f>+'Pegar ML'!Y463</f>
        <v>0</v>
      </c>
      <c r="AI467" s="13">
        <f t="shared" si="22"/>
        <v>1</v>
      </c>
      <c r="AJ467" s="7">
        <f>+'Pegar ML'!T463</f>
        <v>0</v>
      </c>
      <c r="AK467" s="27"/>
      <c r="AL467" s="27"/>
      <c r="AM467" s="27"/>
      <c r="AN467" s="27"/>
      <c r="AO467" s="27"/>
      <c r="AP467" s="27"/>
      <c r="AQ467" s="27"/>
      <c r="AR467" s="27"/>
      <c r="AS467" s="27">
        <v>17</v>
      </c>
    </row>
    <row r="468" spans="1:45" ht="15" customHeight="1" x14ac:dyDescent="0.25">
      <c r="A468" s="27">
        <f>IF('Pegar ML'!C463="Paquete de 2 productos",'Pegar ML'!A463,IF('Pegar ML'!C462="Paquete de 2 productos",'Pegar ML'!A462,'Pegar ML'!A464))</f>
        <v>0</v>
      </c>
      <c r="B468" s="27"/>
      <c r="C468" s="30" t="str">
        <f>IF(AjusteFecha!I464=0,"",AjusteFecha!I464)</f>
        <v/>
      </c>
      <c r="D468" s="27"/>
      <c r="E468" s="27"/>
      <c r="F468" s="27" t="str">
        <f>IF('Pegar ML'!C464="","",'Pegar ML'!C464)</f>
        <v/>
      </c>
      <c r="G468" s="27" t="str">
        <f>IF('Pegar ML'!G459="ARS","PS","PS")</f>
        <v>PS</v>
      </c>
      <c r="H468" s="14">
        <f>IF('Pegar ML'!C463="Paquete de 2 productos",IF('Pegar ML'!H463="",0,'Pegar ML'!H463),IF('Pegar ML'!H464="",0,'Pegar ML'!H464))</f>
        <v>0</v>
      </c>
      <c r="I468" s="14">
        <f>IF('Pegar ML'!C463="Paquete de 2 productos",IF('Pegar ML'!O463="",0,'Pegar ML'!O463),IF('Pegar ML'!O464="",0,'Pegar ML'!O464))</f>
        <v>0</v>
      </c>
      <c r="J468" s="14">
        <f>IF('Pegar ML'!C463="Paquete de 2 productos",IF('Pegar ML'!O463="",0,'Pegar ML'!O463),IF('Pegar ML'!O464="",0,'Pegar ML'!O464))</f>
        <v>0</v>
      </c>
      <c r="K468" s="14">
        <f t="shared" si="23"/>
        <v>0</v>
      </c>
      <c r="L468" s="27">
        <f>IF('Pegar ML'!AB464=" ",'Pegar ML'!AB463,'Pegar ML'!AB464)</f>
        <v>0</v>
      </c>
      <c r="M468" s="27" t="str">
        <f>IF('Pegar ML'!AC464=" ",RIGHT('Pegar ML'!AC463,8),RIGHT('Pegar ML'!AC464,8))</f>
        <v/>
      </c>
      <c r="N468" s="27" t="s">
        <v>80</v>
      </c>
      <c r="O468" s="27">
        <f t="shared" si="21"/>
        <v>0</v>
      </c>
      <c r="P468" s="27" t="s">
        <v>80</v>
      </c>
      <c r="Q468" s="55">
        <f>IF('Pegar ML'!AD464=" ",'Pegar ML'!AD463,'Pegar ML'!AD464)</f>
        <v>0</v>
      </c>
      <c r="R468" s="27" t="s">
        <v>80</v>
      </c>
      <c r="S468" s="27" t="s">
        <v>80</v>
      </c>
      <c r="T468" s="27" t="s">
        <v>80</v>
      </c>
      <c r="U468" s="55">
        <f>IF('Pegar ML'!AI464=" ",'Pegar ML'!AI463,'Pegar ML'!AI464)</f>
        <v>0</v>
      </c>
      <c r="V468" s="55">
        <f>IF('Pegar ML'!AK464=" ",'Pegar ML'!AK463,'Pegar ML'!AK464)</f>
        <v>0</v>
      </c>
      <c r="W468" s="55">
        <f>IF('Pegar ML'!AJ464=" ",'Pegar ML'!AJ463,'Pegar ML'!AJ464)</f>
        <v>0</v>
      </c>
      <c r="X468" s="55">
        <f>IF('Pegar ML'!AL464=" ",'Pegar ML'!AL463,'Pegar ML'!AL464)</f>
        <v>0</v>
      </c>
      <c r="Y468" s="27"/>
      <c r="Z468" s="27"/>
      <c r="AA468" s="27"/>
      <c r="AB468" s="27"/>
      <c r="AC468" s="27"/>
      <c r="AD468" s="27"/>
      <c r="AF468" s="8"/>
      <c r="AG468" s="27"/>
      <c r="AH468" s="14">
        <f>+'Pegar ML'!Y464</f>
        <v>0</v>
      </c>
      <c r="AI468" s="13">
        <f t="shared" si="22"/>
        <v>1</v>
      </c>
      <c r="AJ468" s="7">
        <f>+'Pegar ML'!T464</f>
        <v>0</v>
      </c>
      <c r="AK468" s="27"/>
      <c r="AL468" s="27"/>
      <c r="AM468" s="27"/>
      <c r="AN468" s="27"/>
      <c r="AO468" s="27"/>
      <c r="AP468" s="27"/>
      <c r="AQ468" s="27"/>
      <c r="AR468" s="27"/>
      <c r="AS468" s="27">
        <v>17</v>
      </c>
    </row>
    <row r="469" spans="1:45" ht="15" customHeight="1" x14ac:dyDescent="0.25">
      <c r="A469" s="27">
        <f>IF('Pegar ML'!C464="Paquete de 2 productos",'Pegar ML'!A464,IF('Pegar ML'!C463="Paquete de 2 productos",'Pegar ML'!A463,'Pegar ML'!A465))</f>
        <v>0</v>
      </c>
      <c r="B469" s="27"/>
      <c r="C469" s="30" t="str">
        <f>IF(AjusteFecha!I465=0,"",AjusteFecha!I465)</f>
        <v/>
      </c>
      <c r="D469" s="27"/>
      <c r="E469" s="27"/>
      <c r="F469" s="27" t="str">
        <f>IF('Pegar ML'!C465="","",'Pegar ML'!C465)</f>
        <v/>
      </c>
      <c r="G469" s="27" t="str">
        <f>IF('Pegar ML'!G460="ARS","PS","PS")</f>
        <v>PS</v>
      </c>
      <c r="H469" s="14">
        <f>IF('Pegar ML'!C464="Paquete de 2 productos",IF('Pegar ML'!H464="",0,'Pegar ML'!H464),IF('Pegar ML'!H465="",0,'Pegar ML'!H465))</f>
        <v>0</v>
      </c>
      <c r="I469" s="14">
        <f>IF('Pegar ML'!C464="Paquete de 2 productos",IF('Pegar ML'!O464="",0,'Pegar ML'!O464),IF('Pegar ML'!O465="",0,'Pegar ML'!O465))</f>
        <v>0</v>
      </c>
      <c r="J469" s="14">
        <f>IF('Pegar ML'!C464="Paquete de 2 productos",IF('Pegar ML'!O464="",0,'Pegar ML'!O464),IF('Pegar ML'!O465="",0,'Pegar ML'!O465))</f>
        <v>0</v>
      </c>
      <c r="K469" s="14">
        <f t="shared" si="23"/>
        <v>0</v>
      </c>
      <c r="L469" s="27">
        <f>IF('Pegar ML'!AB465=" ",'Pegar ML'!AB464,'Pegar ML'!AB465)</f>
        <v>0</v>
      </c>
      <c r="M469" s="27" t="str">
        <f>IF('Pegar ML'!AC465=" ",RIGHT('Pegar ML'!AC464,8),RIGHT('Pegar ML'!AC465,8))</f>
        <v/>
      </c>
      <c r="N469" s="27" t="s">
        <v>80</v>
      </c>
      <c r="O469" s="27">
        <f t="shared" si="21"/>
        <v>0</v>
      </c>
      <c r="P469" s="27" t="s">
        <v>80</v>
      </c>
      <c r="Q469" s="55">
        <f>IF('Pegar ML'!AD465=" ",'Pegar ML'!AD464,'Pegar ML'!AD465)</f>
        <v>0</v>
      </c>
      <c r="R469" s="27" t="s">
        <v>80</v>
      </c>
      <c r="S469" s="27" t="s">
        <v>80</v>
      </c>
      <c r="T469" s="27" t="s">
        <v>80</v>
      </c>
      <c r="U469" s="55">
        <f>IF('Pegar ML'!AI465=" ",'Pegar ML'!AI464,'Pegar ML'!AI465)</f>
        <v>0</v>
      </c>
      <c r="V469" s="55">
        <f>IF('Pegar ML'!AK465=" ",'Pegar ML'!AK464,'Pegar ML'!AK465)</f>
        <v>0</v>
      </c>
      <c r="W469" s="55">
        <f>IF('Pegar ML'!AJ465=" ",'Pegar ML'!AJ464,'Pegar ML'!AJ465)</f>
        <v>0</v>
      </c>
      <c r="X469" s="55">
        <f>IF('Pegar ML'!AL465=" ",'Pegar ML'!AL464,'Pegar ML'!AL465)</f>
        <v>0</v>
      </c>
      <c r="Y469" s="27"/>
      <c r="Z469" s="27"/>
      <c r="AA469" s="27"/>
      <c r="AB469" s="27"/>
      <c r="AC469" s="27"/>
      <c r="AD469" s="27"/>
      <c r="AF469" s="8"/>
      <c r="AG469" s="27"/>
      <c r="AH469" s="14">
        <f>+'Pegar ML'!Y465</f>
        <v>0</v>
      </c>
      <c r="AI469" s="13">
        <f t="shared" si="22"/>
        <v>1</v>
      </c>
      <c r="AJ469" s="7">
        <f>+'Pegar ML'!T465</f>
        <v>0</v>
      </c>
      <c r="AK469" s="27"/>
      <c r="AL469" s="27"/>
      <c r="AM469" s="27"/>
      <c r="AN469" s="27"/>
      <c r="AO469" s="27"/>
      <c r="AP469" s="27"/>
      <c r="AQ469" s="27"/>
      <c r="AR469" s="27"/>
      <c r="AS469" s="27">
        <v>17</v>
      </c>
    </row>
    <row r="470" spans="1:45" ht="15" customHeight="1" x14ac:dyDescent="0.25">
      <c r="A470" s="27">
        <f>IF('Pegar ML'!C465="Paquete de 2 productos",'Pegar ML'!A465,IF('Pegar ML'!C464="Paquete de 2 productos",'Pegar ML'!A464,'Pegar ML'!A466))</f>
        <v>0</v>
      </c>
      <c r="B470" s="27"/>
      <c r="C470" s="30" t="str">
        <f>IF(AjusteFecha!I466=0,"",AjusteFecha!I466)</f>
        <v/>
      </c>
      <c r="D470" s="27"/>
      <c r="E470" s="27"/>
      <c r="F470" s="27" t="str">
        <f>IF('Pegar ML'!C466="","",'Pegar ML'!C466)</f>
        <v/>
      </c>
      <c r="G470" s="27" t="str">
        <f>IF('Pegar ML'!G461="ARS","PS","PS")</f>
        <v>PS</v>
      </c>
      <c r="H470" s="14">
        <f>IF('Pegar ML'!C465="Paquete de 2 productos",IF('Pegar ML'!H465="",0,'Pegar ML'!H465),IF('Pegar ML'!H466="",0,'Pegar ML'!H466))</f>
        <v>0</v>
      </c>
      <c r="I470" s="14">
        <f>IF('Pegar ML'!C465="Paquete de 2 productos",IF('Pegar ML'!O465="",0,'Pegar ML'!O465),IF('Pegar ML'!O466="",0,'Pegar ML'!O466))</f>
        <v>0</v>
      </c>
      <c r="J470" s="14">
        <f>IF('Pegar ML'!C465="Paquete de 2 productos",IF('Pegar ML'!O465="",0,'Pegar ML'!O465),IF('Pegar ML'!O466="",0,'Pegar ML'!O466))</f>
        <v>0</v>
      </c>
      <c r="K470" s="14">
        <f t="shared" si="23"/>
        <v>0</v>
      </c>
      <c r="L470" s="27">
        <f>IF('Pegar ML'!AB466=" ",'Pegar ML'!AB465,'Pegar ML'!AB466)</f>
        <v>0</v>
      </c>
      <c r="M470" s="27" t="str">
        <f>IF('Pegar ML'!AC466=" ",RIGHT('Pegar ML'!AC465,8),RIGHT('Pegar ML'!AC466,8))</f>
        <v/>
      </c>
      <c r="N470" s="27" t="s">
        <v>80</v>
      </c>
      <c r="O470" s="27">
        <f t="shared" si="21"/>
        <v>0</v>
      </c>
      <c r="P470" s="27" t="s">
        <v>80</v>
      </c>
      <c r="Q470" s="55">
        <f>IF('Pegar ML'!AD466=" ",'Pegar ML'!AD465,'Pegar ML'!AD466)</f>
        <v>0</v>
      </c>
      <c r="R470" s="27" t="s">
        <v>80</v>
      </c>
      <c r="S470" s="27" t="s">
        <v>80</v>
      </c>
      <c r="T470" s="27" t="s">
        <v>80</v>
      </c>
      <c r="U470" s="55">
        <f>IF('Pegar ML'!AI466=" ",'Pegar ML'!AI465,'Pegar ML'!AI466)</f>
        <v>0</v>
      </c>
      <c r="V470" s="55">
        <f>IF('Pegar ML'!AK466=" ",'Pegar ML'!AK465,'Pegar ML'!AK466)</f>
        <v>0</v>
      </c>
      <c r="W470" s="55">
        <f>IF('Pegar ML'!AJ466=" ",'Pegar ML'!AJ465,'Pegar ML'!AJ466)</f>
        <v>0</v>
      </c>
      <c r="X470" s="55">
        <f>IF('Pegar ML'!AL466=" ",'Pegar ML'!AL465,'Pegar ML'!AL466)</f>
        <v>0</v>
      </c>
      <c r="Y470" s="27"/>
      <c r="Z470" s="27"/>
      <c r="AA470" s="27"/>
      <c r="AB470" s="27"/>
      <c r="AC470" s="27"/>
      <c r="AD470" s="27"/>
      <c r="AF470" s="8"/>
      <c r="AG470" s="27"/>
      <c r="AH470" s="14">
        <f>+'Pegar ML'!Y466</f>
        <v>0</v>
      </c>
      <c r="AI470" s="13">
        <f t="shared" si="22"/>
        <v>1</v>
      </c>
      <c r="AJ470" s="7">
        <f>+'Pegar ML'!T466</f>
        <v>0</v>
      </c>
      <c r="AK470" s="27"/>
      <c r="AL470" s="27"/>
      <c r="AM470" s="27"/>
      <c r="AN470" s="27"/>
      <c r="AO470" s="27"/>
      <c r="AP470" s="27"/>
      <c r="AQ470" s="27"/>
      <c r="AR470" s="27"/>
      <c r="AS470" s="27">
        <v>17</v>
      </c>
    </row>
    <row r="471" spans="1:45" ht="15" customHeight="1" x14ac:dyDescent="0.25">
      <c r="A471" s="27">
        <f>IF('Pegar ML'!C466="Paquete de 2 productos",'Pegar ML'!A466,IF('Pegar ML'!C465="Paquete de 2 productos",'Pegar ML'!A465,'Pegar ML'!A467))</f>
        <v>0</v>
      </c>
      <c r="B471" s="27"/>
      <c r="C471" s="30" t="str">
        <f>IF(AjusteFecha!I467=0,"",AjusteFecha!I467)</f>
        <v/>
      </c>
      <c r="D471" s="27"/>
      <c r="E471" s="27"/>
      <c r="F471" s="27" t="str">
        <f>IF('Pegar ML'!C467="","",'Pegar ML'!C467)</f>
        <v/>
      </c>
      <c r="G471" s="27" t="str">
        <f>IF('Pegar ML'!G462="ARS","PS","PS")</f>
        <v>PS</v>
      </c>
      <c r="H471" s="14">
        <f>IF('Pegar ML'!C466="Paquete de 2 productos",IF('Pegar ML'!H466="",0,'Pegar ML'!H466),IF('Pegar ML'!H467="",0,'Pegar ML'!H467))</f>
        <v>0</v>
      </c>
      <c r="I471" s="14">
        <f>IF('Pegar ML'!C466="Paquete de 2 productos",IF('Pegar ML'!O466="",0,'Pegar ML'!O466),IF('Pegar ML'!O467="",0,'Pegar ML'!O467))</f>
        <v>0</v>
      </c>
      <c r="J471" s="14">
        <f>IF('Pegar ML'!C466="Paquete de 2 productos",IF('Pegar ML'!O466="",0,'Pegar ML'!O466),IF('Pegar ML'!O467="",0,'Pegar ML'!O467))</f>
        <v>0</v>
      </c>
      <c r="K471" s="14">
        <f t="shared" si="23"/>
        <v>0</v>
      </c>
      <c r="L471" s="27">
        <f>IF('Pegar ML'!AB467=" ",'Pegar ML'!AB466,'Pegar ML'!AB467)</f>
        <v>0</v>
      </c>
      <c r="M471" s="27" t="str">
        <f>IF('Pegar ML'!AC467=" ",RIGHT('Pegar ML'!AC466,8),RIGHT('Pegar ML'!AC467,8))</f>
        <v/>
      </c>
      <c r="N471" s="27" t="s">
        <v>80</v>
      </c>
      <c r="O471" s="27">
        <f t="shared" si="21"/>
        <v>0</v>
      </c>
      <c r="P471" s="27" t="s">
        <v>80</v>
      </c>
      <c r="Q471" s="55">
        <f>IF('Pegar ML'!AD467=" ",'Pegar ML'!AD466,'Pegar ML'!AD467)</f>
        <v>0</v>
      </c>
      <c r="R471" s="27" t="s">
        <v>80</v>
      </c>
      <c r="S471" s="27" t="s">
        <v>80</v>
      </c>
      <c r="T471" s="27" t="s">
        <v>80</v>
      </c>
      <c r="U471" s="55">
        <f>IF('Pegar ML'!AI467=" ",'Pegar ML'!AI466,'Pegar ML'!AI467)</f>
        <v>0</v>
      </c>
      <c r="V471" s="55">
        <f>IF('Pegar ML'!AK467=" ",'Pegar ML'!AK466,'Pegar ML'!AK467)</f>
        <v>0</v>
      </c>
      <c r="W471" s="55">
        <f>IF('Pegar ML'!AJ467=" ",'Pegar ML'!AJ466,'Pegar ML'!AJ467)</f>
        <v>0</v>
      </c>
      <c r="X471" s="55">
        <f>IF('Pegar ML'!AL467=" ",'Pegar ML'!AL466,'Pegar ML'!AL467)</f>
        <v>0</v>
      </c>
      <c r="Y471" s="27"/>
      <c r="Z471" s="27"/>
      <c r="AA471" s="27"/>
      <c r="AB471" s="27"/>
      <c r="AC471" s="27"/>
      <c r="AD471" s="27"/>
      <c r="AF471" s="8"/>
      <c r="AG471" s="27"/>
      <c r="AH471" s="14">
        <f>+'Pegar ML'!Y467</f>
        <v>0</v>
      </c>
      <c r="AI471" s="13">
        <f t="shared" si="22"/>
        <v>1</v>
      </c>
      <c r="AJ471" s="7">
        <f>+'Pegar ML'!T467</f>
        <v>0</v>
      </c>
      <c r="AK471" s="27"/>
      <c r="AL471" s="27"/>
      <c r="AM471" s="27"/>
      <c r="AN471" s="27"/>
      <c r="AO471" s="27"/>
      <c r="AP471" s="27"/>
      <c r="AQ471" s="27"/>
      <c r="AR471" s="27"/>
      <c r="AS471" s="27">
        <v>17</v>
      </c>
    </row>
    <row r="472" spans="1:45" ht="15" customHeight="1" x14ac:dyDescent="0.25">
      <c r="A472" s="27">
        <f>IF('Pegar ML'!C467="Paquete de 2 productos",'Pegar ML'!A467,IF('Pegar ML'!C466="Paquete de 2 productos",'Pegar ML'!A466,'Pegar ML'!A468))</f>
        <v>0</v>
      </c>
      <c r="B472" s="27"/>
      <c r="C472" s="30" t="str">
        <f>IF(AjusteFecha!I468=0,"",AjusteFecha!I468)</f>
        <v/>
      </c>
      <c r="D472" s="27"/>
      <c r="E472" s="27"/>
      <c r="F472" s="27" t="str">
        <f>IF('Pegar ML'!C468="","",'Pegar ML'!C468)</f>
        <v/>
      </c>
      <c r="G472" s="27" t="str">
        <f>IF('Pegar ML'!G463="ARS","PS","PS")</f>
        <v>PS</v>
      </c>
      <c r="H472" s="14">
        <f>IF('Pegar ML'!C467="Paquete de 2 productos",IF('Pegar ML'!H467="",0,'Pegar ML'!H467),IF('Pegar ML'!H468="",0,'Pegar ML'!H468))</f>
        <v>0</v>
      </c>
      <c r="I472" s="14">
        <f>IF('Pegar ML'!C467="Paquete de 2 productos",IF('Pegar ML'!O467="",0,'Pegar ML'!O467),IF('Pegar ML'!O468="",0,'Pegar ML'!O468))</f>
        <v>0</v>
      </c>
      <c r="J472" s="14">
        <f>IF('Pegar ML'!C467="Paquete de 2 productos",IF('Pegar ML'!O467="",0,'Pegar ML'!O467),IF('Pegar ML'!O468="",0,'Pegar ML'!O468))</f>
        <v>0</v>
      </c>
      <c r="K472" s="14">
        <f t="shared" si="23"/>
        <v>0</v>
      </c>
      <c r="L472" s="27">
        <f>IF('Pegar ML'!AB468=" ",'Pegar ML'!AB467,'Pegar ML'!AB468)</f>
        <v>0</v>
      </c>
      <c r="M472" s="27" t="str">
        <f>IF('Pegar ML'!AC468=" ",RIGHT('Pegar ML'!AC467,8),RIGHT('Pegar ML'!AC468,8))</f>
        <v/>
      </c>
      <c r="N472" s="27" t="s">
        <v>80</v>
      </c>
      <c r="O472" s="27">
        <f t="shared" si="21"/>
        <v>0</v>
      </c>
      <c r="P472" s="27" t="s">
        <v>80</v>
      </c>
      <c r="Q472" s="55">
        <f>IF('Pegar ML'!AD468=" ",'Pegar ML'!AD467,'Pegar ML'!AD468)</f>
        <v>0</v>
      </c>
      <c r="R472" s="27" t="s">
        <v>80</v>
      </c>
      <c r="S472" s="27" t="s">
        <v>80</v>
      </c>
      <c r="T472" s="27" t="s">
        <v>80</v>
      </c>
      <c r="U472" s="55">
        <f>IF('Pegar ML'!AI468=" ",'Pegar ML'!AI467,'Pegar ML'!AI468)</f>
        <v>0</v>
      </c>
      <c r="V472" s="55">
        <f>IF('Pegar ML'!AK468=" ",'Pegar ML'!AK467,'Pegar ML'!AK468)</f>
        <v>0</v>
      </c>
      <c r="W472" s="55">
        <f>IF('Pegar ML'!AJ468=" ",'Pegar ML'!AJ467,'Pegar ML'!AJ468)</f>
        <v>0</v>
      </c>
      <c r="X472" s="55">
        <f>IF('Pegar ML'!AL468=" ",'Pegar ML'!AL467,'Pegar ML'!AL468)</f>
        <v>0</v>
      </c>
      <c r="Y472" s="27"/>
      <c r="Z472" s="27"/>
      <c r="AA472" s="27"/>
      <c r="AB472" s="27"/>
      <c r="AC472" s="27"/>
      <c r="AD472" s="27"/>
      <c r="AF472" s="8"/>
      <c r="AG472" s="27"/>
      <c r="AH472" s="14">
        <f>+'Pegar ML'!Y468</f>
        <v>0</v>
      </c>
      <c r="AI472" s="13">
        <f t="shared" si="22"/>
        <v>1</v>
      </c>
      <c r="AJ472" s="7">
        <f>+'Pegar ML'!T468</f>
        <v>0</v>
      </c>
      <c r="AK472" s="27"/>
      <c r="AL472" s="27"/>
      <c r="AM472" s="27"/>
      <c r="AN472" s="27"/>
      <c r="AO472" s="27"/>
      <c r="AP472" s="27"/>
      <c r="AQ472" s="27"/>
      <c r="AR472" s="27"/>
      <c r="AS472" s="27">
        <v>17</v>
      </c>
    </row>
    <row r="473" spans="1:45" ht="15" customHeight="1" x14ac:dyDescent="0.25">
      <c r="A473" s="27">
        <f>IF('Pegar ML'!C468="Paquete de 2 productos",'Pegar ML'!A468,IF('Pegar ML'!C467="Paquete de 2 productos",'Pegar ML'!A467,'Pegar ML'!A469))</f>
        <v>0</v>
      </c>
      <c r="B473" s="27"/>
      <c r="C473" s="30" t="str">
        <f>IF(AjusteFecha!I469=0,"",AjusteFecha!I469)</f>
        <v/>
      </c>
      <c r="D473" s="27"/>
      <c r="E473" s="27"/>
      <c r="F473" s="27" t="str">
        <f>IF('Pegar ML'!C469="","",'Pegar ML'!C469)</f>
        <v/>
      </c>
      <c r="G473" s="27" t="str">
        <f>IF('Pegar ML'!G464="ARS","PS","PS")</f>
        <v>PS</v>
      </c>
      <c r="H473" s="14">
        <f>IF('Pegar ML'!C468="Paquete de 2 productos",IF('Pegar ML'!H468="",0,'Pegar ML'!H468),IF('Pegar ML'!H469="",0,'Pegar ML'!H469))</f>
        <v>0</v>
      </c>
      <c r="I473" s="14">
        <f>IF('Pegar ML'!C468="Paquete de 2 productos",IF('Pegar ML'!O468="",0,'Pegar ML'!O468),IF('Pegar ML'!O469="",0,'Pegar ML'!O469))</f>
        <v>0</v>
      </c>
      <c r="J473" s="14">
        <f>IF('Pegar ML'!C468="Paquete de 2 productos",IF('Pegar ML'!O468="",0,'Pegar ML'!O468),IF('Pegar ML'!O469="",0,'Pegar ML'!O469))</f>
        <v>0</v>
      </c>
      <c r="K473" s="14">
        <f t="shared" si="23"/>
        <v>0</v>
      </c>
      <c r="L473" s="27">
        <f>IF('Pegar ML'!AB469=" ",'Pegar ML'!AB468,'Pegar ML'!AB469)</f>
        <v>0</v>
      </c>
      <c r="M473" s="27" t="str">
        <f>IF('Pegar ML'!AC469=" ",RIGHT('Pegar ML'!AC468,8),RIGHT('Pegar ML'!AC469,8))</f>
        <v/>
      </c>
      <c r="N473" s="27" t="s">
        <v>80</v>
      </c>
      <c r="O473" s="27">
        <f t="shared" si="21"/>
        <v>0</v>
      </c>
      <c r="P473" s="27" t="s">
        <v>80</v>
      </c>
      <c r="Q473" s="55">
        <f>IF('Pegar ML'!AD469=" ",'Pegar ML'!AD468,'Pegar ML'!AD469)</f>
        <v>0</v>
      </c>
      <c r="R473" s="27" t="s">
        <v>80</v>
      </c>
      <c r="S473" s="27" t="s">
        <v>80</v>
      </c>
      <c r="T473" s="27" t="s">
        <v>80</v>
      </c>
      <c r="U473" s="55">
        <f>IF('Pegar ML'!AI469=" ",'Pegar ML'!AI468,'Pegar ML'!AI469)</f>
        <v>0</v>
      </c>
      <c r="V473" s="55">
        <f>IF('Pegar ML'!AK469=" ",'Pegar ML'!AK468,'Pegar ML'!AK469)</f>
        <v>0</v>
      </c>
      <c r="W473" s="55">
        <f>IF('Pegar ML'!AJ469=" ",'Pegar ML'!AJ468,'Pegar ML'!AJ469)</f>
        <v>0</v>
      </c>
      <c r="X473" s="55">
        <f>IF('Pegar ML'!AL469=" ",'Pegar ML'!AL468,'Pegar ML'!AL469)</f>
        <v>0</v>
      </c>
      <c r="Y473" s="27"/>
      <c r="Z473" s="27"/>
      <c r="AA473" s="27"/>
      <c r="AB473" s="27"/>
      <c r="AC473" s="27"/>
      <c r="AD473" s="27"/>
      <c r="AF473" s="8"/>
      <c r="AG473" s="27"/>
      <c r="AH473" s="14">
        <f>+'Pegar ML'!Y469</f>
        <v>0</v>
      </c>
      <c r="AI473" s="13">
        <f t="shared" si="22"/>
        <v>1</v>
      </c>
      <c r="AJ473" s="7">
        <f>+'Pegar ML'!T469</f>
        <v>0</v>
      </c>
      <c r="AK473" s="27"/>
      <c r="AL473" s="27"/>
      <c r="AM473" s="27"/>
      <c r="AN473" s="27"/>
      <c r="AO473" s="27"/>
      <c r="AP473" s="27"/>
      <c r="AQ473" s="27"/>
      <c r="AR473" s="27"/>
      <c r="AS473" s="27">
        <v>17</v>
      </c>
    </row>
    <row r="474" spans="1:45" ht="15" customHeight="1" x14ac:dyDescent="0.25">
      <c r="A474" s="27">
        <f>IF('Pegar ML'!C469="Paquete de 2 productos",'Pegar ML'!A469,IF('Pegar ML'!C468="Paquete de 2 productos",'Pegar ML'!A468,'Pegar ML'!A470))</f>
        <v>0</v>
      </c>
      <c r="B474" s="27"/>
      <c r="C474" s="30" t="str">
        <f>IF(AjusteFecha!I470=0,"",AjusteFecha!I470)</f>
        <v/>
      </c>
      <c r="D474" s="27"/>
      <c r="E474" s="27"/>
      <c r="F474" s="27" t="str">
        <f>IF('Pegar ML'!C470="","",'Pegar ML'!C470)</f>
        <v/>
      </c>
      <c r="G474" s="27" t="str">
        <f>IF('Pegar ML'!G465="ARS","PS","PS")</f>
        <v>PS</v>
      </c>
      <c r="H474" s="14">
        <f>IF('Pegar ML'!C469="Paquete de 2 productos",IF('Pegar ML'!H469="",0,'Pegar ML'!H469),IF('Pegar ML'!H470="",0,'Pegar ML'!H470))</f>
        <v>0</v>
      </c>
      <c r="I474" s="14">
        <f>IF('Pegar ML'!C469="Paquete de 2 productos",IF('Pegar ML'!O469="",0,'Pegar ML'!O469),IF('Pegar ML'!O470="",0,'Pegar ML'!O470))</f>
        <v>0</v>
      </c>
      <c r="J474" s="14">
        <f>IF('Pegar ML'!C469="Paquete de 2 productos",IF('Pegar ML'!O469="",0,'Pegar ML'!O469),IF('Pegar ML'!O470="",0,'Pegar ML'!O470))</f>
        <v>0</v>
      </c>
      <c r="K474" s="14">
        <f t="shared" si="23"/>
        <v>0</v>
      </c>
      <c r="L474" s="27">
        <f>IF('Pegar ML'!AB470=" ",'Pegar ML'!AB469,'Pegar ML'!AB470)</f>
        <v>0</v>
      </c>
      <c r="M474" s="27" t="str">
        <f>IF('Pegar ML'!AC470=" ",RIGHT('Pegar ML'!AC469,8),RIGHT('Pegar ML'!AC470,8))</f>
        <v/>
      </c>
      <c r="N474" s="27" t="s">
        <v>80</v>
      </c>
      <c r="O474" s="27">
        <f t="shared" si="21"/>
        <v>0</v>
      </c>
      <c r="P474" s="27" t="s">
        <v>80</v>
      </c>
      <c r="Q474" s="55">
        <f>IF('Pegar ML'!AD470=" ",'Pegar ML'!AD469,'Pegar ML'!AD470)</f>
        <v>0</v>
      </c>
      <c r="R474" s="27" t="s">
        <v>80</v>
      </c>
      <c r="S474" s="27" t="s">
        <v>80</v>
      </c>
      <c r="T474" s="27" t="s">
        <v>80</v>
      </c>
      <c r="U474" s="55">
        <f>IF('Pegar ML'!AI470=" ",'Pegar ML'!AI469,'Pegar ML'!AI470)</f>
        <v>0</v>
      </c>
      <c r="V474" s="55">
        <f>IF('Pegar ML'!AK470=" ",'Pegar ML'!AK469,'Pegar ML'!AK470)</f>
        <v>0</v>
      </c>
      <c r="W474" s="55">
        <f>IF('Pegar ML'!AJ470=" ",'Pegar ML'!AJ469,'Pegar ML'!AJ470)</f>
        <v>0</v>
      </c>
      <c r="X474" s="55">
        <f>IF('Pegar ML'!AL470=" ",'Pegar ML'!AL469,'Pegar ML'!AL470)</f>
        <v>0</v>
      </c>
      <c r="Y474" s="27"/>
      <c r="Z474" s="27"/>
      <c r="AA474" s="27"/>
      <c r="AB474" s="27"/>
      <c r="AC474" s="27"/>
      <c r="AD474" s="27"/>
      <c r="AF474" s="8"/>
      <c r="AG474" s="27"/>
      <c r="AH474" s="14">
        <f>+'Pegar ML'!Y470</f>
        <v>0</v>
      </c>
      <c r="AI474" s="13">
        <f t="shared" si="22"/>
        <v>1</v>
      </c>
      <c r="AJ474" s="7">
        <f>+'Pegar ML'!T470</f>
        <v>0</v>
      </c>
      <c r="AK474" s="27"/>
      <c r="AL474" s="27"/>
      <c r="AM474" s="27"/>
      <c r="AN474" s="27"/>
      <c r="AO474" s="27"/>
      <c r="AP474" s="27"/>
      <c r="AQ474" s="27"/>
      <c r="AR474" s="27"/>
      <c r="AS474" s="27">
        <v>17</v>
      </c>
    </row>
    <row r="475" spans="1:45" ht="15" customHeight="1" x14ac:dyDescent="0.25">
      <c r="A475" s="27">
        <f>IF('Pegar ML'!C470="Paquete de 2 productos",'Pegar ML'!A470,IF('Pegar ML'!C469="Paquete de 2 productos",'Pegar ML'!A469,'Pegar ML'!A471))</f>
        <v>0</v>
      </c>
      <c r="B475" s="27"/>
      <c r="C475" s="30" t="str">
        <f>IF(AjusteFecha!I471=0,"",AjusteFecha!I471)</f>
        <v/>
      </c>
      <c r="D475" s="27"/>
      <c r="E475" s="27"/>
      <c r="F475" s="27" t="str">
        <f>IF('Pegar ML'!C471="","",'Pegar ML'!C471)</f>
        <v/>
      </c>
      <c r="G475" s="27" t="str">
        <f>IF('Pegar ML'!G466="ARS","PS","PS")</f>
        <v>PS</v>
      </c>
      <c r="H475" s="14">
        <f>IF('Pegar ML'!C470="Paquete de 2 productos",IF('Pegar ML'!H470="",0,'Pegar ML'!H470),IF('Pegar ML'!H471="",0,'Pegar ML'!H471))</f>
        <v>0</v>
      </c>
      <c r="I475" s="14">
        <f>IF('Pegar ML'!C470="Paquete de 2 productos",IF('Pegar ML'!O470="",0,'Pegar ML'!O470),IF('Pegar ML'!O471="",0,'Pegar ML'!O471))</f>
        <v>0</v>
      </c>
      <c r="J475" s="14">
        <f>IF('Pegar ML'!C470="Paquete de 2 productos",IF('Pegar ML'!O470="",0,'Pegar ML'!O470),IF('Pegar ML'!O471="",0,'Pegar ML'!O471))</f>
        <v>0</v>
      </c>
      <c r="K475" s="14">
        <f t="shared" si="23"/>
        <v>0</v>
      </c>
      <c r="L475" s="27">
        <f>IF('Pegar ML'!AB471=" ",'Pegar ML'!AB470,'Pegar ML'!AB471)</f>
        <v>0</v>
      </c>
      <c r="M475" s="27" t="str">
        <f>IF('Pegar ML'!AC471=" ",RIGHT('Pegar ML'!AC470,8),RIGHT('Pegar ML'!AC471,8))</f>
        <v/>
      </c>
      <c r="N475" s="27" t="s">
        <v>80</v>
      </c>
      <c r="O475" s="27">
        <f t="shared" si="21"/>
        <v>0</v>
      </c>
      <c r="P475" s="27" t="s">
        <v>80</v>
      </c>
      <c r="Q475" s="55">
        <f>IF('Pegar ML'!AD471=" ",'Pegar ML'!AD470,'Pegar ML'!AD471)</f>
        <v>0</v>
      </c>
      <c r="R475" s="27" t="s">
        <v>80</v>
      </c>
      <c r="S475" s="27" t="s">
        <v>80</v>
      </c>
      <c r="T475" s="27" t="s">
        <v>80</v>
      </c>
      <c r="U475" s="55">
        <f>IF('Pegar ML'!AI471=" ",'Pegar ML'!AI470,'Pegar ML'!AI471)</f>
        <v>0</v>
      </c>
      <c r="V475" s="55">
        <f>IF('Pegar ML'!AK471=" ",'Pegar ML'!AK470,'Pegar ML'!AK471)</f>
        <v>0</v>
      </c>
      <c r="W475" s="55">
        <f>IF('Pegar ML'!AJ471=" ",'Pegar ML'!AJ470,'Pegar ML'!AJ471)</f>
        <v>0</v>
      </c>
      <c r="X475" s="55">
        <f>IF('Pegar ML'!AL471=" ",'Pegar ML'!AL470,'Pegar ML'!AL471)</f>
        <v>0</v>
      </c>
      <c r="Y475" s="27"/>
      <c r="Z475" s="27"/>
      <c r="AA475" s="27"/>
      <c r="AB475" s="27"/>
      <c r="AC475" s="27"/>
      <c r="AD475" s="27"/>
      <c r="AF475" s="8"/>
      <c r="AG475" s="27"/>
      <c r="AH475" s="14">
        <f>+'Pegar ML'!Y471</f>
        <v>0</v>
      </c>
      <c r="AI475" s="13">
        <f t="shared" si="22"/>
        <v>1</v>
      </c>
      <c r="AJ475" s="7">
        <f>+'Pegar ML'!T471</f>
        <v>0</v>
      </c>
      <c r="AK475" s="27"/>
      <c r="AL475" s="27"/>
      <c r="AM475" s="27"/>
      <c r="AN475" s="27"/>
      <c r="AO475" s="27"/>
      <c r="AP475" s="27"/>
      <c r="AQ475" s="27"/>
      <c r="AR475" s="27"/>
      <c r="AS475" s="27">
        <v>17</v>
      </c>
    </row>
    <row r="476" spans="1:45" ht="15" customHeight="1" x14ac:dyDescent="0.25">
      <c r="A476" s="27">
        <f>IF('Pegar ML'!C471="Paquete de 2 productos",'Pegar ML'!A471,IF('Pegar ML'!C470="Paquete de 2 productos",'Pegar ML'!A470,'Pegar ML'!A472))</f>
        <v>0</v>
      </c>
      <c r="B476" s="27"/>
      <c r="C476" s="30" t="str">
        <f>IF(AjusteFecha!I472=0,"",AjusteFecha!I472)</f>
        <v/>
      </c>
      <c r="D476" s="27"/>
      <c r="E476" s="27"/>
      <c r="F476" s="27" t="str">
        <f>IF('Pegar ML'!C472="","",'Pegar ML'!C472)</f>
        <v/>
      </c>
      <c r="G476" s="27" t="str">
        <f>IF('Pegar ML'!G467="ARS","PS","PS")</f>
        <v>PS</v>
      </c>
      <c r="H476" s="14">
        <f>IF('Pegar ML'!C471="Paquete de 2 productos",IF('Pegar ML'!H471="",0,'Pegar ML'!H471),IF('Pegar ML'!H472="",0,'Pegar ML'!H472))</f>
        <v>0</v>
      </c>
      <c r="I476" s="14">
        <f>IF('Pegar ML'!C471="Paquete de 2 productos",IF('Pegar ML'!O471="",0,'Pegar ML'!O471),IF('Pegar ML'!O472="",0,'Pegar ML'!O472))</f>
        <v>0</v>
      </c>
      <c r="J476" s="14">
        <f>IF('Pegar ML'!C471="Paquete de 2 productos",IF('Pegar ML'!O471="",0,'Pegar ML'!O471),IF('Pegar ML'!O472="",0,'Pegar ML'!O472))</f>
        <v>0</v>
      </c>
      <c r="K476" s="14">
        <f t="shared" si="23"/>
        <v>0</v>
      </c>
      <c r="L476" s="27">
        <f>IF('Pegar ML'!AB472=" ",'Pegar ML'!AB471,'Pegar ML'!AB472)</f>
        <v>0</v>
      </c>
      <c r="M476" s="27" t="str">
        <f>IF('Pegar ML'!AC472=" ",RIGHT('Pegar ML'!AC471,8),RIGHT('Pegar ML'!AC472,8))</f>
        <v/>
      </c>
      <c r="N476" s="27" t="s">
        <v>80</v>
      </c>
      <c r="O476" s="27">
        <f t="shared" si="21"/>
        <v>0</v>
      </c>
      <c r="P476" s="27" t="s">
        <v>80</v>
      </c>
      <c r="Q476" s="55">
        <f>IF('Pegar ML'!AD472=" ",'Pegar ML'!AD471,'Pegar ML'!AD472)</f>
        <v>0</v>
      </c>
      <c r="R476" s="27" t="s">
        <v>80</v>
      </c>
      <c r="S476" s="27" t="s">
        <v>80</v>
      </c>
      <c r="T476" s="27" t="s">
        <v>80</v>
      </c>
      <c r="U476" s="55">
        <f>IF('Pegar ML'!AI472=" ",'Pegar ML'!AI471,'Pegar ML'!AI472)</f>
        <v>0</v>
      </c>
      <c r="V476" s="55">
        <f>IF('Pegar ML'!AK472=" ",'Pegar ML'!AK471,'Pegar ML'!AK472)</f>
        <v>0</v>
      </c>
      <c r="W476" s="55">
        <f>IF('Pegar ML'!AJ472=" ",'Pegar ML'!AJ471,'Pegar ML'!AJ472)</f>
        <v>0</v>
      </c>
      <c r="X476" s="55">
        <f>IF('Pegar ML'!AL472=" ",'Pegar ML'!AL471,'Pegar ML'!AL472)</f>
        <v>0</v>
      </c>
      <c r="Y476" s="27"/>
      <c r="Z476" s="27"/>
      <c r="AA476" s="27"/>
      <c r="AB476" s="27"/>
      <c r="AC476" s="27"/>
      <c r="AD476" s="27"/>
      <c r="AF476" s="8"/>
      <c r="AG476" s="27"/>
      <c r="AH476" s="14">
        <f>+'Pegar ML'!Y472</f>
        <v>0</v>
      </c>
      <c r="AI476" s="13">
        <f t="shared" si="22"/>
        <v>1</v>
      </c>
      <c r="AJ476" s="7">
        <f>+'Pegar ML'!T472</f>
        <v>0</v>
      </c>
      <c r="AK476" s="27"/>
      <c r="AL476" s="27"/>
      <c r="AM476" s="27"/>
      <c r="AN476" s="27"/>
      <c r="AO476" s="27"/>
      <c r="AP476" s="27"/>
      <c r="AQ476" s="27"/>
      <c r="AR476" s="27"/>
      <c r="AS476" s="27">
        <v>17</v>
      </c>
    </row>
    <row r="477" spans="1:45" ht="15" customHeight="1" x14ac:dyDescent="0.25">
      <c r="A477" s="27">
        <f>IF('Pegar ML'!C472="Paquete de 2 productos",'Pegar ML'!A472,IF('Pegar ML'!C471="Paquete de 2 productos",'Pegar ML'!A471,'Pegar ML'!A473))</f>
        <v>0</v>
      </c>
      <c r="B477" s="27"/>
      <c r="C477" s="30" t="str">
        <f>IF(AjusteFecha!I473=0,"",AjusteFecha!I473)</f>
        <v/>
      </c>
      <c r="D477" s="27"/>
      <c r="E477" s="27"/>
      <c r="F477" s="27" t="str">
        <f>IF('Pegar ML'!C473="","",'Pegar ML'!C473)</f>
        <v/>
      </c>
      <c r="G477" s="27" t="str">
        <f>IF('Pegar ML'!G468="ARS","PS","PS")</f>
        <v>PS</v>
      </c>
      <c r="H477" s="14">
        <f>IF('Pegar ML'!C472="Paquete de 2 productos",IF('Pegar ML'!H472="",0,'Pegar ML'!H472),IF('Pegar ML'!H473="",0,'Pegar ML'!H473))</f>
        <v>0</v>
      </c>
      <c r="I477" s="14">
        <f>IF('Pegar ML'!C472="Paquete de 2 productos",IF('Pegar ML'!O472="",0,'Pegar ML'!O472),IF('Pegar ML'!O473="",0,'Pegar ML'!O473))</f>
        <v>0</v>
      </c>
      <c r="J477" s="14">
        <f>IF('Pegar ML'!C472="Paquete de 2 productos",IF('Pegar ML'!O472="",0,'Pegar ML'!O472),IF('Pegar ML'!O473="",0,'Pegar ML'!O473))</f>
        <v>0</v>
      </c>
      <c r="K477" s="14">
        <f t="shared" si="23"/>
        <v>0</v>
      </c>
      <c r="L477" s="27">
        <f>IF('Pegar ML'!AB473=" ",'Pegar ML'!AB472,'Pegar ML'!AB473)</f>
        <v>0</v>
      </c>
      <c r="M477" s="27" t="str">
        <f>IF('Pegar ML'!AC473=" ",RIGHT('Pegar ML'!AC472,8),RIGHT('Pegar ML'!AC473,8))</f>
        <v/>
      </c>
      <c r="N477" s="27" t="s">
        <v>80</v>
      </c>
      <c r="O477" s="27">
        <f t="shared" si="21"/>
        <v>0</v>
      </c>
      <c r="P477" s="27" t="s">
        <v>80</v>
      </c>
      <c r="Q477" s="55">
        <f>IF('Pegar ML'!AD473=" ",'Pegar ML'!AD472,'Pegar ML'!AD473)</f>
        <v>0</v>
      </c>
      <c r="R477" s="27" t="s">
        <v>80</v>
      </c>
      <c r="S477" s="27" t="s">
        <v>80</v>
      </c>
      <c r="T477" s="27" t="s">
        <v>80</v>
      </c>
      <c r="U477" s="55">
        <f>IF('Pegar ML'!AI473=" ",'Pegar ML'!AI472,'Pegar ML'!AI473)</f>
        <v>0</v>
      </c>
      <c r="V477" s="55">
        <f>IF('Pegar ML'!AK473=" ",'Pegar ML'!AK472,'Pegar ML'!AK473)</f>
        <v>0</v>
      </c>
      <c r="W477" s="55">
        <f>IF('Pegar ML'!AJ473=" ",'Pegar ML'!AJ472,'Pegar ML'!AJ473)</f>
        <v>0</v>
      </c>
      <c r="X477" s="55">
        <f>IF('Pegar ML'!AL473=" ",'Pegar ML'!AL472,'Pegar ML'!AL473)</f>
        <v>0</v>
      </c>
      <c r="Y477" s="27"/>
      <c r="Z477" s="27"/>
      <c r="AA477" s="27"/>
      <c r="AB477" s="27"/>
      <c r="AC477" s="27"/>
      <c r="AD477" s="27"/>
      <c r="AF477" s="8"/>
      <c r="AG477" s="27"/>
      <c r="AH477" s="14">
        <f>+'Pegar ML'!Y473</f>
        <v>0</v>
      </c>
      <c r="AI477" s="13">
        <f t="shared" si="22"/>
        <v>1</v>
      </c>
      <c r="AJ477" s="7">
        <f>+'Pegar ML'!T473</f>
        <v>0</v>
      </c>
      <c r="AK477" s="27"/>
      <c r="AL477" s="27"/>
      <c r="AM477" s="27"/>
      <c r="AN477" s="27"/>
      <c r="AO477" s="27"/>
      <c r="AP477" s="27"/>
      <c r="AQ477" s="27"/>
      <c r="AR477" s="27"/>
      <c r="AS477" s="27">
        <v>17</v>
      </c>
    </row>
    <row r="478" spans="1:45" ht="15" customHeight="1" x14ac:dyDescent="0.25">
      <c r="A478" s="27">
        <f>IF('Pegar ML'!C473="Paquete de 2 productos",'Pegar ML'!A473,IF('Pegar ML'!C472="Paquete de 2 productos",'Pegar ML'!A472,'Pegar ML'!A474))</f>
        <v>0</v>
      </c>
      <c r="B478" s="27"/>
      <c r="C478" s="30" t="str">
        <f>IF(AjusteFecha!I474=0,"",AjusteFecha!I474)</f>
        <v/>
      </c>
      <c r="D478" s="27"/>
      <c r="E478" s="27"/>
      <c r="F478" s="27" t="str">
        <f>IF('Pegar ML'!C474="","",'Pegar ML'!C474)</f>
        <v/>
      </c>
      <c r="G478" s="27" t="str">
        <f>IF('Pegar ML'!G469="ARS","PS","PS")</f>
        <v>PS</v>
      </c>
      <c r="H478" s="14">
        <f>IF('Pegar ML'!C473="Paquete de 2 productos",IF('Pegar ML'!H473="",0,'Pegar ML'!H473),IF('Pegar ML'!H474="",0,'Pegar ML'!H474))</f>
        <v>0</v>
      </c>
      <c r="I478" s="14">
        <f>IF('Pegar ML'!C473="Paquete de 2 productos",IF('Pegar ML'!O473="",0,'Pegar ML'!O473),IF('Pegar ML'!O474="",0,'Pegar ML'!O474))</f>
        <v>0</v>
      </c>
      <c r="J478" s="14">
        <f>IF('Pegar ML'!C473="Paquete de 2 productos",IF('Pegar ML'!O473="",0,'Pegar ML'!O473),IF('Pegar ML'!O474="",0,'Pegar ML'!O474))</f>
        <v>0</v>
      </c>
      <c r="K478" s="14">
        <f t="shared" si="23"/>
        <v>0</v>
      </c>
      <c r="L478" s="27">
        <f>IF('Pegar ML'!AB474=" ",'Pegar ML'!AB473,'Pegar ML'!AB474)</f>
        <v>0</v>
      </c>
      <c r="M478" s="27" t="str">
        <f>IF('Pegar ML'!AC474=" ",RIGHT('Pegar ML'!AC473,8),RIGHT('Pegar ML'!AC474,8))</f>
        <v/>
      </c>
      <c r="N478" s="27" t="s">
        <v>80</v>
      </c>
      <c r="O478" s="27">
        <f t="shared" si="21"/>
        <v>0</v>
      </c>
      <c r="P478" s="27" t="s">
        <v>80</v>
      </c>
      <c r="Q478" s="55">
        <f>IF('Pegar ML'!AD474=" ",'Pegar ML'!AD473,'Pegar ML'!AD474)</f>
        <v>0</v>
      </c>
      <c r="R478" s="27" t="s">
        <v>80</v>
      </c>
      <c r="S478" s="27" t="s">
        <v>80</v>
      </c>
      <c r="T478" s="27" t="s">
        <v>80</v>
      </c>
      <c r="U478" s="55">
        <f>IF('Pegar ML'!AI474=" ",'Pegar ML'!AI473,'Pegar ML'!AI474)</f>
        <v>0</v>
      </c>
      <c r="V478" s="55">
        <f>IF('Pegar ML'!AK474=" ",'Pegar ML'!AK473,'Pegar ML'!AK474)</f>
        <v>0</v>
      </c>
      <c r="W478" s="55">
        <f>IF('Pegar ML'!AJ474=" ",'Pegar ML'!AJ473,'Pegar ML'!AJ474)</f>
        <v>0</v>
      </c>
      <c r="X478" s="55">
        <f>IF('Pegar ML'!AL474=" ",'Pegar ML'!AL473,'Pegar ML'!AL474)</f>
        <v>0</v>
      </c>
      <c r="Y478" s="27"/>
      <c r="Z478" s="27"/>
      <c r="AA478" s="27"/>
      <c r="AB478" s="27"/>
      <c r="AC478" s="27"/>
      <c r="AD478" s="27"/>
      <c r="AF478" s="8"/>
      <c r="AG478" s="27"/>
      <c r="AH478" s="14">
        <f>+'Pegar ML'!Y474</f>
        <v>0</v>
      </c>
      <c r="AI478" s="13">
        <f t="shared" si="22"/>
        <v>1</v>
      </c>
      <c r="AJ478" s="7">
        <f>+'Pegar ML'!T474</f>
        <v>0</v>
      </c>
      <c r="AK478" s="27"/>
      <c r="AL478" s="27"/>
      <c r="AM478" s="27"/>
      <c r="AN478" s="27"/>
      <c r="AO478" s="27"/>
      <c r="AP478" s="27"/>
      <c r="AQ478" s="27"/>
      <c r="AR478" s="27"/>
      <c r="AS478" s="27">
        <v>17</v>
      </c>
    </row>
    <row r="479" spans="1:45" ht="15" customHeight="1" x14ac:dyDescent="0.25">
      <c r="A479" s="27">
        <f>IF('Pegar ML'!C474="Paquete de 2 productos",'Pegar ML'!A474,IF('Pegar ML'!C473="Paquete de 2 productos",'Pegar ML'!A473,'Pegar ML'!A475))</f>
        <v>0</v>
      </c>
      <c r="B479" s="27"/>
      <c r="C479" s="30" t="str">
        <f>IF(AjusteFecha!I475=0,"",AjusteFecha!I475)</f>
        <v/>
      </c>
      <c r="D479" s="27"/>
      <c r="E479" s="27"/>
      <c r="F479" s="27" t="str">
        <f>IF('Pegar ML'!C475="","",'Pegar ML'!C475)</f>
        <v/>
      </c>
      <c r="G479" s="27" t="str">
        <f>IF('Pegar ML'!G470="ARS","PS","PS")</f>
        <v>PS</v>
      </c>
      <c r="H479" s="14">
        <f>IF('Pegar ML'!C474="Paquete de 2 productos",IF('Pegar ML'!H474="",0,'Pegar ML'!H474),IF('Pegar ML'!H475="",0,'Pegar ML'!H475))</f>
        <v>0</v>
      </c>
      <c r="I479" s="14">
        <f>IF('Pegar ML'!C474="Paquete de 2 productos",IF('Pegar ML'!O474="",0,'Pegar ML'!O474),IF('Pegar ML'!O475="",0,'Pegar ML'!O475))</f>
        <v>0</v>
      </c>
      <c r="J479" s="14">
        <f>IF('Pegar ML'!C474="Paquete de 2 productos",IF('Pegar ML'!O474="",0,'Pegar ML'!O474),IF('Pegar ML'!O475="",0,'Pegar ML'!O475))</f>
        <v>0</v>
      </c>
      <c r="K479" s="14">
        <f t="shared" si="23"/>
        <v>0</v>
      </c>
      <c r="L479" s="27">
        <f>IF('Pegar ML'!AB475=" ",'Pegar ML'!AB474,'Pegar ML'!AB475)</f>
        <v>0</v>
      </c>
      <c r="M479" s="27" t="str">
        <f>IF('Pegar ML'!AC475=" ",RIGHT('Pegar ML'!AC474,8),RIGHT('Pegar ML'!AC475,8))</f>
        <v/>
      </c>
      <c r="N479" s="27" t="s">
        <v>80</v>
      </c>
      <c r="O479" s="27">
        <f t="shared" si="21"/>
        <v>0</v>
      </c>
      <c r="P479" s="27" t="s">
        <v>80</v>
      </c>
      <c r="Q479" s="55">
        <f>IF('Pegar ML'!AD475=" ",'Pegar ML'!AD474,'Pegar ML'!AD475)</f>
        <v>0</v>
      </c>
      <c r="R479" s="27" t="s">
        <v>80</v>
      </c>
      <c r="S479" s="27" t="s">
        <v>80</v>
      </c>
      <c r="T479" s="27" t="s">
        <v>80</v>
      </c>
      <c r="U479" s="55">
        <f>IF('Pegar ML'!AI475=" ",'Pegar ML'!AI474,'Pegar ML'!AI475)</f>
        <v>0</v>
      </c>
      <c r="V479" s="55">
        <f>IF('Pegar ML'!AK475=" ",'Pegar ML'!AK474,'Pegar ML'!AK475)</f>
        <v>0</v>
      </c>
      <c r="W479" s="55">
        <f>IF('Pegar ML'!AJ475=" ",'Pegar ML'!AJ474,'Pegar ML'!AJ475)</f>
        <v>0</v>
      </c>
      <c r="X479" s="55">
        <f>IF('Pegar ML'!AL475=" ",'Pegar ML'!AL474,'Pegar ML'!AL475)</f>
        <v>0</v>
      </c>
      <c r="Y479" s="27"/>
      <c r="Z479" s="27"/>
      <c r="AA479" s="27"/>
      <c r="AB479" s="27"/>
      <c r="AC479" s="27"/>
      <c r="AD479" s="27"/>
      <c r="AF479" s="8"/>
      <c r="AG479" s="27"/>
      <c r="AH479" s="14">
        <f>+'Pegar ML'!Y475</f>
        <v>0</v>
      </c>
      <c r="AI479" s="13">
        <f t="shared" si="22"/>
        <v>1</v>
      </c>
      <c r="AJ479" s="7">
        <f>+'Pegar ML'!T475</f>
        <v>0</v>
      </c>
      <c r="AK479" s="27"/>
      <c r="AL479" s="27"/>
      <c r="AM479" s="27"/>
      <c r="AN479" s="27"/>
      <c r="AO479" s="27"/>
      <c r="AP479" s="27"/>
      <c r="AQ479" s="27"/>
      <c r="AR479" s="27"/>
      <c r="AS479" s="27">
        <v>17</v>
      </c>
    </row>
    <row r="480" spans="1:45" ht="15" customHeight="1" x14ac:dyDescent="0.25">
      <c r="A480" s="27">
        <f>IF('Pegar ML'!C475="Paquete de 2 productos",'Pegar ML'!A475,IF('Pegar ML'!C474="Paquete de 2 productos",'Pegar ML'!A474,'Pegar ML'!A476))</f>
        <v>0</v>
      </c>
      <c r="B480" s="27"/>
      <c r="C480" s="30" t="str">
        <f>IF(AjusteFecha!I476=0,"",AjusteFecha!I476)</f>
        <v/>
      </c>
      <c r="D480" s="27"/>
      <c r="E480" s="27"/>
      <c r="F480" s="27" t="str">
        <f>IF('Pegar ML'!C476="","",'Pegar ML'!C476)</f>
        <v/>
      </c>
      <c r="G480" s="27" t="str">
        <f>IF('Pegar ML'!G471="ARS","PS","PS")</f>
        <v>PS</v>
      </c>
      <c r="H480" s="14">
        <f>IF('Pegar ML'!C475="Paquete de 2 productos",IF('Pegar ML'!H475="",0,'Pegar ML'!H475),IF('Pegar ML'!H476="",0,'Pegar ML'!H476))</f>
        <v>0</v>
      </c>
      <c r="I480" s="14">
        <f>IF('Pegar ML'!C475="Paquete de 2 productos",IF('Pegar ML'!O475="",0,'Pegar ML'!O475),IF('Pegar ML'!O476="",0,'Pegar ML'!O476))</f>
        <v>0</v>
      </c>
      <c r="J480" s="14">
        <f>IF('Pegar ML'!C475="Paquete de 2 productos",IF('Pegar ML'!O475="",0,'Pegar ML'!O475),IF('Pegar ML'!O476="",0,'Pegar ML'!O476))</f>
        <v>0</v>
      </c>
      <c r="K480" s="14">
        <f t="shared" si="23"/>
        <v>0</v>
      </c>
      <c r="L480" s="27">
        <f>IF('Pegar ML'!AB476=" ",'Pegar ML'!AB475,'Pegar ML'!AB476)</f>
        <v>0</v>
      </c>
      <c r="M480" s="27" t="str">
        <f>IF('Pegar ML'!AC476=" ",RIGHT('Pegar ML'!AC475,8),RIGHT('Pegar ML'!AC476,8))</f>
        <v/>
      </c>
      <c r="N480" s="27" t="s">
        <v>80</v>
      </c>
      <c r="O480" s="27">
        <f t="shared" si="21"/>
        <v>0</v>
      </c>
      <c r="P480" s="27" t="s">
        <v>80</v>
      </c>
      <c r="Q480" s="55">
        <f>IF('Pegar ML'!AD476=" ",'Pegar ML'!AD475,'Pegar ML'!AD476)</f>
        <v>0</v>
      </c>
      <c r="R480" s="27" t="s">
        <v>80</v>
      </c>
      <c r="S480" s="27" t="s">
        <v>80</v>
      </c>
      <c r="T480" s="27" t="s">
        <v>80</v>
      </c>
      <c r="U480" s="55">
        <f>IF('Pegar ML'!AI476=" ",'Pegar ML'!AI475,'Pegar ML'!AI476)</f>
        <v>0</v>
      </c>
      <c r="V480" s="55">
        <f>IF('Pegar ML'!AK476=" ",'Pegar ML'!AK475,'Pegar ML'!AK476)</f>
        <v>0</v>
      </c>
      <c r="W480" s="55">
        <f>IF('Pegar ML'!AJ476=" ",'Pegar ML'!AJ475,'Pegar ML'!AJ476)</f>
        <v>0</v>
      </c>
      <c r="X480" s="55">
        <f>IF('Pegar ML'!AL476=" ",'Pegar ML'!AL475,'Pegar ML'!AL476)</f>
        <v>0</v>
      </c>
      <c r="Y480" s="27"/>
      <c r="Z480" s="27"/>
      <c r="AA480" s="27"/>
      <c r="AB480" s="27"/>
      <c r="AC480" s="27"/>
      <c r="AD480" s="27"/>
      <c r="AF480" s="8"/>
      <c r="AG480" s="27"/>
      <c r="AH480" s="14">
        <f>+'Pegar ML'!Y476</f>
        <v>0</v>
      </c>
      <c r="AI480" s="13">
        <f t="shared" si="22"/>
        <v>1</v>
      </c>
      <c r="AJ480" s="7">
        <f>+'Pegar ML'!T476</f>
        <v>0</v>
      </c>
      <c r="AK480" s="27"/>
      <c r="AL480" s="27"/>
      <c r="AM480" s="27"/>
      <c r="AN480" s="27"/>
      <c r="AO480" s="27"/>
      <c r="AP480" s="27"/>
      <c r="AQ480" s="27"/>
      <c r="AR480" s="27"/>
      <c r="AS480" s="27">
        <v>17</v>
      </c>
    </row>
    <row r="481" spans="1:45" ht="15" customHeight="1" x14ac:dyDescent="0.25">
      <c r="A481" s="27">
        <f>IF('Pegar ML'!C476="Paquete de 2 productos",'Pegar ML'!A476,IF('Pegar ML'!C475="Paquete de 2 productos",'Pegar ML'!A475,'Pegar ML'!A477))</f>
        <v>0</v>
      </c>
      <c r="B481" s="27"/>
      <c r="C481" s="30" t="str">
        <f>IF(AjusteFecha!I477=0,"",AjusteFecha!I477)</f>
        <v/>
      </c>
      <c r="D481" s="27"/>
      <c r="E481" s="27"/>
      <c r="F481" s="27" t="str">
        <f>IF('Pegar ML'!C477="","",'Pegar ML'!C477)</f>
        <v/>
      </c>
      <c r="G481" s="27" t="str">
        <f>IF('Pegar ML'!G472="ARS","PS","PS")</f>
        <v>PS</v>
      </c>
      <c r="H481" s="14">
        <f>IF('Pegar ML'!C476="Paquete de 2 productos",IF('Pegar ML'!H476="",0,'Pegar ML'!H476),IF('Pegar ML'!H477="",0,'Pegar ML'!H477))</f>
        <v>0</v>
      </c>
      <c r="I481" s="14">
        <f>IF('Pegar ML'!C476="Paquete de 2 productos",IF('Pegar ML'!O476="",0,'Pegar ML'!O476),IF('Pegar ML'!O477="",0,'Pegar ML'!O477))</f>
        <v>0</v>
      </c>
      <c r="J481" s="14">
        <f>IF('Pegar ML'!C476="Paquete de 2 productos",IF('Pegar ML'!O476="",0,'Pegar ML'!O476),IF('Pegar ML'!O477="",0,'Pegar ML'!O477))</f>
        <v>0</v>
      </c>
      <c r="K481" s="14">
        <f t="shared" si="23"/>
        <v>0</v>
      </c>
      <c r="L481" s="27">
        <f>IF('Pegar ML'!AB477=" ",'Pegar ML'!AB476,'Pegar ML'!AB477)</f>
        <v>0</v>
      </c>
      <c r="M481" s="27" t="str">
        <f>IF('Pegar ML'!AC477=" ",RIGHT('Pegar ML'!AC476,8),RIGHT('Pegar ML'!AC477,8))</f>
        <v/>
      </c>
      <c r="N481" s="27" t="s">
        <v>80</v>
      </c>
      <c r="O481" s="27">
        <f t="shared" si="21"/>
        <v>0</v>
      </c>
      <c r="P481" s="27" t="s">
        <v>80</v>
      </c>
      <c r="Q481" s="55">
        <f>IF('Pegar ML'!AD477=" ",'Pegar ML'!AD476,'Pegar ML'!AD477)</f>
        <v>0</v>
      </c>
      <c r="R481" s="27" t="s">
        <v>80</v>
      </c>
      <c r="S481" s="27" t="s">
        <v>80</v>
      </c>
      <c r="T481" s="27" t="s">
        <v>80</v>
      </c>
      <c r="U481" s="55">
        <f>IF('Pegar ML'!AI477=" ",'Pegar ML'!AI476,'Pegar ML'!AI477)</f>
        <v>0</v>
      </c>
      <c r="V481" s="55">
        <f>IF('Pegar ML'!AK477=" ",'Pegar ML'!AK476,'Pegar ML'!AK477)</f>
        <v>0</v>
      </c>
      <c r="W481" s="55">
        <f>IF('Pegar ML'!AJ477=" ",'Pegar ML'!AJ476,'Pegar ML'!AJ477)</f>
        <v>0</v>
      </c>
      <c r="X481" s="55">
        <f>IF('Pegar ML'!AL477=" ",'Pegar ML'!AL476,'Pegar ML'!AL477)</f>
        <v>0</v>
      </c>
      <c r="Y481" s="27"/>
      <c r="Z481" s="27"/>
      <c r="AA481" s="27"/>
      <c r="AB481" s="27"/>
      <c r="AC481" s="27"/>
      <c r="AD481" s="27"/>
      <c r="AF481" s="8"/>
      <c r="AG481" s="27"/>
      <c r="AH481" s="14">
        <f>+'Pegar ML'!Y477</f>
        <v>0</v>
      </c>
      <c r="AI481" s="13">
        <f t="shared" si="22"/>
        <v>1</v>
      </c>
      <c r="AJ481" s="7">
        <f>+'Pegar ML'!T477</f>
        <v>0</v>
      </c>
      <c r="AK481" s="27"/>
      <c r="AL481" s="27"/>
      <c r="AM481" s="27"/>
      <c r="AN481" s="27"/>
      <c r="AO481" s="27"/>
      <c r="AP481" s="27"/>
      <c r="AQ481" s="27"/>
      <c r="AR481" s="27"/>
      <c r="AS481" s="27">
        <v>17</v>
      </c>
    </row>
    <row r="482" spans="1:45" ht="15" customHeight="1" x14ac:dyDescent="0.25">
      <c r="A482" s="27">
        <f>IF('Pegar ML'!C477="Paquete de 2 productos",'Pegar ML'!A477,IF('Pegar ML'!C476="Paquete de 2 productos",'Pegar ML'!A476,'Pegar ML'!A478))</f>
        <v>0</v>
      </c>
      <c r="B482" s="27"/>
      <c r="C482" s="30" t="str">
        <f>IF(AjusteFecha!I478=0,"",AjusteFecha!I478)</f>
        <v/>
      </c>
      <c r="D482" s="27"/>
      <c r="E482" s="27"/>
      <c r="F482" s="27" t="str">
        <f>IF('Pegar ML'!C478="","",'Pegar ML'!C478)</f>
        <v/>
      </c>
      <c r="G482" s="27" t="str">
        <f>IF('Pegar ML'!G473="ARS","PS","PS")</f>
        <v>PS</v>
      </c>
      <c r="H482" s="14">
        <f>IF('Pegar ML'!C477="Paquete de 2 productos",IF('Pegar ML'!H477="",0,'Pegar ML'!H477),IF('Pegar ML'!H478="",0,'Pegar ML'!H478))</f>
        <v>0</v>
      </c>
      <c r="I482" s="14">
        <f>IF('Pegar ML'!C477="Paquete de 2 productos",IF('Pegar ML'!O477="",0,'Pegar ML'!O477),IF('Pegar ML'!O478="",0,'Pegar ML'!O478))</f>
        <v>0</v>
      </c>
      <c r="J482" s="14">
        <f>IF('Pegar ML'!C477="Paquete de 2 productos",IF('Pegar ML'!O477="",0,'Pegar ML'!O477),IF('Pegar ML'!O478="",0,'Pegar ML'!O478))</f>
        <v>0</v>
      </c>
      <c r="K482" s="14">
        <f t="shared" si="23"/>
        <v>0</v>
      </c>
      <c r="L482" s="27">
        <f>IF('Pegar ML'!AB478=" ",'Pegar ML'!AB477,'Pegar ML'!AB478)</f>
        <v>0</v>
      </c>
      <c r="M482" s="27" t="str">
        <f>IF('Pegar ML'!AC478=" ",RIGHT('Pegar ML'!AC477,8),RIGHT('Pegar ML'!AC478,8))</f>
        <v/>
      </c>
      <c r="N482" s="27" t="s">
        <v>80</v>
      </c>
      <c r="O482" s="27">
        <f t="shared" si="21"/>
        <v>0</v>
      </c>
      <c r="P482" s="27" t="s">
        <v>80</v>
      </c>
      <c r="Q482" s="55">
        <f>IF('Pegar ML'!AD478=" ",'Pegar ML'!AD477,'Pegar ML'!AD478)</f>
        <v>0</v>
      </c>
      <c r="R482" s="27" t="s">
        <v>80</v>
      </c>
      <c r="S482" s="27" t="s">
        <v>80</v>
      </c>
      <c r="T482" s="27" t="s">
        <v>80</v>
      </c>
      <c r="U482" s="55">
        <f>IF('Pegar ML'!AI478=" ",'Pegar ML'!AI477,'Pegar ML'!AI478)</f>
        <v>0</v>
      </c>
      <c r="V482" s="55">
        <f>IF('Pegar ML'!AK478=" ",'Pegar ML'!AK477,'Pegar ML'!AK478)</f>
        <v>0</v>
      </c>
      <c r="W482" s="55">
        <f>IF('Pegar ML'!AJ478=" ",'Pegar ML'!AJ477,'Pegar ML'!AJ478)</f>
        <v>0</v>
      </c>
      <c r="X482" s="55">
        <f>IF('Pegar ML'!AL478=" ",'Pegar ML'!AL477,'Pegar ML'!AL478)</f>
        <v>0</v>
      </c>
      <c r="Y482" s="27"/>
      <c r="Z482" s="27"/>
      <c r="AA482" s="27"/>
      <c r="AB482" s="27"/>
      <c r="AC482" s="27"/>
      <c r="AD482" s="27"/>
      <c r="AF482" s="8"/>
      <c r="AG482" s="27"/>
      <c r="AH482" s="14">
        <f>+'Pegar ML'!Y478</f>
        <v>0</v>
      </c>
      <c r="AI482" s="13">
        <f t="shared" si="22"/>
        <v>1</v>
      </c>
      <c r="AJ482" s="7">
        <f>+'Pegar ML'!T478</f>
        <v>0</v>
      </c>
      <c r="AK482" s="27"/>
      <c r="AL482" s="27"/>
      <c r="AM482" s="27"/>
      <c r="AN482" s="27"/>
      <c r="AO482" s="27"/>
      <c r="AP482" s="27"/>
      <c r="AQ482" s="27"/>
      <c r="AR482" s="27"/>
      <c r="AS482" s="27">
        <v>17</v>
      </c>
    </row>
    <row r="483" spans="1:45" ht="15" customHeight="1" x14ac:dyDescent="0.25">
      <c r="A483" s="27">
        <f>IF('Pegar ML'!C478="Paquete de 2 productos",'Pegar ML'!A478,IF('Pegar ML'!C477="Paquete de 2 productos",'Pegar ML'!A477,'Pegar ML'!A479))</f>
        <v>0</v>
      </c>
      <c r="B483" s="27"/>
      <c r="C483" s="30" t="str">
        <f>IF(AjusteFecha!I479=0,"",AjusteFecha!I479)</f>
        <v/>
      </c>
      <c r="D483" s="27"/>
      <c r="E483" s="27"/>
      <c r="F483" s="27" t="str">
        <f>IF('Pegar ML'!C479="","",'Pegar ML'!C479)</f>
        <v/>
      </c>
      <c r="G483" s="27" t="str">
        <f>IF('Pegar ML'!G474="ARS","PS","PS")</f>
        <v>PS</v>
      </c>
      <c r="H483" s="14">
        <f>IF('Pegar ML'!C478="Paquete de 2 productos",IF('Pegar ML'!H478="",0,'Pegar ML'!H478),IF('Pegar ML'!H479="",0,'Pegar ML'!H479))</f>
        <v>0</v>
      </c>
      <c r="I483" s="14">
        <f>IF('Pegar ML'!C478="Paquete de 2 productos",IF('Pegar ML'!O478="",0,'Pegar ML'!O478),IF('Pegar ML'!O479="",0,'Pegar ML'!O479))</f>
        <v>0</v>
      </c>
      <c r="J483" s="14">
        <f>IF('Pegar ML'!C478="Paquete de 2 productos",IF('Pegar ML'!O478="",0,'Pegar ML'!O478),IF('Pegar ML'!O479="",0,'Pegar ML'!O479))</f>
        <v>0</v>
      </c>
      <c r="K483" s="14">
        <f t="shared" si="23"/>
        <v>0</v>
      </c>
      <c r="L483" s="27">
        <f>IF('Pegar ML'!AB479=" ",'Pegar ML'!AB478,'Pegar ML'!AB479)</f>
        <v>0</v>
      </c>
      <c r="M483" s="27" t="str">
        <f>IF('Pegar ML'!AC479=" ",RIGHT('Pegar ML'!AC478,8),RIGHT('Pegar ML'!AC479,8))</f>
        <v/>
      </c>
      <c r="N483" s="27" t="s">
        <v>80</v>
      </c>
      <c r="O483" s="27">
        <f t="shared" si="21"/>
        <v>0</v>
      </c>
      <c r="P483" s="27" t="s">
        <v>80</v>
      </c>
      <c r="Q483" s="55">
        <f>IF('Pegar ML'!AD479=" ",'Pegar ML'!AD478,'Pegar ML'!AD479)</f>
        <v>0</v>
      </c>
      <c r="R483" s="27" t="s">
        <v>80</v>
      </c>
      <c r="S483" s="27" t="s">
        <v>80</v>
      </c>
      <c r="T483" s="27" t="s">
        <v>80</v>
      </c>
      <c r="U483" s="55">
        <f>IF('Pegar ML'!AI479=" ",'Pegar ML'!AI478,'Pegar ML'!AI479)</f>
        <v>0</v>
      </c>
      <c r="V483" s="55">
        <f>IF('Pegar ML'!AK479=" ",'Pegar ML'!AK478,'Pegar ML'!AK479)</f>
        <v>0</v>
      </c>
      <c r="W483" s="55">
        <f>IF('Pegar ML'!AJ479=" ",'Pegar ML'!AJ478,'Pegar ML'!AJ479)</f>
        <v>0</v>
      </c>
      <c r="X483" s="55">
        <f>IF('Pegar ML'!AL479=" ",'Pegar ML'!AL478,'Pegar ML'!AL479)</f>
        <v>0</v>
      </c>
      <c r="Y483" s="27"/>
      <c r="Z483" s="27"/>
      <c r="AA483" s="27"/>
      <c r="AB483" s="27"/>
      <c r="AC483" s="27"/>
      <c r="AD483" s="27"/>
      <c r="AF483" s="8"/>
      <c r="AG483" s="27"/>
      <c r="AH483" s="14">
        <f>+'Pegar ML'!Y479</f>
        <v>0</v>
      </c>
      <c r="AI483" s="13">
        <f t="shared" si="22"/>
        <v>1</v>
      </c>
      <c r="AJ483" s="7">
        <f>+'Pegar ML'!T479</f>
        <v>0</v>
      </c>
      <c r="AK483" s="27"/>
      <c r="AL483" s="27"/>
      <c r="AM483" s="27"/>
      <c r="AN483" s="27"/>
      <c r="AO483" s="27"/>
      <c r="AP483" s="27"/>
      <c r="AQ483" s="27"/>
      <c r="AR483" s="27"/>
      <c r="AS483" s="27">
        <v>17</v>
      </c>
    </row>
    <row r="484" spans="1:45" ht="15" customHeight="1" x14ac:dyDescent="0.25">
      <c r="A484" s="27">
        <f>IF('Pegar ML'!C479="Paquete de 2 productos",'Pegar ML'!A479,IF('Pegar ML'!C478="Paquete de 2 productos",'Pegar ML'!A478,'Pegar ML'!A480))</f>
        <v>0</v>
      </c>
      <c r="B484" s="27"/>
      <c r="C484" s="30" t="str">
        <f>IF(AjusteFecha!I480=0,"",AjusteFecha!I480)</f>
        <v/>
      </c>
      <c r="D484" s="27"/>
      <c r="E484" s="27"/>
      <c r="F484" s="27" t="str">
        <f>IF('Pegar ML'!C480="","",'Pegar ML'!C480)</f>
        <v/>
      </c>
      <c r="G484" s="27" t="str">
        <f>IF('Pegar ML'!G475="ARS","PS","PS")</f>
        <v>PS</v>
      </c>
      <c r="H484" s="14">
        <f>IF('Pegar ML'!C479="Paquete de 2 productos",IF('Pegar ML'!H479="",0,'Pegar ML'!H479),IF('Pegar ML'!H480="",0,'Pegar ML'!H480))</f>
        <v>0</v>
      </c>
      <c r="I484" s="14">
        <f>IF('Pegar ML'!C479="Paquete de 2 productos",IF('Pegar ML'!O479="",0,'Pegar ML'!O479),IF('Pegar ML'!O480="",0,'Pegar ML'!O480))</f>
        <v>0</v>
      </c>
      <c r="J484" s="14">
        <f>IF('Pegar ML'!C479="Paquete de 2 productos",IF('Pegar ML'!O479="",0,'Pegar ML'!O479),IF('Pegar ML'!O480="",0,'Pegar ML'!O480))</f>
        <v>0</v>
      </c>
      <c r="K484" s="14">
        <f t="shared" si="23"/>
        <v>0</v>
      </c>
      <c r="L484" s="27">
        <f>IF('Pegar ML'!AB480=" ",'Pegar ML'!AB479,'Pegar ML'!AB480)</f>
        <v>0</v>
      </c>
      <c r="M484" s="27" t="str">
        <f>IF('Pegar ML'!AC480=" ",RIGHT('Pegar ML'!AC479,8),RIGHT('Pegar ML'!AC480,8))</f>
        <v/>
      </c>
      <c r="N484" s="27" t="s">
        <v>80</v>
      </c>
      <c r="O484" s="27">
        <f t="shared" si="21"/>
        <v>0</v>
      </c>
      <c r="P484" s="27" t="s">
        <v>80</v>
      </c>
      <c r="Q484" s="55">
        <f>IF('Pegar ML'!AD480=" ",'Pegar ML'!AD479,'Pegar ML'!AD480)</f>
        <v>0</v>
      </c>
      <c r="R484" s="27" t="s">
        <v>80</v>
      </c>
      <c r="S484" s="27" t="s">
        <v>80</v>
      </c>
      <c r="T484" s="27" t="s">
        <v>80</v>
      </c>
      <c r="U484" s="55">
        <f>IF('Pegar ML'!AI480=" ",'Pegar ML'!AI479,'Pegar ML'!AI480)</f>
        <v>0</v>
      </c>
      <c r="V484" s="55">
        <f>IF('Pegar ML'!AK480=" ",'Pegar ML'!AK479,'Pegar ML'!AK480)</f>
        <v>0</v>
      </c>
      <c r="W484" s="55">
        <f>IF('Pegar ML'!AJ480=" ",'Pegar ML'!AJ479,'Pegar ML'!AJ480)</f>
        <v>0</v>
      </c>
      <c r="X484" s="55">
        <f>IF('Pegar ML'!AL480=" ",'Pegar ML'!AL479,'Pegar ML'!AL480)</f>
        <v>0</v>
      </c>
      <c r="Y484" s="27"/>
      <c r="Z484" s="27"/>
      <c r="AA484" s="27"/>
      <c r="AB484" s="27"/>
      <c r="AC484" s="27"/>
      <c r="AD484" s="27"/>
      <c r="AF484" s="8"/>
      <c r="AG484" s="27"/>
      <c r="AH484" s="14">
        <f>+'Pegar ML'!Y480</f>
        <v>0</v>
      </c>
      <c r="AI484" s="13">
        <f t="shared" si="22"/>
        <v>1</v>
      </c>
      <c r="AJ484" s="7">
        <f>+'Pegar ML'!T480</f>
        <v>0</v>
      </c>
      <c r="AK484" s="27"/>
      <c r="AL484" s="27"/>
      <c r="AM484" s="27"/>
      <c r="AN484" s="27"/>
      <c r="AO484" s="27"/>
      <c r="AP484" s="27"/>
      <c r="AQ484" s="27"/>
      <c r="AR484" s="27"/>
      <c r="AS484" s="27">
        <v>17</v>
      </c>
    </row>
    <row r="485" spans="1:45" ht="15" customHeight="1" x14ac:dyDescent="0.25">
      <c r="A485" s="27">
        <f>IF('Pegar ML'!C480="Paquete de 2 productos",'Pegar ML'!A480,IF('Pegar ML'!C479="Paquete de 2 productos",'Pegar ML'!A479,'Pegar ML'!A481))</f>
        <v>0</v>
      </c>
      <c r="B485" s="27"/>
      <c r="C485" s="30" t="str">
        <f>IF(AjusteFecha!I481=0,"",AjusteFecha!I481)</f>
        <v/>
      </c>
      <c r="D485" s="27"/>
      <c r="E485" s="27"/>
      <c r="F485" s="27" t="str">
        <f>IF('Pegar ML'!C481="","",'Pegar ML'!C481)</f>
        <v/>
      </c>
      <c r="G485" s="27" t="str">
        <f>IF('Pegar ML'!G476="ARS","PS","PS")</f>
        <v>PS</v>
      </c>
      <c r="H485" s="14">
        <f>IF('Pegar ML'!C480="Paquete de 2 productos",IF('Pegar ML'!H480="",0,'Pegar ML'!H480),IF('Pegar ML'!H481="",0,'Pegar ML'!H481))</f>
        <v>0</v>
      </c>
      <c r="I485" s="14">
        <f>IF('Pegar ML'!C480="Paquete de 2 productos",IF('Pegar ML'!O480="",0,'Pegar ML'!O480),IF('Pegar ML'!O481="",0,'Pegar ML'!O481))</f>
        <v>0</v>
      </c>
      <c r="J485" s="14">
        <f>IF('Pegar ML'!C480="Paquete de 2 productos",IF('Pegar ML'!O480="",0,'Pegar ML'!O480),IF('Pegar ML'!O481="",0,'Pegar ML'!O481))</f>
        <v>0</v>
      </c>
      <c r="K485" s="14">
        <f t="shared" si="23"/>
        <v>0</v>
      </c>
      <c r="L485" s="27">
        <f>IF('Pegar ML'!AB481=" ",'Pegar ML'!AB480,'Pegar ML'!AB481)</f>
        <v>0</v>
      </c>
      <c r="M485" s="27" t="str">
        <f>IF('Pegar ML'!AC481=" ",RIGHT('Pegar ML'!AC480,8),RIGHT('Pegar ML'!AC481,8))</f>
        <v/>
      </c>
      <c r="N485" s="27" t="s">
        <v>80</v>
      </c>
      <c r="O485" s="27">
        <f t="shared" si="21"/>
        <v>0</v>
      </c>
      <c r="P485" s="27" t="s">
        <v>80</v>
      </c>
      <c r="Q485" s="55">
        <f>IF('Pegar ML'!AD481=" ",'Pegar ML'!AD480,'Pegar ML'!AD481)</f>
        <v>0</v>
      </c>
      <c r="R485" s="27" t="s">
        <v>80</v>
      </c>
      <c r="S485" s="27" t="s">
        <v>80</v>
      </c>
      <c r="T485" s="27" t="s">
        <v>80</v>
      </c>
      <c r="U485" s="55">
        <f>IF('Pegar ML'!AI481=" ",'Pegar ML'!AI480,'Pegar ML'!AI481)</f>
        <v>0</v>
      </c>
      <c r="V485" s="55">
        <f>IF('Pegar ML'!AK481=" ",'Pegar ML'!AK480,'Pegar ML'!AK481)</f>
        <v>0</v>
      </c>
      <c r="W485" s="55">
        <f>IF('Pegar ML'!AJ481=" ",'Pegar ML'!AJ480,'Pegar ML'!AJ481)</f>
        <v>0</v>
      </c>
      <c r="X485" s="55">
        <f>IF('Pegar ML'!AL481=" ",'Pegar ML'!AL480,'Pegar ML'!AL481)</f>
        <v>0</v>
      </c>
      <c r="Y485" s="27"/>
      <c r="Z485" s="27"/>
      <c r="AA485" s="27"/>
      <c r="AB485" s="27"/>
      <c r="AC485" s="27"/>
      <c r="AD485" s="27"/>
      <c r="AF485" s="8"/>
      <c r="AG485" s="27"/>
      <c r="AH485" s="14">
        <f>+'Pegar ML'!Y481</f>
        <v>0</v>
      </c>
      <c r="AI485" s="13">
        <f t="shared" si="22"/>
        <v>1</v>
      </c>
      <c r="AJ485" s="7">
        <f>+'Pegar ML'!T481</f>
        <v>0</v>
      </c>
      <c r="AK485" s="27"/>
      <c r="AL485" s="27"/>
      <c r="AM485" s="27"/>
      <c r="AN485" s="27"/>
      <c r="AO485" s="27"/>
      <c r="AP485" s="27"/>
      <c r="AQ485" s="27"/>
      <c r="AR485" s="27"/>
      <c r="AS485" s="27">
        <v>17</v>
      </c>
    </row>
    <row r="486" spans="1:45" ht="15" customHeight="1" x14ac:dyDescent="0.25">
      <c r="A486" s="27">
        <f>IF('Pegar ML'!C481="Paquete de 2 productos",'Pegar ML'!A481,IF('Pegar ML'!C480="Paquete de 2 productos",'Pegar ML'!A480,'Pegar ML'!A482))</f>
        <v>0</v>
      </c>
      <c r="B486" s="27"/>
      <c r="C486" s="30" t="str">
        <f>IF(AjusteFecha!I482=0,"",AjusteFecha!I482)</f>
        <v/>
      </c>
      <c r="D486" s="27"/>
      <c r="E486" s="27"/>
      <c r="F486" s="27" t="str">
        <f>IF('Pegar ML'!C482="","",'Pegar ML'!C482)</f>
        <v/>
      </c>
      <c r="G486" s="27" t="str">
        <f>IF('Pegar ML'!G477="ARS","PS","PS")</f>
        <v>PS</v>
      </c>
      <c r="H486" s="14">
        <f>IF('Pegar ML'!C481="Paquete de 2 productos",IF('Pegar ML'!H481="",0,'Pegar ML'!H481),IF('Pegar ML'!H482="",0,'Pegar ML'!H482))</f>
        <v>0</v>
      </c>
      <c r="I486" s="14">
        <f>IF('Pegar ML'!C481="Paquete de 2 productos",IF('Pegar ML'!O481="",0,'Pegar ML'!O481),IF('Pegar ML'!O482="",0,'Pegar ML'!O482))</f>
        <v>0</v>
      </c>
      <c r="J486" s="14">
        <f>IF('Pegar ML'!C481="Paquete de 2 productos",IF('Pegar ML'!O481="",0,'Pegar ML'!O481),IF('Pegar ML'!O482="",0,'Pegar ML'!O482))</f>
        <v>0</v>
      </c>
      <c r="K486" s="14">
        <f t="shared" si="23"/>
        <v>0</v>
      </c>
      <c r="L486" s="27">
        <f>IF('Pegar ML'!AB482=" ",'Pegar ML'!AB481,'Pegar ML'!AB482)</f>
        <v>0</v>
      </c>
      <c r="M486" s="27" t="str">
        <f>IF('Pegar ML'!AC482=" ",RIGHT('Pegar ML'!AC481,8),RIGHT('Pegar ML'!AC482,8))</f>
        <v/>
      </c>
      <c r="N486" s="27" t="s">
        <v>80</v>
      </c>
      <c r="O486" s="27">
        <f t="shared" si="21"/>
        <v>0</v>
      </c>
      <c r="P486" s="27" t="s">
        <v>80</v>
      </c>
      <c r="Q486" s="55">
        <f>IF('Pegar ML'!AD482=" ",'Pegar ML'!AD481,'Pegar ML'!AD482)</f>
        <v>0</v>
      </c>
      <c r="R486" s="27" t="s">
        <v>80</v>
      </c>
      <c r="S486" s="27" t="s">
        <v>80</v>
      </c>
      <c r="T486" s="27" t="s">
        <v>80</v>
      </c>
      <c r="U486" s="55">
        <f>IF('Pegar ML'!AI482=" ",'Pegar ML'!AI481,'Pegar ML'!AI482)</f>
        <v>0</v>
      </c>
      <c r="V486" s="55">
        <f>IF('Pegar ML'!AK482=" ",'Pegar ML'!AK481,'Pegar ML'!AK482)</f>
        <v>0</v>
      </c>
      <c r="W486" s="55">
        <f>IF('Pegar ML'!AJ482=" ",'Pegar ML'!AJ481,'Pegar ML'!AJ482)</f>
        <v>0</v>
      </c>
      <c r="X486" s="55">
        <f>IF('Pegar ML'!AL482=" ",'Pegar ML'!AL481,'Pegar ML'!AL482)</f>
        <v>0</v>
      </c>
      <c r="Y486" s="27"/>
      <c r="Z486" s="27"/>
      <c r="AA486" s="27"/>
      <c r="AB486" s="27"/>
      <c r="AC486" s="27"/>
      <c r="AD486" s="27"/>
      <c r="AF486" s="8"/>
      <c r="AG486" s="27"/>
      <c r="AH486" s="14">
        <f>+'Pegar ML'!Y482</f>
        <v>0</v>
      </c>
      <c r="AI486" s="13">
        <f t="shared" si="22"/>
        <v>1</v>
      </c>
      <c r="AJ486" s="7">
        <f>+'Pegar ML'!T482</f>
        <v>0</v>
      </c>
      <c r="AK486" s="27"/>
      <c r="AL486" s="27"/>
      <c r="AM486" s="27"/>
      <c r="AN486" s="27"/>
      <c r="AO486" s="27"/>
      <c r="AP486" s="27"/>
      <c r="AQ486" s="27"/>
      <c r="AR486" s="27"/>
      <c r="AS486" s="27">
        <v>17</v>
      </c>
    </row>
    <row r="487" spans="1:45" ht="15" customHeight="1" x14ac:dyDescent="0.25">
      <c r="A487" s="27">
        <f>IF('Pegar ML'!C482="Paquete de 2 productos",'Pegar ML'!A482,IF('Pegar ML'!C481="Paquete de 2 productos",'Pegar ML'!A481,'Pegar ML'!A483))</f>
        <v>0</v>
      </c>
      <c r="B487" s="27"/>
      <c r="C487" s="30" t="str">
        <f>IF(AjusteFecha!I483=0,"",AjusteFecha!I483)</f>
        <v/>
      </c>
      <c r="D487" s="27"/>
      <c r="E487" s="27"/>
      <c r="F487" s="27" t="str">
        <f>IF('Pegar ML'!C483="","",'Pegar ML'!C483)</f>
        <v/>
      </c>
      <c r="G487" s="27" t="str">
        <f>IF('Pegar ML'!G478="ARS","PS","PS")</f>
        <v>PS</v>
      </c>
      <c r="H487" s="14">
        <f>IF('Pegar ML'!C482="Paquete de 2 productos",IF('Pegar ML'!H482="",0,'Pegar ML'!H482),IF('Pegar ML'!H483="",0,'Pegar ML'!H483))</f>
        <v>0</v>
      </c>
      <c r="I487" s="14">
        <f>IF('Pegar ML'!C482="Paquete de 2 productos",IF('Pegar ML'!O482="",0,'Pegar ML'!O482),IF('Pegar ML'!O483="",0,'Pegar ML'!O483))</f>
        <v>0</v>
      </c>
      <c r="J487" s="14">
        <f>IF('Pegar ML'!C482="Paquete de 2 productos",IF('Pegar ML'!O482="",0,'Pegar ML'!O482),IF('Pegar ML'!O483="",0,'Pegar ML'!O483))</f>
        <v>0</v>
      </c>
      <c r="K487" s="14">
        <f t="shared" si="23"/>
        <v>0</v>
      </c>
      <c r="L487" s="27">
        <f>IF('Pegar ML'!AB483=" ",'Pegar ML'!AB482,'Pegar ML'!AB483)</f>
        <v>0</v>
      </c>
      <c r="M487" s="27" t="str">
        <f>IF('Pegar ML'!AC483=" ",RIGHT('Pegar ML'!AC482,8),RIGHT('Pegar ML'!AC483,8))</f>
        <v/>
      </c>
      <c r="N487" s="27" t="s">
        <v>80</v>
      </c>
      <c r="O487" s="27">
        <f t="shared" si="21"/>
        <v>0</v>
      </c>
      <c r="P487" s="27" t="s">
        <v>80</v>
      </c>
      <c r="Q487" s="55">
        <f>IF('Pegar ML'!AD483=" ",'Pegar ML'!AD482,'Pegar ML'!AD483)</f>
        <v>0</v>
      </c>
      <c r="R487" s="27" t="s">
        <v>80</v>
      </c>
      <c r="S487" s="27" t="s">
        <v>80</v>
      </c>
      <c r="T487" s="27" t="s">
        <v>80</v>
      </c>
      <c r="U487" s="55">
        <f>IF('Pegar ML'!AI483=" ",'Pegar ML'!AI482,'Pegar ML'!AI483)</f>
        <v>0</v>
      </c>
      <c r="V487" s="55">
        <f>IF('Pegar ML'!AK483=" ",'Pegar ML'!AK482,'Pegar ML'!AK483)</f>
        <v>0</v>
      </c>
      <c r="W487" s="55">
        <f>IF('Pegar ML'!AJ483=" ",'Pegar ML'!AJ482,'Pegar ML'!AJ483)</f>
        <v>0</v>
      </c>
      <c r="X487" s="55">
        <f>IF('Pegar ML'!AL483=" ",'Pegar ML'!AL482,'Pegar ML'!AL483)</f>
        <v>0</v>
      </c>
      <c r="Y487" s="27"/>
      <c r="Z487" s="27"/>
      <c r="AA487" s="27"/>
      <c r="AB487" s="27"/>
      <c r="AC487" s="27"/>
      <c r="AD487" s="27"/>
      <c r="AF487" s="8"/>
      <c r="AG487" s="27"/>
      <c r="AH487" s="14">
        <f>+'Pegar ML'!Y483</f>
        <v>0</v>
      </c>
      <c r="AI487" s="13">
        <f t="shared" si="22"/>
        <v>1</v>
      </c>
      <c r="AJ487" s="7">
        <f>+'Pegar ML'!T483</f>
        <v>0</v>
      </c>
      <c r="AK487" s="27"/>
      <c r="AL487" s="27"/>
      <c r="AM487" s="27"/>
      <c r="AN487" s="27"/>
      <c r="AO487" s="27"/>
      <c r="AP487" s="27"/>
      <c r="AQ487" s="27"/>
      <c r="AR487" s="27"/>
      <c r="AS487" s="27">
        <v>17</v>
      </c>
    </row>
    <row r="488" spans="1:45" ht="15" customHeight="1" x14ac:dyDescent="0.25">
      <c r="A488" s="27">
        <f>IF('Pegar ML'!C483="Paquete de 2 productos",'Pegar ML'!A483,IF('Pegar ML'!C482="Paquete de 2 productos",'Pegar ML'!A482,'Pegar ML'!A484))</f>
        <v>0</v>
      </c>
      <c r="B488" s="27"/>
      <c r="C488" s="30" t="str">
        <f>IF(AjusteFecha!I484=0,"",AjusteFecha!I484)</f>
        <v/>
      </c>
      <c r="D488" s="27"/>
      <c r="E488" s="27"/>
      <c r="F488" s="27" t="str">
        <f>IF('Pegar ML'!C484="","",'Pegar ML'!C484)</f>
        <v/>
      </c>
      <c r="G488" s="27" t="str">
        <f>IF('Pegar ML'!G479="ARS","PS","PS")</f>
        <v>PS</v>
      </c>
      <c r="H488" s="14">
        <f>IF('Pegar ML'!C483="Paquete de 2 productos",IF('Pegar ML'!H483="",0,'Pegar ML'!H483),IF('Pegar ML'!H484="",0,'Pegar ML'!H484))</f>
        <v>0</v>
      </c>
      <c r="I488" s="14">
        <f>IF('Pegar ML'!C483="Paquete de 2 productos",IF('Pegar ML'!O483="",0,'Pegar ML'!O483),IF('Pegar ML'!O484="",0,'Pegar ML'!O484))</f>
        <v>0</v>
      </c>
      <c r="J488" s="14">
        <f>IF('Pegar ML'!C483="Paquete de 2 productos",IF('Pegar ML'!O483="",0,'Pegar ML'!O483),IF('Pegar ML'!O484="",0,'Pegar ML'!O484))</f>
        <v>0</v>
      </c>
      <c r="K488" s="14">
        <f t="shared" si="23"/>
        <v>0</v>
      </c>
      <c r="L488" s="27">
        <f>IF('Pegar ML'!AB484=" ",'Pegar ML'!AB483,'Pegar ML'!AB484)</f>
        <v>0</v>
      </c>
      <c r="M488" s="27" t="str">
        <f>IF('Pegar ML'!AC484=" ",RIGHT('Pegar ML'!AC483,8),RIGHT('Pegar ML'!AC484,8))</f>
        <v/>
      </c>
      <c r="N488" s="27" t="s">
        <v>80</v>
      </c>
      <c r="O488" s="27">
        <f t="shared" si="21"/>
        <v>0</v>
      </c>
      <c r="P488" s="27" t="s">
        <v>80</v>
      </c>
      <c r="Q488" s="55">
        <f>IF('Pegar ML'!AD484=" ",'Pegar ML'!AD483,'Pegar ML'!AD484)</f>
        <v>0</v>
      </c>
      <c r="R488" s="27" t="s">
        <v>80</v>
      </c>
      <c r="S488" s="27" t="s">
        <v>80</v>
      </c>
      <c r="T488" s="27" t="s">
        <v>80</v>
      </c>
      <c r="U488" s="55">
        <f>IF('Pegar ML'!AI484=" ",'Pegar ML'!AI483,'Pegar ML'!AI484)</f>
        <v>0</v>
      </c>
      <c r="V488" s="55">
        <f>IF('Pegar ML'!AK484=" ",'Pegar ML'!AK483,'Pegar ML'!AK484)</f>
        <v>0</v>
      </c>
      <c r="W488" s="55">
        <f>IF('Pegar ML'!AJ484=" ",'Pegar ML'!AJ483,'Pegar ML'!AJ484)</f>
        <v>0</v>
      </c>
      <c r="X488" s="55">
        <f>IF('Pegar ML'!AL484=" ",'Pegar ML'!AL483,'Pegar ML'!AL484)</f>
        <v>0</v>
      </c>
      <c r="Y488" s="27"/>
      <c r="Z488" s="27"/>
      <c r="AA488" s="27"/>
      <c r="AB488" s="27"/>
      <c r="AC488" s="27"/>
      <c r="AD488" s="27"/>
      <c r="AF488" s="8"/>
      <c r="AG488" s="27"/>
      <c r="AH488" s="14">
        <f>+'Pegar ML'!Y484</f>
        <v>0</v>
      </c>
      <c r="AI488" s="13">
        <f t="shared" si="22"/>
        <v>1</v>
      </c>
      <c r="AJ488" s="7">
        <f>+'Pegar ML'!T484</f>
        <v>0</v>
      </c>
      <c r="AK488" s="27"/>
      <c r="AL488" s="27"/>
      <c r="AM488" s="27"/>
      <c r="AN488" s="27"/>
      <c r="AO488" s="27"/>
      <c r="AP488" s="27"/>
      <c r="AQ488" s="27"/>
      <c r="AR488" s="27"/>
      <c r="AS488" s="27">
        <v>17</v>
      </c>
    </row>
    <row r="489" spans="1:45" ht="15" customHeight="1" x14ac:dyDescent="0.25">
      <c r="A489" s="27">
        <f>IF('Pegar ML'!C484="Paquete de 2 productos",'Pegar ML'!A484,IF('Pegar ML'!C483="Paquete de 2 productos",'Pegar ML'!A483,'Pegar ML'!A485))</f>
        <v>0</v>
      </c>
      <c r="B489" s="27"/>
      <c r="C489" s="30" t="str">
        <f>IF(AjusteFecha!I485=0,"",AjusteFecha!I485)</f>
        <v/>
      </c>
      <c r="D489" s="27"/>
      <c r="E489" s="27"/>
      <c r="F489" s="27" t="str">
        <f>IF('Pegar ML'!C485="","",'Pegar ML'!C485)</f>
        <v/>
      </c>
      <c r="G489" s="27" t="str">
        <f>IF('Pegar ML'!G480="ARS","PS","PS")</f>
        <v>PS</v>
      </c>
      <c r="H489" s="14">
        <f>IF('Pegar ML'!C484="Paquete de 2 productos",IF('Pegar ML'!H484="",0,'Pegar ML'!H484),IF('Pegar ML'!H485="",0,'Pegar ML'!H485))</f>
        <v>0</v>
      </c>
      <c r="I489" s="14">
        <f>IF('Pegar ML'!C484="Paquete de 2 productos",IF('Pegar ML'!O484="",0,'Pegar ML'!O484),IF('Pegar ML'!O485="",0,'Pegar ML'!O485))</f>
        <v>0</v>
      </c>
      <c r="J489" s="14">
        <f>IF('Pegar ML'!C484="Paquete de 2 productos",IF('Pegar ML'!O484="",0,'Pegar ML'!O484),IF('Pegar ML'!O485="",0,'Pegar ML'!O485))</f>
        <v>0</v>
      </c>
      <c r="K489" s="14">
        <f t="shared" si="23"/>
        <v>0</v>
      </c>
      <c r="L489" s="27">
        <f>IF('Pegar ML'!AB485=" ",'Pegar ML'!AB484,'Pegar ML'!AB485)</f>
        <v>0</v>
      </c>
      <c r="M489" s="27" t="str">
        <f>IF('Pegar ML'!AC485=" ",RIGHT('Pegar ML'!AC484,8),RIGHT('Pegar ML'!AC485,8))</f>
        <v/>
      </c>
      <c r="N489" s="27" t="s">
        <v>80</v>
      </c>
      <c r="O489" s="27">
        <f t="shared" si="21"/>
        <v>0</v>
      </c>
      <c r="P489" s="27" t="s">
        <v>80</v>
      </c>
      <c r="Q489" s="55">
        <f>IF('Pegar ML'!AD485=" ",'Pegar ML'!AD484,'Pegar ML'!AD485)</f>
        <v>0</v>
      </c>
      <c r="R489" s="27" t="s">
        <v>80</v>
      </c>
      <c r="S489" s="27" t="s">
        <v>80</v>
      </c>
      <c r="T489" s="27" t="s">
        <v>80</v>
      </c>
      <c r="U489" s="55">
        <f>IF('Pegar ML'!AI485=" ",'Pegar ML'!AI484,'Pegar ML'!AI485)</f>
        <v>0</v>
      </c>
      <c r="V489" s="55">
        <f>IF('Pegar ML'!AK485=" ",'Pegar ML'!AK484,'Pegar ML'!AK485)</f>
        <v>0</v>
      </c>
      <c r="W489" s="55">
        <f>IF('Pegar ML'!AJ485=" ",'Pegar ML'!AJ484,'Pegar ML'!AJ485)</f>
        <v>0</v>
      </c>
      <c r="X489" s="55">
        <f>IF('Pegar ML'!AL485=" ",'Pegar ML'!AL484,'Pegar ML'!AL485)</f>
        <v>0</v>
      </c>
      <c r="Y489" s="27"/>
      <c r="Z489" s="27"/>
      <c r="AA489" s="27"/>
      <c r="AB489" s="27"/>
      <c r="AC489" s="27"/>
      <c r="AD489" s="27"/>
      <c r="AF489" s="8"/>
      <c r="AG489" s="27"/>
      <c r="AH489" s="14">
        <f>+'Pegar ML'!Y485</f>
        <v>0</v>
      </c>
      <c r="AI489" s="13">
        <f t="shared" si="22"/>
        <v>1</v>
      </c>
      <c r="AJ489" s="7">
        <f>+'Pegar ML'!T485</f>
        <v>0</v>
      </c>
      <c r="AK489" s="27"/>
      <c r="AL489" s="27"/>
      <c r="AM489" s="27"/>
      <c r="AN489" s="27"/>
      <c r="AO489" s="27"/>
      <c r="AP489" s="27"/>
      <c r="AQ489" s="27"/>
      <c r="AR489" s="27"/>
      <c r="AS489" s="27">
        <v>17</v>
      </c>
    </row>
    <row r="490" spans="1:45" ht="15" customHeight="1" x14ac:dyDescent="0.25">
      <c r="A490" s="27">
        <f>IF('Pegar ML'!C485="Paquete de 2 productos",'Pegar ML'!A485,IF('Pegar ML'!C484="Paquete de 2 productos",'Pegar ML'!A484,'Pegar ML'!A486))</f>
        <v>0</v>
      </c>
      <c r="B490" s="27"/>
      <c r="C490" s="30" t="str">
        <f>IF(AjusteFecha!I486=0,"",AjusteFecha!I486)</f>
        <v/>
      </c>
      <c r="D490" s="27"/>
      <c r="E490" s="27"/>
      <c r="F490" s="27" t="str">
        <f>IF('Pegar ML'!C486="","",'Pegar ML'!C486)</f>
        <v/>
      </c>
      <c r="G490" s="27" t="str">
        <f>IF('Pegar ML'!G481="ARS","PS","PS")</f>
        <v>PS</v>
      </c>
      <c r="H490" s="14">
        <f>IF('Pegar ML'!C485="Paquete de 2 productos",IF('Pegar ML'!H485="",0,'Pegar ML'!H485),IF('Pegar ML'!H486="",0,'Pegar ML'!H486))</f>
        <v>0</v>
      </c>
      <c r="I490" s="14">
        <f>IF('Pegar ML'!C485="Paquete de 2 productos",IF('Pegar ML'!O485="",0,'Pegar ML'!O485),IF('Pegar ML'!O486="",0,'Pegar ML'!O486))</f>
        <v>0</v>
      </c>
      <c r="J490" s="14">
        <f>IF('Pegar ML'!C485="Paquete de 2 productos",IF('Pegar ML'!O485="",0,'Pegar ML'!O485),IF('Pegar ML'!O486="",0,'Pegar ML'!O486))</f>
        <v>0</v>
      </c>
      <c r="K490" s="14">
        <f t="shared" si="23"/>
        <v>0</v>
      </c>
      <c r="L490" s="27">
        <f>IF('Pegar ML'!AB486=" ",'Pegar ML'!AB485,'Pegar ML'!AB486)</f>
        <v>0</v>
      </c>
      <c r="M490" s="27" t="str">
        <f>IF('Pegar ML'!AC486=" ",RIGHT('Pegar ML'!AC485,8),RIGHT('Pegar ML'!AC486,8))</f>
        <v/>
      </c>
      <c r="N490" s="27" t="s">
        <v>80</v>
      </c>
      <c r="O490" s="27">
        <f t="shared" si="21"/>
        <v>0</v>
      </c>
      <c r="P490" s="27" t="s">
        <v>80</v>
      </c>
      <c r="Q490" s="55">
        <f>IF('Pegar ML'!AD486=" ",'Pegar ML'!AD485,'Pegar ML'!AD486)</f>
        <v>0</v>
      </c>
      <c r="R490" s="27" t="s">
        <v>80</v>
      </c>
      <c r="S490" s="27" t="s">
        <v>80</v>
      </c>
      <c r="T490" s="27" t="s">
        <v>80</v>
      </c>
      <c r="U490" s="55">
        <f>IF('Pegar ML'!AI486=" ",'Pegar ML'!AI485,'Pegar ML'!AI486)</f>
        <v>0</v>
      </c>
      <c r="V490" s="55">
        <f>IF('Pegar ML'!AK486=" ",'Pegar ML'!AK485,'Pegar ML'!AK486)</f>
        <v>0</v>
      </c>
      <c r="W490" s="55">
        <f>IF('Pegar ML'!AJ486=" ",'Pegar ML'!AJ485,'Pegar ML'!AJ486)</f>
        <v>0</v>
      </c>
      <c r="X490" s="55">
        <f>IF('Pegar ML'!AL486=" ",'Pegar ML'!AL485,'Pegar ML'!AL486)</f>
        <v>0</v>
      </c>
      <c r="Y490" s="27"/>
      <c r="Z490" s="27"/>
      <c r="AA490" s="27"/>
      <c r="AB490" s="27"/>
      <c r="AC490" s="27"/>
      <c r="AD490" s="27"/>
      <c r="AF490" s="8"/>
      <c r="AG490" s="27"/>
      <c r="AH490" s="14">
        <f>+'Pegar ML'!Y486</f>
        <v>0</v>
      </c>
      <c r="AI490" s="13">
        <f t="shared" si="22"/>
        <v>1</v>
      </c>
      <c r="AJ490" s="7">
        <f>+'Pegar ML'!T486</f>
        <v>0</v>
      </c>
      <c r="AK490" s="27"/>
      <c r="AL490" s="27"/>
      <c r="AM490" s="27"/>
      <c r="AN490" s="27"/>
      <c r="AO490" s="27"/>
      <c r="AP490" s="27"/>
      <c r="AQ490" s="27"/>
      <c r="AR490" s="27"/>
      <c r="AS490" s="27">
        <v>17</v>
      </c>
    </row>
    <row r="491" spans="1:45" ht="15" customHeight="1" x14ac:dyDescent="0.25">
      <c r="A491" s="27">
        <f>IF('Pegar ML'!C486="Paquete de 2 productos",'Pegar ML'!A486,IF('Pegar ML'!C485="Paquete de 2 productos",'Pegar ML'!A485,'Pegar ML'!A487))</f>
        <v>0</v>
      </c>
      <c r="B491" s="27"/>
      <c r="C491" s="30" t="str">
        <f>IF(AjusteFecha!I487=0,"",AjusteFecha!I487)</f>
        <v/>
      </c>
      <c r="D491" s="27"/>
      <c r="E491" s="27"/>
      <c r="F491" s="27" t="str">
        <f>IF('Pegar ML'!C487="","",'Pegar ML'!C487)</f>
        <v/>
      </c>
      <c r="G491" s="27" t="str">
        <f>IF('Pegar ML'!G482="ARS","PS","PS")</f>
        <v>PS</v>
      </c>
      <c r="H491" s="14">
        <f>IF('Pegar ML'!C486="Paquete de 2 productos",IF('Pegar ML'!H486="",0,'Pegar ML'!H486),IF('Pegar ML'!H487="",0,'Pegar ML'!H487))</f>
        <v>0</v>
      </c>
      <c r="I491" s="14">
        <f>IF('Pegar ML'!C486="Paquete de 2 productos",IF('Pegar ML'!O486="",0,'Pegar ML'!O486),IF('Pegar ML'!O487="",0,'Pegar ML'!O487))</f>
        <v>0</v>
      </c>
      <c r="J491" s="14">
        <f>IF('Pegar ML'!C486="Paquete de 2 productos",IF('Pegar ML'!O486="",0,'Pegar ML'!O486),IF('Pegar ML'!O487="",0,'Pegar ML'!O487))</f>
        <v>0</v>
      </c>
      <c r="K491" s="14">
        <f t="shared" si="23"/>
        <v>0</v>
      </c>
      <c r="L491" s="27">
        <f>IF('Pegar ML'!AB487=" ",'Pegar ML'!AB486,'Pegar ML'!AB487)</f>
        <v>0</v>
      </c>
      <c r="M491" s="27" t="str">
        <f>IF('Pegar ML'!AC487=" ",RIGHT('Pegar ML'!AC486,8),RIGHT('Pegar ML'!AC487,8))</f>
        <v/>
      </c>
      <c r="N491" s="27" t="s">
        <v>80</v>
      </c>
      <c r="O491" s="27">
        <f t="shared" si="21"/>
        <v>0</v>
      </c>
      <c r="P491" s="27" t="s">
        <v>80</v>
      </c>
      <c r="Q491" s="55">
        <f>IF('Pegar ML'!AD487=" ",'Pegar ML'!AD486,'Pegar ML'!AD487)</f>
        <v>0</v>
      </c>
      <c r="R491" s="27" t="s">
        <v>80</v>
      </c>
      <c r="S491" s="27" t="s">
        <v>80</v>
      </c>
      <c r="T491" s="27" t="s">
        <v>80</v>
      </c>
      <c r="U491" s="55">
        <f>IF('Pegar ML'!AI487=" ",'Pegar ML'!AI486,'Pegar ML'!AI487)</f>
        <v>0</v>
      </c>
      <c r="V491" s="55">
        <f>IF('Pegar ML'!AK487=" ",'Pegar ML'!AK486,'Pegar ML'!AK487)</f>
        <v>0</v>
      </c>
      <c r="W491" s="55">
        <f>IF('Pegar ML'!AJ487=" ",'Pegar ML'!AJ486,'Pegar ML'!AJ487)</f>
        <v>0</v>
      </c>
      <c r="X491" s="55">
        <f>IF('Pegar ML'!AL487=" ",'Pegar ML'!AL486,'Pegar ML'!AL487)</f>
        <v>0</v>
      </c>
      <c r="Y491" s="27"/>
      <c r="Z491" s="27"/>
      <c r="AA491" s="27"/>
      <c r="AB491" s="27"/>
      <c r="AC491" s="27"/>
      <c r="AD491" s="27"/>
      <c r="AF491" s="8"/>
      <c r="AG491" s="27"/>
      <c r="AH491" s="14">
        <f>+'Pegar ML'!Y487</f>
        <v>0</v>
      </c>
      <c r="AI491" s="13">
        <f t="shared" si="22"/>
        <v>1</v>
      </c>
      <c r="AJ491" s="7">
        <f>+'Pegar ML'!T487</f>
        <v>0</v>
      </c>
      <c r="AK491" s="27"/>
      <c r="AL491" s="27"/>
      <c r="AM491" s="27"/>
      <c r="AN491" s="27"/>
      <c r="AO491" s="27"/>
      <c r="AP491" s="27"/>
      <c r="AQ491" s="27"/>
      <c r="AR491" s="27"/>
      <c r="AS491" s="27">
        <v>17</v>
      </c>
    </row>
    <row r="492" spans="1:45" ht="15" customHeight="1" x14ac:dyDescent="0.25">
      <c r="A492" s="27">
        <f>IF('Pegar ML'!C487="Paquete de 2 productos",'Pegar ML'!A487,IF('Pegar ML'!C486="Paquete de 2 productos",'Pegar ML'!A486,'Pegar ML'!A488))</f>
        <v>0</v>
      </c>
      <c r="B492" s="27"/>
      <c r="C492" s="30" t="str">
        <f>IF(AjusteFecha!I488=0,"",AjusteFecha!I488)</f>
        <v/>
      </c>
      <c r="D492" s="27"/>
      <c r="E492" s="27"/>
      <c r="F492" s="27" t="str">
        <f>IF('Pegar ML'!C488="","",'Pegar ML'!C488)</f>
        <v/>
      </c>
      <c r="G492" s="27" t="str">
        <f>IF('Pegar ML'!G483="ARS","PS","PS")</f>
        <v>PS</v>
      </c>
      <c r="H492" s="14">
        <f>IF('Pegar ML'!C487="Paquete de 2 productos",IF('Pegar ML'!H487="",0,'Pegar ML'!H487),IF('Pegar ML'!H488="",0,'Pegar ML'!H488))</f>
        <v>0</v>
      </c>
      <c r="I492" s="14">
        <f>IF('Pegar ML'!C487="Paquete de 2 productos",IF('Pegar ML'!O487="",0,'Pegar ML'!O487),IF('Pegar ML'!O488="",0,'Pegar ML'!O488))</f>
        <v>0</v>
      </c>
      <c r="J492" s="14">
        <f>IF('Pegar ML'!C487="Paquete de 2 productos",IF('Pegar ML'!O487="",0,'Pegar ML'!O487),IF('Pegar ML'!O488="",0,'Pegar ML'!O488))</f>
        <v>0</v>
      </c>
      <c r="K492" s="14">
        <f t="shared" si="23"/>
        <v>0</v>
      </c>
      <c r="L492" s="27">
        <f>IF('Pegar ML'!AB488=" ",'Pegar ML'!AB487,'Pegar ML'!AB488)</f>
        <v>0</v>
      </c>
      <c r="M492" s="27" t="str">
        <f>IF('Pegar ML'!AC488=" ",RIGHT('Pegar ML'!AC487,8),RIGHT('Pegar ML'!AC488,8))</f>
        <v/>
      </c>
      <c r="N492" s="27" t="s">
        <v>80</v>
      </c>
      <c r="O492" s="27">
        <f t="shared" si="21"/>
        <v>0</v>
      </c>
      <c r="P492" s="27" t="s">
        <v>80</v>
      </c>
      <c r="Q492" s="55">
        <f>IF('Pegar ML'!AD488=" ",'Pegar ML'!AD487,'Pegar ML'!AD488)</f>
        <v>0</v>
      </c>
      <c r="R492" s="27" t="s">
        <v>80</v>
      </c>
      <c r="S492" s="27" t="s">
        <v>80</v>
      </c>
      <c r="T492" s="27" t="s">
        <v>80</v>
      </c>
      <c r="U492" s="55">
        <f>IF('Pegar ML'!AI488=" ",'Pegar ML'!AI487,'Pegar ML'!AI488)</f>
        <v>0</v>
      </c>
      <c r="V492" s="55">
        <f>IF('Pegar ML'!AK488=" ",'Pegar ML'!AK487,'Pegar ML'!AK488)</f>
        <v>0</v>
      </c>
      <c r="W492" s="55">
        <f>IF('Pegar ML'!AJ488=" ",'Pegar ML'!AJ487,'Pegar ML'!AJ488)</f>
        <v>0</v>
      </c>
      <c r="X492" s="55">
        <f>IF('Pegar ML'!AL488=" ",'Pegar ML'!AL487,'Pegar ML'!AL488)</f>
        <v>0</v>
      </c>
      <c r="Y492" s="27"/>
      <c r="Z492" s="27"/>
      <c r="AA492" s="27"/>
      <c r="AB492" s="27"/>
      <c r="AC492" s="27"/>
      <c r="AD492" s="27"/>
      <c r="AF492" s="8"/>
      <c r="AG492" s="27"/>
      <c r="AH492" s="14">
        <f>+'Pegar ML'!Y488</f>
        <v>0</v>
      </c>
      <c r="AI492" s="13">
        <f t="shared" si="22"/>
        <v>1</v>
      </c>
      <c r="AJ492" s="7">
        <f>+'Pegar ML'!T488</f>
        <v>0</v>
      </c>
      <c r="AK492" s="27"/>
      <c r="AL492" s="27"/>
      <c r="AM492" s="27"/>
      <c r="AN492" s="27"/>
      <c r="AO492" s="27"/>
      <c r="AP492" s="27"/>
      <c r="AQ492" s="27"/>
      <c r="AR492" s="27"/>
      <c r="AS492" s="27">
        <v>17</v>
      </c>
    </row>
    <row r="493" spans="1:45" ht="15" customHeight="1" x14ac:dyDescent="0.25">
      <c r="A493" s="27">
        <f>IF('Pegar ML'!C488="Paquete de 2 productos",'Pegar ML'!A488,IF('Pegar ML'!C487="Paquete de 2 productos",'Pegar ML'!A487,'Pegar ML'!A489))</f>
        <v>0</v>
      </c>
      <c r="B493" s="27"/>
      <c r="C493" s="30" t="str">
        <f>IF(AjusteFecha!I489=0,"",AjusteFecha!I489)</f>
        <v/>
      </c>
      <c r="D493" s="27"/>
      <c r="E493" s="27"/>
      <c r="F493" s="27" t="str">
        <f>IF('Pegar ML'!C489="","",'Pegar ML'!C489)</f>
        <v/>
      </c>
      <c r="G493" s="27" t="str">
        <f>IF('Pegar ML'!G484="ARS","PS","PS")</f>
        <v>PS</v>
      </c>
      <c r="H493" s="14">
        <f>IF('Pegar ML'!C488="Paquete de 2 productos",IF('Pegar ML'!H488="",0,'Pegar ML'!H488),IF('Pegar ML'!H489="",0,'Pegar ML'!H489))</f>
        <v>0</v>
      </c>
      <c r="I493" s="14">
        <f>IF('Pegar ML'!C488="Paquete de 2 productos",IF('Pegar ML'!O488="",0,'Pegar ML'!O488),IF('Pegar ML'!O489="",0,'Pegar ML'!O489))</f>
        <v>0</v>
      </c>
      <c r="J493" s="14">
        <f>IF('Pegar ML'!C488="Paquete de 2 productos",IF('Pegar ML'!O488="",0,'Pegar ML'!O488),IF('Pegar ML'!O489="",0,'Pegar ML'!O489))</f>
        <v>0</v>
      </c>
      <c r="K493" s="14">
        <f t="shared" si="23"/>
        <v>0</v>
      </c>
      <c r="L493" s="27">
        <f>IF('Pegar ML'!AB489=" ",'Pegar ML'!AB488,'Pegar ML'!AB489)</f>
        <v>0</v>
      </c>
      <c r="M493" s="27" t="str">
        <f>IF('Pegar ML'!AC489=" ",RIGHT('Pegar ML'!AC488,8),RIGHT('Pegar ML'!AC489,8))</f>
        <v/>
      </c>
      <c r="N493" s="27" t="s">
        <v>80</v>
      </c>
      <c r="O493" s="27">
        <f t="shared" si="21"/>
        <v>0</v>
      </c>
      <c r="P493" s="27" t="s">
        <v>80</v>
      </c>
      <c r="Q493" s="55">
        <f>IF('Pegar ML'!AD489=" ",'Pegar ML'!AD488,'Pegar ML'!AD489)</f>
        <v>0</v>
      </c>
      <c r="R493" s="27" t="s">
        <v>80</v>
      </c>
      <c r="S493" s="27" t="s">
        <v>80</v>
      </c>
      <c r="T493" s="27" t="s">
        <v>80</v>
      </c>
      <c r="U493" s="55">
        <f>IF('Pegar ML'!AI489=" ",'Pegar ML'!AI488,'Pegar ML'!AI489)</f>
        <v>0</v>
      </c>
      <c r="V493" s="55">
        <f>IF('Pegar ML'!AK489=" ",'Pegar ML'!AK488,'Pegar ML'!AK489)</f>
        <v>0</v>
      </c>
      <c r="W493" s="55">
        <f>IF('Pegar ML'!AJ489=" ",'Pegar ML'!AJ488,'Pegar ML'!AJ489)</f>
        <v>0</v>
      </c>
      <c r="X493" s="55">
        <f>IF('Pegar ML'!AL489=" ",'Pegar ML'!AL488,'Pegar ML'!AL489)</f>
        <v>0</v>
      </c>
      <c r="Y493" s="27"/>
      <c r="Z493" s="27"/>
      <c r="AA493" s="27"/>
      <c r="AB493" s="27"/>
      <c r="AC493" s="27"/>
      <c r="AD493" s="27"/>
      <c r="AF493" s="8"/>
      <c r="AG493" s="27"/>
      <c r="AH493" s="14">
        <f>+'Pegar ML'!Y489</f>
        <v>0</v>
      </c>
      <c r="AI493" s="13">
        <f t="shared" si="22"/>
        <v>1</v>
      </c>
      <c r="AJ493" s="7">
        <f>+'Pegar ML'!T489</f>
        <v>0</v>
      </c>
      <c r="AK493" s="27"/>
      <c r="AL493" s="27"/>
      <c r="AM493" s="27"/>
      <c r="AN493" s="27"/>
      <c r="AO493" s="27"/>
      <c r="AP493" s="27"/>
      <c r="AQ493" s="27"/>
      <c r="AR493" s="27"/>
      <c r="AS493" s="27">
        <v>17</v>
      </c>
    </row>
    <row r="494" spans="1:45" ht="15" customHeight="1" x14ac:dyDescent="0.25">
      <c r="A494" s="27">
        <f>IF('Pegar ML'!C489="Paquete de 2 productos",'Pegar ML'!A489,IF('Pegar ML'!C488="Paquete de 2 productos",'Pegar ML'!A488,'Pegar ML'!A490))</f>
        <v>0</v>
      </c>
      <c r="B494" s="27"/>
      <c r="C494" s="30" t="str">
        <f>IF(AjusteFecha!I490=0,"",AjusteFecha!I490)</f>
        <v/>
      </c>
      <c r="D494" s="27"/>
      <c r="E494" s="27"/>
      <c r="F494" s="27" t="str">
        <f>IF('Pegar ML'!C490="","",'Pegar ML'!C490)</f>
        <v/>
      </c>
      <c r="G494" s="27" t="str">
        <f>IF('Pegar ML'!G485="ARS","PS","PS")</f>
        <v>PS</v>
      </c>
      <c r="H494" s="14">
        <f>IF('Pegar ML'!C489="Paquete de 2 productos",IF('Pegar ML'!H489="",0,'Pegar ML'!H489),IF('Pegar ML'!H490="",0,'Pegar ML'!H490))</f>
        <v>0</v>
      </c>
      <c r="I494" s="14">
        <f>IF('Pegar ML'!C489="Paquete de 2 productos",IF('Pegar ML'!O489="",0,'Pegar ML'!O489),IF('Pegar ML'!O490="",0,'Pegar ML'!O490))</f>
        <v>0</v>
      </c>
      <c r="J494" s="14">
        <f>IF('Pegar ML'!C489="Paquete de 2 productos",IF('Pegar ML'!O489="",0,'Pegar ML'!O489),IF('Pegar ML'!O490="",0,'Pegar ML'!O490))</f>
        <v>0</v>
      </c>
      <c r="K494" s="14">
        <f t="shared" si="23"/>
        <v>0</v>
      </c>
      <c r="L494" s="27">
        <f>IF('Pegar ML'!AB490=" ",'Pegar ML'!AB489,'Pegar ML'!AB490)</f>
        <v>0</v>
      </c>
      <c r="M494" s="27" t="str">
        <f>IF('Pegar ML'!AC490=" ",RIGHT('Pegar ML'!AC489,8),RIGHT('Pegar ML'!AC490,8))</f>
        <v/>
      </c>
      <c r="N494" s="27" t="s">
        <v>80</v>
      </c>
      <c r="O494" s="27">
        <f t="shared" si="21"/>
        <v>0</v>
      </c>
      <c r="P494" s="27" t="s">
        <v>80</v>
      </c>
      <c r="Q494" s="55">
        <f>IF('Pegar ML'!AD490=" ",'Pegar ML'!AD489,'Pegar ML'!AD490)</f>
        <v>0</v>
      </c>
      <c r="R494" s="27" t="s">
        <v>80</v>
      </c>
      <c r="S494" s="27" t="s">
        <v>80</v>
      </c>
      <c r="T494" s="27" t="s">
        <v>80</v>
      </c>
      <c r="U494" s="55">
        <f>IF('Pegar ML'!AI490=" ",'Pegar ML'!AI489,'Pegar ML'!AI490)</f>
        <v>0</v>
      </c>
      <c r="V494" s="55">
        <f>IF('Pegar ML'!AK490=" ",'Pegar ML'!AK489,'Pegar ML'!AK490)</f>
        <v>0</v>
      </c>
      <c r="W494" s="55">
        <f>IF('Pegar ML'!AJ490=" ",'Pegar ML'!AJ489,'Pegar ML'!AJ490)</f>
        <v>0</v>
      </c>
      <c r="X494" s="55">
        <f>IF('Pegar ML'!AL490=" ",'Pegar ML'!AL489,'Pegar ML'!AL490)</f>
        <v>0</v>
      </c>
      <c r="Y494" s="27"/>
      <c r="Z494" s="27"/>
      <c r="AA494" s="27"/>
      <c r="AB494" s="27"/>
      <c r="AC494" s="27"/>
      <c r="AD494" s="27"/>
      <c r="AF494" s="8"/>
      <c r="AG494" s="27"/>
      <c r="AH494" s="14">
        <f>+'Pegar ML'!Y490</f>
        <v>0</v>
      </c>
      <c r="AI494" s="13">
        <f t="shared" si="22"/>
        <v>1</v>
      </c>
      <c r="AJ494" s="7">
        <f>+'Pegar ML'!T490</f>
        <v>0</v>
      </c>
      <c r="AK494" s="27"/>
      <c r="AL494" s="27"/>
      <c r="AM494" s="27"/>
      <c r="AN494" s="27"/>
      <c r="AO494" s="27"/>
      <c r="AP494" s="27"/>
      <c r="AQ494" s="27"/>
      <c r="AR494" s="27"/>
      <c r="AS494" s="27">
        <v>17</v>
      </c>
    </row>
    <row r="495" spans="1:45" ht="15" customHeight="1" x14ac:dyDescent="0.25">
      <c r="A495" s="27">
        <f>IF('Pegar ML'!C490="Paquete de 2 productos",'Pegar ML'!A490,IF('Pegar ML'!C489="Paquete de 2 productos",'Pegar ML'!A489,'Pegar ML'!A491))</f>
        <v>0</v>
      </c>
      <c r="B495" s="27"/>
      <c r="C495" s="30" t="str">
        <f>IF(AjusteFecha!I491=0,"",AjusteFecha!I491)</f>
        <v/>
      </c>
      <c r="D495" s="27"/>
      <c r="E495" s="27"/>
      <c r="F495" s="27" t="str">
        <f>IF('Pegar ML'!C491="","",'Pegar ML'!C491)</f>
        <v/>
      </c>
      <c r="G495" s="27" t="str">
        <f>IF('Pegar ML'!G486="ARS","PS","PS")</f>
        <v>PS</v>
      </c>
      <c r="H495" s="14">
        <f>IF('Pegar ML'!C490="Paquete de 2 productos",IF('Pegar ML'!H490="",0,'Pegar ML'!H490),IF('Pegar ML'!H491="",0,'Pegar ML'!H491))</f>
        <v>0</v>
      </c>
      <c r="I495" s="14">
        <f>IF('Pegar ML'!C490="Paquete de 2 productos",IF('Pegar ML'!O490="",0,'Pegar ML'!O490),IF('Pegar ML'!O491="",0,'Pegar ML'!O491))</f>
        <v>0</v>
      </c>
      <c r="J495" s="14">
        <f>IF('Pegar ML'!C490="Paquete de 2 productos",IF('Pegar ML'!O490="",0,'Pegar ML'!O490),IF('Pegar ML'!O491="",0,'Pegar ML'!O491))</f>
        <v>0</v>
      </c>
      <c r="K495" s="14">
        <f t="shared" si="23"/>
        <v>0</v>
      </c>
      <c r="L495" s="27">
        <f>IF('Pegar ML'!AB491=" ",'Pegar ML'!AB490,'Pegar ML'!AB491)</f>
        <v>0</v>
      </c>
      <c r="M495" s="27" t="str">
        <f>IF('Pegar ML'!AC491=" ",RIGHT('Pegar ML'!AC490,8),RIGHT('Pegar ML'!AC491,8))</f>
        <v/>
      </c>
      <c r="N495" s="27" t="s">
        <v>80</v>
      </c>
      <c r="O495" s="27">
        <f t="shared" si="21"/>
        <v>0</v>
      </c>
      <c r="P495" s="27" t="s">
        <v>80</v>
      </c>
      <c r="Q495" s="55">
        <f>IF('Pegar ML'!AD491=" ",'Pegar ML'!AD490,'Pegar ML'!AD491)</f>
        <v>0</v>
      </c>
      <c r="R495" s="27" t="s">
        <v>80</v>
      </c>
      <c r="S495" s="27" t="s">
        <v>80</v>
      </c>
      <c r="T495" s="27" t="s">
        <v>80</v>
      </c>
      <c r="U495" s="55">
        <f>IF('Pegar ML'!AI491=" ",'Pegar ML'!AI490,'Pegar ML'!AI491)</f>
        <v>0</v>
      </c>
      <c r="V495" s="55">
        <f>IF('Pegar ML'!AK491=" ",'Pegar ML'!AK490,'Pegar ML'!AK491)</f>
        <v>0</v>
      </c>
      <c r="W495" s="55">
        <f>IF('Pegar ML'!AJ491=" ",'Pegar ML'!AJ490,'Pegar ML'!AJ491)</f>
        <v>0</v>
      </c>
      <c r="X495" s="55">
        <f>IF('Pegar ML'!AL491=" ",'Pegar ML'!AL490,'Pegar ML'!AL491)</f>
        <v>0</v>
      </c>
      <c r="Y495" s="27"/>
      <c r="Z495" s="27"/>
      <c r="AA495" s="27"/>
      <c r="AB495" s="27"/>
      <c r="AC495" s="27"/>
      <c r="AD495" s="27"/>
      <c r="AF495" s="8"/>
      <c r="AG495" s="27"/>
      <c r="AH495" s="14">
        <f>+'Pegar ML'!Y491</f>
        <v>0</v>
      </c>
      <c r="AI495" s="13">
        <f t="shared" si="22"/>
        <v>1</v>
      </c>
      <c r="AJ495" s="7">
        <f>+'Pegar ML'!T491</f>
        <v>0</v>
      </c>
      <c r="AK495" s="27"/>
      <c r="AL495" s="27"/>
      <c r="AM495" s="27"/>
      <c r="AN495" s="27"/>
      <c r="AO495" s="27"/>
      <c r="AP495" s="27"/>
      <c r="AQ495" s="27"/>
      <c r="AR495" s="27"/>
      <c r="AS495" s="27">
        <v>17</v>
      </c>
    </row>
    <row r="496" spans="1:45" ht="15" customHeight="1" x14ac:dyDescent="0.25">
      <c r="A496" s="27">
        <f>IF('Pegar ML'!C491="Paquete de 2 productos",'Pegar ML'!A491,IF('Pegar ML'!C490="Paquete de 2 productos",'Pegar ML'!A490,'Pegar ML'!A492))</f>
        <v>0</v>
      </c>
      <c r="B496" s="27"/>
      <c r="C496" s="30" t="str">
        <f>IF(AjusteFecha!I492=0,"",AjusteFecha!I492)</f>
        <v/>
      </c>
      <c r="D496" s="27"/>
      <c r="E496" s="27"/>
      <c r="F496" s="27" t="str">
        <f>IF('Pegar ML'!C492="","",'Pegar ML'!C492)</f>
        <v/>
      </c>
      <c r="G496" s="27" t="str">
        <f>IF('Pegar ML'!G487="ARS","PS","PS")</f>
        <v>PS</v>
      </c>
      <c r="H496" s="14">
        <f>IF('Pegar ML'!C491="Paquete de 2 productos",IF('Pegar ML'!H491="",0,'Pegar ML'!H491),IF('Pegar ML'!H492="",0,'Pegar ML'!H492))</f>
        <v>0</v>
      </c>
      <c r="I496" s="14">
        <f>IF('Pegar ML'!C491="Paquete de 2 productos",IF('Pegar ML'!O491="",0,'Pegar ML'!O491),IF('Pegar ML'!O492="",0,'Pegar ML'!O492))</f>
        <v>0</v>
      </c>
      <c r="J496" s="14">
        <f>IF('Pegar ML'!C491="Paquete de 2 productos",IF('Pegar ML'!O491="",0,'Pegar ML'!O491),IF('Pegar ML'!O492="",0,'Pegar ML'!O492))</f>
        <v>0</v>
      </c>
      <c r="K496" s="14">
        <f t="shared" si="23"/>
        <v>0</v>
      </c>
      <c r="L496" s="27">
        <f>IF('Pegar ML'!AB492=" ",'Pegar ML'!AB491,'Pegar ML'!AB492)</f>
        <v>0</v>
      </c>
      <c r="M496" s="27" t="str">
        <f>IF('Pegar ML'!AC492=" ",RIGHT('Pegar ML'!AC491,8),RIGHT('Pegar ML'!AC492,8))</f>
        <v/>
      </c>
      <c r="N496" s="27" t="s">
        <v>80</v>
      </c>
      <c r="O496" s="27">
        <f t="shared" si="21"/>
        <v>0</v>
      </c>
      <c r="P496" s="27" t="s">
        <v>80</v>
      </c>
      <c r="Q496" s="55">
        <f>IF('Pegar ML'!AD492=" ",'Pegar ML'!AD491,'Pegar ML'!AD492)</f>
        <v>0</v>
      </c>
      <c r="R496" s="27" t="s">
        <v>80</v>
      </c>
      <c r="S496" s="27" t="s">
        <v>80</v>
      </c>
      <c r="T496" s="27" t="s">
        <v>80</v>
      </c>
      <c r="U496" s="55">
        <f>IF('Pegar ML'!AI492=" ",'Pegar ML'!AI491,'Pegar ML'!AI492)</f>
        <v>0</v>
      </c>
      <c r="V496" s="55">
        <f>IF('Pegar ML'!AK492=" ",'Pegar ML'!AK491,'Pegar ML'!AK492)</f>
        <v>0</v>
      </c>
      <c r="W496" s="55">
        <f>IF('Pegar ML'!AJ492=" ",'Pegar ML'!AJ491,'Pegar ML'!AJ492)</f>
        <v>0</v>
      </c>
      <c r="X496" s="55">
        <f>IF('Pegar ML'!AL492=" ",'Pegar ML'!AL491,'Pegar ML'!AL492)</f>
        <v>0</v>
      </c>
      <c r="Y496" s="27"/>
      <c r="Z496" s="27"/>
      <c r="AA496" s="27"/>
      <c r="AB496" s="27"/>
      <c r="AC496" s="27"/>
      <c r="AD496" s="27"/>
      <c r="AF496" s="8"/>
      <c r="AG496" s="27"/>
      <c r="AH496" s="14">
        <f>+'Pegar ML'!Y492</f>
        <v>0</v>
      </c>
      <c r="AI496" s="13">
        <f t="shared" si="22"/>
        <v>1</v>
      </c>
      <c r="AJ496" s="7">
        <f>+'Pegar ML'!T492</f>
        <v>0</v>
      </c>
      <c r="AK496" s="27"/>
      <c r="AL496" s="27"/>
      <c r="AM496" s="27"/>
      <c r="AN496" s="27"/>
      <c r="AO496" s="27"/>
      <c r="AP496" s="27"/>
      <c r="AQ496" s="27"/>
      <c r="AR496" s="27"/>
      <c r="AS496" s="27">
        <v>17</v>
      </c>
    </row>
    <row r="497" spans="1:45" ht="15" customHeight="1" x14ac:dyDescent="0.25">
      <c r="A497" s="27">
        <f>IF('Pegar ML'!C492="Paquete de 2 productos",'Pegar ML'!A492,IF('Pegar ML'!C491="Paquete de 2 productos",'Pegar ML'!A491,'Pegar ML'!A493))</f>
        <v>0</v>
      </c>
      <c r="B497" s="27"/>
      <c r="C497" s="30" t="str">
        <f>IF(AjusteFecha!I493=0,"",AjusteFecha!I493)</f>
        <v/>
      </c>
      <c r="D497" s="27"/>
      <c r="E497" s="27"/>
      <c r="F497" s="27" t="str">
        <f>IF('Pegar ML'!C493="","",'Pegar ML'!C493)</f>
        <v/>
      </c>
      <c r="G497" s="27" t="str">
        <f>IF('Pegar ML'!G488="ARS","PS","PS")</f>
        <v>PS</v>
      </c>
      <c r="H497" s="14">
        <f>IF('Pegar ML'!C492="Paquete de 2 productos",IF('Pegar ML'!H492="",0,'Pegar ML'!H492),IF('Pegar ML'!H493="",0,'Pegar ML'!H493))</f>
        <v>0</v>
      </c>
      <c r="I497" s="14">
        <f>IF('Pegar ML'!C492="Paquete de 2 productos",IF('Pegar ML'!O492="",0,'Pegar ML'!O492),IF('Pegar ML'!O493="",0,'Pegar ML'!O493))</f>
        <v>0</v>
      </c>
      <c r="J497" s="14">
        <f>IF('Pegar ML'!C492="Paquete de 2 productos",IF('Pegar ML'!O492="",0,'Pegar ML'!O492),IF('Pegar ML'!O493="",0,'Pegar ML'!O493))</f>
        <v>0</v>
      </c>
      <c r="K497" s="14">
        <f t="shared" si="23"/>
        <v>0</v>
      </c>
      <c r="L497" s="27">
        <f>IF('Pegar ML'!AB493=" ",'Pegar ML'!AB492,'Pegar ML'!AB493)</f>
        <v>0</v>
      </c>
      <c r="M497" s="27" t="str">
        <f>IF('Pegar ML'!AC493=" ",RIGHT('Pegar ML'!AC492,8),RIGHT('Pegar ML'!AC493,8))</f>
        <v/>
      </c>
      <c r="N497" s="27" t="s">
        <v>80</v>
      </c>
      <c r="O497" s="27">
        <f t="shared" si="21"/>
        <v>0</v>
      </c>
      <c r="P497" s="27" t="s">
        <v>80</v>
      </c>
      <c r="Q497" s="55">
        <f>IF('Pegar ML'!AD493=" ",'Pegar ML'!AD492,'Pegar ML'!AD493)</f>
        <v>0</v>
      </c>
      <c r="R497" s="27" t="s">
        <v>80</v>
      </c>
      <c r="S497" s="27" t="s">
        <v>80</v>
      </c>
      <c r="T497" s="27" t="s">
        <v>80</v>
      </c>
      <c r="U497" s="55">
        <f>IF('Pegar ML'!AI493=" ",'Pegar ML'!AI492,'Pegar ML'!AI493)</f>
        <v>0</v>
      </c>
      <c r="V497" s="55">
        <f>IF('Pegar ML'!AK493=" ",'Pegar ML'!AK492,'Pegar ML'!AK493)</f>
        <v>0</v>
      </c>
      <c r="W497" s="55">
        <f>IF('Pegar ML'!AJ493=" ",'Pegar ML'!AJ492,'Pegar ML'!AJ493)</f>
        <v>0</v>
      </c>
      <c r="X497" s="55">
        <f>IF('Pegar ML'!AL493=" ",'Pegar ML'!AL492,'Pegar ML'!AL493)</f>
        <v>0</v>
      </c>
      <c r="Y497" s="27"/>
      <c r="Z497" s="27"/>
      <c r="AA497" s="27"/>
      <c r="AB497" s="27"/>
      <c r="AC497" s="27"/>
      <c r="AD497" s="27"/>
      <c r="AF497" s="8"/>
      <c r="AG497" s="27"/>
      <c r="AH497" s="14">
        <f>+'Pegar ML'!Y493</f>
        <v>0</v>
      </c>
      <c r="AI497" s="13">
        <f t="shared" si="22"/>
        <v>1</v>
      </c>
      <c r="AJ497" s="7">
        <f>+'Pegar ML'!T493</f>
        <v>0</v>
      </c>
      <c r="AK497" s="27"/>
      <c r="AL497" s="27"/>
      <c r="AM497" s="27"/>
      <c r="AN497" s="27"/>
      <c r="AO497" s="27"/>
      <c r="AP497" s="27"/>
      <c r="AQ497" s="27"/>
      <c r="AR497" s="27"/>
      <c r="AS497" s="27">
        <v>17</v>
      </c>
    </row>
    <row r="498" spans="1:45" ht="15" customHeight="1" x14ac:dyDescent="0.25">
      <c r="A498" s="27">
        <f>IF('Pegar ML'!C493="Paquete de 2 productos",'Pegar ML'!A493,IF('Pegar ML'!C492="Paquete de 2 productos",'Pegar ML'!A492,'Pegar ML'!A494))</f>
        <v>0</v>
      </c>
      <c r="B498" s="27"/>
      <c r="C498" s="30" t="str">
        <f>IF(AjusteFecha!I494=0,"",AjusteFecha!I494)</f>
        <v/>
      </c>
      <c r="D498" s="27"/>
      <c r="E498" s="27"/>
      <c r="F498" s="27" t="str">
        <f>IF('Pegar ML'!C494="","",'Pegar ML'!C494)</f>
        <v/>
      </c>
      <c r="G498" s="27" t="str">
        <f>IF('Pegar ML'!G489="ARS","PS","PS")</f>
        <v>PS</v>
      </c>
      <c r="H498" s="14">
        <f>IF('Pegar ML'!C493="Paquete de 2 productos",IF('Pegar ML'!H493="",0,'Pegar ML'!H493),IF('Pegar ML'!H494="",0,'Pegar ML'!H494))</f>
        <v>0</v>
      </c>
      <c r="I498" s="14">
        <f>IF('Pegar ML'!C493="Paquete de 2 productos",IF('Pegar ML'!O493="",0,'Pegar ML'!O493),IF('Pegar ML'!O494="",0,'Pegar ML'!O494))</f>
        <v>0</v>
      </c>
      <c r="J498" s="14">
        <f>IF('Pegar ML'!C493="Paquete de 2 productos",IF('Pegar ML'!O493="",0,'Pegar ML'!O493),IF('Pegar ML'!O494="",0,'Pegar ML'!O494))</f>
        <v>0</v>
      </c>
      <c r="K498" s="14">
        <f t="shared" si="23"/>
        <v>0</v>
      </c>
      <c r="L498" s="27">
        <f>IF('Pegar ML'!AB494=" ",'Pegar ML'!AB493,'Pegar ML'!AB494)</f>
        <v>0</v>
      </c>
      <c r="M498" s="27" t="str">
        <f>IF('Pegar ML'!AC494=" ",RIGHT('Pegar ML'!AC493,8),RIGHT('Pegar ML'!AC494,8))</f>
        <v/>
      </c>
      <c r="N498" s="27" t="s">
        <v>80</v>
      </c>
      <c r="O498" s="27">
        <f t="shared" si="21"/>
        <v>0</v>
      </c>
      <c r="P498" s="27" t="s">
        <v>80</v>
      </c>
      <c r="Q498" s="55">
        <f>IF('Pegar ML'!AD494=" ",'Pegar ML'!AD493,'Pegar ML'!AD494)</f>
        <v>0</v>
      </c>
      <c r="R498" s="27" t="s">
        <v>80</v>
      </c>
      <c r="S498" s="27" t="s">
        <v>80</v>
      </c>
      <c r="T498" s="27" t="s">
        <v>80</v>
      </c>
      <c r="U498" s="55">
        <f>IF('Pegar ML'!AI494=" ",'Pegar ML'!AI493,'Pegar ML'!AI494)</f>
        <v>0</v>
      </c>
      <c r="V498" s="55">
        <f>IF('Pegar ML'!AK494=" ",'Pegar ML'!AK493,'Pegar ML'!AK494)</f>
        <v>0</v>
      </c>
      <c r="W498" s="55">
        <f>IF('Pegar ML'!AJ494=" ",'Pegar ML'!AJ493,'Pegar ML'!AJ494)</f>
        <v>0</v>
      </c>
      <c r="X498" s="55">
        <f>IF('Pegar ML'!AL494=" ",'Pegar ML'!AL493,'Pegar ML'!AL494)</f>
        <v>0</v>
      </c>
      <c r="Y498" s="27"/>
      <c r="Z498" s="27"/>
      <c r="AA498" s="27"/>
      <c r="AB498" s="27"/>
      <c r="AC498" s="27"/>
      <c r="AD498" s="27"/>
      <c r="AF498" s="8"/>
      <c r="AG498" s="27"/>
      <c r="AH498" s="14">
        <f>+'Pegar ML'!Y494</f>
        <v>0</v>
      </c>
      <c r="AI498" s="13">
        <f t="shared" si="22"/>
        <v>1</v>
      </c>
      <c r="AJ498" s="7">
        <f>+'Pegar ML'!T494</f>
        <v>0</v>
      </c>
      <c r="AK498" s="27"/>
      <c r="AL498" s="27"/>
      <c r="AM498" s="27"/>
      <c r="AN498" s="27"/>
      <c r="AO498" s="27"/>
      <c r="AP498" s="27"/>
      <c r="AQ498" s="27"/>
      <c r="AR498" s="27"/>
      <c r="AS498" s="27">
        <v>17</v>
      </c>
    </row>
    <row r="499" spans="1:45" ht="15" customHeight="1" x14ac:dyDescent="0.25">
      <c r="A499" s="27">
        <f>IF('Pegar ML'!C494="Paquete de 2 productos",'Pegar ML'!A494,IF('Pegar ML'!C493="Paquete de 2 productos",'Pegar ML'!A493,'Pegar ML'!A495))</f>
        <v>0</v>
      </c>
      <c r="B499" s="27"/>
      <c r="C499" s="30" t="str">
        <f>IF(AjusteFecha!I495=0,"",AjusteFecha!I495)</f>
        <v/>
      </c>
      <c r="D499" s="27"/>
      <c r="E499" s="27"/>
      <c r="F499" s="27" t="str">
        <f>IF('Pegar ML'!C495="","",'Pegar ML'!C495)</f>
        <v/>
      </c>
      <c r="G499" s="27" t="str">
        <f>IF('Pegar ML'!G490="ARS","PS","PS")</f>
        <v>PS</v>
      </c>
      <c r="H499" s="14">
        <f>IF('Pegar ML'!C494="Paquete de 2 productos",IF('Pegar ML'!H494="",0,'Pegar ML'!H494),IF('Pegar ML'!H495="",0,'Pegar ML'!H495))</f>
        <v>0</v>
      </c>
      <c r="I499" s="14">
        <f>IF('Pegar ML'!C494="Paquete de 2 productos",IF('Pegar ML'!O494="",0,'Pegar ML'!O494),IF('Pegar ML'!O495="",0,'Pegar ML'!O495))</f>
        <v>0</v>
      </c>
      <c r="J499" s="14">
        <f>IF('Pegar ML'!C494="Paquete de 2 productos",IF('Pegar ML'!O494="",0,'Pegar ML'!O494),IF('Pegar ML'!O495="",0,'Pegar ML'!O495))</f>
        <v>0</v>
      </c>
      <c r="K499" s="14">
        <f t="shared" si="23"/>
        <v>0</v>
      </c>
      <c r="L499" s="27">
        <f>IF('Pegar ML'!AB495=" ",'Pegar ML'!AB494,'Pegar ML'!AB495)</f>
        <v>0</v>
      </c>
      <c r="M499" s="27" t="str">
        <f>IF('Pegar ML'!AC495=" ",RIGHT('Pegar ML'!AC494,8),RIGHT('Pegar ML'!AC495,8))</f>
        <v/>
      </c>
      <c r="N499" s="27" t="s">
        <v>80</v>
      </c>
      <c r="O499" s="27">
        <f t="shared" si="21"/>
        <v>0</v>
      </c>
      <c r="P499" s="27" t="s">
        <v>80</v>
      </c>
      <c r="Q499" s="55">
        <f>IF('Pegar ML'!AD495=" ",'Pegar ML'!AD494,'Pegar ML'!AD495)</f>
        <v>0</v>
      </c>
      <c r="R499" s="27" t="s">
        <v>80</v>
      </c>
      <c r="S499" s="27" t="s">
        <v>80</v>
      </c>
      <c r="T499" s="27" t="s">
        <v>80</v>
      </c>
      <c r="U499" s="55">
        <f>IF('Pegar ML'!AI495=" ",'Pegar ML'!AI494,'Pegar ML'!AI495)</f>
        <v>0</v>
      </c>
      <c r="V499" s="55">
        <f>IF('Pegar ML'!AK495=" ",'Pegar ML'!AK494,'Pegar ML'!AK495)</f>
        <v>0</v>
      </c>
      <c r="W499" s="55">
        <f>IF('Pegar ML'!AJ495=" ",'Pegar ML'!AJ494,'Pegar ML'!AJ495)</f>
        <v>0</v>
      </c>
      <c r="X499" s="55">
        <f>IF('Pegar ML'!AL495=" ",'Pegar ML'!AL494,'Pegar ML'!AL495)</f>
        <v>0</v>
      </c>
      <c r="Y499" s="27"/>
      <c r="Z499" s="27"/>
      <c r="AA499" s="27"/>
      <c r="AB499" s="27"/>
      <c r="AC499" s="27"/>
      <c r="AD499" s="27"/>
      <c r="AF499" s="8"/>
      <c r="AG499" s="27"/>
      <c r="AH499" s="14">
        <f>+'Pegar ML'!Y495</f>
        <v>0</v>
      </c>
      <c r="AI499" s="13">
        <f t="shared" si="22"/>
        <v>1</v>
      </c>
      <c r="AJ499" s="7">
        <f>+'Pegar ML'!T495</f>
        <v>0</v>
      </c>
      <c r="AK499" s="27"/>
      <c r="AL499" s="27"/>
      <c r="AM499" s="27"/>
      <c r="AN499" s="27"/>
      <c r="AO499" s="27"/>
      <c r="AP499" s="27"/>
      <c r="AQ499" s="27"/>
      <c r="AR499" s="27"/>
      <c r="AS499" s="27">
        <v>17</v>
      </c>
    </row>
    <row r="500" spans="1:45" ht="15" customHeight="1" x14ac:dyDescent="0.25">
      <c r="A500" s="27">
        <f>IF('Pegar ML'!C495="Paquete de 2 productos",'Pegar ML'!A495,IF('Pegar ML'!C494="Paquete de 2 productos",'Pegar ML'!A494,'Pegar ML'!A496))</f>
        <v>0</v>
      </c>
      <c r="B500" s="27"/>
      <c r="C500" s="30" t="str">
        <f>IF(AjusteFecha!I496=0,"",AjusteFecha!I496)</f>
        <v/>
      </c>
      <c r="D500" s="27"/>
      <c r="E500" s="27"/>
      <c r="F500" s="27" t="str">
        <f>IF('Pegar ML'!C496="","",'Pegar ML'!C496)</f>
        <v/>
      </c>
      <c r="G500" s="27" t="str">
        <f>IF('Pegar ML'!G491="ARS","PS","PS")</f>
        <v>PS</v>
      </c>
      <c r="H500" s="14">
        <f>IF('Pegar ML'!C495="Paquete de 2 productos",IF('Pegar ML'!H495="",0,'Pegar ML'!H495),IF('Pegar ML'!H496="",0,'Pegar ML'!H496))</f>
        <v>0</v>
      </c>
      <c r="I500" s="14">
        <f>IF('Pegar ML'!C495="Paquete de 2 productos",IF('Pegar ML'!O495="",0,'Pegar ML'!O495),IF('Pegar ML'!O496="",0,'Pegar ML'!O496))</f>
        <v>0</v>
      </c>
      <c r="J500" s="14">
        <f>IF('Pegar ML'!C495="Paquete de 2 productos",IF('Pegar ML'!O495="",0,'Pegar ML'!O495),IF('Pegar ML'!O496="",0,'Pegar ML'!O496))</f>
        <v>0</v>
      </c>
      <c r="K500" s="14">
        <f t="shared" si="23"/>
        <v>0</v>
      </c>
      <c r="L500" s="27">
        <f>IF('Pegar ML'!AB496=" ",'Pegar ML'!AB495,'Pegar ML'!AB496)</f>
        <v>0</v>
      </c>
      <c r="M500" s="27" t="str">
        <f>IF('Pegar ML'!AC496=" ",RIGHT('Pegar ML'!AC495,8),RIGHT('Pegar ML'!AC496,8))</f>
        <v/>
      </c>
      <c r="N500" s="27" t="s">
        <v>80</v>
      </c>
      <c r="O500" s="27">
        <f t="shared" si="21"/>
        <v>0</v>
      </c>
      <c r="P500" s="27" t="s">
        <v>80</v>
      </c>
      <c r="Q500" s="55">
        <f>IF('Pegar ML'!AD496=" ",'Pegar ML'!AD495,'Pegar ML'!AD496)</f>
        <v>0</v>
      </c>
      <c r="R500" s="27" t="s">
        <v>80</v>
      </c>
      <c r="S500" s="27" t="s">
        <v>80</v>
      </c>
      <c r="T500" s="27" t="s">
        <v>80</v>
      </c>
      <c r="U500" s="55">
        <f>IF('Pegar ML'!AI496=" ",'Pegar ML'!AI495,'Pegar ML'!AI496)</f>
        <v>0</v>
      </c>
      <c r="V500" s="55">
        <f>IF('Pegar ML'!AK496=" ",'Pegar ML'!AK495,'Pegar ML'!AK496)</f>
        <v>0</v>
      </c>
      <c r="W500" s="55">
        <f>IF('Pegar ML'!AJ496=" ",'Pegar ML'!AJ495,'Pegar ML'!AJ496)</f>
        <v>0</v>
      </c>
      <c r="X500" s="55">
        <f>IF('Pegar ML'!AL496=" ",'Pegar ML'!AL495,'Pegar ML'!AL496)</f>
        <v>0</v>
      </c>
      <c r="Y500" s="27"/>
      <c r="Z500" s="27"/>
      <c r="AA500" s="27"/>
      <c r="AB500" s="27"/>
      <c r="AC500" s="27"/>
      <c r="AD500" s="27"/>
      <c r="AF500" s="8"/>
      <c r="AG500" s="27"/>
      <c r="AH500" s="14">
        <f>+'Pegar ML'!Y496</f>
        <v>0</v>
      </c>
      <c r="AI500" s="13">
        <f t="shared" si="22"/>
        <v>1</v>
      </c>
      <c r="AJ500" s="7">
        <f>+'Pegar ML'!T496</f>
        <v>0</v>
      </c>
      <c r="AK500" s="27"/>
      <c r="AL500" s="27"/>
      <c r="AM500" s="27"/>
      <c r="AN500" s="27"/>
      <c r="AO500" s="27"/>
      <c r="AP500" s="27"/>
      <c r="AQ500" s="27"/>
      <c r="AR500" s="27"/>
      <c r="AS500" s="27">
        <v>17</v>
      </c>
    </row>
    <row r="501" spans="1:45" ht="15" customHeight="1" x14ac:dyDescent="0.25">
      <c r="A501" s="27">
        <f>IF('Pegar ML'!C496="Paquete de 2 productos",'Pegar ML'!A496,IF('Pegar ML'!C495="Paquete de 2 productos",'Pegar ML'!A495,'Pegar ML'!A497))</f>
        <v>0</v>
      </c>
      <c r="B501" s="27"/>
      <c r="C501" s="30" t="str">
        <f>IF(AjusteFecha!I497=0,"",AjusteFecha!I497)</f>
        <v/>
      </c>
      <c r="D501" s="27"/>
      <c r="E501" s="27"/>
      <c r="F501" s="27" t="str">
        <f>IF('Pegar ML'!C497="","",'Pegar ML'!C497)</f>
        <v/>
      </c>
      <c r="G501" s="27" t="str">
        <f>IF('Pegar ML'!G492="ARS","PS","PS")</f>
        <v>PS</v>
      </c>
      <c r="H501" s="14">
        <f>IF('Pegar ML'!C496="Paquete de 2 productos",IF('Pegar ML'!H496="",0,'Pegar ML'!H496),IF('Pegar ML'!H497="",0,'Pegar ML'!H497))</f>
        <v>0</v>
      </c>
      <c r="I501" s="14">
        <f>IF('Pegar ML'!C496="Paquete de 2 productos",IF('Pegar ML'!O496="",0,'Pegar ML'!O496),IF('Pegar ML'!O497="",0,'Pegar ML'!O497))</f>
        <v>0</v>
      </c>
      <c r="J501" s="14">
        <f>IF('Pegar ML'!C496="Paquete de 2 productos",IF('Pegar ML'!O496="",0,'Pegar ML'!O496),IF('Pegar ML'!O497="",0,'Pegar ML'!O497))</f>
        <v>0</v>
      </c>
      <c r="K501" s="14">
        <f t="shared" si="23"/>
        <v>0</v>
      </c>
      <c r="L501" s="27">
        <f>IF('Pegar ML'!AB497=" ",'Pegar ML'!AB496,'Pegar ML'!AB497)</f>
        <v>0</v>
      </c>
      <c r="M501" s="27" t="str">
        <f>IF('Pegar ML'!AC497=" ",RIGHT('Pegar ML'!AC496,8),RIGHT('Pegar ML'!AC497,8))</f>
        <v/>
      </c>
      <c r="N501" s="27" t="s">
        <v>80</v>
      </c>
      <c r="O501" s="27">
        <f t="shared" si="21"/>
        <v>0</v>
      </c>
      <c r="P501" s="27" t="s">
        <v>80</v>
      </c>
      <c r="Q501" s="55">
        <f>IF('Pegar ML'!AD497=" ",'Pegar ML'!AD496,'Pegar ML'!AD497)</f>
        <v>0</v>
      </c>
      <c r="R501" s="27" t="s">
        <v>80</v>
      </c>
      <c r="S501" s="27" t="s">
        <v>80</v>
      </c>
      <c r="T501" s="27" t="s">
        <v>80</v>
      </c>
      <c r="U501" s="55">
        <f>IF('Pegar ML'!AI497=" ",'Pegar ML'!AI496,'Pegar ML'!AI497)</f>
        <v>0</v>
      </c>
      <c r="V501" s="55">
        <f>IF('Pegar ML'!AK497=" ",'Pegar ML'!AK496,'Pegar ML'!AK497)</f>
        <v>0</v>
      </c>
      <c r="W501" s="55">
        <f>IF('Pegar ML'!AJ497=" ",'Pegar ML'!AJ496,'Pegar ML'!AJ497)</f>
        <v>0</v>
      </c>
      <c r="X501" s="55">
        <f>IF('Pegar ML'!AL497=" ",'Pegar ML'!AL496,'Pegar ML'!AL497)</f>
        <v>0</v>
      </c>
      <c r="Y501" s="27"/>
      <c r="Z501" s="27"/>
      <c r="AA501" s="27"/>
      <c r="AB501" s="27"/>
      <c r="AC501" s="27"/>
      <c r="AD501" s="27"/>
      <c r="AF501" s="8"/>
      <c r="AG501" s="27"/>
      <c r="AH501" s="14">
        <f>+'Pegar ML'!Y497</f>
        <v>0</v>
      </c>
      <c r="AI501" s="13">
        <f t="shared" si="22"/>
        <v>1</v>
      </c>
      <c r="AJ501" s="7">
        <f>+'Pegar ML'!T497</f>
        <v>0</v>
      </c>
      <c r="AK501" s="27"/>
      <c r="AL501" s="27"/>
      <c r="AM501" s="27"/>
      <c r="AN501" s="27"/>
      <c r="AO501" s="27"/>
      <c r="AP501" s="27"/>
      <c r="AQ501" s="27"/>
      <c r="AR501" s="27"/>
      <c r="AS501" s="27">
        <v>17</v>
      </c>
    </row>
    <row r="502" spans="1:45" ht="15" customHeight="1" x14ac:dyDescent="0.25">
      <c r="A502" s="27">
        <f>IF('Pegar ML'!C497="Paquete de 2 productos",'Pegar ML'!A497,IF('Pegar ML'!C496="Paquete de 2 productos",'Pegar ML'!A496,'Pegar ML'!A498))</f>
        <v>0</v>
      </c>
      <c r="B502" s="27"/>
      <c r="C502" s="30" t="str">
        <f>IF(AjusteFecha!I498=0,"",AjusteFecha!I498)</f>
        <v/>
      </c>
      <c r="D502" s="27"/>
      <c r="E502" s="27"/>
      <c r="F502" s="27" t="str">
        <f>IF('Pegar ML'!C498="","",'Pegar ML'!C498)</f>
        <v/>
      </c>
      <c r="G502" s="27" t="str">
        <f>IF('Pegar ML'!G493="ARS","PS","PS")</f>
        <v>PS</v>
      </c>
      <c r="H502" s="14">
        <f>IF('Pegar ML'!C497="Paquete de 2 productos",IF('Pegar ML'!H497="",0,'Pegar ML'!H497),IF('Pegar ML'!H498="",0,'Pegar ML'!H498))</f>
        <v>0</v>
      </c>
      <c r="I502" s="14">
        <f>IF('Pegar ML'!C497="Paquete de 2 productos",IF('Pegar ML'!O497="",0,'Pegar ML'!O497),IF('Pegar ML'!O498="",0,'Pegar ML'!O498))</f>
        <v>0</v>
      </c>
      <c r="J502" s="14">
        <f>IF('Pegar ML'!C497="Paquete de 2 productos",IF('Pegar ML'!O497="",0,'Pegar ML'!O497),IF('Pegar ML'!O498="",0,'Pegar ML'!O498))</f>
        <v>0</v>
      </c>
      <c r="K502" s="14">
        <f t="shared" si="23"/>
        <v>0</v>
      </c>
      <c r="L502" s="27">
        <f>IF('Pegar ML'!AB498=" ",'Pegar ML'!AB497,'Pegar ML'!AB498)</f>
        <v>0</v>
      </c>
      <c r="M502" s="27" t="str">
        <f>IF('Pegar ML'!AC498=" ",RIGHT('Pegar ML'!AC497,8),RIGHT('Pegar ML'!AC498,8))</f>
        <v/>
      </c>
      <c r="N502" s="27" t="s">
        <v>80</v>
      </c>
      <c r="O502" s="27">
        <f t="shared" si="21"/>
        <v>0</v>
      </c>
      <c r="P502" s="27" t="s">
        <v>80</v>
      </c>
      <c r="Q502" s="55">
        <f>IF('Pegar ML'!AD498=" ",'Pegar ML'!AD497,'Pegar ML'!AD498)</f>
        <v>0</v>
      </c>
      <c r="R502" s="27" t="s">
        <v>80</v>
      </c>
      <c r="S502" s="27" t="s">
        <v>80</v>
      </c>
      <c r="T502" s="27" t="s">
        <v>80</v>
      </c>
      <c r="U502" s="55">
        <f>IF('Pegar ML'!AI498=" ",'Pegar ML'!AI497,'Pegar ML'!AI498)</f>
        <v>0</v>
      </c>
      <c r="V502" s="55">
        <f>IF('Pegar ML'!AK498=" ",'Pegar ML'!AK497,'Pegar ML'!AK498)</f>
        <v>0</v>
      </c>
      <c r="W502" s="55">
        <f>IF('Pegar ML'!AJ498=" ",'Pegar ML'!AJ497,'Pegar ML'!AJ498)</f>
        <v>0</v>
      </c>
      <c r="X502" s="55">
        <f>IF('Pegar ML'!AL498=" ",'Pegar ML'!AL497,'Pegar ML'!AL498)</f>
        <v>0</v>
      </c>
      <c r="Y502" s="27"/>
      <c r="Z502" s="27"/>
      <c r="AA502" s="27"/>
      <c r="AB502" s="27"/>
      <c r="AC502" s="27"/>
      <c r="AD502" s="27"/>
      <c r="AF502" s="8"/>
      <c r="AG502" s="27"/>
      <c r="AH502" s="14">
        <f>+'Pegar ML'!Y498</f>
        <v>0</v>
      </c>
      <c r="AI502" s="13">
        <f t="shared" si="22"/>
        <v>1</v>
      </c>
      <c r="AJ502" s="7">
        <f>+'Pegar ML'!T498</f>
        <v>0</v>
      </c>
      <c r="AK502" s="27"/>
      <c r="AL502" s="27"/>
      <c r="AM502" s="27"/>
      <c r="AN502" s="27"/>
      <c r="AO502" s="27"/>
      <c r="AP502" s="27"/>
      <c r="AQ502" s="27"/>
      <c r="AR502" s="27"/>
      <c r="AS502" s="27">
        <v>17</v>
      </c>
    </row>
    <row r="503" spans="1:45" ht="15" customHeight="1" x14ac:dyDescent="0.25">
      <c r="A503" s="27">
        <f>IF('Pegar ML'!C498="Paquete de 2 productos",'Pegar ML'!A498,IF('Pegar ML'!C497="Paquete de 2 productos",'Pegar ML'!A497,'Pegar ML'!A499))</f>
        <v>0</v>
      </c>
      <c r="B503" s="27"/>
      <c r="C503" s="30" t="str">
        <f>IF(AjusteFecha!I499=0,"",AjusteFecha!I499)</f>
        <v/>
      </c>
      <c r="D503" s="27"/>
      <c r="E503" s="27"/>
      <c r="F503" s="27" t="str">
        <f>IF('Pegar ML'!C499="","",'Pegar ML'!C499)</f>
        <v/>
      </c>
      <c r="G503" s="27" t="str">
        <f>IF('Pegar ML'!G494="ARS","PS","PS")</f>
        <v>PS</v>
      </c>
      <c r="H503" s="14">
        <f>IF('Pegar ML'!C498="Paquete de 2 productos",IF('Pegar ML'!H498="",0,'Pegar ML'!H498),IF('Pegar ML'!H499="",0,'Pegar ML'!H499))</f>
        <v>0</v>
      </c>
      <c r="I503" s="14">
        <f>IF('Pegar ML'!C498="Paquete de 2 productos",IF('Pegar ML'!O498="",0,'Pegar ML'!O498),IF('Pegar ML'!O499="",0,'Pegar ML'!O499))</f>
        <v>0</v>
      </c>
      <c r="J503" s="14">
        <f>IF('Pegar ML'!C498="Paquete de 2 productos",IF('Pegar ML'!O498="",0,'Pegar ML'!O498),IF('Pegar ML'!O499="",0,'Pegar ML'!O499))</f>
        <v>0</v>
      </c>
      <c r="K503" s="14">
        <f t="shared" si="23"/>
        <v>0</v>
      </c>
      <c r="L503" s="27">
        <f>IF('Pegar ML'!AB499=" ",'Pegar ML'!AB498,'Pegar ML'!AB499)</f>
        <v>0</v>
      </c>
      <c r="M503" s="27" t="str">
        <f>IF('Pegar ML'!AC499=" ",RIGHT('Pegar ML'!AC498,8),RIGHT('Pegar ML'!AC499,8))</f>
        <v/>
      </c>
      <c r="N503" s="27" t="s">
        <v>80</v>
      </c>
      <c r="O503" s="27">
        <f t="shared" si="21"/>
        <v>0</v>
      </c>
      <c r="P503" s="27" t="s">
        <v>80</v>
      </c>
      <c r="Q503" s="55">
        <f>IF('Pegar ML'!AD499=" ",'Pegar ML'!AD498,'Pegar ML'!AD499)</f>
        <v>0</v>
      </c>
      <c r="R503" s="27" t="s">
        <v>80</v>
      </c>
      <c r="S503" s="27" t="s">
        <v>80</v>
      </c>
      <c r="T503" s="27" t="s">
        <v>80</v>
      </c>
      <c r="U503" s="55">
        <f>IF('Pegar ML'!AI499=" ",'Pegar ML'!AI498,'Pegar ML'!AI499)</f>
        <v>0</v>
      </c>
      <c r="V503" s="55">
        <f>IF('Pegar ML'!AK499=" ",'Pegar ML'!AK498,'Pegar ML'!AK499)</f>
        <v>0</v>
      </c>
      <c r="W503" s="55">
        <f>IF('Pegar ML'!AJ499=" ",'Pegar ML'!AJ498,'Pegar ML'!AJ499)</f>
        <v>0</v>
      </c>
      <c r="X503" s="55">
        <f>IF('Pegar ML'!AL499=" ",'Pegar ML'!AL498,'Pegar ML'!AL499)</f>
        <v>0</v>
      </c>
      <c r="Y503" s="27"/>
      <c r="Z503" s="27"/>
      <c r="AA503" s="27"/>
      <c r="AB503" s="27"/>
      <c r="AC503" s="27"/>
      <c r="AD503" s="27"/>
      <c r="AF503" s="8"/>
      <c r="AG503" s="27"/>
      <c r="AH503" s="14">
        <f>+'Pegar ML'!Y499</f>
        <v>0</v>
      </c>
      <c r="AI503" s="13">
        <f t="shared" si="22"/>
        <v>1</v>
      </c>
      <c r="AJ503" s="7">
        <f>+'Pegar ML'!T499</f>
        <v>0</v>
      </c>
      <c r="AK503" s="27"/>
      <c r="AL503" s="27"/>
      <c r="AM503" s="27"/>
      <c r="AN503" s="27"/>
      <c r="AO503" s="27"/>
      <c r="AP503" s="27"/>
      <c r="AQ503" s="27"/>
      <c r="AR503" s="27"/>
      <c r="AS503" s="27">
        <v>17</v>
      </c>
    </row>
    <row r="504" spans="1:45" ht="15" customHeight="1" x14ac:dyDescent="0.25">
      <c r="A504" s="27">
        <f>IF('Pegar ML'!C499="Paquete de 2 productos",'Pegar ML'!A499,IF('Pegar ML'!C498="Paquete de 2 productos",'Pegar ML'!A498,'Pegar ML'!A500))</f>
        <v>0</v>
      </c>
      <c r="B504" s="27"/>
      <c r="C504" s="30" t="str">
        <f>IF(AjusteFecha!I500=0,"",AjusteFecha!I500)</f>
        <v/>
      </c>
      <c r="D504" s="27"/>
      <c r="E504" s="27"/>
      <c r="F504" s="27" t="str">
        <f>IF('Pegar ML'!C500="","",'Pegar ML'!C500)</f>
        <v/>
      </c>
      <c r="G504" s="27" t="str">
        <f>IF('Pegar ML'!G495="ARS","PS","PS")</f>
        <v>PS</v>
      </c>
      <c r="H504" s="14">
        <f>IF('Pegar ML'!C499="Paquete de 2 productos",IF('Pegar ML'!H499="",0,'Pegar ML'!H499),IF('Pegar ML'!H500="",0,'Pegar ML'!H500))</f>
        <v>0</v>
      </c>
      <c r="I504" s="14">
        <f>IF('Pegar ML'!C499="Paquete de 2 productos",IF('Pegar ML'!O499="",0,'Pegar ML'!O499),IF('Pegar ML'!O500="",0,'Pegar ML'!O500))</f>
        <v>0</v>
      </c>
      <c r="J504" s="14">
        <f>IF('Pegar ML'!C499="Paquete de 2 productos",IF('Pegar ML'!O499="",0,'Pegar ML'!O499),IF('Pegar ML'!O500="",0,'Pegar ML'!O500))</f>
        <v>0</v>
      </c>
      <c r="K504" s="14">
        <f t="shared" si="23"/>
        <v>0</v>
      </c>
      <c r="L504" s="27">
        <f>IF('Pegar ML'!AB500=" ",'Pegar ML'!AB499,'Pegar ML'!AB500)</f>
        <v>0</v>
      </c>
      <c r="M504" s="27" t="str">
        <f>IF('Pegar ML'!AC500=" ",RIGHT('Pegar ML'!AC499,8),RIGHT('Pegar ML'!AC500,8))</f>
        <v/>
      </c>
      <c r="N504" s="27" t="s">
        <v>80</v>
      </c>
      <c r="O504" s="27">
        <f t="shared" si="21"/>
        <v>0</v>
      </c>
      <c r="P504" s="27" t="s">
        <v>80</v>
      </c>
      <c r="Q504" s="55">
        <f>IF('Pegar ML'!AD500=" ",'Pegar ML'!AD499,'Pegar ML'!AD500)</f>
        <v>0</v>
      </c>
      <c r="R504" s="27" t="s">
        <v>80</v>
      </c>
      <c r="S504" s="27" t="s">
        <v>80</v>
      </c>
      <c r="T504" s="27" t="s">
        <v>80</v>
      </c>
      <c r="U504" s="55">
        <f>IF('Pegar ML'!AI500=" ",'Pegar ML'!AI499,'Pegar ML'!AI500)</f>
        <v>0</v>
      </c>
      <c r="V504" s="55">
        <f>IF('Pegar ML'!AK500=" ",'Pegar ML'!AK499,'Pegar ML'!AK500)</f>
        <v>0</v>
      </c>
      <c r="W504" s="55">
        <f>IF('Pegar ML'!AJ500=" ",'Pegar ML'!AJ499,'Pegar ML'!AJ500)</f>
        <v>0</v>
      </c>
      <c r="X504" s="55">
        <f>IF('Pegar ML'!AL500=" ",'Pegar ML'!AL499,'Pegar ML'!AL500)</f>
        <v>0</v>
      </c>
      <c r="Y504" s="27"/>
      <c r="Z504" s="27"/>
      <c r="AA504" s="27"/>
      <c r="AB504" s="27"/>
      <c r="AC504" s="27"/>
      <c r="AD504" s="27"/>
      <c r="AF504" s="8"/>
      <c r="AG504" s="27"/>
      <c r="AH504" s="14">
        <f>+'Pegar ML'!Y500</f>
        <v>0</v>
      </c>
      <c r="AI504" s="13">
        <f t="shared" si="22"/>
        <v>1</v>
      </c>
      <c r="AJ504" s="7">
        <f>+'Pegar ML'!T500</f>
        <v>0</v>
      </c>
      <c r="AK504" s="27"/>
      <c r="AL504" s="27"/>
      <c r="AM504" s="27"/>
      <c r="AN504" s="27"/>
      <c r="AO504" s="27"/>
      <c r="AP504" s="27"/>
      <c r="AQ504" s="27"/>
      <c r="AR504" s="27"/>
      <c r="AS504" s="27">
        <v>17</v>
      </c>
    </row>
    <row r="505" spans="1:45" ht="15" customHeight="1" x14ac:dyDescent="0.25">
      <c r="A505" s="27">
        <f>IF('Pegar ML'!C500="Paquete de 2 productos",'Pegar ML'!A500,IF('Pegar ML'!C499="Paquete de 2 productos",'Pegar ML'!A499,'Pegar ML'!A501))</f>
        <v>0</v>
      </c>
      <c r="B505" s="27"/>
      <c r="C505" s="30" t="str">
        <f>IF(AjusteFecha!I501=0,"",AjusteFecha!I501)</f>
        <v/>
      </c>
      <c r="D505" s="27"/>
      <c r="E505" s="27"/>
      <c r="F505" s="27" t="str">
        <f>IF('Pegar ML'!C501="","",'Pegar ML'!C501)</f>
        <v/>
      </c>
      <c r="G505" s="27" t="str">
        <f>IF('Pegar ML'!G496="ARS","PS","PS")</f>
        <v>PS</v>
      </c>
      <c r="H505" s="14">
        <f>IF('Pegar ML'!C500="Paquete de 2 productos",IF('Pegar ML'!H500="",0,'Pegar ML'!H500),IF('Pegar ML'!H501="",0,'Pegar ML'!H501))</f>
        <v>0</v>
      </c>
      <c r="I505" s="14">
        <f>IF('Pegar ML'!C500="Paquete de 2 productos",IF('Pegar ML'!O500="",0,'Pegar ML'!O500),IF('Pegar ML'!O501="",0,'Pegar ML'!O501))</f>
        <v>0</v>
      </c>
      <c r="J505" s="14">
        <f>IF('Pegar ML'!C500="Paquete de 2 productos",IF('Pegar ML'!O500="",0,'Pegar ML'!O500),IF('Pegar ML'!O501="",0,'Pegar ML'!O501))</f>
        <v>0</v>
      </c>
      <c r="K505" s="14">
        <f t="shared" si="23"/>
        <v>0</v>
      </c>
      <c r="L505" s="27">
        <f>IF('Pegar ML'!AB501=" ",'Pegar ML'!AB500,'Pegar ML'!AB501)</f>
        <v>0</v>
      </c>
      <c r="M505" s="27" t="str">
        <f>IF('Pegar ML'!AC501=" ",RIGHT('Pegar ML'!AC500,8),RIGHT('Pegar ML'!AC501,8))</f>
        <v/>
      </c>
      <c r="N505" s="27" t="s">
        <v>80</v>
      </c>
      <c r="O505" s="27">
        <f t="shared" si="21"/>
        <v>0</v>
      </c>
      <c r="P505" s="27" t="s">
        <v>80</v>
      </c>
      <c r="Q505" s="55">
        <f>IF('Pegar ML'!AD501=" ",'Pegar ML'!AD500,'Pegar ML'!AD501)</f>
        <v>0</v>
      </c>
      <c r="R505" s="27" t="s">
        <v>80</v>
      </c>
      <c r="S505" s="27" t="s">
        <v>80</v>
      </c>
      <c r="T505" s="27" t="s">
        <v>80</v>
      </c>
      <c r="U505" s="55">
        <f>IF('Pegar ML'!AI501=" ",'Pegar ML'!AI500,'Pegar ML'!AI501)</f>
        <v>0</v>
      </c>
      <c r="V505" s="55">
        <f>IF('Pegar ML'!AK501=" ",'Pegar ML'!AK500,'Pegar ML'!AK501)</f>
        <v>0</v>
      </c>
      <c r="W505" s="55">
        <f>IF('Pegar ML'!AJ501=" ",'Pegar ML'!AJ500,'Pegar ML'!AJ501)</f>
        <v>0</v>
      </c>
      <c r="X505" s="55">
        <f>IF('Pegar ML'!AL501=" ",'Pegar ML'!AL500,'Pegar ML'!AL501)</f>
        <v>0</v>
      </c>
      <c r="Y505" s="27"/>
      <c r="Z505" s="27"/>
      <c r="AA505" s="27"/>
      <c r="AB505" s="27"/>
      <c r="AC505" s="27"/>
      <c r="AD505" s="27"/>
      <c r="AF505" s="8"/>
      <c r="AG505" s="27"/>
      <c r="AH505" s="14">
        <f>+'Pegar ML'!Y501</f>
        <v>0</v>
      </c>
      <c r="AI505" s="13">
        <f t="shared" si="22"/>
        <v>1</v>
      </c>
      <c r="AJ505" s="7">
        <f>+'Pegar ML'!T501</f>
        <v>0</v>
      </c>
      <c r="AK505" s="27"/>
      <c r="AL505" s="27"/>
      <c r="AM505" s="27"/>
      <c r="AN505" s="27"/>
      <c r="AO505" s="27"/>
      <c r="AP505" s="27"/>
      <c r="AQ505" s="27"/>
      <c r="AR505" s="27"/>
      <c r="AS505" s="27">
        <v>17</v>
      </c>
    </row>
    <row r="506" spans="1:45" ht="15" customHeight="1" x14ac:dyDescent="0.25">
      <c r="A506" s="27">
        <f>IF('Pegar ML'!C501="Paquete de 2 productos",'Pegar ML'!A501,IF('Pegar ML'!C500="Paquete de 2 productos",'Pegar ML'!A500,'Pegar ML'!A502))</f>
        <v>0</v>
      </c>
      <c r="B506" s="27"/>
      <c r="C506" s="30" t="str">
        <f>IF(AjusteFecha!I502=0,"",AjusteFecha!I502)</f>
        <v/>
      </c>
      <c r="D506" s="27"/>
      <c r="E506" s="27"/>
      <c r="F506" s="27" t="str">
        <f>IF('Pegar ML'!C502="","",'Pegar ML'!C502)</f>
        <v/>
      </c>
      <c r="G506" s="27" t="str">
        <f>IF('Pegar ML'!G497="ARS","PS","PS")</f>
        <v>PS</v>
      </c>
      <c r="H506" s="14">
        <f>IF('Pegar ML'!C501="Paquete de 2 productos",IF('Pegar ML'!H501="",0,'Pegar ML'!H501),IF('Pegar ML'!H502="",0,'Pegar ML'!H502))</f>
        <v>0</v>
      </c>
      <c r="I506" s="14">
        <f>IF('Pegar ML'!C501="Paquete de 2 productos",IF('Pegar ML'!O501="",0,'Pegar ML'!O501),IF('Pegar ML'!O502="",0,'Pegar ML'!O502))</f>
        <v>0</v>
      </c>
      <c r="J506" s="14">
        <f>IF('Pegar ML'!C501="Paquete de 2 productos",IF('Pegar ML'!O501="",0,'Pegar ML'!O501),IF('Pegar ML'!O502="",0,'Pegar ML'!O502))</f>
        <v>0</v>
      </c>
      <c r="K506" s="14">
        <f t="shared" si="23"/>
        <v>0</v>
      </c>
      <c r="L506" s="27">
        <f>IF('Pegar ML'!AB502=" ",'Pegar ML'!AB501,'Pegar ML'!AB502)</f>
        <v>0</v>
      </c>
      <c r="M506" s="27" t="str">
        <f>IF('Pegar ML'!AC502=" ",RIGHT('Pegar ML'!AC501,8),RIGHT('Pegar ML'!AC502,8))</f>
        <v/>
      </c>
      <c r="N506" s="27" t="s">
        <v>80</v>
      </c>
      <c r="O506" s="27">
        <f t="shared" si="21"/>
        <v>0</v>
      </c>
      <c r="P506" s="27" t="s">
        <v>80</v>
      </c>
      <c r="Q506" s="55">
        <f>IF('Pegar ML'!AD502=" ",'Pegar ML'!AD501,'Pegar ML'!AD502)</f>
        <v>0</v>
      </c>
      <c r="R506" s="27" t="s">
        <v>80</v>
      </c>
      <c r="S506" s="27" t="s">
        <v>80</v>
      </c>
      <c r="T506" s="27" t="s">
        <v>80</v>
      </c>
      <c r="U506" s="55">
        <f>IF('Pegar ML'!AI502=" ",'Pegar ML'!AI501,'Pegar ML'!AI502)</f>
        <v>0</v>
      </c>
      <c r="V506" s="55">
        <f>IF('Pegar ML'!AK502=" ",'Pegar ML'!AK501,'Pegar ML'!AK502)</f>
        <v>0</v>
      </c>
      <c r="W506" s="55">
        <f>IF('Pegar ML'!AJ502=" ",'Pegar ML'!AJ501,'Pegar ML'!AJ502)</f>
        <v>0</v>
      </c>
      <c r="X506" s="55">
        <f>IF('Pegar ML'!AL502=" ",'Pegar ML'!AL501,'Pegar ML'!AL502)</f>
        <v>0</v>
      </c>
      <c r="Y506" s="27"/>
      <c r="Z506" s="27"/>
      <c r="AA506" s="27"/>
      <c r="AB506" s="27"/>
      <c r="AC506" s="27"/>
      <c r="AD506" s="27"/>
      <c r="AF506" s="8"/>
      <c r="AG506" s="27"/>
      <c r="AH506" s="14">
        <f>+'Pegar ML'!Y502</f>
        <v>0</v>
      </c>
      <c r="AI506" s="13">
        <f t="shared" si="22"/>
        <v>1</v>
      </c>
      <c r="AJ506" s="7">
        <f>+'Pegar ML'!T502</f>
        <v>0</v>
      </c>
      <c r="AK506" s="27"/>
      <c r="AL506" s="27"/>
      <c r="AM506" s="27"/>
      <c r="AN506" s="27"/>
      <c r="AO506" s="27"/>
      <c r="AP506" s="27"/>
      <c r="AQ506" s="27"/>
      <c r="AR506" s="27"/>
      <c r="AS506" s="27">
        <v>17</v>
      </c>
    </row>
    <row r="507" spans="1:45" ht="15" customHeight="1" x14ac:dyDescent="0.25">
      <c r="A507" s="27">
        <f>IF('Pegar ML'!C502="Paquete de 2 productos",'Pegar ML'!A502,IF('Pegar ML'!C501="Paquete de 2 productos",'Pegar ML'!A501,'Pegar ML'!A503))</f>
        <v>0</v>
      </c>
      <c r="B507" s="27"/>
      <c r="C507" s="30" t="str">
        <f>IF(AjusteFecha!I503=0,"",AjusteFecha!I503)</f>
        <v/>
      </c>
      <c r="D507" s="27"/>
      <c r="E507" s="27"/>
      <c r="F507" s="27" t="str">
        <f>IF('Pegar ML'!C503="","",'Pegar ML'!C503)</f>
        <v/>
      </c>
      <c r="G507" s="27" t="str">
        <f>IF('Pegar ML'!G498="ARS","PS","PS")</f>
        <v>PS</v>
      </c>
      <c r="H507" s="14">
        <f>IF('Pegar ML'!C502="Paquete de 2 productos",IF('Pegar ML'!H502="",0,'Pegar ML'!H502),IF('Pegar ML'!H503="",0,'Pegar ML'!H503))</f>
        <v>0</v>
      </c>
      <c r="I507" s="14">
        <f>IF('Pegar ML'!C502="Paquete de 2 productos",IF('Pegar ML'!O502="",0,'Pegar ML'!O502),IF('Pegar ML'!O503="",0,'Pegar ML'!O503))</f>
        <v>0</v>
      </c>
      <c r="J507" s="14">
        <f>IF('Pegar ML'!C502="Paquete de 2 productos",IF('Pegar ML'!O502="",0,'Pegar ML'!O502),IF('Pegar ML'!O503="",0,'Pegar ML'!O503))</f>
        <v>0</v>
      </c>
      <c r="K507" s="14">
        <f t="shared" si="23"/>
        <v>0</v>
      </c>
      <c r="L507" s="27">
        <f>IF('Pegar ML'!AB503=" ",'Pegar ML'!AB502,'Pegar ML'!AB503)</f>
        <v>0</v>
      </c>
      <c r="M507" s="27" t="str">
        <f>IF('Pegar ML'!AC503=" ",RIGHT('Pegar ML'!AC502,8),RIGHT('Pegar ML'!AC503,8))</f>
        <v/>
      </c>
      <c r="N507" s="27" t="s">
        <v>80</v>
      </c>
      <c r="O507" s="27">
        <f t="shared" si="21"/>
        <v>0</v>
      </c>
      <c r="P507" s="27" t="s">
        <v>80</v>
      </c>
      <c r="Q507" s="55">
        <f>IF('Pegar ML'!AD503=" ",'Pegar ML'!AD502,'Pegar ML'!AD503)</f>
        <v>0</v>
      </c>
      <c r="R507" s="27" t="s">
        <v>80</v>
      </c>
      <c r="S507" s="27" t="s">
        <v>80</v>
      </c>
      <c r="T507" s="27" t="s">
        <v>80</v>
      </c>
      <c r="U507" s="55">
        <f>IF('Pegar ML'!AI503=" ",'Pegar ML'!AI502,'Pegar ML'!AI503)</f>
        <v>0</v>
      </c>
      <c r="V507" s="55">
        <f>IF('Pegar ML'!AK503=" ",'Pegar ML'!AK502,'Pegar ML'!AK503)</f>
        <v>0</v>
      </c>
      <c r="W507" s="55">
        <f>IF('Pegar ML'!AJ503=" ",'Pegar ML'!AJ502,'Pegar ML'!AJ503)</f>
        <v>0</v>
      </c>
      <c r="X507" s="55">
        <f>IF('Pegar ML'!AL503=" ",'Pegar ML'!AL502,'Pegar ML'!AL503)</f>
        <v>0</v>
      </c>
      <c r="Y507" s="27"/>
      <c r="Z507" s="27"/>
      <c r="AA507" s="27"/>
      <c r="AB507" s="27"/>
      <c r="AC507" s="27"/>
      <c r="AD507" s="27"/>
      <c r="AF507" s="8"/>
      <c r="AG507" s="27"/>
      <c r="AH507" s="14">
        <f>+'Pegar ML'!Y503</f>
        <v>0</v>
      </c>
      <c r="AI507" s="13">
        <f t="shared" si="22"/>
        <v>1</v>
      </c>
      <c r="AJ507" s="7">
        <f>+'Pegar ML'!T503</f>
        <v>0</v>
      </c>
      <c r="AK507" s="27"/>
      <c r="AL507" s="27"/>
      <c r="AM507" s="27"/>
      <c r="AN507" s="27"/>
      <c r="AO507" s="27"/>
      <c r="AP507" s="27"/>
      <c r="AQ507" s="27"/>
      <c r="AR507" s="27"/>
      <c r="AS507" s="27">
        <v>17</v>
      </c>
    </row>
    <row r="508" spans="1:45" ht="15" customHeight="1" x14ac:dyDescent="0.25">
      <c r="A508" s="27">
        <f>IF('Pegar ML'!C503="Paquete de 2 productos",'Pegar ML'!A503,IF('Pegar ML'!C502="Paquete de 2 productos",'Pegar ML'!A502,'Pegar ML'!A504))</f>
        <v>0</v>
      </c>
      <c r="B508" s="27"/>
      <c r="C508" s="30" t="str">
        <f>IF(AjusteFecha!I504=0,"",AjusteFecha!I504)</f>
        <v/>
      </c>
      <c r="D508" s="27"/>
      <c r="E508" s="27"/>
      <c r="F508" s="27" t="str">
        <f>IF('Pegar ML'!C504="","",'Pegar ML'!C504)</f>
        <v/>
      </c>
      <c r="G508" s="27" t="str">
        <f>IF('Pegar ML'!G499="ARS","PS","PS")</f>
        <v>PS</v>
      </c>
      <c r="H508" s="14">
        <f>IF('Pegar ML'!C503="Paquete de 2 productos",IF('Pegar ML'!H503="",0,'Pegar ML'!H503),IF('Pegar ML'!H504="",0,'Pegar ML'!H504))</f>
        <v>0</v>
      </c>
      <c r="I508" s="14">
        <f>IF('Pegar ML'!C503="Paquete de 2 productos",IF('Pegar ML'!O503="",0,'Pegar ML'!O503),IF('Pegar ML'!O504="",0,'Pegar ML'!O504))</f>
        <v>0</v>
      </c>
      <c r="J508" s="14">
        <f>IF('Pegar ML'!C503="Paquete de 2 productos",IF('Pegar ML'!O503="",0,'Pegar ML'!O503),IF('Pegar ML'!O504="",0,'Pegar ML'!O504))</f>
        <v>0</v>
      </c>
      <c r="K508" s="14">
        <f t="shared" si="23"/>
        <v>0</v>
      </c>
      <c r="L508" s="27">
        <f>IF('Pegar ML'!AB504=" ",'Pegar ML'!AB503,'Pegar ML'!AB504)</f>
        <v>0</v>
      </c>
      <c r="M508" s="27" t="str">
        <f>IF('Pegar ML'!AC504=" ",RIGHT('Pegar ML'!AC503,8),RIGHT('Pegar ML'!AC504,8))</f>
        <v/>
      </c>
      <c r="N508" s="27" t="s">
        <v>80</v>
      </c>
      <c r="O508" s="27">
        <f t="shared" si="21"/>
        <v>0</v>
      </c>
      <c r="P508" s="27" t="s">
        <v>80</v>
      </c>
      <c r="Q508" s="55">
        <f>IF('Pegar ML'!AD504=" ",'Pegar ML'!AD503,'Pegar ML'!AD504)</f>
        <v>0</v>
      </c>
      <c r="R508" s="27" t="s">
        <v>80</v>
      </c>
      <c r="S508" s="27" t="s">
        <v>80</v>
      </c>
      <c r="T508" s="27" t="s">
        <v>80</v>
      </c>
      <c r="U508" s="55">
        <f>IF('Pegar ML'!AI504=" ",'Pegar ML'!AI503,'Pegar ML'!AI504)</f>
        <v>0</v>
      </c>
      <c r="V508" s="55">
        <f>IF('Pegar ML'!AK504=" ",'Pegar ML'!AK503,'Pegar ML'!AK504)</f>
        <v>0</v>
      </c>
      <c r="W508" s="55">
        <f>IF('Pegar ML'!AJ504=" ",'Pegar ML'!AJ503,'Pegar ML'!AJ504)</f>
        <v>0</v>
      </c>
      <c r="X508" s="55">
        <f>IF('Pegar ML'!AL504=" ",'Pegar ML'!AL503,'Pegar ML'!AL504)</f>
        <v>0</v>
      </c>
      <c r="Y508" s="27"/>
      <c r="Z508" s="27"/>
      <c r="AA508" s="27"/>
      <c r="AB508" s="27"/>
      <c r="AC508" s="27"/>
      <c r="AD508" s="27"/>
      <c r="AF508" s="8"/>
      <c r="AG508" s="27"/>
      <c r="AH508" s="14">
        <f>+'Pegar ML'!Y504</f>
        <v>0</v>
      </c>
      <c r="AI508" s="13">
        <f t="shared" si="22"/>
        <v>1</v>
      </c>
      <c r="AJ508" s="7">
        <f>+'Pegar ML'!T504</f>
        <v>0</v>
      </c>
      <c r="AK508" s="27"/>
      <c r="AL508" s="27"/>
      <c r="AM508" s="27"/>
      <c r="AN508" s="27"/>
      <c r="AO508" s="27"/>
      <c r="AP508" s="27"/>
      <c r="AQ508" s="27"/>
      <c r="AR508" s="27"/>
      <c r="AS508" s="27">
        <v>17</v>
      </c>
    </row>
    <row r="509" spans="1:45" ht="15" customHeight="1" x14ac:dyDescent="0.25">
      <c r="A509" s="27">
        <f>IF('Pegar ML'!C504="Paquete de 2 productos",'Pegar ML'!A504,IF('Pegar ML'!C503="Paquete de 2 productos",'Pegar ML'!A503,'Pegar ML'!A505))</f>
        <v>0</v>
      </c>
      <c r="B509" s="27"/>
      <c r="C509" s="30" t="str">
        <f>IF(AjusteFecha!I505=0,"",AjusteFecha!I505)</f>
        <v/>
      </c>
      <c r="D509" s="27"/>
      <c r="E509" s="27"/>
      <c r="F509" s="27" t="str">
        <f>IF('Pegar ML'!C505="","",'Pegar ML'!C505)</f>
        <v/>
      </c>
      <c r="G509" s="27" t="str">
        <f>IF('Pegar ML'!G500="ARS","PS","PS")</f>
        <v>PS</v>
      </c>
      <c r="H509" s="14">
        <f>IF('Pegar ML'!C504="Paquete de 2 productos",IF('Pegar ML'!H504="",0,'Pegar ML'!H504),IF('Pegar ML'!H505="",0,'Pegar ML'!H505))</f>
        <v>0</v>
      </c>
      <c r="I509" s="14">
        <f>IF('Pegar ML'!C504="Paquete de 2 productos",IF('Pegar ML'!O504="",0,'Pegar ML'!O504),IF('Pegar ML'!O505="",0,'Pegar ML'!O505))</f>
        <v>0</v>
      </c>
      <c r="J509" s="14">
        <f>IF('Pegar ML'!C504="Paquete de 2 productos",IF('Pegar ML'!O504="",0,'Pegar ML'!O504),IF('Pegar ML'!O505="",0,'Pegar ML'!O505))</f>
        <v>0</v>
      </c>
      <c r="K509" s="14">
        <f t="shared" si="23"/>
        <v>0</v>
      </c>
      <c r="L509" s="27">
        <f>IF('Pegar ML'!AB505=" ",'Pegar ML'!AB504,'Pegar ML'!AB505)</f>
        <v>0</v>
      </c>
      <c r="M509" s="27" t="str">
        <f>IF('Pegar ML'!AC505=" ",RIGHT('Pegar ML'!AC504,8),RIGHT('Pegar ML'!AC505,8))</f>
        <v/>
      </c>
      <c r="N509" s="27" t="s">
        <v>80</v>
      </c>
      <c r="O509" s="27">
        <f t="shared" si="21"/>
        <v>0</v>
      </c>
      <c r="P509" s="27" t="s">
        <v>80</v>
      </c>
      <c r="Q509" s="55">
        <f>IF('Pegar ML'!AD505=" ",'Pegar ML'!AD504,'Pegar ML'!AD505)</f>
        <v>0</v>
      </c>
      <c r="R509" s="27" t="s">
        <v>80</v>
      </c>
      <c r="S509" s="27" t="s">
        <v>80</v>
      </c>
      <c r="T509" s="27" t="s">
        <v>80</v>
      </c>
      <c r="U509" s="55">
        <f>IF('Pegar ML'!AI505=" ",'Pegar ML'!AI504,'Pegar ML'!AI505)</f>
        <v>0</v>
      </c>
      <c r="V509" s="55">
        <f>IF('Pegar ML'!AK505=" ",'Pegar ML'!AK504,'Pegar ML'!AK505)</f>
        <v>0</v>
      </c>
      <c r="W509" s="55">
        <f>IF('Pegar ML'!AJ505=" ",'Pegar ML'!AJ504,'Pegar ML'!AJ505)</f>
        <v>0</v>
      </c>
      <c r="X509" s="55">
        <f>IF('Pegar ML'!AL505=" ",'Pegar ML'!AL504,'Pegar ML'!AL505)</f>
        <v>0</v>
      </c>
      <c r="Y509" s="27"/>
      <c r="Z509" s="27"/>
      <c r="AA509" s="27"/>
      <c r="AB509" s="27"/>
      <c r="AC509" s="27"/>
      <c r="AD509" s="27"/>
      <c r="AF509" s="8"/>
      <c r="AG509" s="27"/>
      <c r="AH509" s="14">
        <f>+'Pegar ML'!Y505</f>
        <v>0</v>
      </c>
      <c r="AI509" s="13">
        <f t="shared" si="22"/>
        <v>1</v>
      </c>
      <c r="AJ509" s="7">
        <f>+'Pegar ML'!T505</f>
        <v>0</v>
      </c>
      <c r="AK509" s="27"/>
      <c r="AL509" s="27"/>
      <c r="AM509" s="27"/>
      <c r="AN509" s="27"/>
      <c r="AO509" s="27"/>
      <c r="AP509" s="27"/>
      <c r="AQ509" s="27"/>
      <c r="AR509" s="27"/>
      <c r="AS509" s="27">
        <v>17</v>
      </c>
    </row>
    <row r="510" spans="1:45" ht="15" customHeight="1" x14ac:dyDescent="0.25">
      <c r="A510" s="27">
        <f>IF('Pegar ML'!C505="Paquete de 2 productos",'Pegar ML'!A505,IF('Pegar ML'!C504="Paquete de 2 productos",'Pegar ML'!A504,'Pegar ML'!A506))</f>
        <v>0</v>
      </c>
      <c r="B510" s="27"/>
      <c r="C510" s="30" t="str">
        <f>IF(AjusteFecha!I506=0,"",AjusteFecha!I506)</f>
        <v/>
      </c>
      <c r="D510" s="27"/>
      <c r="E510" s="27"/>
      <c r="F510" s="27" t="str">
        <f>IF('Pegar ML'!C506="","",'Pegar ML'!C506)</f>
        <v/>
      </c>
      <c r="G510" s="27" t="str">
        <f>IF('Pegar ML'!G501="ARS","PS","PS")</f>
        <v>PS</v>
      </c>
      <c r="H510" s="14">
        <f>IF('Pegar ML'!C505="Paquete de 2 productos",IF('Pegar ML'!H505="",0,'Pegar ML'!H505),IF('Pegar ML'!H506="",0,'Pegar ML'!H506))</f>
        <v>0</v>
      </c>
      <c r="I510" s="14">
        <f>IF('Pegar ML'!C505="Paquete de 2 productos",IF('Pegar ML'!O505="",0,'Pegar ML'!O505),IF('Pegar ML'!O506="",0,'Pegar ML'!O506))</f>
        <v>0</v>
      </c>
      <c r="J510" s="14">
        <f>IF('Pegar ML'!C505="Paquete de 2 productos",IF('Pegar ML'!O505="",0,'Pegar ML'!O505),IF('Pegar ML'!O506="",0,'Pegar ML'!O506))</f>
        <v>0</v>
      </c>
      <c r="K510" s="14">
        <f t="shared" si="23"/>
        <v>0</v>
      </c>
      <c r="L510" s="27">
        <f>IF('Pegar ML'!AB506=" ",'Pegar ML'!AB505,'Pegar ML'!AB506)</f>
        <v>0</v>
      </c>
      <c r="M510" s="27" t="str">
        <f>IF('Pegar ML'!AC506=" ",RIGHT('Pegar ML'!AC505,8),RIGHT('Pegar ML'!AC506,8))</f>
        <v/>
      </c>
      <c r="N510" s="27" t="s">
        <v>80</v>
      </c>
      <c r="O510" s="27">
        <f t="shared" si="21"/>
        <v>0</v>
      </c>
      <c r="P510" s="27" t="s">
        <v>80</v>
      </c>
      <c r="Q510" s="55">
        <f>IF('Pegar ML'!AD506=" ",'Pegar ML'!AD505,'Pegar ML'!AD506)</f>
        <v>0</v>
      </c>
      <c r="R510" s="27" t="s">
        <v>80</v>
      </c>
      <c r="S510" s="27" t="s">
        <v>80</v>
      </c>
      <c r="T510" s="27" t="s">
        <v>80</v>
      </c>
      <c r="U510" s="55">
        <f>IF('Pegar ML'!AI506=" ",'Pegar ML'!AI505,'Pegar ML'!AI506)</f>
        <v>0</v>
      </c>
      <c r="V510" s="55">
        <f>IF('Pegar ML'!AK506=" ",'Pegar ML'!AK505,'Pegar ML'!AK506)</f>
        <v>0</v>
      </c>
      <c r="W510" s="55">
        <f>IF('Pegar ML'!AJ506=" ",'Pegar ML'!AJ505,'Pegar ML'!AJ506)</f>
        <v>0</v>
      </c>
      <c r="X510" s="55">
        <f>IF('Pegar ML'!AL506=" ",'Pegar ML'!AL505,'Pegar ML'!AL506)</f>
        <v>0</v>
      </c>
      <c r="Y510" s="27"/>
      <c r="Z510" s="27"/>
      <c r="AA510" s="27"/>
      <c r="AB510" s="27"/>
      <c r="AC510" s="27"/>
      <c r="AD510" s="27"/>
      <c r="AF510" s="8"/>
      <c r="AG510" s="27"/>
      <c r="AH510" s="14">
        <f>+'Pegar ML'!Y506</f>
        <v>0</v>
      </c>
      <c r="AI510" s="13">
        <f t="shared" si="22"/>
        <v>1</v>
      </c>
      <c r="AJ510" s="7">
        <f>+'Pegar ML'!T506</f>
        <v>0</v>
      </c>
      <c r="AK510" s="27"/>
      <c r="AL510" s="27"/>
      <c r="AM510" s="27"/>
      <c r="AN510" s="27"/>
      <c r="AO510" s="27"/>
      <c r="AP510" s="27"/>
      <c r="AQ510" s="27"/>
      <c r="AR510" s="27"/>
      <c r="AS510" s="27">
        <v>17</v>
      </c>
    </row>
    <row r="511" spans="1:45" ht="15" customHeight="1" x14ac:dyDescent="0.25">
      <c r="A511" s="27">
        <f>IF('Pegar ML'!C506="Paquete de 2 productos",'Pegar ML'!A506,IF('Pegar ML'!C505="Paquete de 2 productos",'Pegar ML'!A505,'Pegar ML'!A507))</f>
        <v>0</v>
      </c>
      <c r="B511" s="27"/>
      <c r="C511" s="30" t="str">
        <f>IF(AjusteFecha!I507=0,"",AjusteFecha!I507)</f>
        <v/>
      </c>
      <c r="D511" s="27"/>
      <c r="E511" s="27"/>
      <c r="F511" s="27" t="str">
        <f>IF('Pegar ML'!C507="","",'Pegar ML'!C507)</f>
        <v/>
      </c>
      <c r="G511" s="27" t="str">
        <f>IF('Pegar ML'!G502="ARS","PS","PS")</f>
        <v>PS</v>
      </c>
      <c r="H511" s="14">
        <f>IF('Pegar ML'!C506="Paquete de 2 productos",IF('Pegar ML'!H506="",0,'Pegar ML'!H506),IF('Pegar ML'!H507="",0,'Pegar ML'!H507))</f>
        <v>0</v>
      </c>
      <c r="I511" s="14">
        <f>IF('Pegar ML'!C506="Paquete de 2 productos",IF('Pegar ML'!O506="",0,'Pegar ML'!O506),IF('Pegar ML'!O507="",0,'Pegar ML'!O507))</f>
        <v>0</v>
      </c>
      <c r="J511" s="14">
        <f>IF('Pegar ML'!C506="Paquete de 2 productos",IF('Pegar ML'!O506="",0,'Pegar ML'!O506),IF('Pegar ML'!O507="",0,'Pegar ML'!O507))</f>
        <v>0</v>
      </c>
      <c r="K511" s="14">
        <f t="shared" si="23"/>
        <v>0</v>
      </c>
      <c r="L511" s="27">
        <f>IF('Pegar ML'!AB507=" ",'Pegar ML'!AB506,'Pegar ML'!AB507)</f>
        <v>0</v>
      </c>
      <c r="M511" s="27" t="str">
        <f>IF('Pegar ML'!AC507=" ",RIGHT('Pegar ML'!AC506,8),RIGHT('Pegar ML'!AC507,8))</f>
        <v/>
      </c>
      <c r="N511" s="27" t="s">
        <v>80</v>
      </c>
      <c r="O511" s="27">
        <f t="shared" si="21"/>
        <v>0</v>
      </c>
      <c r="P511" s="27" t="s">
        <v>80</v>
      </c>
      <c r="Q511" s="55">
        <f>IF('Pegar ML'!AD507=" ",'Pegar ML'!AD506,'Pegar ML'!AD507)</f>
        <v>0</v>
      </c>
      <c r="R511" s="27" t="s">
        <v>80</v>
      </c>
      <c r="S511" s="27" t="s">
        <v>80</v>
      </c>
      <c r="T511" s="27" t="s">
        <v>80</v>
      </c>
      <c r="U511" s="55">
        <f>IF('Pegar ML'!AI507=" ",'Pegar ML'!AI506,'Pegar ML'!AI507)</f>
        <v>0</v>
      </c>
      <c r="V511" s="55">
        <f>IF('Pegar ML'!AK507=" ",'Pegar ML'!AK506,'Pegar ML'!AK507)</f>
        <v>0</v>
      </c>
      <c r="W511" s="55">
        <f>IF('Pegar ML'!AJ507=" ",'Pegar ML'!AJ506,'Pegar ML'!AJ507)</f>
        <v>0</v>
      </c>
      <c r="X511" s="55">
        <f>IF('Pegar ML'!AL507=" ",'Pegar ML'!AL506,'Pegar ML'!AL507)</f>
        <v>0</v>
      </c>
      <c r="Y511" s="27"/>
      <c r="Z511" s="27"/>
      <c r="AA511" s="27"/>
      <c r="AB511" s="27"/>
      <c r="AC511" s="27"/>
      <c r="AD511" s="27"/>
      <c r="AF511" s="8"/>
      <c r="AG511" s="27"/>
      <c r="AH511" s="14">
        <f>+'Pegar ML'!Y507</f>
        <v>0</v>
      </c>
      <c r="AI511" s="13">
        <f t="shared" si="22"/>
        <v>1</v>
      </c>
      <c r="AJ511" s="7">
        <f>+'Pegar ML'!T507</f>
        <v>0</v>
      </c>
      <c r="AK511" s="27"/>
      <c r="AL511" s="27"/>
      <c r="AM511" s="27"/>
      <c r="AN511" s="27"/>
      <c r="AO511" s="27"/>
      <c r="AP511" s="27"/>
      <c r="AQ511" s="27"/>
      <c r="AR511" s="27"/>
      <c r="AS511" s="27">
        <v>17</v>
      </c>
    </row>
    <row r="512" spans="1:45" ht="15" customHeight="1" x14ac:dyDescent="0.25">
      <c r="A512" s="27">
        <f>IF('Pegar ML'!C507="Paquete de 2 productos",'Pegar ML'!A507,IF('Pegar ML'!C506="Paquete de 2 productos",'Pegar ML'!A506,'Pegar ML'!A508))</f>
        <v>0</v>
      </c>
      <c r="B512" s="27"/>
      <c r="C512" s="30" t="str">
        <f>IF(AjusteFecha!I508=0,"",AjusteFecha!I508)</f>
        <v/>
      </c>
      <c r="D512" s="27"/>
      <c r="E512" s="27"/>
      <c r="F512" s="27" t="str">
        <f>IF('Pegar ML'!C508="","",'Pegar ML'!C508)</f>
        <v/>
      </c>
      <c r="G512" s="27" t="str">
        <f>IF('Pegar ML'!G503="ARS","PS","PS")</f>
        <v>PS</v>
      </c>
      <c r="H512" s="14">
        <f>IF('Pegar ML'!C507="Paquete de 2 productos",IF('Pegar ML'!H507="",0,'Pegar ML'!H507),IF('Pegar ML'!H508="",0,'Pegar ML'!H508))</f>
        <v>0</v>
      </c>
      <c r="I512" s="14">
        <f>IF('Pegar ML'!C507="Paquete de 2 productos",IF('Pegar ML'!O507="",0,'Pegar ML'!O507),IF('Pegar ML'!O508="",0,'Pegar ML'!O508))</f>
        <v>0</v>
      </c>
      <c r="J512" s="14">
        <f>IF('Pegar ML'!C507="Paquete de 2 productos",IF('Pegar ML'!O507="",0,'Pegar ML'!O507),IF('Pegar ML'!O508="",0,'Pegar ML'!O508))</f>
        <v>0</v>
      </c>
      <c r="K512" s="14">
        <f t="shared" si="23"/>
        <v>0</v>
      </c>
      <c r="L512" s="27">
        <f>IF('Pegar ML'!AB508=" ",'Pegar ML'!AB507,'Pegar ML'!AB508)</f>
        <v>0</v>
      </c>
      <c r="M512" s="27" t="str">
        <f>IF('Pegar ML'!AC508=" ",RIGHT('Pegar ML'!AC507,8),RIGHT('Pegar ML'!AC508,8))</f>
        <v/>
      </c>
      <c r="N512" s="27" t="s">
        <v>80</v>
      </c>
      <c r="O512" s="27">
        <f t="shared" si="21"/>
        <v>0</v>
      </c>
      <c r="P512" s="27" t="s">
        <v>80</v>
      </c>
      <c r="Q512" s="55">
        <f>IF('Pegar ML'!AD508=" ",'Pegar ML'!AD507,'Pegar ML'!AD508)</f>
        <v>0</v>
      </c>
      <c r="R512" s="27" t="s">
        <v>80</v>
      </c>
      <c r="S512" s="27" t="s">
        <v>80</v>
      </c>
      <c r="T512" s="27" t="s">
        <v>80</v>
      </c>
      <c r="U512" s="55">
        <f>IF('Pegar ML'!AI508=" ",'Pegar ML'!AI507,'Pegar ML'!AI508)</f>
        <v>0</v>
      </c>
      <c r="V512" s="55">
        <f>IF('Pegar ML'!AK508=" ",'Pegar ML'!AK507,'Pegar ML'!AK508)</f>
        <v>0</v>
      </c>
      <c r="W512" s="55">
        <f>IF('Pegar ML'!AJ508=" ",'Pegar ML'!AJ507,'Pegar ML'!AJ508)</f>
        <v>0</v>
      </c>
      <c r="X512" s="55">
        <f>IF('Pegar ML'!AL508=" ",'Pegar ML'!AL507,'Pegar ML'!AL508)</f>
        <v>0</v>
      </c>
      <c r="Y512" s="27"/>
      <c r="Z512" s="27"/>
      <c r="AA512" s="27"/>
      <c r="AB512" s="27"/>
      <c r="AC512" s="27"/>
      <c r="AD512" s="27"/>
      <c r="AF512" s="8"/>
      <c r="AG512" s="27"/>
      <c r="AH512" s="14">
        <f>+'Pegar ML'!Y508</f>
        <v>0</v>
      </c>
      <c r="AI512" s="13">
        <f t="shared" si="22"/>
        <v>1</v>
      </c>
      <c r="AJ512" s="7">
        <f>+'Pegar ML'!T508</f>
        <v>0</v>
      </c>
      <c r="AK512" s="27"/>
      <c r="AL512" s="27"/>
      <c r="AM512" s="27"/>
      <c r="AN512" s="27"/>
      <c r="AO512" s="27"/>
      <c r="AP512" s="27"/>
      <c r="AQ512" s="27"/>
      <c r="AR512" s="27"/>
      <c r="AS512" s="27">
        <v>17</v>
      </c>
    </row>
    <row r="513" spans="1:45" ht="15" customHeight="1" x14ac:dyDescent="0.25">
      <c r="A513" s="27">
        <f>IF('Pegar ML'!C508="Paquete de 2 productos",'Pegar ML'!A508,IF('Pegar ML'!C507="Paquete de 2 productos",'Pegar ML'!A507,'Pegar ML'!A509))</f>
        <v>0</v>
      </c>
      <c r="B513" s="27"/>
      <c r="C513" s="30" t="str">
        <f>IF(AjusteFecha!I509=0,"",AjusteFecha!I509)</f>
        <v/>
      </c>
      <c r="D513" s="27"/>
      <c r="E513" s="27"/>
      <c r="F513" s="27" t="str">
        <f>IF('Pegar ML'!C509="","",'Pegar ML'!C509)</f>
        <v/>
      </c>
      <c r="G513" s="27" t="str">
        <f>IF('Pegar ML'!G504="ARS","PS","PS")</f>
        <v>PS</v>
      </c>
      <c r="H513" s="14">
        <f>IF('Pegar ML'!C508="Paquete de 2 productos",IF('Pegar ML'!H508="",0,'Pegar ML'!H508),IF('Pegar ML'!H509="",0,'Pegar ML'!H509))</f>
        <v>0</v>
      </c>
      <c r="I513" s="14">
        <f>IF('Pegar ML'!C508="Paquete de 2 productos",IF('Pegar ML'!O508="",0,'Pegar ML'!O508),IF('Pegar ML'!O509="",0,'Pegar ML'!O509))</f>
        <v>0</v>
      </c>
      <c r="J513" s="14">
        <f>IF('Pegar ML'!C508="Paquete de 2 productos",IF('Pegar ML'!O508="",0,'Pegar ML'!O508),IF('Pegar ML'!O509="",0,'Pegar ML'!O509))</f>
        <v>0</v>
      </c>
      <c r="K513" s="14">
        <f t="shared" si="23"/>
        <v>0</v>
      </c>
      <c r="L513" s="27">
        <f>IF('Pegar ML'!AB509=" ",'Pegar ML'!AB508,'Pegar ML'!AB509)</f>
        <v>0</v>
      </c>
      <c r="M513" s="27" t="str">
        <f>IF('Pegar ML'!AC509=" ",RIGHT('Pegar ML'!AC508,8),RIGHT('Pegar ML'!AC509,8))</f>
        <v/>
      </c>
      <c r="N513" s="27" t="s">
        <v>80</v>
      </c>
      <c r="O513" s="27">
        <f t="shared" si="21"/>
        <v>0</v>
      </c>
      <c r="P513" s="27" t="s">
        <v>80</v>
      </c>
      <c r="Q513" s="55">
        <f>IF('Pegar ML'!AD509=" ",'Pegar ML'!AD508,'Pegar ML'!AD509)</f>
        <v>0</v>
      </c>
      <c r="R513" s="27" t="s">
        <v>80</v>
      </c>
      <c r="S513" s="27" t="s">
        <v>80</v>
      </c>
      <c r="T513" s="27" t="s">
        <v>80</v>
      </c>
      <c r="U513" s="55">
        <f>IF('Pegar ML'!AI509=" ",'Pegar ML'!AI508,'Pegar ML'!AI509)</f>
        <v>0</v>
      </c>
      <c r="V513" s="55">
        <f>IF('Pegar ML'!AK509=" ",'Pegar ML'!AK508,'Pegar ML'!AK509)</f>
        <v>0</v>
      </c>
      <c r="W513" s="55">
        <f>IF('Pegar ML'!AJ509=" ",'Pegar ML'!AJ508,'Pegar ML'!AJ509)</f>
        <v>0</v>
      </c>
      <c r="X513" s="55">
        <f>IF('Pegar ML'!AL509=" ",'Pegar ML'!AL508,'Pegar ML'!AL509)</f>
        <v>0</v>
      </c>
      <c r="Y513" s="27"/>
      <c r="Z513" s="27"/>
      <c r="AA513" s="27"/>
      <c r="AB513" s="27"/>
      <c r="AC513" s="27"/>
      <c r="AD513" s="27"/>
      <c r="AF513" s="8"/>
      <c r="AG513" s="27"/>
      <c r="AH513" s="14">
        <f>+'Pegar ML'!Y509</f>
        <v>0</v>
      </c>
      <c r="AI513" s="13">
        <f t="shared" si="22"/>
        <v>1</v>
      </c>
      <c r="AJ513" s="7">
        <f>+'Pegar ML'!T509</f>
        <v>0</v>
      </c>
      <c r="AK513" s="27"/>
      <c r="AL513" s="27"/>
      <c r="AM513" s="27"/>
      <c r="AN513" s="27"/>
      <c r="AO513" s="27"/>
      <c r="AP513" s="27"/>
      <c r="AQ513" s="27"/>
      <c r="AR513" s="27"/>
      <c r="AS513" s="27">
        <v>17</v>
      </c>
    </row>
    <row r="514" spans="1:45" ht="15" customHeight="1" x14ac:dyDescent="0.25">
      <c r="A514" s="27">
        <f>IF('Pegar ML'!C509="Paquete de 2 productos",'Pegar ML'!A509,IF('Pegar ML'!C508="Paquete de 2 productos",'Pegar ML'!A508,'Pegar ML'!A510))</f>
        <v>0</v>
      </c>
      <c r="B514" s="27"/>
      <c r="C514" s="30" t="str">
        <f>IF(AjusteFecha!I510=0,"",AjusteFecha!I510)</f>
        <v/>
      </c>
      <c r="D514" s="27"/>
      <c r="E514" s="27"/>
      <c r="F514" s="27" t="str">
        <f>IF('Pegar ML'!C510="","",'Pegar ML'!C510)</f>
        <v/>
      </c>
      <c r="G514" s="27" t="str">
        <f>IF('Pegar ML'!G505="ARS","PS","PS")</f>
        <v>PS</v>
      </c>
      <c r="H514" s="14">
        <f>IF('Pegar ML'!C509="Paquete de 2 productos",IF('Pegar ML'!H509="",0,'Pegar ML'!H509),IF('Pegar ML'!H510="",0,'Pegar ML'!H510))</f>
        <v>0</v>
      </c>
      <c r="I514" s="14">
        <f>IF('Pegar ML'!C509="Paquete de 2 productos",IF('Pegar ML'!O509="",0,'Pegar ML'!O509),IF('Pegar ML'!O510="",0,'Pegar ML'!O510))</f>
        <v>0</v>
      </c>
      <c r="J514" s="14">
        <f>IF('Pegar ML'!C509="Paquete de 2 productos",IF('Pegar ML'!O509="",0,'Pegar ML'!O509),IF('Pegar ML'!O510="",0,'Pegar ML'!O510))</f>
        <v>0</v>
      </c>
      <c r="K514" s="14">
        <f t="shared" si="23"/>
        <v>0</v>
      </c>
      <c r="L514" s="27">
        <f>IF('Pegar ML'!AB510=" ",'Pegar ML'!AB509,'Pegar ML'!AB510)</f>
        <v>0</v>
      </c>
      <c r="M514" s="27" t="str">
        <f>IF('Pegar ML'!AC510=" ",RIGHT('Pegar ML'!AC509,8),RIGHT('Pegar ML'!AC510,8))</f>
        <v/>
      </c>
      <c r="N514" s="27" t="s">
        <v>80</v>
      </c>
      <c r="O514" s="27">
        <f t="shared" si="21"/>
        <v>0</v>
      </c>
      <c r="P514" s="27" t="s">
        <v>80</v>
      </c>
      <c r="Q514" s="55">
        <f>IF('Pegar ML'!AD510=" ",'Pegar ML'!AD509,'Pegar ML'!AD510)</f>
        <v>0</v>
      </c>
      <c r="R514" s="27" t="s">
        <v>80</v>
      </c>
      <c r="S514" s="27" t="s">
        <v>80</v>
      </c>
      <c r="T514" s="27" t="s">
        <v>80</v>
      </c>
      <c r="U514" s="55">
        <f>IF('Pegar ML'!AI510=" ",'Pegar ML'!AI509,'Pegar ML'!AI510)</f>
        <v>0</v>
      </c>
      <c r="V514" s="55">
        <f>IF('Pegar ML'!AK510=" ",'Pegar ML'!AK509,'Pegar ML'!AK510)</f>
        <v>0</v>
      </c>
      <c r="W514" s="55">
        <f>IF('Pegar ML'!AJ510=" ",'Pegar ML'!AJ509,'Pegar ML'!AJ510)</f>
        <v>0</v>
      </c>
      <c r="X514" s="55">
        <f>IF('Pegar ML'!AL510=" ",'Pegar ML'!AL509,'Pegar ML'!AL510)</f>
        <v>0</v>
      </c>
      <c r="Y514" s="27"/>
      <c r="Z514" s="27"/>
      <c r="AA514" s="27"/>
      <c r="AB514" s="27"/>
      <c r="AC514" s="27"/>
      <c r="AD514" s="27"/>
      <c r="AF514" s="8"/>
      <c r="AG514" s="27"/>
      <c r="AH514" s="14">
        <f>+'Pegar ML'!Y510</f>
        <v>0</v>
      </c>
      <c r="AI514" s="13">
        <f t="shared" si="22"/>
        <v>1</v>
      </c>
      <c r="AJ514" s="7">
        <f>+'Pegar ML'!T510</f>
        <v>0</v>
      </c>
      <c r="AK514" s="27"/>
      <c r="AL514" s="27"/>
      <c r="AM514" s="27"/>
      <c r="AN514" s="27"/>
      <c r="AO514" s="27"/>
      <c r="AP514" s="27"/>
      <c r="AQ514" s="27"/>
      <c r="AR514" s="27"/>
      <c r="AS514" s="27">
        <v>17</v>
      </c>
    </row>
    <row r="515" spans="1:45" ht="15" customHeight="1" x14ac:dyDescent="0.25">
      <c r="A515" s="27">
        <f>IF('Pegar ML'!C510="Paquete de 2 productos",'Pegar ML'!A510,IF('Pegar ML'!C509="Paquete de 2 productos",'Pegar ML'!A509,'Pegar ML'!A511))</f>
        <v>0</v>
      </c>
      <c r="B515" s="27"/>
      <c r="C515" s="30" t="str">
        <f>IF(AjusteFecha!I511=0,"",AjusteFecha!I511)</f>
        <v/>
      </c>
      <c r="D515" s="27"/>
      <c r="E515" s="27"/>
      <c r="F515" s="27" t="str">
        <f>IF('Pegar ML'!C511="","",'Pegar ML'!C511)</f>
        <v/>
      </c>
      <c r="G515" s="27" t="str">
        <f>IF('Pegar ML'!G506="ARS","PS","PS")</f>
        <v>PS</v>
      </c>
      <c r="H515" s="14">
        <f>IF('Pegar ML'!C510="Paquete de 2 productos",IF('Pegar ML'!H510="",0,'Pegar ML'!H510),IF('Pegar ML'!H511="",0,'Pegar ML'!H511))</f>
        <v>0</v>
      </c>
      <c r="I515" s="14">
        <f>IF('Pegar ML'!C510="Paquete de 2 productos",IF('Pegar ML'!O510="",0,'Pegar ML'!O510),IF('Pegar ML'!O511="",0,'Pegar ML'!O511))</f>
        <v>0</v>
      </c>
      <c r="J515" s="14">
        <f>IF('Pegar ML'!C510="Paquete de 2 productos",IF('Pegar ML'!O510="",0,'Pegar ML'!O510),IF('Pegar ML'!O511="",0,'Pegar ML'!O511))</f>
        <v>0</v>
      </c>
      <c r="K515" s="14">
        <f t="shared" si="23"/>
        <v>0</v>
      </c>
      <c r="L515" s="27">
        <f>IF('Pegar ML'!AB511=" ",'Pegar ML'!AB510,'Pegar ML'!AB511)</f>
        <v>0</v>
      </c>
      <c r="M515" s="27" t="str">
        <f>IF('Pegar ML'!AC511=" ",RIGHT('Pegar ML'!AC510,8),RIGHT('Pegar ML'!AC511,8))</f>
        <v/>
      </c>
      <c r="N515" s="27" t="s">
        <v>80</v>
      </c>
      <c r="O515" s="27">
        <f t="shared" si="21"/>
        <v>0</v>
      </c>
      <c r="P515" s="27" t="s">
        <v>80</v>
      </c>
      <c r="Q515" s="55">
        <f>IF('Pegar ML'!AD511=" ",'Pegar ML'!AD510,'Pegar ML'!AD511)</f>
        <v>0</v>
      </c>
      <c r="R515" s="27" t="s">
        <v>80</v>
      </c>
      <c r="S515" s="27" t="s">
        <v>80</v>
      </c>
      <c r="T515" s="27" t="s">
        <v>80</v>
      </c>
      <c r="U515" s="55">
        <f>IF('Pegar ML'!AI511=" ",'Pegar ML'!AI510,'Pegar ML'!AI511)</f>
        <v>0</v>
      </c>
      <c r="V515" s="55">
        <f>IF('Pegar ML'!AK511=" ",'Pegar ML'!AK510,'Pegar ML'!AK511)</f>
        <v>0</v>
      </c>
      <c r="W515" s="55">
        <f>IF('Pegar ML'!AJ511=" ",'Pegar ML'!AJ510,'Pegar ML'!AJ511)</f>
        <v>0</v>
      </c>
      <c r="X515" s="55">
        <f>IF('Pegar ML'!AL511=" ",'Pegar ML'!AL510,'Pegar ML'!AL511)</f>
        <v>0</v>
      </c>
      <c r="Y515" s="27"/>
      <c r="Z515" s="27"/>
      <c r="AA515" s="27"/>
      <c r="AB515" s="27"/>
      <c r="AC515" s="27"/>
      <c r="AD515" s="27"/>
      <c r="AF515" s="8"/>
      <c r="AG515" s="27"/>
      <c r="AH515" s="14">
        <f>+'Pegar ML'!Y511</f>
        <v>0</v>
      </c>
      <c r="AI515" s="13">
        <f t="shared" si="22"/>
        <v>1</v>
      </c>
      <c r="AJ515" s="7">
        <f>+'Pegar ML'!T511</f>
        <v>0</v>
      </c>
      <c r="AK515" s="27"/>
      <c r="AL515" s="27"/>
      <c r="AM515" s="27"/>
      <c r="AN515" s="27"/>
      <c r="AO515" s="27"/>
      <c r="AP515" s="27"/>
      <c r="AQ515" s="27"/>
      <c r="AR515" s="27"/>
      <c r="AS515" s="27">
        <v>17</v>
      </c>
    </row>
    <row r="516" spans="1:45" ht="15" customHeight="1" x14ac:dyDescent="0.25">
      <c r="A516" s="27">
        <f>IF('Pegar ML'!C511="Paquete de 2 productos",'Pegar ML'!A511,IF('Pegar ML'!C510="Paquete de 2 productos",'Pegar ML'!A510,'Pegar ML'!A512))</f>
        <v>0</v>
      </c>
      <c r="B516" s="27"/>
      <c r="C516" s="30" t="str">
        <f>IF(AjusteFecha!I512=0,"",AjusteFecha!I512)</f>
        <v/>
      </c>
      <c r="D516" s="27"/>
      <c r="E516" s="27"/>
      <c r="F516" s="27" t="str">
        <f>IF('Pegar ML'!C512="","",'Pegar ML'!C512)</f>
        <v/>
      </c>
      <c r="G516" s="27" t="str">
        <f>IF('Pegar ML'!G507="ARS","PS","PS")</f>
        <v>PS</v>
      </c>
      <c r="H516" s="14">
        <f>IF('Pegar ML'!C511="Paquete de 2 productos",IF('Pegar ML'!H511="",0,'Pegar ML'!H511),IF('Pegar ML'!H512="",0,'Pegar ML'!H512))</f>
        <v>0</v>
      </c>
      <c r="I516" s="14">
        <f>IF('Pegar ML'!C511="Paquete de 2 productos",IF('Pegar ML'!O511="",0,'Pegar ML'!O511),IF('Pegar ML'!O512="",0,'Pegar ML'!O512))</f>
        <v>0</v>
      </c>
      <c r="J516" s="14">
        <f>IF('Pegar ML'!C511="Paquete de 2 productos",IF('Pegar ML'!O511="",0,'Pegar ML'!O511),IF('Pegar ML'!O512="",0,'Pegar ML'!O512))</f>
        <v>0</v>
      </c>
      <c r="K516" s="14">
        <f t="shared" si="23"/>
        <v>0</v>
      </c>
      <c r="L516" s="27">
        <f>IF('Pegar ML'!AB512=" ",'Pegar ML'!AB511,'Pegar ML'!AB512)</f>
        <v>0</v>
      </c>
      <c r="M516" s="27" t="str">
        <f>IF('Pegar ML'!AC512=" ",RIGHT('Pegar ML'!AC511,8),RIGHT('Pegar ML'!AC512,8))</f>
        <v/>
      </c>
      <c r="N516" s="27" t="s">
        <v>80</v>
      </c>
      <c r="O516" s="27">
        <f t="shared" si="21"/>
        <v>0</v>
      </c>
      <c r="P516" s="27" t="s">
        <v>80</v>
      </c>
      <c r="Q516" s="55">
        <f>IF('Pegar ML'!AD512=" ",'Pegar ML'!AD511,'Pegar ML'!AD512)</f>
        <v>0</v>
      </c>
      <c r="R516" s="27" t="s">
        <v>80</v>
      </c>
      <c r="S516" s="27" t="s">
        <v>80</v>
      </c>
      <c r="T516" s="27" t="s">
        <v>80</v>
      </c>
      <c r="U516" s="55">
        <f>IF('Pegar ML'!AI512=" ",'Pegar ML'!AI511,'Pegar ML'!AI512)</f>
        <v>0</v>
      </c>
      <c r="V516" s="55">
        <f>IF('Pegar ML'!AK512=" ",'Pegar ML'!AK511,'Pegar ML'!AK512)</f>
        <v>0</v>
      </c>
      <c r="W516" s="55">
        <f>IF('Pegar ML'!AJ512=" ",'Pegar ML'!AJ511,'Pegar ML'!AJ512)</f>
        <v>0</v>
      </c>
      <c r="X516" s="55">
        <f>IF('Pegar ML'!AL512=" ",'Pegar ML'!AL511,'Pegar ML'!AL512)</f>
        <v>0</v>
      </c>
      <c r="Y516" s="27"/>
      <c r="Z516" s="27"/>
      <c r="AA516" s="27"/>
      <c r="AB516" s="27"/>
      <c r="AC516" s="27"/>
      <c r="AD516" s="27"/>
      <c r="AF516" s="8"/>
      <c r="AG516" s="27"/>
      <c r="AH516" s="14">
        <f>+'Pegar ML'!Y512</f>
        <v>0</v>
      </c>
      <c r="AI516" s="13">
        <f t="shared" si="22"/>
        <v>1</v>
      </c>
      <c r="AJ516" s="7">
        <f>+'Pegar ML'!T512</f>
        <v>0</v>
      </c>
      <c r="AK516" s="27"/>
      <c r="AL516" s="27"/>
      <c r="AM516" s="27"/>
      <c r="AN516" s="27"/>
      <c r="AO516" s="27"/>
      <c r="AP516" s="27"/>
      <c r="AQ516" s="27"/>
      <c r="AR516" s="27"/>
      <c r="AS516" s="27">
        <v>17</v>
      </c>
    </row>
    <row r="517" spans="1:45" ht="15" customHeight="1" x14ac:dyDescent="0.25">
      <c r="A517" s="27">
        <f>IF('Pegar ML'!C512="Paquete de 2 productos",'Pegar ML'!A512,IF('Pegar ML'!C511="Paquete de 2 productos",'Pegar ML'!A511,'Pegar ML'!A513))</f>
        <v>0</v>
      </c>
      <c r="B517" s="27"/>
      <c r="C517" s="30" t="str">
        <f>IF(AjusteFecha!I513=0,"",AjusteFecha!I513)</f>
        <v/>
      </c>
      <c r="D517" s="27"/>
      <c r="E517" s="27"/>
      <c r="F517" s="27" t="str">
        <f>IF('Pegar ML'!C513="","",'Pegar ML'!C513)</f>
        <v/>
      </c>
      <c r="G517" s="27" t="str">
        <f>IF('Pegar ML'!G508="ARS","PS","PS")</f>
        <v>PS</v>
      </c>
      <c r="H517" s="14">
        <f>IF('Pegar ML'!C512="Paquete de 2 productos",IF('Pegar ML'!H512="",0,'Pegar ML'!H512),IF('Pegar ML'!H513="",0,'Pegar ML'!H513))</f>
        <v>0</v>
      </c>
      <c r="I517" s="14">
        <f>IF('Pegar ML'!C512="Paquete de 2 productos",IF('Pegar ML'!O512="",0,'Pegar ML'!O512),IF('Pegar ML'!O513="",0,'Pegar ML'!O513))</f>
        <v>0</v>
      </c>
      <c r="J517" s="14">
        <f>IF('Pegar ML'!C512="Paquete de 2 productos",IF('Pegar ML'!O512="",0,'Pegar ML'!O512),IF('Pegar ML'!O513="",0,'Pegar ML'!O513))</f>
        <v>0</v>
      </c>
      <c r="K517" s="14">
        <f t="shared" si="23"/>
        <v>0</v>
      </c>
      <c r="L517" s="27">
        <f>IF('Pegar ML'!AB513=" ",'Pegar ML'!AB512,'Pegar ML'!AB513)</f>
        <v>0</v>
      </c>
      <c r="M517" s="27" t="str">
        <f>IF('Pegar ML'!AC513=" ",RIGHT('Pegar ML'!AC512,8),RIGHT('Pegar ML'!AC513,8))</f>
        <v/>
      </c>
      <c r="N517" s="27" t="s">
        <v>80</v>
      </c>
      <c r="O517" s="27">
        <f t="shared" si="21"/>
        <v>0</v>
      </c>
      <c r="P517" s="27" t="s">
        <v>80</v>
      </c>
      <c r="Q517" s="55">
        <f>IF('Pegar ML'!AD513=" ",'Pegar ML'!AD512,'Pegar ML'!AD513)</f>
        <v>0</v>
      </c>
      <c r="R517" s="27" t="s">
        <v>80</v>
      </c>
      <c r="S517" s="27" t="s">
        <v>80</v>
      </c>
      <c r="T517" s="27" t="s">
        <v>80</v>
      </c>
      <c r="U517" s="55">
        <f>IF('Pegar ML'!AI513=" ",'Pegar ML'!AI512,'Pegar ML'!AI513)</f>
        <v>0</v>
      </c>
      <c r="V517" s="55">
        <f>IF('Pegar ML'!AK513=" ",'Pegar ML'!AK512,'Pegar ML'!AK513)</f>
        <v>0</v>
      </c>
      <c r="W517" s="55">
        <f>IF('Pegar ML'!AJ513=" ",'Pegar ML'!AJ512,'Pegar ML'!AJ513)</f>
        <v>0</v>
      </c>
      <c r="X517" s="55">
        <f>IF('Pegar ML'!AL513=" ",'Pegar ML'!AL512,'Pegar ML'!AL513)</f>
        <v>0</v>
      </c>
      <c r="Y517" s="27"/>
      <c r="Z517" s="27"/>
      <c r="AA517" s="27"/>
      <c r="AB517" s="27"/>
      <c r="AC517" s="27"/>
      <c r="AD517" s="27"/>
      <c r="AF517" s="8"/>
      <c r="AG517" s="27"/>
      <c r="AH517" s="14">
        <f>+'Pegar ML'!Y513</f>
        <v>0</v>
      </c>
      <c r="AI517" s="13">
        <f t="shared" si="22"/>
        <v>1</v>
      </c>
      <c r="AJ517" s="7">
        <f>+'Pegar ML'!T513</f>
        <v>0</v>
      </c>
      <c r="AK517" s="27"/>
      <c r="AL517" s="27"/>
      <c r="AM517" s="27"/>
      <c r="AN517" s="27"/>
      <c r="AO517" s="27"/>
      <c r="AP517" s="27"/>
      <c r="AQ517" s="27"/>
      <c r="AR517" s="27"/>
      <c r="AS517" s="27">
        <v>17</v>
      </c>
    </row>
    <row r="518" spans="1:45" ht="15" customHeight="1" x14ac:dyDescent="0.25">
      <c r="A518" s="27">
        <f>IF('Pegar ML'!C513="Paquete de 2 productos",'Pegar ML'!A513,IF('Pegar ML'!C512="Paquete de 2 productos",'Pegar ML'!A512,'Pegar ML'!A514))</f>
        <v>0</v>
      </c>
      <c r="B518" s="27"/>
      <c r="C518" s="30" t="str">
        <f>IF(AjusteFecha!I514=0,"",AjusteFecha!I514)</f>
        <v/>
      </c>
      <c r="D518" s="27"/>
      <c r="E518" s="27"/>
      <c r="F518" s="27" t="str">
        <f>IF('Pegar ML'!C514="","",'Pegar ML'!C514)</f>
        <v/>
      </c>
      <c r="G518" s="27" t="str">
        <f>IF('Pegar ML'!G509="ARS","PS","PS")</f>
        <v>PS</v>
      </c>
      <c r="H518" s="14">
        <f>IF('Pegar ML'!C513="Paquete de 2 productos",IF('Pegar ML'!H513="",0,'Pegar ML'!H513),IF('Pegar ML'!H514="",0,'Pegar ML'!H514))</f>
        <v>0</v>
      </c>
      <c r="I518" s="14">
        <f>IF('Pegar ML'!C513="Paquete de 2 productos",IF('Pegar ML'!O513="",0,'Pegar ML'!O513),IF('Pegar ML'!O514="",0,'Pegar ML'!O514))</f>
        <v>0</v>
      </c>
      <c r="J518" s="14">
        <f>IF('Pegar ML'!C513="Paquete de 2 productos",IF('Pegar ML'!O513="",0,'Pegar ML'!O513),IF('Pegar ML'!O514="",0,'Pegar ML'!O514))</f>
        <v>0</v>
      </c>
      <c r="K518" s="14">
        <f t="shared" si="23"/>
        <v>0</v>
      </c>
      <c r="L518" s="27">
        <f>IF('Pegar ML'!AB514=" ",'Pegar ML'!AB513,'Pegar ML'!AB514)</f>
        <v>0</v>
      </c>
      <c r="M518" s="27" t="str">
        <f>IF('Pegar ML'!AC514=" ",RIGHT('Pegar ML'!AC513,8),RIGHT('Pegar ML'!AC514,8))</f>
        <v/>
      </c>
      <c r="N518" s="27" t="s">
        <v>80</v>
      </c>
      <c r="O518" s="27">
        <f t="shared" si="21"/>
        <v>0</v>
      </c>
      <c r="P518" s="27" t="s">
        <v>80</v>
      </c>
      <c r="Q518" s="55">
        <f>IF('Pegar ML'!AD514=" ",'Pegar ML'!AD513,'Pegar ML'!AD514)</f>
        <v>0</v>
      </c>
      <c r="R518" s="27" t="s">
        <v>80</v>
      </c>
      <c r="S518" s="27" t="s">
        <v>80</v>
      </c>
      <c r="T518" s="27" t="s">
        <v>80</v>
      </c>
      <c r="U518" s="55">
        <f>IF('Pegar ML'!AI514=" ",'Pegar ML'!AI513,'Pegar ML'!AI514)</f>
        <v>0</v>
      </c>
      <c r="V518" s="55">
        <f>IF('Pegar ML'!AK514=" ",'Pegar ML'!AK513,'Pegar ML'!AK514)</f>
        <v>0</v>
      </c>
      <c r="W518" s="55">
        <f>IF('Pegar ML'!AJ514=" ",'Pegar ML'!AJ513,'Pegar ML'!AJ514)</f>
        <v>0</v>
      </c>
      <c r="X518" s="55">
        <f>IF('Pegar ML'!AL514=" ",'Pegar ML'!AL513,'Pegar ML'!AL514)</f>
        <v>0</v>
      </c>
      <c r="Y518" s="27"/>
      <c r="Z518" s="27"/>
      <c r="AA518" s="27"/>
      <c r="AB518" s="27"/>
      <c r="AC518" s="27"/>
      <c r="AD518" s="27"/>
      <c r="AF518" s="8"/>
      <c r="AG518" s="27"/>
      <c r="AH518" s="14">
        <f>+'Pegar ML'!Y514</f>
        <v>0</v>
      </c>
      <c r="AI518" s="13">
        <f t="shared" si="22"/>
        <v>1</v>
      </c>
      <c r="AJ518" s="7">
        <f>+'Pegar ML'!T514</f>
        <v>0</v>
      </c>
      <c r="AK518" s="27"/>
      <c r="AL518" s="27"/>
      <c r="AM518" s="27"/>
      <c r="AN518" s="27"/>
      <c r="AO518" s="27"/>
      <c r="AP518" s="27"/>
      <c r="AQ518" s="27"/>
      <c r="AR518" s="27"/>
      <c r="AS518" s="27">
        <v>17</v>
      </c>
    </row>
    <row r="519" spans="1:45" ht="15" customHeight="1" x14ac:dyDescent="0.25">
      <c r="A519" s="27">
        <f>IF('Pegar ML'!C514="Paquete de 2 productos",'Pegar ML'!A514,IF('Pegar ML'!C513="Paquete de 2 productos",'Pegar ML'!A513,'Pegar ML'!A515))</f>
        <v>0</v>
      </c>
      <c r="B519" s="27"/>
      <c r="C519" s="30" t="str">
        <f>IF(AjusteFecha!I515=0,"",AjusteFecha!I515)</f>
        <v/>
      </c>
      <c r="D519" s="27"/>
      <c r="E519" s="27"/>
      <c r="F519" s="27" t="str">
        <f>IF('Pegar ML'!C515="","",'Pegar ML'!C515)</f>
        <v/>
      </c>
      <c r="G519" s="27" t="str">
        <f>IF('Pegar ML'!G510="ARS","PS","PS")</f>
        <v>PS</v>
      </c>
      <c r="H519" s="14">
        <f>IF('Pegar ML'!C514="Paquete de 2 productos",IF('Pegar ML'!H514="",0,'Pegar ML'!H514),IF('Pegar ML'!H515="",0,'Pegar ML'!H515))</f>
        <v>0</v>
      </c>
      <c r="I519" s="14">
        <f>IF('Pegar ML'!C514="Paquete de 2 productos",IF('Pegar ML'!O514="",0,'Pegar ML'!O514),IF('Pegar ML'!O515="",0,'Pegar ML'!O515))</f>
        <v>0</v>
      </c>
      <c r="J519" s="14">
        <f>IF('Pegar ML'!C514="Paquete de 2 productos",IF('Pegar ML'!O514="",0,'Pegar ML'!O514),IF('Pegar ML'!O515="",0,'Pegar ML'!O515))</f>
        <v>0</v>
      </c>
      <c r="K519" s="14">
        <f t="shared" si="23"/>
        <v>0</v>
      </c>
      <c r="L519" s="27">
        <f>IF('Pegar ML'!AB515=" ",'Pegar ML'!AB514,'Pegar ML'!AB515)</f>
        <v>0</v>
      </c>
      <c r="M519" s="27" t="str">
        <f>IF('Pegar ML'!AC515=" ",RIGHT('Pegar ML'!AC514,8),RIGHT('Pegar ML'!AC515,8))</f>
        <v/>
      </c>
      <c r="N519" s="27" t="s">
        <v>80</v>
      </c>
      <c r="O519" s="27">
        <f t="shared" si="21"/>
        <v>0</v>
      </c>
      <c r="P519" s="27" t="s">
        <v>80</v>
      </c>
      <c r="Q519" s="55">
        <f>IF('Pegar ML'!AD515=" ",'Pegar ML'!AD514,'Pegar ML'!AD515)</f>
        <v>0</v>
      </c>
      <c r="R519" s="27" t="s">
        <v>80</v>
      </c>
      <c r="S519" s="27" t="s">
        <v>80</v>
      </c>
      <c r="T519" s="27" t="s">
        <v>80</v>
      </c>
      <c r="U519" s="55">
        <f>IF('Pegar ML'!AI515=" ",'Pegar ML'!AI514,'Pegar ML'!AI515)</f>
        <v>0</v>
      </c>
      <c r="V519" s="55">
        <f>IF('Pegar ML'!AK515=" ",'Pegar ML'!AK514,'Pegar ML'!AK515)</f>
        <v>0</v>
      </c>
      <c r="W519" s="55">
        <f>IF('Pegar ML'!AJ515=" ",'Pegar ML'!AJ514,'Pegar ML'!AJ515)</f>
        <v>0</v>
      </c>
      <c r="X519" s="55">
        <f>IF('Pegar ML'!AL515=" ",'Pegar ML'!AL514,'Pegar ML'!AL515)</f>
        <v>0</v>
      </c>
      <c r="Y519" s="27"/>
      <c r="Z519" s="27"/>
      <c r="AA519" s="27"/>
      <c r="AB519" s="27"/>
      <c r="AC519" s="27"/>
      <c r="AD519" s="27"/>
      <c r="AF519" s="8"/>
      <c r="AG519" s="27"/>
      <c r="AH519" s="14">
        <f>+'Pegar ML'!Y515</f>
        <v>0</v>
      </c>
      <c r="AI519" s="13">
        <f t="shared" si="22"/>
        <v>1</v>
      </c>
      <c r="AJ519" s="7">
        <f>+'Pegar ML'!T515</f>
        <v>0</v>
      </c>
      <c r="AK519" s="27"/>
      <c r="AL519" s="27"/>
      <c r="AM519" s="27"/>
      <c r="AN519" s="27"/>
      <c r="AO519" s="27"/>
      <c r="AP519" s="27"/>
      <c r="AQ519" s="27"/>
      <c r="AR519" s="27"/>
      <c r="AS519" s="27">
        <v>17</v>
      </c>
    </row>
    <row r="520" spans="1:45" ht="15" customHeight="1" x14ac:dyDescent="0.25">
      <c r="A520" s="27">
        <f>IF('Pegar ML'!C515="Paquete de 2 productos",'Pegar ML'!A515,IF('Pegar ML'!C514="Paquete de 2 productos",'Pegar ML'!A514,'Pegar ML'!A516))</f>
        <v>0</v>
      </c>
      <c r="B520" s="27"/>
      <c r="C520" s="30" t="str">
        <f>IF(AjusteFecha!I516=0,"",AjusteFecha!I516)</f>
        <v/>
      </c>
      <c r="D520" s="27"/>
      <c r="E520" s="27"/>
      <c r="F520" s="27" t="str">
        <f>IF('Pegar ML'!C516="","",'Pegar ML'!C516)</f>
        <v/>
      </c>
      <c r="G520" s="27" t="str">
        <f>IF('Pegar ML'!G511="ARS","PS","PS")</f>
        <v>PS</v>
      </c>
      <c r="H520" s="14">
        <f>IF('Pegar ML'!C515="Paquete de 2 productos",IF('Pegar ML'!H515="",0,'Pegar ML'!H515),IF('Pegar ML'!H516="",0,'Pegar ML'!H516))</f>
        <v>0</v>
      </c>
      <c r="I520" s="14">
        <f>IF('Pegar ML'!C515="Paquete de 2 productos",IF('Pegar ML'!O515="",0,'Pegar ML'!O515),IF('Pegar ML'!O516="",0,'Pegar ML'!O516))</f>
        <v>0</v>
      </c>
      <c r="J520" s="14">
        <f>IF('Pegar ML'!C515="Paquete de 2 productos",IF('Pegar ML'!O515="",0,'Pegar ML'!O515),IF('Pegar ML'!O516="",0,'Pegar ML'!O516))</f>
        <v>0</v>
      </c>
      <c r="K520" s="14">
        <f t="shared" si="23"/>
        <v>0</v>
      </c>
      <c r="L520" s="27">
        <f>IF('Pegar ML'!AB516=" ",'Pegar ML'!AB515,'Pegar ML'!AB516)</f>
        <v>0</v>
      </c>
      <c r="M520" s="27" t="str">
        <f>IF('Pegar ML'!AC516=" ",RIGHT('Pegar ML'!AC515,8),RIGHT('Pegar ML'!AC516,8))</f>
        <v/>
      </c>
      <c r="N520" s="27" t="s">
        <v>80</v>
      </c>
      <c r="O520" s="27">
        <f t="shared" si="21"/>
        <v>0</v>
      </c>
      <c r="P520" s="27" t="s">
        <v>80</v>
      </c>
      <c r="Q520" s="55">
        <f>IF('Pegar ML'!AD516=" ",'Pegar ML'!AD515,'Pegar ML'!AD516)</f>
        <v>0</v>
      </c>
      <c r="R520" s="27" t="s">
        <v>80</v>
      </c>
      <c r="S520" s="27" t="s">
        <v>80</v>
      </c>
      <c r="T520" s="27" t="s">
        <v>80</v>
      </c>
      <c r="U520" s="55">
        <f>IF('Pegar ML'!AI516=" ",'Pegar ML'!AI515,'Pegar ML'!AI516)</f>
        <v>0</v>
      </c>
      <c r="V520" s="55">
        <f>IF('Pegar ML'!AK516=" ",'Pegar ML'!AK515,'Pegar ML'!AK516)</f>
        <v>0</v>
      </c>
      <c r="W520" s="55">
        <f>IF('Pegar ML'!AJ516=" ",'Pegar ML'!AJ515,'Pegar ML'!AJ516)</f>
        <v>0</v>
      </c>
      <c r="X520" s="55">
        <f>IF('Pegar ML'!AL516=" ",'Pegar ML'!AL515,'Pegar ML'!AL516)</f>
        <v>0</v>
      </c>
      <c r="Y520" s="27"/>
      <c r="Z520" s="27"/>
      <c r="AA520" s="27"/>
      <c r="AB520" s="27"/>
      <c r="AC520" s="27"/>
      <c r="AD520" s="27"/>
      <c r="AF520" s="8"/>
      <c r="AG520" s="27"/>
      <c r="AH520" s="14">
        <f>+'Pegar ML'!Y516</f>
        <v>0</v>
      </c>
      <c r="AI520" s="13">
        <f t="shared" si="22"/>
        <v>1</v>
      </c>
      <c r="AJ520" s="7">
        <f>+'Pegar ML'!T516</f>
        <v>0</v>
      </c>
      <c r="AK520" s="27"/>
      <c r="AL520" s="27"/>
      <c r="AM520" s="27"/>
      <c r="AN520" s="27"/>
      <c r="AO520" s="27"/>
      <c r="AP520" s="27"/>
      <c r="AQ520" s="27"/>
      <c r="AR520" s="27"/>
      <c r="AS520" s="27">
        <v>17</v>
      </c>
    </row>
    <row r="521" spans="1:45" ht="15" customHeight="1" x14ac:dyDescent="0.25">
      <c r="A521" s="27">
        <f>IF('Pegar ML'!C516="Paquete de 2 productos",'Pegar ML'!A516,IF('Pegar ML'!C515="Paquete de 2 productos",'Pegar ML'!A515,'Pegar ML'!A517))</f>
        <v>0</v>
      </c>
      <c r="B521" s="27"/>
      <c r="C521" s="30" t="str">
        <f>IF(AjusteFecha!I517=0,"",AjusteFecha!I517)</f>
        <v/>
      </c>
      <c r="D521" s="27"/>
      <c r="E521" s="27"/>
      <c r="F521" s="27" t="str">
        <f>IF('Pegar ML'!C517="","",'Pegar ML'!C517)</f>
        <v/>
      </c>
      <c r="G521" s="27" t="str">
        <f>IF('Pegar ML'!G512="ARS","PS","PS")</f>
        <v>PS</v>
      </c>
      <c r="H521" s="14">
        <f>IF('Pegar ML'!C516="Paquete de 2 productos",IF('Pegar ML'!H516="",0,'Pegar ML'!H516),IF('Pegar ML'!H517="",0,'Pegar ML'!H517))</f>
        <v>0</v>
      </c>
      <c r="I521" s="14">
        <f>IF('Pegar ML'!C516="Paquete de 2 productos",IF('Pegar ML'!O516="",0,'Pegar ML'!O516),IF('Pegar ML'!O517="",0,'Pegar ML'!O517))</f>
        <v>0</v>
      </c>
      <c r="J521" s="14">
        <f>IF('Pegar ML'!C516="Paquete de 2 productos",IF('Pegar ML'!O516="",0,'Pegar ML'!O516),IF('Pegar ML'!O517="",0,'Pegar ML'!O517))</f>
        <v>0</v>
      </c>
      <c r="K521" s="14">
        <f t="shared" si="23"/>
        <v>0</v>
      </c>
      <c r="L521" s="27">
        <f>IF('Pegar ML'!AB517=" ",'Pegar ML'!AB516,'Pegar ML'!AB517)</f>
        <v>0</v>
      </c>
      <c r="M521" s="27" t="str">
        <f>IF('Pegar ML'!AC517=" ",RIGHT('Pegar ML'!AC516,8),RIGHT('Pegar ML'!AC517,8))</f>
        <v/>
      </c>
      <c r="N521" s="27" t="s">
        <v>80</v>
      </c>
      <c r="O521" s="27">
        <f t="shared" si="21"/>
        <v>0</v>
      </c>
      <c r="P521" s="27" t="s">
        <v>80</v>
      </c>
      <c r="Q521" s="55">
        <f>IF('Pegar ML'!AD517=" ",'Pegar ML'!AD516,'Pegar ML'!AD517)</f>
        <v>0</v>
      </c>
      <c r="R521" s="27" t="s">
        <v>80</v>
      </c>
      <c r="S521" s="27" t="s">
        <v>80</v>
      </c>
      <c r="T521" s="27" t="s">
        <v>80</v>
      </c>
      <c r="U521" s="55">
        <f>IF('Pegar ML'!AI517=" ",'Pegar ML'!AI516,'Pegar ML'!AI517)</f>
        <v>0</v>
      </c>
      <c r="V521" s="55">
        <f>IF('Pegar ML'!AK517=" ",'Pegar ML'!AK516,'Pegar ML'!AK517)</f>
        <v>0</v>
      </c>
      <c r="W521" s="55">
        <f>IF('Pegar ML'!AJ517=" ",'Pegar ML'!AJ516,'Pegar ML'!AJ517)</f>
        <v>0</v>
      </c>
      <c r="X521" s="55">
        <f>IF('Pegar ML'!AL517=" ",'Pegar ML'!AL516,'Pegar ML'!AL517)</f>
        <v>0</v>
      </c>
      <c r="Y521" s="27"/>
      <c r="Z521" s="27"/>
      <c r="AA521" s="27"/>
      <c r="AB521" s="27"/>
      <c r="AC521" s="27"/>
      <c r="AD521" s="27"/>
      <c r="AF521" s="8"/>
      <c r="AG521" s="27"/>
      <c r="AH521" s="14">
        <f>+'Pegar ML'!Y517</f>
        <v>0</v>
      </c>
      <c r="AI521" s="13">
        <f t="shared" si="22"/>
        <v>1</v>
      </c>
      <c r="AJ521" s="7">
        <f>+'Pegar ML'!T517</f>
        <v>0</v>
      </c>
      <c r="AK521" s="27"/>
      <c r="AL521" s="27"/>
      <c r="AM521" s="27"/>
      <c r="AN521" s="27"/>
      <c r="AO521" s="27"/>
      <c r="AP521" s="27"/>
      <c r="AQ521" s="27"/>
      <c r="AR521" s="27"/>
      <c r="AS521" s="27">
        <v>17</v>
      </c>
    </row>
    <row r="522" spans="1:45" ht="15" customHeight="1" x14ac:dyDescent="0.25">
      <c r="A522" s="27">
        <f>IF('Pegar ML'!C517="Paquete de 2 productos",'Pegar ML'!A517,IF('Pegar ML'!C516="Paquete de 2 productos",'Pegar ML'!A516,'Pegar ML'!A518))</f>
        <v>0</v>
      </c>
      <c r="B522" s="27"/>
      <c r="C522" s="30" t="str">
        <f>IF(AjusteFecha!I518=0,"",AjusteFecha!I518)</f>
        <v/>
      </c>
      <c r="D522" s="27"/>
      <c r="E522" s="27"/>
      <c r="F522" s="27" t="str">
        <f>IF('Pegar ML'!C518="","",'Pegar ML'!C518)</f>
        <v/>
      </c>
      <c r="G522" s="27" t="str">
        <f>IF('Pegar ML'!G513="ARS","PS","PS")</f>
        <v>PS</v>
      </c>
      <c r="H522" s="14">
        <f>IF('Pegar ML'!C517="Paquete de 2 productos",IF('Pegar ML'!H517="",0,'Pegar ML'!H517),IF('Pegar ML'!H518="",0,'Pegar ML'!H518))</f>
        <v>0</v>
      </c>
      <c r="I522" s="14">
        <f>IF('Pegar ML'!C517="Paquete de 2 productos",IF('Pegar ML'!O517="",0,'Pegar ML'!O517),IF('Pegar ML'!O518="",0,'Pegar ML'!O518))</f>
        <v>0</v>
      </c>
      <c r="J522" s="14">
        <f>IF('Pegar ML'!C517="Paquete de 2 productos",IF('Pegar ML'!O517="",0,'Pegar ML'!O517),IF('Pegar ML'!O518="",0,'Pegar ML'!O518))</f>
        <v>0</v>
      </c>
      <c r="K522" s="14">
        <f t="shared" si="23"/>
        <v>0</v>
      </c>
      <c r="L522" s="27">
        <f>IF('Pegar ML'!AB518=" ",'Pegar ML'!AB517,'Pegar ML'!AB518)</f>
        <v>0</v>
      </c>
      <c r="M522" s="27" t="str">
        <f>IF('Pegar ML'!AC518=" ",RIGHT('Pegar ML'!AC517,8),RIGHT('Pegar ML'!AC518,8))</f>
        <v/>
      </c>
      <c r="N522" s="27" t="s">
        <v>80</v>
      </c>
      <c r="O522" s="27">
        <f t="shared" si="21"/>
        <v>0</v>
      </c>
      <c r="P522" s="27" t="s">
        <v>80</v>
      </c>
      <c r="Q522" s="55">
        <f>IF('Pegar ML'!AD518=" ",'Pegar ML'!AD517,'Pegar ML'!AD518)</f>
        <v>0</v>
      </c>
      <c r="R522" s="27" t="s">
        <v>80</v>
      </c>
      <c r="S522" s="27" t="s">
        <v>80</v>
      </c>
      <c r="T522" s="27" t="s">
        <v>80</v>
      </c>
      <c r="U522" s="55">
        <f>IF('Pegar ML'!AI518=" ",'Pegar ML'!AI517,'Pegar ML'!AI518)</f>
        <v>0</v>
      </c>
      <c r="V522" s="55">
        <f>IF('Pegar ML'!AK518=" ",'Pegar ML'!AK517,'Pegar ML'!AK518)</f>
        <v>0</v>
      </c>
      <c r="W522" s="55">
        <f>IF('Pegar ML'!AJ518=" ",'Pegar ML'!AJ517,'Pegar ML'!AJ518)</f>
        <v>0</v>
      </c>
      <c r="X522" s="55">
        <f>IF('Pegar ML'!AL518=" ",'Pegar ML'!AL517,'Pegar ML'!AL518)</f>
        <v>0</v>
      </c>
      <c r="Y522" s="27"/>
      <c r="Z522" s="27"/>
      <c r="AA522" s="27"/>
      <c r="AB522" s="27"/>
      <c r="AC522" s="27"/>
      <c r="AD522" s="27"/>
      <c r="AF522" s="8"/>
      <c r="AG522" s="27"/>
      <c r="AH522" s="14">
        <f>+'Pegar ML'!Y518</f>
        <v>0</v>
      </c>
      <c r="AI522" s="13">
        <f t="shared" si="22"/>
        <v>1</v>
      </c>
      <c r="AJ522" s="7">
        <f>+'Pegar ML'!T518</f>
        <v>0</v>
      </c>
      <c r="AK522" s="27"/>
      <c r="AL522" s="27"/>
      <c r="AM522" s="27"/>
      <c r="AN522" s="27"/>
      <c r="AO522" s="27"/>
      <c r="AP522" s="27"/>
      <c r="AQ522" s="27"/>
      <c r="AR522" s="27"/>
      <c r="AS522" s="27">
        <v>17</v>
      </c>
    </row>
    <row r="523" spans="1:45" ht="15" customHeight="1" x14ac:dyDescent="0.25">
      <c r="A523" s="27">
        <f>IF('Pegar ML'!C518="Paquete de 2 productos",'Pegar ML'!A518,IF('Pegar ML'!C517="Paquete de 2 productos",'Pegar ML'!A517,'Pegar ML'!A519))</f>
        <v>0</v>
      </c>
      <c r="B523" s="27"/>
      <c r="C523" s="30" t="str">
        <f>IF(AjusteFecha!I519=0,"",AjusteFecha!I519)</f>
        <v/>
      </c>
      <c r="D523" s="27"/>
      <c r="E523" s="27"/>
      <c r="F523" s="27" t="str">
        <f>IF('Pegar ML'!C519="","",'Pegar ML'!C519)</f>
        <v/>
      </c>
      <c r="G523" s="27" t="str">
        <f>IF('Pegar ML'!G514="ARS","PS","PS")</f>
        <v>PS</v>
      </c>
      <c r="H523" s="14">
        <f>IF('Pegar ML'!C518="Paquete de 2 productos",IF('Pegar ML'!H518="",0,'Pegar ML'!H518),IF('Pegar ML'!H519="",0,'Pegar ML'!H519))</f>
        <v>0</v>
      </c>
      <c r="I523" s="14">
        <f>IF('Pegar ML'!C518="Paquete de 2 productos",IF('Pegar ML'!O518="",0,'Pegar ML'!O518),IF('Pegar ML'!O519="",0,'Pegar ML'!O519))</f>
        <v>0</v>
      </c>
      <c r="J523" s="14">
        <f>IF('Pegar ML'!C518="Paquete de 2 productos",IF('Pegar ML'!O518="",0,'Pegar ML'!O518),IF('Pegar ML'!O519="",0,'Pegar ML'!O519))</f>
        <v>0</v>
      </c>
      <c r="K523" s="14">
        <f t="shared" si="23"/>
        <v>0</v>
      </c>
      <c r="L523" s="27">
        <f>IF('Pegar ML'!AB519=" ",'Pegar ML'!AB518,'Pegar ML'!AB519)</f>
        <v>0</v>
      </c>
      <c r="M523" s="27" t="str">
        <f>IF('Pegar ML'!AC519=" ",RIGHT('Pegar ML'!AC518,8),RIGHT('Pegar ML'!AC519,8))</f>
        <v/>
      </c>
      <c r="N523" s="27" t="s">
        <v>80</v>
      </c>
      <c r="O523" s="27">
        <f t="shared" ref="O523:O586" si="24">+L523</f>
        <v>0</v>
      </c>
      <c r="P523" s="27" t="s">
        <v>80</v>
      </c>
      <c r="Q523" s="55">
        <f>IF('Pegar ML'!AD519=" ",'Pegar ML'!AD518,'Pegar ML'!AD519)</f>
        <v>0</v>
      </c>
      <c r="R523" s="27" t="s">
        <v>80</v>
      </c>
      <c r="S523" s="27" t="s">
        <v>80</v>
      </c>
      <c r="T523" s="27" t="s">
        <v>80</v>
      </c>
      <c r="U523" s="55">
        <f>IF('Pegar ML'!AI519=" ",'Pegar ML'!AI518,'Pegar ML'!AI519)</f>
        <v>0</v>
      </c>
      <c r="V523" s="55">
        <f>IF('Pegar ML'!AK519=" ",'Pegar ML'!AK518,'Pegar ML'!AK519)</f>
        <v>0</v>
      </c>
      <c r="W523" s="55">
        <f>IF('Pegar ML'!AJ519=" ",'Pegar ML'!AJ518,'Pegar ML'!AJ519)</f>
        <v>0</v>
      </c>
      <c r="X523" s="55">
        <f>IF('Pegar ML'!AL519=" ",'Pegar ML'!AL518,'Pegar ML'!AL519)</f>
        <v>0</v>
      </c>
      <c r="Y523" s="27"/>
      <c r="Z523" s="27"/>
      <c r="AA523" s="27"/>
      <c r="AB523" s="27"/>
      <c r="AC523" s="27"/>
      <c r="AD523" s="27"/>
      <c r="AF523" s="8"/>
      <c r="AG523" s="27"/>
      <c r="AH523" s="14">
        <f>+'Pegar ML'!Y519</f>
        <v>0</v>
      </c>
      <c r="AI523" s="13">
        <f t="shared" ref="AI523:AI586" si="25">IF(F523="Paquete de 2 productos","",1)</f>
        <v>1</v>
      </c>
      <c r="AJ523" s="7">
        <f>+'Pegar ML'!T519</f>
        <v>0</v>
      </c>
      <c r="AK523" s="27"/>
      <c r="AL523" s="27"/>
      <c r="AM523" s="27"/>
      <c r="AN523" s="27"/>
      <c r="AO523" s="27"/>
      <c r="AP523" s="27"/>
      <c r="AQ523" s="27"/>
      <c r="AR523" s="27"/>
      <c r="AS523" s="27">
        <v>17</v>
      </c>
    </row>
    <row r="524" spans="1:45" ht="15" customHeight="1" x14ac:dyDescent="0.25">
      <c r="A524" s="27">
        <f>IF('Pegar ML'!C519="Paquete de 2 productos",'Pegar ML'!A519,IF('Pegar ML'!C518="Paquete de 2 productos",'Pegar ML'!A518,'Pegar ML'!A520))</f>
        <v>0</v>
      </c>
      <c r="B524" s="27"/>
      <c r="C524" s="30" t="str">
        <f>IF(AjusteFecha!I520=0,"",AjusteFecha!I520)</f>
        <v/>
      </c>
      <c r="D524" s="27"/>
      <c r="E524" s="27"/>
      <c r="F524" s="27" t="str">
        <f>IF('Pegar ML'!C520="","",'Pegar ML'!C520)</f>
        <v/>
      </c>
      <c r="G524" s="27" t="str">
        <f>IF('Pegar ML'!G515="ARS","PS","PS")</f>
        <v>PS</v>
      </c>
      <c r="H524" s="14">
        <f>IF('Pegar ML'!C519="Paquete de 2 productos",IF('Pegar ML'!H519="",0,'Pegar ML'!H519),IF('Pegar ML'!H520="",0,'Pegar ML'!H520))</f>
        <v>0</v>
      </c>
      <c r="I524" s="14">
        <f>IF('Pegar ML'!C519="Paquete de 2 productos",IF('Pegar ML'!O519="",0,'Pegar ML'!O519),IF('Pegar ML'!O520="",0,'Pegar ML'!O520))</f>
        <v>0</v>
      </c>
      <c r="J524" s="14">
        <f>IF('Pegar ML'!C519="Paquete de 2 productos",IF('Pegar ML'!O519="",0,'Pegar ML'!O519),IF('Pegar ML'!O520="",0,'Pegar ML'!O520))</f>
        <v>0</v>
      </c>
      <c r="K524" s="14">
        <f t="shared" ref="K524:K587" si="26">+H524-I524+J524</f>
        <v>0</v>
      </c>
      <c r="L524" s="27">
        <f>IF('Pegar ML'!AB520=" ",'Pegar ML'!AB519,'Pegar ML'!AB520)</f>
        <v>0</v>
      </c>
      <c r="M524" s="27" t="str">
        <f>IF('Pegar ML'!AC520=" ",RIGHT('Pegar ML'!AC519,8),RIGHT('Pegar ML'!AC520,8))</f>
        <v/>
      </c>
      <c r="N524" s="27" t="s">
        <v>80</v>
      </c>
      <c r="O524" s="27">
        <f t="shared" si="24"/>
        <v>0</v>
      </c>
      <c r="P524" s="27" t="s">
        <v>80</v>
      </c>
      <c r="Q524" s="55">
        <f>IF('Pegar ML'!AD520=" ",'Pegar ML'!AD519,'Pegar ML'!AD520)</f>
        <v>0</v>
      </c>
      <c r="R524" s="27" t="s">
        <v>80</v>
      </c>
      <c r="S524" s="27" t="s">
        <v>80</v>
      </c>
      <c r="T524" s="27" t="s">
        <v>80</v>
      </c>
      <c r="U524" s="55">
        <f>IF('Pegar ML'!AI520=" ",'Pegar ML'!AI519,'Pegar ML'!AI520)</f>
        <v>0</v>
      </c>
      <c r="V524" s="55">
        <f>IF('Pegar ML'!AK520=" ",'Pegar ML'!AK519,'Pegar ML'!AK520)</f>
        <v>0</v>
      </c>
      <c r="W524" s="55">
        <f>IF('Pegar ML'!AJ520=" ",'Pegar ML'!AJ519,'Pegar ML'!AJ520)</f>
        <v>0</v>
      </c>
      <c r="X524" s="55">
        <f>IF('Pegar ML'!AL520=" ",'Pegar ML'!AL519,'Pegar ML'!AL520)</f>
        <v>0</v>
      </c>
      <c r="Y524" s="27"/>
      <c r="Z524" s="27"/>
      <c r="AA524" s="27"/>
      <c r="AB524" s="27"/>
      <c r="AC524" s="27"/>
      <c r="AD524" s="27"/>
      <c r="AF524" s="8"/>
      <c r="AG524" s="27"/>
      <c r="AH524" s="14">
        <f>+'Pegar ML'!Y520</f>
        <v>0</v>
      </c>
      <c r="AI524" s="13">
        <f t="shared" si="25"/>
        <v>1</v>
      </c>
      <c r="AJ524" s="7">
        <f>+'Pegar ML'!T520</f>
        <v>0</v>
      </c>
      <c r="AK524" s="27"/>
      <c r="AL524" s="27"/>
      <c r="AM524" s="27"/>
      <c r="AN524" s="27"/>
      <c r="AO524" s="27"/>
      <c r="AP524" s="27"/>
      <c r="AQ524" s="27"/>
      <c r="AR524" s="27"/>
      <c r="AS524" s="27">
        <v>17</v>
      </c>
    </row>
    <row r="525" spans="1:45" ht="15" customHeight="1" x14ac:dyDescent="0.25">
      <c r="A525" s="27">
        <f>IF('Pegar ML'!C520="Paquete de 2 productos",'Pegar ML'!A520,IF('Pegar ML'!C519="Paquete de 2 productos",'Pegar ML'!A519,'Pegar ML'!A521))</f>
        <v>0</v>
      </c>
      <c r="B525" s="27"/>
      <c r="C525" s="30" t="str">
        <f>IF(AjusteFecha!I521=0,"",AjusteFecha!I521)</f>
        <v/>
      </c>
      <c r="D525" s="27"/>
      <c r="E525" s="27"/>
      <c r="F525" s="27" t="str">
        <f>IF('Pegar ML'!C521="","",'Pegar ML'!C521)</f>
        <v/>
      </c>
      <c r="G525" s="27" t="str">
        <f>IF('Pegar ML'!G516="ARS","PS","PS")</f>
        <v>PS</v>
      </c>
      <c r="H525" s="14">
        <f>IF('Pegar ML'!C520="Paquete de 2 productos",IF('Pegar ML'!H520="",0,'Pegar ML'!H520),IF('Pegar ML'!H521="",0,'Pegar ML'!H521))</f>
        <v>0</v>
      </c>
      <c r="I525" s="14">
        <f>IF('Pegar ML'!C520="Paquete de 2 productos",IF('Pegar ML'!O520="",0,'Pegar ML'!O520),IF('Pegar ML'!O521="",0,'Pegar ML'!O521))</f>
        <v>0</v>
      </c>
      <c r="J525" s="14">
        <f>IF('Pegar ML'!C520="Paquete de 2 productos",IF('Pegar ML'!O520="",0,'Pegar ML'!O520),IF('Pegar ML'!O521="",0,'Pegar ML'!O521))</f>
        <v>0</v>
      </c>
      <c r="K525" s="14">
        <f t="shared" si="26"/>
        <v>0</v>
      </c>
      <c r="L525" s="27">
        <f>IF('Pegar ML'!AB521=" ",'Pegar ML'!AB520,'Pegar ML'!AB521)</f>
        <v>0</v>
      </c>
      <c r="M525" s="27" t="str">
        <f>IF('Pegar ML'!AC521=" ",RIGHT('Pegar ML'!AC520,8),RIGHT('Pegar ML'!AC521,8))</f>
        <v/>
      </c>
      <c r="N525" s="27" t="s">
        <v>80</v>
      </c>
      <c r="O525" s="27">
        <f t="shared" si="24"/>
        <v>0</v>
      </c>
      <c r="P525" s="27" t="s">
        <v>80</v>
      </c>
      <c r="Q525" s="55">
        <f>IF('Pegar ML'!AD521=" ",'Pegar ML'!AD520,'Pegar ML'!AD521)</f>
        <v>0</v>
      </c>
      <c r="R525" s="27" t="s">
        <v>80</v>
      </c>
      <c r="S525" s="27" t="s">
        <v>80</v>
      </c>
      <c r="T525" s="27" t="s">
        <v>80</v>
      </c>
      <c r="U525" s="55">
        <f>IF('Pegar ML'!AI521=" ",'Pegar ML'!AI520,'Pegar ML'!AI521)</f>
        <v>0</v>
      </c>
      <c r="V525" s="55">
        <f>IF('Pegar ML'!AK521=" ",'Pegar ML'!AK520,'Pegar ML'!AK521)</f>
        <v>0</v>
      </c>
      <c r="W525" s="55">
        <f>IF('Pegar ML'!AJ521=" ",'Pegar ML'!AJ520,'Pegar ML'!AJ521)</f>
        <v>0</v>
      </c>
      <c r="X525" s="55">
        <f>IF('Pegar ML'!AL521=" ",'Pegar ML'!AL520,'Pegar ML'!AL521)</f>
        <v>0</v>
      </c>
      <c r="Y525" s="27"/>
      <c r="Z525" s="27"/>
      <c r="AA525" s="27"/>
      <c r="AB525" s="27"/>
      <c r="AC525" s="27"/>
      <c r="AD525" s="27"/>
      <c r="AF525" s="8"/>
      <c r="AG525" s="27"/>
      <c r="AH525" s="14">
        <f>+'Pegar ML'!Y521</f>
        <v>0</v>
      </c>
      <c r="AI525" s="13">
        <f t="shared" si="25"/>
        <v>1</v>
      </c>
      <c r="AJ525" s="7">
        <f>+'Pegar ML'!T521</f>
        <v>0</v>
      </c>
      <c r="AK525" s="27"/>
      <c r="AL525" s="27"/>
      <c r="AM525" s="27"/>
      <c r="AN525" s="27"/>
      <c r="AO525" s="27"/>
      <c r="AP525" s="27"/>
      <c r="AQ525" s="27"/>
      <c r="AR525" s="27"/>
      <c r="AS525" s="27">
        <v>17</v>
      </c>
    </row>
    <row r="526" spans="1:45" ht="15" customHeight="1" x14ac:dyDescent="0.25">
      <c r="A526" s="27">
        <f>IF('Pegar ML'!C521="Paquete de 2 productos",'Pegar ML'!A521,IF('Pegar ML'!C520="Paquete de 2 productos",'Pegar ML'!A520,'Pegar ML'!A522))</f>
        <v>0</v>
      </c>
      <c r="B526" s="27"/>
      <c r="C526" s="30" t="str">
        <f>IF(AjusteFecha!I522=0,"",AjusteFecha!I522)</f>
        <v/>
      </c>
      <c r="D526" s="27"/>
      <c r="E526" s="27"/>
      <c r="F526" s="27" t="str">
        <f>IF('Pegar ML'!C522="","",'Pegar ML'!C522)</f>
        <v/>
      </c>
      <c r="G526" s="27" t="str">
        <f>IF('Pegar ML'!G517="ARS","PS","PS")</f>
        <v>PS</v>
      </c>
      <c r="H526" s="14">
        <f>IF('Pegar ML'!C521="Paquete de 2 productos",IF('Pegar ML'!H521="",0,'Pegar ML'!H521),IF('Pegar ML'!H522="",0,'Pegar ML'!H522))</f>
        <v>0</v>
      </c>
      <c r="I526" s="14">
        <f>IF('Pegar ML'!C521="Paquete de 2 productos",IF('Pegar ML'!O521="",0,'Pegar ML'!O521),IF('Pegar ML'!O522="",0,'Pegar ML'!O522))</f>
        <v>0</v>
      </c>
      <c r="J526" s="14">
        <f>IF('Pegar ML'!C521="Paquete de 2 productos",IF('Pegar ML'!O521="",0,'Pegar ML'!O521),IF('Pegar ML'!O522="",0,'Pegar ML'!O522))</f>
        <v>0</v>
      </c>
      <c r="K526" s="14">
        <f t="shared" si="26"/>
        <v>0</v>
      </c>
      <c r="L526" s="27">
        <f>IF('Pegar ML'!AB522=" ",'Pegar ML'!AB521,'Pegar ML'!AB522)</f>
        <v>0</v>
      </c>
      <c r="M526" s="27" t="str">
        <f>IF('Pegar ML'!AC522=" ",RIGHT('Pegar ML'!AC521,8),RIGHT('Pegar ML'!AC522,8))</f>
        <v/>
      </c>
      <c r="N526" s="27" t="s">
        <v>80</v>
      </c>
      <c r="O526" s="27">
        <f t="shared" si="24"/>
        <v>0</v>
      </c>
      <c r="P526" s="27" t="s">
        <v>80</v>
      </c>
      <c r="Q526" s="55">
        <f>IF('Pegar ML'!AD522=" ",'Pegar ML'!AD521,'Pegar ML'!AD522)</f>
        <v>0</v>
      </c>
      <c r="R526" s="27" t="s">
        <v>80</v>
      </c>
      <c r="S526" s="27" t="s">
        <v>80</v>
      </c>
      <c r="T526" s="27" t="s">
        <v>80</v>
      </c>
      <c r="U526" s="55">
        <f>IF('Pegar ML'!AI522=" ",'Pegar ML'!AI521,'Pegar ML'!AI522)</f>
        <v>0</v>
      </c>
      <c r="V526" s="55">
        <f>IF('Pegar ML'!AK522=" ",'Pegar ML'!AK521,'Pegar ML'!AK522)</f>
        <v>0</v>
      </c>
      <c r="W526" s="55">
        <f>IF('Pegar ML'!AJ522=" ",'Pegar ML'!AJ521,'Pegar ML'!AJ522)</f>
        <v>0</v>
      </c>
      <c r="X526" s="55">
        <f>IF('Pegar ML'!AL522=" ",'Pegar ML'!AL521,'Pegar ML'!AL522)</f>
        <v>0</v>
      </c>
      <c r="Y526" s="27"/>
      <c r="Z526" s="27"/>
      <c r="AA526" s="27"/>
      <c r="AB526" s="27"/>
      <c r="AC526" s="27"/>
      <c r="AD526" s="27"/>
      <c r="AF526" s="8"/>
      <c r="AG526" s="27"/>
      <c r="AH526" s="14">
        <f>+'Pegar ML'!Y522</f>
        <v>0</v>
      </c>
      <c r="AI526" s="13">
        <f t="shared" si="25"/>
        <v>1</v>
      </c>
      <c r="AJ526" s="7">
        <f>+'Pegar ML'!T522</f>
        <v>0</v>
      </c>
      <c r="AK526" s="27"/>
      <c r="AL526" s="27"/>
      <c r="AM526" s="27"/>
      <c r="AN526" s="27"/>
      <c r="AO526" s="27"/>
      <c r="AP526" s="27"/>
      <c r="AQ526" s="27"/>
      <c r="AR526" s="27"/>
      <c r="AS526" s="27">
        <v>17</v>
      </c>
    </row>
    <row r="527" spans="1:45" ht="15" customHeight="1" x14ac:dyDescent="0.25">
      <c r="A527" s="27">
        <f>IF('Pegar ML'!C522="Paquete de 2 productos",'Pegar ML'!A522,IF('Pegar ML'!C521="Paquete de 2 productos",'Pegar ML'!A521,'Pegar ML'!A523))</f>
        <v>0</v>
      </c>
      <c r="B527" s="27"/>
      <c r="C527" s="30" t="str">
        <f>IF(AjusteFecha!I523=0,"",AjusteFecha!I523)</f>
        <v/>
      </c>
      <c r="D527" s="27"/>
      <c r="E527" s="27"/>
      <c r="F527" s="27" t="str">
        <f>IF('Pegar ML'!C523="","",'Pegar ML'!C523)</f>
        <v/>
      </c>
      <c r="G527" s="27" t="str">
        <f>IF('Pegar ML'!G518="ARS","PS","PS")</f>
        <v>PS</v>
      </c>
      <c r="H527" s="14">
        <f>IF('Pegar ML'!C522="Paquete de 2 productos",IF('Pegar ML'!H522="",0,'Pegar ML'!H522),IF('Pegar ML'!H523="",0,'Pegar ML'!H523))</f>
        <v>0</v>
      </c>
      <c r="I527" s="14">
        <f>IF('Pegar ML'!C522="Paquete de 2 productos",IF('Pegar ML'!O522="",0,'Pegar ML'!O522),IF('Pegar ML'!O523="",0,'Pegar ML'!O523))</f>
        <v>0</v>
      </c>
      <c r="J527" s="14">
        <f>IF('Pegar ML'!C522="Paquete de 2 productos",IF('Pegar ML'!O522="",0,'Pegar ML'!O522),IF('Pegar ML'!O523="",0,'Pegar ML'!O523))</f>
        <v>0</v>
      </c>
      <c r="K527" s="14">
        <f t="shared" si="26"/>
        <v>0</v>
      </c>
      <c r="L527" s="27">
        <f>IF('Pegar ML'!AB523=" ",'Pegar ML'!AB522,'Pegar ML'!AB523)</f>
        <v>0</v>
      </c>
      <c r="M527" s="27" t="str">
        <f>IF('Pegar ML'!AC523=" ",RIGHT('Pegar ML'!AC522,8),RIGHT('Pegar ML'!AC523,8))</f>
        <v/>
      </c>
      <c r="N527" s="27" t="s">
        <v>80</v>
      </c>
      <c r="O527" s="27">
        <f t="shared" si="24"/>
        <v>0</v>
      </c>
      <c r="P527" s="27" t="s">
        <v>80</v>
      </c>
      <c r="Q527" s="55">
        <f>IF('Pegar ML'!AD523=" ",'Pegar ML'!AD522,'Pegar ML'!AD523)</f>
        <v>0</v>
      </c>
      <c r="R527" s="27" t="s">
        <v>80</v>
      </c>
      <c r="S527" s="27" t="s">
        <v>80</v>
      </c>
      <c r="T527" s="27" t="s">
        <v>80</v>
      </c>
      <c r="U527" s="55">
        <f>IF('Pegar ML'!AI523=" ",'Pegar ML'!AI522,'Pegar ML'!AI523)</f>
        <v>0</v>
      </c>
      <c r="V527" s="55">
        <f>IF('Pegar ML'!AK523=" ",'Pegar ML'!AK522,'Pegar ML'!AK523)</f>
        <v>0</v>
      </c>
      <c r="W527" s="55">
        <f>IF('Pegar ML'!AJ523=" ",'Pegar ML'!AJ522,'Pegar ML'!AJ523)</f>
        <v>0</v>
      </c>
      <c r="X527" s="55">
        <f>IF('Pegar ML'!AL523=" ",'Pegar ML'!AL522,'Pegar ML'!AL523)</f>
        <v>0</v>
      </c>
      <c r="Y527" s="27"/>
      <c r="Z527" s="27"/>
      <c r="AA527" s="27"/>
      <c r="AB527" s="27"/>
      <c r="AC527" s="27"/>
      <c r="AD527" s="27"/>
      <c r="AF527" s="8"/>
      <c r="AG527" s="27"/>
      <c r="AH527" s="14">
        <f>+'Pegar ML'!Y523</f>
        <v>0</v>
      </c>
      <c r="AI527" s="13">
        <f t="shared" si="25"/>
        <v>1</v>
      </c>
      <c r="AJ527" s="7">
        <f>+'Pegar ML'!T523</f>
        <v>0</v>
      </c>
      <c r="AK527" s="27"/>
      <c r="AL527" s="27"/>
      <c r="AM527" s="27"/>
      <c r="AN527" s="27"/>
      <c r="AO527" s="27"/>
      <c r="AP527" s="27"/>
      <c r="AQ527" s="27"/>
      <c r="AR527" s="27"/>
      <c r="AS527" s="27">
        <v>17</v>
      </c>
    </row>
    <row r="528" spans="1:45" ht="15" customHeight="1" x14ac:dyDescent="0.25">
      <c r="A528" s="27">
        <f>IF('Pegar ML'!C523="Paquete de 2 productos",'Pegar ML'!A523,IF('Pegar ML'!C522="Paquete de 2 productos",'Pegar ML'!A522,'Pegar ML'!A524))</f>
        <v>0</v>
      </c>
      <c r="B528" s="27"/>
      <c r="C528" s="30" t="str">
        <f>IF(AjusteFecha!I524=0,"",AjusteFecha!I524)</f>
        <v/>
      </c>
      <c r="D528" s="27"/>
      <c r="E528" s="27"/>
      <c r="F528" s="27" t="str">
        <f>IF('Pegar ML'!C524="","",'Pegar ML'!C524)</f>
        <v/>
      </c>
      <c r="G528" s="27" t="str">
        <f>IF('Pegar ML'!G519="ARS","PS","PS")</f>
        <v>PS</v>
      </c>
      <c r="H528" s="14">
        <f>IF('Pegar ML'!C523="Paquete de 2 productos",IF('Pegar ML'!H523="",0,'Pegar ML'!H523),IF('Pegar ML'!H524="",0,'Pegar ML'!H524))</f>
        <v>0</v>
      </c>
      <c r="I528" s="14">
        <f>IF('Pegar ML'!C523="Paquete de 2 productos",IF('Pegar ML'!O523="",0,'Pegar ML'!O523),IF('Pegar ML'!O524="",0,'Pegar ML'!O524))</f>
        <v>0</v>
      </c>
      <c r="J528" s="14">
        <f>IF('Pegar ML'!C523="Paquete de 2 productos",IF('Pegar ML'!O523="",0,'Pegar ML'!O523),IF('Pegar ML'!O524="",0,'Pegar ML'!O524))</f>
        <v>0</v>
      </c>
      <c r="K528" s="14">
        <f t="shared" si="26"/>
        <v>0</v>
      </c>
      <c r="L528" s="27">
        <f>IF('Pegar ML'!AB524=" ",'Pegar ML'!AB523,'Pegar ML'!AB524)</f>
        <v>0</v>
      </c>
      <c r="M528" s="27" t="str">
        <f>IF('Pegar ML'!AC524=" ",RIGHT('Pegar ML'!AC523,8),RIGHT('Pegar ML'!AC524,8))</f>
        <v/>
      </c>
      <c r="N528" s="27" t="s">
        <v>80</v>
      </c>
      <c r="O528" s="27">
        <f t="shared" si="24"/>
        <v>0</v>
      </c>
      <c r="P528" s="27" t="s">
        <v>80</v>
      </c>
      <c r="Q528" s="55">
        <f>IF('Pegar ML'!AD524=" ",'Pegar ML'!AD523,'Pegar ML'!AD524)</f>
        <v>0</v>
      </c>
      <c r="R528" s="27" t="s">
        <v>80</v>
      </c>
      <c r="S528" s="27" t="s">
        <v>80</v>
      </c>
      <c r="T528" s="27" t="s">
        <v>80</v>
      </c>
      <c r="U528" s="55">
        <f>IF('Pegar ML'!AI524=" ",'Pegar ML'!AI523,'Pegar ML'!AI524)</f>
        <v>0</v>
      </c>
      <c r="V528" s="55">
        <f>IF('Pegar ML'!AK524=" ",'Pegar ML'!AK523,'Pegar ML'!AK524)</f>
        <v>0</v>
      </c>
      <c r="W528" s="55">
        <f>IF('Pegar ML'!AJ524=" ",'Pegar ML'!AJ523,'Pegar ML'!AJ524)</f>
        <v>0</v>
      </c>
      <c r="X528" s="55">
        <f>IF('Pegar ML'!AL524=" ",'Pegar ML'!AL523,'Pegar ML'!AL524)</f>
        <v>0</v>
      </c>
      <c r="Y528" s="27"/>
      <c r="Z528" s="27"/>
      <c r="AA528" s="27"/>
      <c r="AB528" s="27"/>
      <c r="AC528" s="27"/>
      <c r="AD528" s="27"/>
      <c r="AF528" s="8"/>
      <c r="AG528" s="27"/>
      <c r="AH528" s="14">
        <f>+'Pegar ML'!Y524</f>
        <v>0</v>
      </c>
      <c r="AI528" s="13">
        <f t="shared" si="25"/>
        <v>1</v>
      </c>
      <c r="AJ528" s="7">
        <f>+'Pegar ML'!T524</f>
        <v>0</v>
      </c>
      <c r="AK528" s="27"/>
      <c r="AL528" s="27"/>
      <c r="AM528" s="27"/>
      <c r="AN528" s="27"/>
      <c r="AO528" s="27"/>
      <c r="AP528" s="27"/>
      <c r="AQ528" s="27"/>
      <c r="AR528" s="27"/>
      <c r="AS528" s="27">
        <v>17</v>
      </c>
    </row>
    <row r="529" spans="1:45" ht="15" customHeight="1" x14ac:dyDescent="0.25">
      <c r="A529" s="27">
        <f>IF('Pegar ML'!C524="Paquete de 2 productos",'Pegar ML'!A524,IF('Pegar ML'!C523="Paquete de 2 productos",'Pegar ML'!A523,'Pegar ML'!A525))</f>
        <v>0</v>
      </c>
      <c r="B529" s="27"/>
      <c r="C529" s="30" t="str">
        <f>IF(AjusteFecha!I525=0,"",AjusteFecha!I525)</f>
        <v/>
      </c>
      <c r="D529" s="27"/>
      <c r="E529" s="27"/>
      <c r="F529" s="27" t="str">
        <f>IF('Pegar ML'!C525="","",'Pegar ML'!C525)</f>
        <v/>
      </c>
      <c r="G529" s="27" t="str">
        <f>IF('Pegar ML'!G520="ARS","PS","PS")</f>
        <v>PS</v>
      </c>
      <c r="H529" s="14">
        <f>IF('Pegar ML'!C524="Paquete de 2 productos",IF('Pegar ML'!H524="",0,'Pegar ML'!H524),IF('Pegar ML'!H525="",0,'Pegar ML'!H525))</f>
        <v>0</v>
      </c>
      <c r="I529" s="14">
        <f>IF('Pegar ML'!C524="Paquete de 2 productos",IF('Pegar ML'!O524="",0,'Pegar ML'!O524),IF('Pegar ML'!O525="",0,'Pegar ML'!O525))</f>
        <v>0</v>
      </c>
      <c r="J529" s="14">
        <f>IF('Pegar ML'!C524="Paquete de 2 productos",IF('Pegar ML'!O524="",0,'Pegar ML'!O524),IF('Pegar ML'!O525="",0,'Pegar ML'!O525))</f>
        <v>0</v>
      </c>
      <c r="K529" s="14">
        <f t="shared" si="26"/>
        <v>0</v>
      </c>
      <c r="L529" s="27">
        <f>IF('Pegar ML'!AB525=" ",'Pegar ML'!AB524,'Pegar ML'!AB525)</f>
        <v>0</v>
      </c>
      <c r="M529" s="27" t="str">
        <f>IF('Pegar ML'!AC525=" ",RIGHT('Pegar ML'!AC524,8),RIGHT('Pegar ML'!AC525,8))</f>
        <v/>
      </c>
      <c r="N529" s="27" t="s">
        <v>80</v>
      </c>
      <c r="O529" s="27">
        <f t="shared" si="24"/>
        <v>0</v>
      </c>
      <c r="P529" s="27" t="s">
        <v>80</v>
      </c>
      <c r="Q529" s="55">
        <f>IF('Pegar ML'!AD525=" ",'Pegar ML'!AD524,'Pegar ML'!AD525)</f>
        <v>0</v>
      </c>
      <c r="R529" s="27" t="s">
        <v>80</v>
      </c>
      <c r="S529" s="27" t="s">
        <v>80</v>
      </c>
      <c r="T529" s="27" t="s">
        <v>80</v>
      </c>
      <c r="U529" s="55">
        <f>IF('Pegar ML'!AI525=" ",'Pegar ML'!AI524,'Pegar ML'!AI525)</f>
        <v>0</v>
      </c>
      <c r="V529" s="55">
        <f>IF('Pegar ML'!AK525=" ",'Pegar ML'!AK524,'Pegar ML'!AK525)</f>
        <v>0</v>
      </c>
      <c r="W529" s="55">
        <f>IF('Pegar ML'!AJ525=" ",'Pegar ML'!AJ524,'Pegar ML'!AJ525)</f>
        <v>0</v>
      </c>
      <c r="X529" s="55">
        <f>IF('Pegar ML'!AL525=" ",'Pegar ML'!AL524,'Pegar ML'!AL525)</f>
        <v>0</v>
      </c>
      <c r="Y529" s="27"/>
      <c r="Z529" s="27"/>
      <c r="AA529" s="27"/>
      <c r="AB529" s="27"/>
      <c r="AC529" s="27"/>
      <c r="AD529" s="27"/>
      <c r="AF529" s="8"/>
      <c r="AG529" s="27"/>
      <c r="AH529" s="14">
        <f>+'Pegar ML'!Y525</f>
        <v>0</v>
      </c>
      <c r="AI529" s="13">
        <f t="shared" si="25"/>
        <v>1</v>
      </c>
      <c r="AJ529" s="7">
        <f>+'Pegar ML'!T525</f>
        <v>0</v>
      </c>
      <c r="AK529" s="27"/>
      <c r="AL529" s="27"/>
      <c r="AM529" s="27"/>
      <c r="AN529" s="27"/>
      <c r="AO529" s="27"/>
      <c r="AP529" s="27"/>
      <c r="AQ529" s="27"/>
      <c r="AR529" s="27"/>
      <c r="AS529" s="27">
        <v>17</v>
      </c>
    </row>
    <row r="530" spans="1:45" ht="15" customHeight="1" x14ac:dyDescent="0.25">
      <c r="A530" s="27">
        <f>IF('Pegar ML'!C525="Paquete de 2 productos",'Pegar ML'!A525,IF('Pegar ML'!C524="Paquete de 2 productos",'Pegar ML'!A524,'Pegar ML'!A526))</f>
        <v>0</v>
      </c>
      <c r="B530" s="27"/>
      <c r="C530" s="30" t="str">
        <f>IF(AjusteFecha!I526=0,"",AjusteFecha!I526)</f>
        <v/>
      </c>
      <c r="D530" s="27"/>
      <c r="E530" s="27"/>
      <c r="F530" s="27" t="str">
        <f>IF('Pegar ML'!C526="","",'Pegar ML'!C526)</f>
        <v/>
      </c>
      <c r="G530" s="27" t="str">
        <f>IF('Pegar ML'!G521="ARS","PS","PS")</f>
        <v>PS</v>
      </c>
      <c r="H530" s="14">
        <f>IF('Pegar ML'!C525="Paquete de 2 productos",IF('Pegar ML'!H525="",0,'Pegar ML'!H525),IF('Pegar ML'!H526="",0,'Pegar ML'!H526))</f>
        <v>0</v>
      </c>
      <c r="I530" s="14">
        <f>IF('Pegar ML'!C525="Paquete de 2 productos",IF('Pegar ML'!O525="",0,'Pegar ML'!O525),IF('Pegar ML'!O526="",0,'Pegar ML'!O526))</f>
        <v>0</v>
      </c>
      <c r="J530" s="14">
        <f>IF('Pegar ML'!C525="Paquete de 2 productos",IF('Pegar ML'!O525="",0,'Pegar ML'!O525),IF('Pegar ML'!O526="",0,'Pegar ML'!O526))</f>
        <v>0</v>
      </c>
      <c r="K530" s="14">
        <f t="shared" si="26"/>
        <v>0</v>
      </c>
      <c r="L530" s="27">
        <f>IF('Pegar ML'!AB526=" ",'Pegar ML'!AB525,'Pegar ML'!AB526)</f>
        <v>0</v>
      </c>
      <c r="M530" s="27" t="str">
        <f>IF('Pegar ML'!AC526=" ",RIGHT('Pegar ML'!AC525,8),RIGHT('Pegar ML'!AC526,8))</f>
        <v/>
      </c>
      <c r="N530" s="27" t="s">
        <v>80</v>
      </c>
      <c r="O530" s="27">
        <f t="shared" si="24"/>
        <v>0</v>
      </c>
      <c r="P530" s="27" t="s">
        <v>80</v>
      </c>
      <c r="Q530" s="55">
        <f>IF('Pegar ML'!AD526=" ",'Pegar ML'!AD525,'Pegar ML'!AD526)</f>
        <v>0</v>
      </c>
      <c r="R530" s="27" t="s">
        <v>80</v>
      </c>
      <c r="S530" s="27" t="s">
        <v>80</v>
      </c>
      <c r="T530" s="27" t="s">
        <v>80</v>
      </c>
      <c r="U530" s="55">
        <f>IF('Pegar ML'!AI526=" ",'Pegar ML'!AI525,'Pegar ML'!AI526)</f>
        <v>0</v>
      </c>
      <c r="V530" s="55">
        <f>IF('Pegar ML'!AK526=" ",'Pegar ML'!AK525,'Pegar ML'!AK526)</f>
        <v>0</v>
      </c>
      <c r="W530" s="55">
        <f>IF('Pegar ML'!AJ526=" ",'Pegar ML'!AJ525,'Pegar ML'!AJ526)</f>
        <v>0</v>
      </c>
      <c r="X530" s="55">
        <f>IF('Pegar ML'!AL526=" ",'Pegar ML'!AL525,'Pegar ML'!AL526)</f>
        <v>0</v>
      </c>
      <c r="Y530" s="27"/>
      <c r="Z530" s="27"/>
      <c r="AA530" s="27"/>
      <c r="AB530" s="27"/>
      <c r="AC530" s="27"/>
      <c r="AD530" s="27"/>
      <c r="AF530" s="8"/>
      <c r="AG530" s="27"/>
      <c r="AH530" s="14">
        <f>+'Pegar ML'!Y526</f>
        <v>0</v>
      </c>
      <c r="AI530" s="13">
        <f t="shared" si="25"/>
        <v>1</v>
      </c>
      <c r="AJ530" s="7">
        <f>+'Pegar ML'!T526</f>
        <v>0</v>
      </c>
      <c r="AK530" s="27"/>
      <c r="AL530" s="27"/>
      <c r="AM530" s="27"/>
      <c r="AN530" s="27"/>
      <c r="AO530" s="27"/>
      <c r="AP530" s="27"/>
      <c r="AQ530" s="27"/>
      <c r="AR530" s="27"/>
      <c r="AS530" s="27">
        <v>17</v>
      </c>
    </row>
    <row r="531" spans="1:45" ht="15" customHeight="1" x14ac:dyDescent="0.25">
      <c r="A531" s="27">
        <f>IF('Pegar ML'!C526="Paquete de 2 productos",'Pegar ML'!A526,IF('Pegar ML'!C525="Paquete de 2 productos",'Pegar ML'!A525,'Pegar ML'!A527))</f>
        <v>0</v>
      </c>
      <c r="B531" s="27"/>
      <c r="C531" s="30" t="str">
        <f>IF(AjusteFecha!I527=0,"",AjusteFecha!I527)</f>
        <v/>
      </c>
      <c r="D531" s="27"/>
      <c r="E531" s="27"/>
      <c r="F531" s="27" t="str">
        <f>IF('Pegar ML'!C527="","",'Pegar ML'!C527)</f>
        <v/>
      </c>
      <c r="G531" s="27" t="str">
        <f>IF('Pegar ML'!G522="ARS","PS","PS")</f>
        <v>PS</v>
      </c>
      <c r="H531" s="14">
        <f>IF('Pegar ML'!C526="Paquete de 2 productos",IF('Pegar ML'!H526="",0,'Pegar ML'!H526),IF('Pegar ML'!H527="",0,'Pegar ML'!H527))</f>
        <v>0</v>
      </c>
      <c r="I531" s="14">
        <f>IF('Pegar ML'!C526="Paquete de 2 productos",IF('Pegar ML'!O526="",0,'Pegar ML'!O526),IF('Pegar ML'!O527="",0,'Pegar ML'!O527))</f>
        <v>0</v>
      </c>
      <c r="J531" s="14">
        <f>IF('Pegar ML'!C526="Paquete de 2 productos",IF('Pegar ML'!O526="",0,'Pegar ML'!O526),IF('Pegar ML'!O527="",0,'Pegar ML'!O527))</f>
        <v>0</v>
      </c>
      <c r="K531" s="14">
        <f t="shared" si="26"/>
        <v>0</v>
      </c>
      <c r="L531" s="27">
        <f>IF('Pegar ML'!AB527=" ",'Pegar ML'!AB526,'Pegar ML'!AB527)</f>
        <v>0</v>
      </c>
      <c r="M531" s="27" t="str">
        <f>IF('Pegar ML'!AC527=" ",RIGHT('Pegar ML'!AC526,8),RIGHT('Pegar ML'!AC527,8))</f>
        <v/>
      </c>
      <c r="N531" s="27" t="s">
        <v>80</v>
      </c>
      <c r="O531" s="27">
        <f t="shared" si="24"/>
        <v>0</v>
      </c>
      <c r="P531" s="27" t="s">
        <v>80</v>
      </c>
      <c r="Q531" s="55">
        <f>IF('Pegar ML'!AD527=" ",'Pegar ML'!AD526,'Pegar ML'!AD527)</f>
        <v>0</v>
      </c>
      <c r="R531" s="27" t="s">
        <v>80</v>
      </c>
      <c r="S531" s="27" t="s">
        <v>80</v>
      </c>
      <c r="T531" s="27" t="s">
        <v>80</v>
      </c>
      <c r="U531" s="55">
        <f>IF('Pegar ML'!AI527=" ",'Pegar ML'!AI526,'Pegar ML'!AI527)</f>
        <v>0</v>
      </c>
      <c r="V531" s="55">
        <f>IF('Pegar ML'!AK527=" ",'Pegar ML'!AK526,'Pegar ML'!AK527)</f>
        <v>0</v>
      </c>
      <c r="W531" s="55">
        <f>IF('Pegar ML'!AJ527=" ",'Pegar ML'!AJ526,'Pegar ML'!AJ527)</f>
        <v>0</v>
      </c>
      <c r="X531" s="55">
        <f>IF('Pegar ML'!AL527=" ",'Pegar ML'!AL526,'Pegar ML'!AL527)</f>
        <v>0</v>
      </c>
      <c r="Y531" s="27"/>
      <c r="Z531" s="27"/>
      <c r="AA531" s="27"/>
      <c r="AB531" s="27"/>
      <c r="AC531" s="27"/>
      <c r="AD531" s="27"/>
      <c r="AF531" s="8"/>
      <c r="AG531" s="27"/>
      <c r="AH531" s="14">
        <f>+'Pegar ML'!Y527</f>
        <v>0</v>
      </c>
      <c r="AI531" s="13">
        <f t="shared" si="25"/>
        <v>1</v>
      </c>
      <c r="AJ531" s="7">
        <f>+'Pegar ML'!T527</f>
        <v>0</v>
      </c>
      <c r="AK531" s="27"/>
      <c r="AL531" s="27"/>
      <c r="AM531" s="27"/>
      <c r="AN531" s="27"/>
      <c r="AO531" s="27"/>
      <c r="AP531" s="27"/>
      <c r="AQ531" s="27"/>
      <c r="AR531" s="27"/>
      <c r="AS531" s="27">
        <v>17</v>
      </c>
    </row>
    <row r="532" spans="1:45" ht="15" customHeight="1" x14ac:dyDescent="0.25">
      <c r="A532" s="27">
        <f>IF('Pegar ML'!C527="Paquete de 2 productos",'Pegar ML'!A527,IF('Pegar ML'!C526="Paquete de 2 productos",'Pegar ML'!A526,'Pegar ML'!A528))</f>
        <v>0</v>
      </c>
      <c r="B532" s="27"/>
      <c r="C532" s="30" t="str">
        <f>IF(AjusteFecha!I528=0,"",AjusteFecha!I528)</f>
        <v/>
      </c>
      <c r="D532" s="27"/>
      <c r="E532" s="27"/>
      <c r="F532" s="27" t="str">
        <f>IF('Pegar ML'!C528="","",'Pegar ML'!C528)</f>
        <v/>
      </c>
      <c r="G532" s="27" t="str">
        <f>IF('Pegar ML'!G523="ARS","PS","PS")</f>
        <v>PS</v>
      </c>
      <c r="H532" s="14">
        <f>IF('Pegar ML'!C527="Paquete de 2 productos",IF('Pegar ML'!H527="",0,'Pegar ML'!H527),IF('Pegar ML'!H528="",0,'Pegar ML'!H528))</f>
        <v>0</v>
      </c>
      <c r="I532" s="14">
        <f>IF('Pegar ML'!C527="Paquete de 2 productos",IF('Pegar ML'!O527="",0,'Pegar ML'!O527),IF('Pegar ML'!O528="",0,'Pegar ML'!O528))</f>
        <v>0</v>
      </c>
      <c r="J532" s="14">
        <f>IF('Pegar ML'!C527="Paquete de 2 productos",IF('Pegar ML'!O527="",0,'Pegar ML'!O527),IF('Pegar ML'!O528="",0,'Pegar ML'!O528))</f>
        <v>0</v>
      </c>
      <c r="K532" s="14">
        <f t="shared" si="26"/>
        <v>0</v>
      </c>
      <c r="L532" s="27">
        <f>IF('Pegar ML'!AB528=" ",'Pegar ML'!AB527,'Pegar ML'!AB528)</f>
        <v>0</v>
      </c>
      <c r="M532" s="27" t="str">
        <f>IF('Pegar ML'!AC528=" ",RIGHT('Pegar ML'!AC527,8),RIGHT('Pegar ML'!AC528,8))</f>
        <v/>
      </c>
      <c r="N532" s="27" t="s">
        <v>80</v>
      </c>
      <c r="O532" s="27">
        <f t="shared" si="24"/>
        <v>0</v>
      </c>
      <c r="P532" s="27" t="s">
        <v>80</v>
      </c>
      <c r="Q532" s="55">
        <f>IF('Pegar ML'!AD528=" ",'Pegar ML'!AD527,'Pegar ML'!AD528)</f>
        <v>0</v>
      </c>
      <c r="R532" s="27" t="s">
        <v>80</v>
      </c>
      <c r="S532" s="27" t="s">
        <v>80</v>
      </c>
      <c r="T532" s="27" t="s">
        <v>80</v>
      </c>
      <c r="U532" s="55">
        <f>IF('Pegar ML'!AI528=" ",'Pegar ML'!AI527,'Pegar ML'!AI528)</f>
        <v>0</v>
      </c>
      <c r="V532" s="55">
        <f>IF('Pegar ML'!AK528=" ",'Pegar ML'!AK527,'Pegar ML'!AK528)</f>
        <v>0</v>
      </c>
      <c r="W532" s="55">
        <f>IF('Pegar ML'!AJ528=" ",'Pegar ML'!AJ527,'Pegar ML'!AJ528)</f>
        <v>0</v>
      </c>
      <c r="X532" s="55">
        <f>IF('Pegar ML'!AL528=" ",'Pegar ML'!AL527,'Pegar ML'!AL528)</f>
        <v>0</v>
      </c>
      <c r="Y532" s="27"/>
      <c r="Z532" s="27"/>
      <c r="AA532" s="27"/>
      <c r="AB532" s="27"/>
      <c r="AC532" s="27"/>
      <c r="AD532" s="27"/>
      <c r="AF532" s="8"/>
      <c r="AG532" s="27"/>
      <c r="AH532" s="14">
        <f>+'Pegar ML'!Y528</f>
        <v>0</v>
      </c>
      <c r="AI532" s="13">
        <f t="shared" si="25"/>
        <v>1</v>
      </c>
      <c r="AJ532" s="7">
        <f>+'Pegar ML'!T528</f>
        <v>0</v>
      </c>
      <c r="AK532" s="27"/>
      <c r="AL532" s="27"/>
      <c r="AM532" s="27"/>
      <c r="AN532" s="27"/>
      <c r="AO532" s="27"/>
      <c r="AP532" s="27"/>
      <c r="AQ532" s="27"/>
      <c r="AR532" s="27"/>
      <c r="AS532" s="27">
        <v>17</v>
      </c>
    </row>
    <row r="533" spans="1:45" ht="15" customHeight="1" x14ac:dyDescent="0.25">
      <c r="A533" s="27">
        <f>IF('Pegar ML'!C528="Paquete de 2 productos",'Pegar ML'!A528,IF('Pegar ML'!C527="Paquete de 2 productos",'Pegar ML'!A527,'Pegar ML'!A529))</f>
        <v>0</v>
      </c>
      <c r="B533" s="27"/>
      <c r="C533" s="30" t="str">
        <f>IF(AjusteFecha!I529=0,"",AjusteFecha!I529)</f>
        <v/>
      </c>
      <c r="D533" s="27"/>
      <c r="E533" s="27"/>
      <c r="F533" s="27" t="str">
        <f>IF('Pegar ML'!C529="","",'Pegar ML'!C529)</f>
        <v/>
      </c>
      <c r="G533" s="27" t="str">
        <f>IF('Pegar ML'!G524="ARS","PS","PS")</f>
        <v>PS</v>
      </c>
      <c r="H533" s="14">
        <f>IF('Pegar ML'!C528="Paquete de 2 productos",IF('Pegar ML'!H528="",0,'Pegar ML'!H528),IF('Pegar ML'!H529="",0,'Pegar ML'!H529))</f>
        <v>0</v>
      </c>
      <c r="I533" s="14">
        <f>IF('Pegar ML'!C528="Paquete de 2 productos",IF('Pegar ML'!O528="",0,'Pegar ML'!O528),IF('Pegar ML'!O529="",0,'Pegar ML'!O529))</f>
        <v>0</v>
      </c>
      <c r="J533" s="14">
        <f>IF('Pegar ML'!C528="Paquete de 2 productos",IF('Pegar ML'!O528="",0,'Pegar ML'!O528),IF('Pegar ML'!O529="",0,'Pegar ML'!O529))</f>
        <v>0</v>
      </c>
      <c r="K533" s="14">
        <f t="shared" si="26"/>
        <v>0</v>
      </c>
      <c r="L533" s="27">
        <f>IF('Pegar ML'!AB529=" ",'Pegar ML'!AB528,'Pegar ML'!AB529)</f>
        <v>0</v>
      </c>
      <c r="M533" s="27" t="str">
        <f>IF('Pegar ML'!AC529=" ",RIGHT('Pegar ML'!AC528,8),RIGHT('Pegar ML'!AC529,8))</f>
        <v/>
      </c>
      <c r="N533" s="27" t="s">
        <v>80</v>
      </c>
      <c r="O533" s="27">
        <f t="shared" si="24"/>
        <v>0</v>
      </c>
      <c r="P533" s="27" t="s">
        <v>80</v>
      </c>
      <c r="Q533" s="55">
        <f>IF('Pegar ML'!AD529=" ",'Pegar ML'!AD528,'Pegar ML'!AD529)</f>
        <v>0</v>
      </c>
      <c r="R533" s="27" t="s">
        <v>80</v>
      </c>
      <c r="S533" s="27" t="s">
        <v>80</v>
      </c>
      <c r="T533" s="27" t="s">
        <v>80</v>
      </c>
      <c r="U533" s="55">
        <f>IF('Pegar ML'!AI529=" ",'Pegar ML'!AI528,'Pegar ML'!AI529)</f>
        <v>0</v>
      </c>
      <c r="V533" s="55">
        <f>IF('Pegar ML'!AK529=" ",'Pegar ML'!AK528,'Pegar ML'!AK529)</f>
        <v>0</v>
      </c>
      <c r="W533" s="55">
        <f>IF('Pegar ML'!AJ529=" ",'Pegar ML'!AJ528,'Pegar ML'!AJ529)</f>
        <v>0</v>
      </c>
      <c r="X533" s="55">
        <f>IF('Pegar ML'!AL529=" ",'Pegar ML'!AL528,'Pegar ML'!AL529)</f>
        <v>0</v>
      </c>
      <c r="Y533" s="27"/>
      <c r="Z533" s="27"/>
      <c r="AA533" s="27"/>
      <c r="AB533" s="27"/>
      <c r="AC533" s="27"/>
      <c r="AD533" s="27"/>
      <c r="AF533" s="8"/>
      <c r="AG533" s="27"/>
      <c r="AH533" s="14">
        <f>+'Pegar ML'!Y529</f>
        <v>0</v>
      </c>
      <c r="AI533" s="13">
        <f t="shared" si="25"/>
        <v>1</v>
      </c>
      <c r="AJ533" s="7">
        <f>+'Pegar ML'!T529</f>
        <v>0</v>
      </c>
      <c r="AK533" s="27"/>
      <c r="AL533" s="27"/>
      <c r="AM533" s="27"/>
      <c r="AN533" s="27"/>
      <c r="AO533" s="27"/>
      <c r="AP533" s="27"/>
      <c r="AQ533" s="27"/>
      <c r="AR533" s="27"/>
      <c r="AS533" s="27">
        <v>17</v>
      </c>
    </row>
    <row r="534" spans="1:45" ht="15" customHeight="1" x14ac:dyDescent="0.25">
      <c r="A534" s="27">
        <f>IF('Pegar ML'!C529="Paquete de 2 productos",'Pegar ML'!A529,IF('Pegar ML'!C528="Paquete de 2 productos",'Pegar ML'!A528,'Pegar ML'!A530))</f>
        <v>0</v>
      </c>
      <c r="B534" s="27"/>
      <c r="C534" s="30" t="str">
        <f>IF(AjusteFecha!I530=0,"",AjusteFecha!I530)</f>
        <v/>
      </c>
      <c r="D534" s="27"/>
      <c r="E534" s="27"/>
      <c r="F534" s="27" t="str">
        <f>IF('Pegar ML'!C530="","",'Pegar ML'!C530)</f>
        <v/>
      </c>
      <c r="G534" s="27" t="str">
        <f>IF('Pegar ML'!G525="ARS","PS","PS")</f>
        <v>PS</v>
      </c>
      <c r="H534" s="14">
        <f>IF('Pegar ML'!C529="Paquete de 2 productos",IF('Pegar ML'!H529="",0,'Pegar ML'!H529),IF('Pegar ML'!H530="",0,'Pegar ML'!H530))</f>
        <v>0</v>
      </c>
      <c r="I534" s="14">
        <f>IF('Pegar ML'!C529="Paquete de 2 productos",IF('Pegar ML'!O529="",0,'Pegar ML'!O529),IF('Pegar ML'!O530="",0,'Pegar ML'!O530))</f>
        <v>0</v>
      </c>
      <c r="J534" s="14">
        <f>IF('Pegar ML'!C529="Paquete de 2 productos",IF('Pegar ML'!O529="",0,'Pegar ML'!O529),IF('Pegar ML'!O530="",0,'Pegar ML'!O530))</f>
        <v>0</v>
      </c>
      <c r="K534" s="14">
        <f t="shared" si="26"/>
        <v>0</v>
      </c>
      <c r="L534" s="27">
        <f>IF('Pegar ML'!AB530=" ",'Pegar ML'!AB529,'Pegar ML'!AB530)</f>
        <v>0</v>
      </c>
      <c r="M534" s="27" t="str">
        <f>IF('Pegar ML'!AC530=" ",RIGHT('Pegar ML'!AC529,8),RIGHT('Pegar ML'!AC530,8))</f>
        <v/>
      </c>
      <c r="N534" s="27" t="s">
        <v>80</v>
      </c>
      <c r="O534" s="27">
        <f t="shared" si="24"/>
        <v>0</v>
      </c>
      <c r="P534" s="27" t="s">
        <v>80</v>
      </c>
      <c r="Q534" s="55">
        <f>IF('Pegar ML'!AD530=" ",'Pegar ML'!AD529,'Pegar ML'!AD530)</f>
        <v>0</v>
      </c>
      <c r="R534" s="27" t="s">
        <v>80</v>
      </c>
      <c r="S534" s="27" t="s">
        <v>80</v>
      </c>
      <c r="T534" s="27" t="s">
        <v>80</v>
      </c>
      <c r="U534" s="55">
        <f>IF('Pegar ML'!AI530=" ",'Pegar ML'!AI529,'Pegar ML'!AI530)</f>
        <v>0</v>
      </c>
      <c r="V534" s="55">
        <f>IF('Pegar ML'!AK530=" ",'Pegar ML'!AK529,'Pegar ML'!AK530)</f>
        <v>0</v>
      </c>
      <c r="W534" s="55">
        <f>IF('Pegar ML'!AJ530=" ",'Pegar ML'!AJ529,'Pegar ML'!AJ530)</f>
        <v>0</v>
      </c>
      <c r="X534" s="55">
        <f>IF('Pegar ML'!AL530=" ",'Pegar ML'!AL529,'Pegar ML'!AL530)</f>
        <v>0</v>
      </c>
      <c r="Y534" s="27"/>
      <c r="Z534" s="27"/>
      <c r="AA534" s="27"/>
      <c r="AB534" s="27"/>
      <c r="AC534" s="27"/>
      <c r="AD534" s="27"/>
      <c r="AF534" s="8"/>
      <c r="AG534" s="27"/>
      <c r="AH534" s="14">
        <f>+'Pegar ML'!Y530</f>
        <v>0</v>
      </c>
      <c r="AI534" s="13">
        <f t="shared" si="25"/>
        <v>1</v>
      </c>
      <c r="AJ534" s="7">
        <f>+'Pegar ML'!T530</f>
        <v>0</v>
      </c>
      <c r="AK534" s="27"/>
      <c r="AL534" s="27"/>
      <c r="AM534" s="27"/>
      <c r="AN534" s="27"/>
      <c r="AO534" s="27"/>
      <c r="AP534" s="27"/>
      <c r="AQ534" s="27"/>
      <c r="AR534" s="27"/>
      <c r="AS534" s="27">
        <v>17</v>
      </c>
    </row>
    <row r="535" spans="1:45" ht="15" customHeight="1" x14ac:dyDescent="0.25">
      <c r="A535" s="27">
        <f>IF('Pegar ML'!C530="Paquete de 2 productos",'Pegar ML'!A530,IF('Pegar ML'!C529="Paquete de 2 productos",'Pegar ML'!A529,'Pegar ML'!A531))</f>
        <v>0</v>
      </c>
      <c r="B535" s="27"/>
      <c r="C535" s="30" t="str">
        <f>IF(AjusteFecha!I531=0,"",AjusteFecha!I531)</f>
        <v/>
      </c>
      <c r="D535" s="27"/>
      <c r="E535" s="27"/>
      <c r="F535" s="27" t="str">
        <f>IF('Pegar ML'!C531="","",'Pegar ML'!C531)</f>
        <v/>
      </c>
      <c r="G535" s="27" t="str">
        <f>IF('Pegar ML'!G526="ARS","PS","PS")</f>
        <v>PS</v>
      </c>
      <c r="H535" s="14">
        <f>IF('Pegar ML'!C530="Paquete de 2 productos",IF('Pegar ML'!H530="",0,'Pegar ML'!H530),IF('Pegar ML'!H531="",0,'Pegar ML'!H531))</f>
        <v>0</v>
      </c>
      <c r="I535" s="14">
        <f>IF('Pegar ML'!C530="Paquete de 2 productos",IF('Pegar ML'!O530="",0,'Pegar ML'!O530),IF('Pegar ML'!O531="",0,'Pegar ML'!O531))</f>
        <v>0</v>
      </c>
      <c r="J535" s="14">
        <f>IF('Pegar ML'!C530="Paquete de 2 productos",IF('Pegar ML'!O530="",0,'Pegar ML'!O530),IF('Pegar ML'!O531="",0,'Pegar ML'!O531))</f>
        <v>0</v>
      </c>
      <c r="K535" s="14">
        <f t="shared" si="26"/>
        <v>0</v>
      </c>
      <c r="L535" s="27">
        <f>IF('Pegar ML'!AB531=" ",'Pegar ML'!AB530,'Pegar ML'!AB531)</f>
        <v>0</v>
      </c>
      <c r="M535" s="27" t="str">
        <f>IF('Pegar ML'!AC531=" ",RIGHT('Pegar ML'!AC530,8),RIGHT('Pegar ML'!AC531,8))</f>
        <v/>
      </c>
      <c r="N535" s="27" t="s">
        <v>80</v>
      </c>
      <c r="O535" s="27">
        <f t="shared" si="24"/>
        <v>0</v>
      </c>
      <c r="P535" s="27" t="s">
        <v>80</v>
      </c>
      <c r="Q535" s="55">
        <f>IF('Pegar ML'!AD531=" ",'Pegar ML'!AD530,'Pegar ML'!AD531)</f>
        <v>0</v>
      </c>
      <c r="R535" s="27" t="s">
        <v>80</v>
      </c>
      <c r="S535" s="27" t="s">
        <v>80</v>
      </c>
      <c r="T535" s="27" t="s">
        <v>80</v>
      </c>
      <c r="U535" s="55">
        <f>IF('Pegar ML'!AI531=" ",'Pegar ML'!AI530,'Pegar ML'!AI531)</f>
        <v>0</v>
      </c>
      <c r="V535" s="55">
        <f>IF('Pegar ML'!AK531=" ",'Pegar ML'!AK530,'Pegar ML'!AK531)</f>
        <v>0</v>
      </c>
      <c r="W535" s="55">
        <f>IF('Pegar ML'!AJ531=" ",'Pegar ML'!AJ530,'Pegar ML'!AJ531)</f>
        <v>0</v>
      </c>
      <c r="X535" s="55">
        <f>IF('Pegar ML'!AL531=" ",'Pegar ML'!AL530,'Pegar ML'!AL531)</f>
        <v>0</v>
      </c>
      <c r="Y535" s="27"/>
      <c r="Z535" s="27"/>
      <c r="AA535" s="27"/>
      <c r="AB535" s="27"/>
      <c r="AC535" s="27"/>
      <c r="AD535" s="27"/>
      <c r="AF535" s="8"/>
      <c r="AG535" s="27"/>
      <c r="AH535" s="14">
        <f>+'Pegar ML'!Y531</f>
        <v>0</v>
      </c>
      <c r="AI535" s="13">
        <f t="shared" si="25"/>
        <v>1</v>
      </c>
      <c r="AJ535" s="7">
        <f>+'Pegar ML'!T531</f>
        <v>0</v>
      </c>
      <c r="AK535" s="27"/>
      <c r="AL535" s="27"/>
      <c r="AM535" s="27"/>
      <c r="AN535" s="27"/>
      <c r="AO535" s="27"/>
      <c r="AP535" s="27"/>
      <c r="AQ535" s="27"/>
      <c r="AR535" s="27"/>
      <c r="AS535" s="27">
        <v>17</v>
      </c>
    </row>
    <row r="536" spans="1:45" ht="15" customHeight="1" x14ac:dyDescent="0.25">
      <c r="A536" s="27">
        <f>IF('Pegar ML'!C531="Paquete de 2 productos",'Pegar ML'!A531,IF('Pegar ML'!C530="Paquete de 2 productos",'Pegar ML'!A530,'Pegar ML'!A532))</f>
        <v>0</v>
      </c>
      <c r="B536" s="27"/>
      <c r="C536" s="30" t="str">
        <f>IF(AjusteFecha!I532=0,"",AjusteFecha!I532)</f>
        <v/>
      </c>
      <c r="D536" s="27"/>
      <c r="E536" s="27"/>
      <c r="F536" s="27" t="str">
        <f>IF('Pegar ML'!C532="","",'Pegar ML'!C532)</f>
        <v/>
      </c>
      <c r="G536" s="27" t="str">
        <f>IF('Pegar ML'!G527="ARS","PS","PS")</f>
        <v>PS</v>
      </c>
      <c r="H536" s="14">
        <f>IF('Pegar ML'!C531="Paquete de 2 productos",IF('Pegar ML'!H531="",0,'Pegar ML'!H531),IF('Pegar ML'!H532="",0,'Pegar ML'!H532))</f>
        <v>0</v>
      </c>
      <c r="I536" s="14">
        <f>IF('Pegar ML'!C531="Paquete de 2 productos",IF('Pegar ML'!O531="",0,'Pegar ML'!O531),IF('Pegar ML'!O532="",0,'Pegar ML'!O532))</f>
        <v>0</v>
      </c>
      <c r="J536" s="14">
        <f>IF('Pegar ML'!C531="Paquete de 2 productos",IF('Pegar ML'!O531="",0,'Pegar ML'!O531),IF('Pegar ML'!O532="",0,'Pegar ML'!O532))</f>
        <v>0</v>
      </c>
      <c r="K536" s="14">
        <f t="shared" si="26"/>
        <v>0</v>
      </c>
      <c r="L536" s="27">
        <f>IF('Pegar ML'!AB532=" ",'Pegar ML'!AB531,'Pegar ML'!AB532)</f>
        <v>0</v>
      </c>
      <c r="M536" s="27" t="str">
        <f>IF('Pegar ML'!AC532=" ",RIGHT('Pegar ML'!AC531,8),RIGHT('Pegar ML'!AC532,8))</f>
        <v/>
      </c>
      <c r="N536" s="27" t="s">
        <v>80</v>
      </c>
      <c r="O536" s="27">
        <f t="shared" si="24"/>
        <v>0</v>
      </c>
      <c r="P536" s="27" t="s">
        <v>80</v>
      </c>
      <c r="Q536" s="55">
        <f>IF('Pegar ML'!AD532=" ",'Pegar ML'!AD531,'Pegar ML'!AD532)</f>
        <v>0</v>
      </c>
      <c r="R536" s="27" t="s">
        <v>80</v>
      </c>
      <c r="S536" s="27" t="s">
        <v>80</v>
      </c>
      <c r="T536" s="27" t="s">
        <v>80</v>
      </c>
      <c r="U536" s="55">
        <f>IF('Pegar ML'!AI532=" ",'Pegar ML'!AI531,'Pegar ML'!AI532)</f>
        <v>0</v>
      </c>
      <c r="V536" s="55">
        <f>IF('Pegar ML'!AK532=" ",'Pegar ML'!AK531,'Pegar ML'!AK532)</f>
        <v>0</v>
      </c>
      <c r="W536" s="55">
        <f>IF('Pegar ML'!AJ532=" ",'Pegar ML'!AJ531,'Pegar ML'!AJ532)</f>
        <v>0</v>
      </c>
      <c r="X536" s="55">
        <f>IF('Pegar ML'!AL532=" ",'Pegar ML'!AL531,'Pegar ML'!AL532)</f>
        <v>0</v>
      </c>
      <c r="Y536" s="27"/>
      <c r="Z536" s="27"/>
      <c r="AA536" s="27"/>
      <c r="AB536" s="27"/>
      <c r="AC536" s="27"/>
      <c r="AD536" s="27"/>
      <c r="AF536" s="8"/>
      <c r="AG536" s="27"/>
      <c r="AH536" s="14">
        <f>+'Pegar ML'!Y532</f>
        <v>0</v>
      </c>
      <c r="AI536" s="13">
        <f t="shared" si="25"/>
        <v>1</v>
      </c>
      <c r="AJ536" s="7">
        <f>+'Pegar ML'!T532</f>
        <v>0</v>
      </c>
      <c r="AK536" s="27"/>
      <c r="AL536" s="27"/>
      <c r="AM536" s="27"/>
      <c r="AN536" s="27"/>
      <c r="AO536" s="27"/>
      <c r="AP536" s="27"/>
      <c r="AQ536" s="27"/>
      <c r="AR536" s="27"/>
      <c r="AS536" s="27">
        <v>17</v>
      </c>
    </row>
    <row r="537" spans="1:45" ht="15" customHeight="1" x14ac:dyDescent="0.25">
      <c r="A537" s="27">
        <f>IF('Pegar ML'!C532="Paquete de 2 productos",'Pegar ML'!A532,IF('Pegar ML'!C531="Paquete de 2 productos",'Pegar ML'!A531,'Pegar ML'!A533))</f>
        <v>0</v>
      </c>
      <c r="B537" s="27"/>
      <c r="C537" s="30" t="str">
        <f>IF(AjusteFecha!I533=0,"",AjusteFecha!I533)</f>
        <v/>
      </c>
      <c r="D537" s="27"/>
      <c r="E537" s="27"/>
      <c r="F537" s="27" t="str">
        <f>IF('Pegar ML'!C533="","",'Pegar ML'!C533)</f>
        <v/>
      </c>
      <c r="G537" s="27" t="str">
        <f>IF('Pegar ML'!G528="ARS","PS","PS")</f>
        <v>PS</v>
      </c>
      <c r="H537" s="14">
        <f>IF('Pegar ML'!C532="Paquete de 2 productos",IF('Pegar ML'!H532="",0,'Pegar ML'!H532),IF('Pegar ML'!H533="",0,'Pegar ML'!H533))</f>
        <v>0</v>
      </c>
      <c r="I537" s="14">
        <f>IF('Pegar ML'!C532="Paquete de 2 productos",IF('Pegar ML'!O532="",0,'Pegar ML'!O532),IF('Pegar ML'!O533="",0,'Pegar ML'!O533))</f>
        <v>0</v>
      </c>
      <c r="J537" s="14">
        <f>IF('Pegar ML'!C532="Paquete de 2 productos",IF('Pegar ML'!O532="",0,'Pegar ML'!O532),IF('Pegar ML'!O533="",0,'Pegar ML'!O533))</f>
        <v>0</v>
      </c>
      <c r="K537" s="14">
        <f t="shared" si="26"/>
        <v>0</v>
      </c>
      <c r="L537" s="27">
        <f>IF('Pegar ML'!AB533=" ",'Pegar ML'!AB532,'Pegar ML'!AB533)</f>
        <v>0</v>
      </c>
      <c r="M537" s="27" t="str">
        <f>IF('Pegar ML'!AC533=" ",RIGHT('Pegar ML'!AC532,8),RIGHT('Pegar ML'!AC533,8))</f>
        <v/>
      </c>
      <c r="N537" s="27" t="s">
        <v>80</v>
      </c>
      <c r="O537" s="27">
        <f t="shared" si="24"/>
        <v>0</v>
      </c>
      <c r="P537" s="27" t="s">
        <v>80</v>
      </c>
      <c r="Q537" s="55">
        <f>IF('Pegar ML'!AD533=" ",'Pegar ML'!AD532,'Pegar ML'!AD533)</f>
        <v>0</v>
      </c>
      <c r="R537" s="27" t="s">
        <v>80</v>
      </c>
      <c r="S537" s="27" t="s">
        <v>80</v>
      </c>
      <c r="T537" s="27" t="s">
        <v>80</v>
      </c>
      <c r="U537" s="55">
        <f>IF('Pegar ML'!AI533=" ",'Pegar ML'!AI532,'Pegar ML'!AI533)</f>
        <v>0</v>
      </c>
      <c r="V537" s="55">
        <f>IF('Pegar ML'!AK533=" ",'Pegar ML'!AK532,'Pegar ML'!AK533)</f>
        <v>0</v>
      </c>
      <c r="W537" s="55">
        <f>IF('Pegar ML'!AJ533=" ",'Pegar ML'!AJ532,'Pegar ML'!AJ533)</f>
        <v>0</v>
      </c>
      <c r="X537" s="55">
        <f>IF('Pegar ML'!AL533=" ",'Pegar ML'!AL532,'Pegar ML'!AL533)</f>
        <v>0</v>
      </c>
      <c r="Y537" s="27"/>
      <c r="Z537" s="27"/>
      <c r="AA537" s="27"/>
      <c r="AB537" s="27"/>
      <c r="AC537" s="27"/>
      <c r="AD537" s="27"/>
      <c r="AF537" s="8"/>
      <c r="AG537" s="27"/>
      <c r="AH537" s="14">
        <f>+'Pegar ML'!Y533</f>
        <v>0</v>
      </c>
      <c r="AI537" s="13">
        <f t="shared" si="25"/>
        <v>1</v>
      </c>
      <c r="AJ537" s="7">
        <f>+'Pegar ML'!T533</f>
        <v>0</v>
      </c>
      <c r="AK537" s="27"/>
      <c r="AL537" s="27"/>
      <c r="AM537" s="27"/>
      <c r="AN537" s="27"/>
      <c r="AO537" s="27"/>
      <c r="AP537" s="27"/>
      <c r="AQ537" s="27"/>
      <c r="AR537" s="27"/>
      <c r="AS537" s="27">
        <v>17</v>
      </c>
    </row>
    <row r="538" spans="1:45" ht="15" customHeight="1" x14ac:dyDescent="0.25">
      <c r="A538" s="27">
        <f>IF('Pegar ML'!C533="Paquete de 2 productos",'Pegar ML'!A533,IF('Pegar ML'!C532="Paquete de 2 productos",'Pegar ML'!A532,'Pegar ML'!A534))</f>
        <v>0</v>
      </c>
      <c r="B538" s="27"/>
      <c r="C538" s="30" t="str">
        <f>IF(AjusteFecha!I534=0,"",AjusteFecha!I534)</f>
        <v/>
      </c>
      <c r="D538" s="27"/>
      <c r="E538" s="27"/>
      <c r="F538" s="27" t="str">
        <f>IF('Pegar ML'!C534="","",'Pegar ML'!C534)</f>
        <v/>
      </c>
      <c r="G538" s="27" t="str">
        <f>IF('Pegar ML'!G529="ARS","PS","PS")</f>
        <v>PS</v>
      </c>
      <c r="H538" s="14">
        <f>IF('Pegar ML'!C533="Paquete de 2 productos",IF('Pegar ML'!H533="",0,'Pegar ML'!H533),IF('Pegar ML'!H534="",0,'Pegar ML'!H534))</f>
        <v>0</v>
      </c>
      <c r="I538" s="14">
        <f>IF('Pegar ML'!C533="Paquete de 2 productos",IF('Pegar ML'!O533="",0,'Pegar ML'!O533),IF('Pegar ML'!O534="",0,'Pegar ML'!O534))</f>
        <v>0</v>
      </c>
      <c r="J538" s="14">
        <f>IF('Pegar ML'!C533="Paquete de 2 productos",IF('Pegar ML'!O533="",0,'Pegar ML'!O533),IF('Pegar ML'!O534="",0,'Pegar ML'!O534))</f>
        <v>0</v>
      </c>
      <c r="K538" s="14">
        <f t="shared" si="26"/>
        <v>0</v>
      </c>
      <c r="L538" s="27">
        <f>IF('Pegar ML'!AB534=" ",'Pegar ML'!AB533,'Pegar ML'!AB534)</f>
        <v>0</v>
      </c>
      <c r="M538" s="27" t="str">
        <f>IF('Pegar ML'!AC534=" ",RIGHT('Pegar ML'!AC533,8),RIGHT('Pegar ML'!AC534,8))</f>
        <v/>
      </c>
      <c r="N538" s="27" t="s">
        <v>80</v>
      </c>
      <c r="O538" s="27">
        <f t="shared" si="24"/>
        <v>0</v>
      </c>
      <c r="P538" s="27" t="s">
        <v>80</v>
      </c>
      <c r="Q538" s="55">
        <f>IF('Pegar ML'!AD534=" ",'Pegar ML'!AD533,'Pegar ML'!AD534)</f>
        <v>0</v>
      </c>
      <c r="R538" s="27" t="s">
        <v>80</v>
      </c>
      <c r="S538" s="27" t="s">
        <v>80</v>
      </c>
      <c r="T538" s="27" t="s">
        <v>80</v>
      </c>
      <c r="U538" s="55">
        <f>IF('Pegar ML'!AI534=" ",'Pegar ML'!AI533,'Pegar ML'!AI534)</f>
        <v>0</v>
      </c>
      <c r="V538" s="55">
        <f>IF('Pegar ML'!AK534=" ",'Pegar ML'!AK533,'Pegar ML'!AK534)</f>
        <v>0</v>
      </c>
      <c r="W538" s="55">
        <f>IF('Pegar ML'!AJ534=" ",'Pegar ML'!AJ533,'Pegar ML'!AJ534)</f>
        <v>0</v>
      </c>
      <c r="X538" s="55">
        <f>IF('Pegar ML'!AL534=" ",'Pegar ML'!AL533,'Pegar ML'!AL534)</f>
        <v>0</v>
      </c>
      <c r="Y538" s="27"/>
      <c r="Z538" s="27"/>
      <c r="AA538" s="27"/>
      <c r="AB538" s="27"/>
      <c r="AC538" s="27"/>
      <c r="AD538" s="27"/>
      <c r="AF538" s="8"/>
      <c r="AG538" s="27"/>
      <c r="AH538" s="14">
        <f>+'Pegar ML'!Y534</f>
        <v>0</v>
      </c>
      <c r="AI538" s="13">
        <f t="shared" si="25"/>
        <v>1</v>
      </c>
      <c r="AJ538" s="7">
        <f>+'Pegar ML'!T534</f>
        <v>0</v>
      </c>
      <c r="AK538" s="27"/>
      <c r="AL538" s="27"/>
      <c r="AM538" s="27"/>
      <c r="AN538" s="27"/>
      <c r="AO538" s="27"/>
      <c r="AP538" s="27"/>
      <c r="AQ538" s="27"/>
      <c r="AR538" s="27"/>
      <c r="AS538" s="27">
        <v>17</v>
      </c>
    </row>
    <row r="539" spans="1:45" ht="15" customHeight="1" x14ac:dyDescent="0.25">
      <c r="A539" s="27">
        <f>IF('Pegar ML'!C534="Paquete de 2 productos",'Pegar ML'!A534,IF('Pegar ML'!C533="Paquete de 2 productos",'Pegar ML'!A533,'Pegar ML'!A535))</f>
        <v>0</v>
      </c>
      <c r="B539" s="27"/>
      <c r="C539" s="30" t="str">
        <f>IF(AjusteFecha!I535=0,"",AjusteFecha!I535)</f>
        <v/>
      </c>
      <c r="D539" s="27"/>
      <c r="E539" s="27"/>
      <c r="F539" s="27" t="str">
        <f>IF('Pegar ML'!C535="","",'Pegar ML'!C535)</f>
        <v/>
      </c>
      <c r="G539" s="27" t="str">
        <f>IF('Pegar ML'!G530="ARS","PS","PS")</f>
        <v>PS</v>
      </c>
      <c r="H539" s="14">
        <f>IF('Pegar ML'!C534="Paquete de 2 productos",IF('Pegar ML'!H534="",0,'Pegar ML'!H534),IF('Pegar ML'!H535="",0,'Pegar ML'!H535))</f>
        <v>0</v>
      </c>
      <c r="I539" s="14">
        <f>IF('Pegar ML'!C534="Paquete de 2 productos",IF('Pegar ML'!O534="",0,'Pegar ML'!O534),IF('Pegar ML'!O535="",0,'Pegar ML'!O535))</f>
        <v>0</v>
      </c>
      <c r="J539" s="14">
        <f>IF('Pegar ML'!C534="Paquete de 2 productos",IF('Pegar ML'!O534="",0,'Pegar ML'!O534),IF('Pegar ML'!O535="",0,'Pegar ML'!O535))</f>
        <v>0</v>
      </c>
      <c r="K539" s="14">
        <f t="shared" si="26"/>
        <v>0</v>
      </c>
      <c r="L539" s="27">
        <f>IF('Pegar ML'!AB535=" ",'Pegar ML'!AB534,'Pegar ML'!AB535)</f>
        <v>0</v>
      </c>
      <c r="M539" s="27" t="str">
        <f>IF('Pegar ML'!AC535=" ",RIGHT('Pegar ML'!AC534,8),RIGHT('Pegar ML'!AC535,8))</f>
        <v/>
      </c>
      <c r="N539" s="27" t="s">
        <v>80</v>
      </c>
      <c r="O539" s="27">
        <f t="shared" si="24"/>
        <v>0</v>
      </c>
      <c r="P539" s="27" t="s">
        <v>80</v>
      </c>
      <c r="Q539" s="55">
        <f>IF('Pegar ML'!AD535=" ",'Pegar ML'!AD534,'Pegar ML'!AD535)</f>
        <v>0</v>
      </c>
      <c r="R539" s="27" t="s">
        <v>80</v>
      </c>
      <c r="S539" s="27" t="s">
        <v>80</v>
      </c>
      <c r="T539" s="27" t="s">
        <v>80</v>
      </c>
      <c r="U539" s="55">
        <f>IF('Pegar ML'!AI535=" ",'Pegar ML'!AI534,'Pegar ML'!AI535)</f>
        <v>0</v>
      </c>
      <c r="V539" s="55">
        <f>IF('Pegar ML'!AK535=" ",'Pegar ML'!AK534,'Pegar ML'!AK535)</f>
        <v>0</v>
      </c>
      <c r="W539" s="55">
        <f>IF('Pegar ML'!AJ535=" ",'Pegar ML'!AJ534,'Pegar ML'!AJ535)</f>
        <v>0</v>
      </c>
      <c r="X539" s="55">
        <f>IF('Pegar ML'!AL535=" ",'Pegar ML'!AL534,'Pegar ML'!AL535)</f>
        <v>0</v>
      </c>
      <c r="Y539" s="27"/>
      <c r="Z539" s="27"/>
      <c r="AA539" s="27"/>
      <c r="AB539" s="27"/>
      <c r="AC539" s="27"/>
      <c r="AD539" s="27"/>
      <c r="AF539" s="8"/>
      <c r="AG539" s="27"/>
      <c r="AH539" s="14">
        <f>+'Pegar ML'!Y535</f>
        <v>0</v>
      </c>
      <c r="AI539" s="13">
        <f t="shared" si="25"/>
        <v>1</v>
      </c>
      <c r="AJ539" s="7">
        <f>+'Pegar ML'!T535</f>
        <v>0</v>
      </c>
      <c r="AK539" s="27"/>
      <c r="AL539" s="27"/>
      <c r="AM539" s="27"/>
      <c r="AN539" s="27"/>
      <c r="AO539" s="27"/>
      <c r="AP539" s="27"/>
      <c r="AQ539" s="27"/>
      <c r="AR539" s="27"/>
      <c r="AS539" s="27">
        <v>17</v>
      </c>
    </row>
    <row r="540" spans="1:45" ht="15" customHeight="1" x14ac:dyDescent="0.25">
      <c r="A540" s="27">
        <f>IF('Pegar ML'!C535="Paquete de 2 productos",'Pegar ML'!A535,IF('Pegar ML'!C534="Paquete de 2 productos",'Pegar ML'!A534,'Pegar ML'!A536))</f>
        <v>0</v>
      </c>
      <c r="B540" s="27"/>
      <c r="C540" s="30" t="str">
        <f>IF(AjusteFecha!I536=0,"",AjusteFecha!I536)</f>
        <v/>
      </c>
      <c r="D540" s="27"/>
      <c r="E540" s="27"/>
      <c r="F540" s="27" t="str">
        <f>IF('Pegar ML'!C536="","",'Pegar ML'!C536)</f>
        <v/>
      </c>
      <c r="G540" s="27" t="str">
        <f>IF('Pegar ML'!G531="ARS","PS","PS")</f>
        <v>PS</v>
      </c>
      <c r="H540" s="14">
        <f>IF('Pegar ML'!C535="Paquete de 2 productos",IF('Pegar ML'!H535="",0,'Pegar ML'!H535),IF('Pegar ML'!H536="",0,'Pegar ML'!H536))</f>
        <v>0</v>
      </c>
      <c r="I540" s="14">
        <f>IF('Pegar ML'!C535="Paquete de 2 productos",IF('Pegar ML'!O535="",0,'Pegar ML'!O535),IF('Pegar ML'!O536="",0,'Pegar ML'!O536))</f>
        <v>0</v>
      </c>
      <c r="J540" s="14">
        <f>IF('Pegar ML'!C535="Paquete de 2 productos",IF('Pegar ML'!O535="",0,'Pegar ML'!O535),IF('Pegar ML'!O536="",0,'Pegar ML'!O536))</f>
        <v>0</v>
      </c>
      <c r="K540" s="14">
        <f t="shared" si="26"/>
        <v>0</v>
      </c>
      <c r="L540" s="27">
        <f>IF('Pegar ML'!AB536=" ",'Pegar ML'!AB535,'Pegar ML'!AB536)</f>
        <v>0</v>
      </c>
      <c r="M540" s="27" t="str">
        <f>IF('Pegar ML'!AC536=" ",RIGHT('Pegar ML'!AC535,8),RIGHT('Pegar ML'!AC536,8))</f>
        <v/>
      </c>
      <c r="N540" s="27" t="s">
        <v>80</v>
      </c>
      <c r="O540" s="27">
        <f t="shared" si="24"/>
        <v>0</v>
      </c>
      <c r="P540" s="27" t="s">
        <v>80</v>
      </c>
      <c r="Q540" s="55">
        <f>IF('Pegar ML'!AD536=" ",'Pegar ML'!AD535,'Pegar ML'!AD536)</f>
        <v>0</v>
      </c>
      <c r="R540" s="27" t="s">
        <v>80</v>
      </c>
      <c r="S540" s="27" t="s">
        <v>80</v>
      </c>
      <c r="T540" s="27" t="s">
        <v>80</v>
      </c>
      <c r="U540" s="55">
        <f>IF('Pegar ML'!AI536=" ",'Pegar ML'!AI535,'Pegar ML'!AI536)</f>
        <v>0</v>
      </c>
      <c r="V540" s="55">
        <f>IF('Pegar ML'!AK536=" ",'Pegar ML'!AK535,'Pegar ML'!AK536)</f>
        <v>0</v>
      </c>
      <c r="W540" s="55">
        <f>IF('Pegar ML'!AJ536=" ",'Pegar ML'!AJ535,'Pegar ML'!AJ536)</f>
        <v>0</v>
      </c>
      <c r="X540" s="55">
        <f>IF('Pegar ML'!AL536=" ",'Pegar ML'!AL535,'Pegar ML'!AL536)</f>
        <v>0</v>
      </c>
      <c r="Y540" s="27"/>
      <c r="Z540" s="27"/>
      <c r="AA540" s="27"/>
      <c r="AB540" s="27"/>
      <c r="AC540" s="27"/>
      <c r="AD540" s="27"/>
      <c r="AF540" s="8"/>
      <c r="AG540" s="27"/>
      <c r="AH540" s="14">
        <f>+'Pegar ML'!Y536</f>
        <v>0</v>
      </c>
      <c r="AI540" s="13">
        <f t="shared" si="25"/>
        <v>1</v>
      </c>
      <c r="AJ540" s="7">
        <f>+'Pegar ML'!T536</f>
        <v>0</v>
      </c>
      <c r="AK540" s="27"/>
      <c r="AL540" s="27"/>
      <c r="AM540" s="27"/>
      <c r="AN540" s="27"/>
      <c r="AO540" s="27"/>
      <c r="AP540" s="27"/>
      <c r="AQ540" s="27"/>
      <c r="AR540" s="27"/>
      <c r="AS540" s="27">
        <v>17</v>
      </c>
    </row>
    <row r="541" spans="1:45" ht="15" customHeight="1" x14ac:dyDescent="0.25">
      <c r="A541" s="27">
        <f>IF('Pegar ML'!C536="Paquete de 2 productos",'Pegar ML'!A536,IF('Pegar ML'!C535="Paquete de 2 productos",'Pegar ML'!A535,'Pegar ML'!A537))</f>
        <v>0</v>
      </c>
      <c r="B541" s="27"/>
      <c r="C541" s="30" t="str">
        <f>IF(AjusteFecha!I537=0,"",AjusteFecha!I537)</f>
        <v/>
      </c>
      <c r="D541" s="27"/>
      <c r="E541" s="27"/>
      <c r="F541" s="27" t="str">
        <f>IF('Pegar ML'!C537="","",'Pegar ML'!C537)</f>
        <v/>
      </c>
      <c r="G541" s="27" t="str">
        <f>IF('Pegar ML'!G532="ARS","PS","PS")</f>
        <v>PS</v>
      </c>
      <c r="H541" s="14">
        <f>IF('Pegar ML'!C536="Paquete de 2 productos",IF('Pegar ML'!H536="",0,'Pegar ML'!H536),IF('Pegar ML'!H537="",0,'Pegar ML'!H537))</f>
        <v>0</v>
      </c>
      <c r="I541" s="14">
        <f>IF('Pegar ML'!C536="Paquete de 2 productos",IF('Pegar ML'!O536="",0,'Pegar ML'!O536),IF('Pegar ML'!O537="",0,'Pegar ML'!O537))</f>
        <v>0</v>
      </c>
      <c r="J541" s="14">
        <f>IF('Pegar ML'!C536="Paquete de 2 productos",IF('Pegar ML'!O536="",0,'Pegar ML'!O536),IF('Pegar ML'!O537="",0,'Pegar ML'!O537))</f>
        <v>0</v>
      </c>
      <c r="K541" s="14">
        <f t="shared" si="26"/>
        <v>0</v>
      </c>
      <c r="L541" s="27">
        <f>IF('Pegar ML'!AB537=" ",'Pegar ML'!AB536,'Pegar ML'!AB537)</f>
        <v>0</v>
      </c>
      <c r="M541" s="27" t="str">
        <f>IF('Pegar ML'!AC537=" ",RIGHT('Pegar ML'!AC536,8),RIGHT('Pegar ML'!AC537,8))</f>
        <v/>
      </c>
      <c r="N541" s="27" t="s">
        <v>80</v>
      </c>
      <c r="O541" s="27">
        <f t="shared" si="24"/>
        <v>0</v>
      </c>
      <c r="P541" s="27" t="s">
        <v>80</v>
      </c>
      <c r="Q541" s="55">
        <f>IF('Pegar ML'!AD537=" ",'Pegar ML'!AD536,'Pegar ML'!AD537)</f>
        <v>0</v>
      </c>
      <c r="R541" s="27" t="s">
        <v>80</v>
      </c>
      <c r="S541" s="27" t="s">
        <v>80</v>
      </c>
      <c r="T541" s="27" t="s">
        <v>80</v>
      </c>
      <c r="U541" s="55">
        <f>IF('Pegar ML'!AI537=" ",'Pegar ML'!AI536,'Pegar ML'!AI537)</f>
        <v>0</v>
      </c>
      <c r="V541" s="55">
        <f>IF('Pegar ML'!AK537=" ",'Pegar ML'!AK536,'Pegar ML'!AK537)</f>
        <v>0</v>
      </c>
      <c r="W541" s="55">
        <f>IF('Pegar ML'!AJ537=" ",'Pegar ML'!AJ536,'Pegar ML'!AJ537)</f>
        <v>0</v>
      </c>
      <c r="X541" s="55">
        <f>IF('Pegar ML'!AL537=" ",'Pegar ML'!AL536,'Pegar ML'!AL537)</f>
        <v>0</v>
      </c>
      <c r="Y541" s="27"/>
      <c r="Z541" s="27"/>
      <c r="AA541" s="27"/>
      <c r="AB541" s="27"/>
      <c r="AC541" s="27"/>
      <c r="AD541" s="27"/>
      <c r="AF541" s="8"/>
      <c r="AG541" s="27"/>
      <c r="AH541" s="14">
        <f>+'Pegar ML'!Y537</f>
        <v>0</v>
      </c>
      <c r="AI541" s="13">
        <f t="shared" si="25"/>
        <v>1</v>
      </c>
      <c r="AJ541" s="7">
        <f>+'Pegar ML'!T537</f>
        <v>0</v>
      </c>
      <c r="AK541" s="27"/>
      <c r="AL541" s="27"/>
      <c r="AM541" s="27"/>
      <c r="AN541" s="27"/>
      <c r="AO541" s="27"/>
      <c r="AP541" s="27"/>
      <c r="AQ541" s="27"/>
      <c r="AR541" s="27"/>
      <c r="AS541" s="27">
        <v>17</v>
      </c>
    </row>
    <row r="542" spans="1:45" ht="15" customHeight="1" x14ac:dyDescent="0.25">
      <c r="A542" s="27">
        <f>IF('Pegar ML'!C537="Paquete de 2 productos",'Pegar ML'!A537,IF('Pegar ML'!C536="Paquete de 2 productos",'Pegar ML'!A536,'Pegar ML'!A538))</f>
        <v>0</v>
      </c>
      <c r="B542" s="27"/>
      <c r="C542" s="30" t="str">
        <f>IF(AjusteFecha!I538=0,"",AjusteFecha!I538)</f>
        <v/>
      </c>
      <c r="D542" s="27"/>
      <c r="E542" s="27"/>
      <c r="F542" s="27" t="str">
        <f>IF('Pegar ML'!C538="","",'Pegar ML'!C538)</f>
        <v/>
      </c>
      <c r="G542" s="27" t="str">
        <f>IF('Pegar ML'!G533="ARS","PS","PS")</f>
        <v>PS</v>
      </c>
      <c r="H542" s="14">
        <f>IF('Pegar ML'!C537="Paquete de 2 productos",IF('Pegar ML'!H537="",0,'Pegar ML'!H537),IF('Pegar ML'!H538="",0,'Pegar ML'!H538))</f>
        <v>0</v>
      </c>
      <c r="I542" s="14">
        <f>IF('Pegar ML'!C537="Paquete de 2 productos",IF('Pegar ML'!O537="",0,'Pegar ML'!O537),IF('Pegar ML'!O538="",0,'Pegar ML'!O538))</f>
        <v>0</v>
      </c>
      <c r="J542" s="14">
        <f>IF('Pegar ML'!C537="Paquete de 2 productos",IF('Pegar ML'!O537="",0,'Pegar ML'!O537),IF('Pegar ML'!O538="",0,'Pegar ML'!O538))</f>
        <v>0</v>
      </c>
      <c r="K542" s="14">
        <f t="shared" si="26"/>
        <v>0</v>
      </c>
      <c r="L542" s="27">
        <f>IF('Pegar ML'!AB538=" ",'Pegar ML'!AB537,'Pegar ML'!AB538)</f>
        <v>0</v>
      </c>
      <c r="M542" s="27" t="str">
        <f>IF('Pegar ML'!AC538=" ",RIGHT('Pegar ML'!AC537,8),RIGHT('Pegar ML'!AC538,8))</f>
        <v/>
      </c>
      <c r="N542" s="27" t="s">
        <v>80</v>
      </c>
      <c r="O542" s="27">
        <f t="shared" si="24"/>
        <v>0</v>
      </c>
      <c r="P542" s="27" t="s">
        <v>80</v>
      </c>
      <c r="Q542" s="55">
        <f>IF('Pegar ML'!AD538=" ",'Pegar ML'!AD537,'Pegar ML'!AD538)</f>
        <v>0</v>
      </c>
      <c r="R542" s="27" t="s">
        <v>80</v>
      </c>
      <c r="S542" s="27" t="s">
        <v>80</v>
      </c>
      <c r="T542" s="27" t="s">
        <v>80</v>
      </c>
      <c r="U542" s="55">
        <f>IF('Pegar ML'!AI538=" ",'Pegar ML'!AI537,'Pegar ML'!AI538)</f>
        <v>0</v>
      </c>
      <c r="V542" s="55">
        <f>IF('Pegar ML'!AK538=" ",'Pegar ML'!AK537,'Pegar ML'!AK538)</f>
        <v>0</v>
      </c>
      <c r="W542" s="55">
        <f>IF('Pegar ML'!AJ538=" ",'Pegar ML'!AJ537,'Pegar ML'!AJ538)</f>
        <v>0</v>
      </c>
      <c r="X542" s="55">
        <f>IF('Pegar ML'!AL538=" ",'Pegar ML'!AL537,'Pegar ML'!AL538)</f>
        <v>0</v>
      </c>
      <c r="Y542" s="27"/>
      <c r="Z542" s="27"/>
      <c r="AA542" s="27"/>
      <c r="AB542" s="27"/>
      <c r="AC542" s="27"/>
      <c r="AD542" s="27"/>
      <c r="AF542" s="8"/>
      <c r="AG542" s="27"/>
      <c r="AH542" s="14">
        <f>+'Pegar ML'!Y538</f>
        <v>0</v>
      </c>
      <c r="AI542" s="13">
        <f t="shared" si="25"/>
        <v>1</v>
      </c>
      <c r="AJ542" s="7">
        <f>+'Pegar ML'!T538</f>
        <v>0</v>
      </c>
      <c r="AK542" s="27"/>
      <c r="AL542" s="27"/>
      <c r="AM542" s="27"/>
      <c r="AN542" s="27"/>
      <c r="AO542" s="27"/>
      <c r="AP542" s="27"/>
      <c r="AQ542" s="27"/>
      <c r="AR542" s="27"/>
      <c r="AS542" s="27">
        <v>17</v>
      </c>
    </row>
    <row r="543" spans="1:45" ht="15" customHeight="1" x14ac:dyDescent="0.25">
      <c r="A543" s="27">
        <f>IF('Pegar ML'!C538="Paquete de 2 productos",'Pegar ML'!A538,IF('Pegar ML'!C537="Paquete de 2 productos",'Pegar ML'!A537,'Pegar ML'!A539))</f>
        <v>0</v>
      </c>
      <c r="B543" s="27"/>
      <c r="C543" s="30" t="str">
        <f>IF(AjusteFecha!I539=0,"",AjusteFecha!I539)</f>
        <v/>
      </c>
      <c r="D543" s="27"/>
      <c r="E543" s="27"/>
      <c r="F543" s="27" t="str">
        <f>IF('Pegar ML'!C539="","",'Pegar ML'!C539)</f>
        <v/>
      </c>
      <c r="G543" s="27" t="str">
        <f>IF('Pegar ML'!G534="ARS","PS","PS")</f>
        <v>PS</v>
      </c>
      <c r="H543" s="14">
        <f>IF('Pegar ML'!C538="Paquete de 2 productos",IF('Pegar ML'!H538="",0,'Pegar ML'!H538),IF('Pegar ML'!H539="",0,'Pegar ML'!H539))</f>
        <v>0</v>
      </c>
      <c r="I543" s="14">
        <f>IF('Pegar ML'!C538="Paquete de 2 productos",IF('Pegar ML'!O538="",0,'Pegar ML'!O538),IF('Pegar ML'!O539="",0,'Pegar ML'!O539))</f>
        <v>0</v>
      </c>
      <c r="J543" s="14">
        <f>IF('Pegar ML'!C538="Paquete de 2 productos",IF('Pegar ML'!O538="",0,'Pegar ML'!O538),IF('Pegar ML'!O539="",0,'Pegar ML'!O539))</f>
        <v>0</v>
      </c>
      <c r="K543" s="14">
        <f t="shared" si="26"/>
        <v>0</v>
      </c>
      <c r="L543" s="27">
        <f>IF('Pegar ML'!AB539=" ",'Pegar ML'!AB538,'Pegar ML'!AB539)</f>
        <v>0</v>
      </c>
      <c r="M543" s="27" t="str">
        <f>IF('Pegar ML'!AC539=" ",RIGHT('Pegar ML'!AC538,8),RIGHT('Pegar ML'!AC539,8))</f>
        <v/>
      </c>
      <c r="N543" s="27" t="s">
        <v>80</v>
      </c>
      <c r="O543" s="27">
        <f t="shared" si="24"/>
        <v>0</v>
      </c>
      <c r="P543" s="27" t="s">
        <v>80</v>
      </c>
      <c r="Q543" s="55">
        <f>IF('Pegar ML'!AD539=" ",'Pegar ML'!AD538,'Pegar ML'!AD539)</f>
        <v>0</v>
      </c>
      <c r="R543" s="27" t="s">
        <v>80</v>
      </c>
      <c r="S543" s="27" t="s">
        <v>80</v>
      </c>
      <c r="T543" s="27" t="s">
        <v>80</v>
      </c>
      <c r="U543" s="55">
        <f>IF('Pegar ML'!AI539=" ",'Pegar ML'!AI538,'Pegar ML'!AI539)</f>
        <v>0</v>
      </c>
      <c r="V543" s="55">
        <f>IF('Pegar ML'!AK539=" ",'Pegar ML'!AK538,'Pegar ML'!AK539)</f>
        <v>0</v>
      </c>
      <c r="W543" s="55">
        <f>IF('Pegar ML'!AJ539=" ",'Pegar ML'!AJ538,'Pegar ML'!AJ539)</f>
        <v>0</v>
      </c>
      <c r="X543" s="55">
        <f>IF('Pegar ML'!AL539=" ",'Pegar ML'!AL538,'Pegar ML'!AL539)</f>
        <v>0</v>
      </c>
      <c r="Y543" s="27"/>
      <c r="Z543" s="27"/>
      <c r="AA543" s="27"/>
      <c r="AB543" s="27"/>
      <c r="AC543" s="27"/>
      <c r="AD543" s="27"/>
      <c r="AF543" s="8"/>
      <c r="AG543" s="27"/>
      <c r="AH543" s="14">
        <f>+'Pegar ML'!Y539</f>
        <v>0</v>
      </c>
      <c r="AI543" s="13">
        <f t="shared" si="25"/>
        <v>1</v>
      </c>
      <c r="AJ543" s="7">
        <f>+'Pegar ML'!T539</f>
        <v>0</v>
      </c>
      <c r="AK543" s="27"/>
      <c r="AL543" s="27"/>
      <c r="AM543" s="27"/>
      <c r="AN543" s="27"/>
      <c r="AO543" s="27"/>
      <c r="AP543" s="27"/>
      <c r="AQ543" s="27"/>
      <c r="AR543" s="27"/>
      <c r="AS543" s="27">
        <v>17</v>
      </c>
    </row>
    <row r="544" spans="1:45" ht="15" customHeight="1" x14ac:dyDescent="0.25">
      <c r="A544" s="27">
        <f>IF('Pegar ML'!C539="Paquete de 2 productos",'Pegar ML'!A539,IF('Pegar ML'!C538="Paquete de 2 productos",'Pegar ML'!A538,'Pegar ML'!A540))</f>
        <v>0</v>
      </c>
      <c r="B544" s="27"/>
      <c r="C544" s="30" t="str">
        <f>IF(AjusteFecha!I540=0,"",AjusteFecha!I540)</f>
        <v/>
      </c>
      <c r="D544" s="27"/>
      <c r="E544" s="27"/>
      <c r="F544" s="27" t="str">
        <f>IF('Pegar ML'!C540="","",'Pegar ML'!C540)</f>
        <v/>
      </c>
      <c r="G544" s="27" t="str">
        <f>IF('Pegar ML'!G535="ARS","PS","PS")</f>
        <v>PS</v>
      </c>
      <c r="H544" s="14">
        <f>IF('Pegar ML'!C539="Paquete de 2 productos",IF('Pegar ML'!H539="",0,'Pegar ML'!H539),IF('Pegar ML'!H540="",0,'Pegar ML'!H540))</f>
        <v>0</v>
      </c>
      <c r="I544" s="14">
        <f>IF('Pegar ML'!C539="Paquete de 2 productos",IF('Pegar ML'!O539="",0,'Pegar ML'!O539),IF('Pegar ML'!O540="",0,'Pegar ML'!O540))</f>
        <v>0</v>
      </c>
      <c r="J544" s="14">
        <f>IF('Pegar ML'!C539="Paquete de 2 productos",IF('Pegar ML'!O539="",0,'Pegar ML'!O539),IF('Pegar ML'!O540="",0,'Pegar ML'!O540))</f>
        <v>0</v>
      </c>
      <c r="K544" s="14">
        <f t="shared" si="26"/>
        <v>0</v>
      </c>
      <c r="L544" s="27">
        <f>IF('Pegar ML'!AB540=" ",'Pegar ML'!AB539,'Pegar ML'!AB540)</f>
        <v>0</v>
      </c>
      <c r="M544" s="27" t="str">
        <f>IF('Pegar ML'!AC540=" ",RIGHT('Pegar ML'!AC539,8),RIGHT('Pegar ML'!AC540,8))</f>
        <v/>
      </c>
      <c r="N544" s="27" t="s">
        <v>80</v>
      </c>
      <c r="O544" s="27">
        <f t="shared" si="24"/>
        <v>0</v>
      </c>
      <c r="P544" s="27" t="s">
        <v>80</v>
      </c>
      <c r="Q544" s="55">
        <f>IF('Pegar ML'!AD540=" ",'Pegar ML'!AD539,'Pegar ML'!AD540)</f>
        <v>0</v>
      </c>
      <c r="R544" s="27" t="s">
        <v>80</v>
      </c>
      <c r="S544" s="27" t="s">
        <v>80</v>
      </c>
      <c r="T544" s="27" t="s">
        <v>80</v>
      </c>
      <c r="U544" s="55">
        <f>IF('Pegar ML'!AI540=" ",'Pegar ML'!AI539,'Pegar ML'!AI540)</f>
        <v>0</v>
      </c>
      <c r="V544" s="55">
        <f>IF('Pegar ML'!AK540=" ",'Pegar ML'!AK539,'Pegar ML'!AK540)</f>
        <v>0</v>
      </c>
      <c r="W544" s="55">
        <f>IF('Pegar ML'!AJ540=" ",'Pegar ML'!AJ539,'Pegar ML'!AJ540)</f>
        <v>0</v>
      </c>
      <c r="X544" s="55">
        <f>IF('Pegar ML'!AL540=" ",'Pegar ML'!AL539,'Pegar ML'!AL540)</f>
        <v>0</v>
      </c>
      <c r="Y544" s="27"/>
      <c r="Z544" s="27"/>
      <c r="AA544" s="27"/>
      <c r="AB544" s="27"/>
      <c r="AC544" s="27"/>
      <c r="AD544" s="27"/>
      <c r="AF544" s="8"/>
      <c r="AG544" s="27"/>
      <c r="AH544" s="14">
        <f>+'Pegar ML'!Y540</f>
        <v>0</v>
      </c>
      <c r="AI544" s="13">
        <f t="shared" si="25"/>
        <v>1</v>
      </c>
      <c r="AJ544" s="7">
        <f>+'Pegar ML'!T540</f>
        <v>0</v>
      </c>
      <c r="AK544" s="27"/>
      <c r="AL544" s="27"/>
      <c r="AM544" s="27"/>
      <c r="AN544" s="27"/>
      <c r="AO544" s="27"/>
      <c r="AP544" s="27"/>
      <c r="AQ544" s="27"/>
      <c r="AR544" s="27"/>
      <c r="AS544" s="27">
        <v>17</v>
      </c>
    </row>
    <row r="545" spans="1:45" ht="15" customHeight="1" x14ac:dyDescent="0.25">
      <c r="A545" s="27">
        <f>IF('Pegar ML'!C540="Paquete de 2 productos",'Pegar ML'!A540,IF('Pegar ML'!C539="Paquete de 2 productos",'Pegar ML'!A539,'Pegar ML'!A541))</f>
        <v>0</v>
      </c>
      <c r="B545" s="27"/>
      <c r="C545" s="30" t="str">
        <f>IF(AjusteFecha!I541=0,"",AjusteFecha!I541)</f>
        <v/>
      </c>
      <c r="D545" s="27"/>
      <c r="E545" s="27"/>
      <c r="F545" s="27" t="str">
        <f>IF('Pegar ML'!C541="","",'Pegar ML'!C541)</f>
        <v/>
      </c>
      <c r="G545" s="27" t="str">
        <f>IF('Pegar ML'!G536="ARS","PS","PS")</f>
        <v>PS</v>
      </c>
      <c r="H545" s="14">
        <f>IF('Pegar ML'!C540="Paquete de 2 productos",IF('Pegar ML'!H540="",0,'Pegar ML'!H540),IF('Pegar ML'!H541="",0,'Pegar ML'!H541))</f>
        <v>0</v>
      </c>
      <c r="I545" s="14">
        <f>IF('Pegar ML'!C540="Paquete de 2 productos",IF('Pegar ML'!O540="",0,'Pegar ML'!O540),IF('Pegar ML'!O541="",0,'Pegar ML'!O541))</f>
        <v>0</v>
      </c>
      <c r="J545" s="14">
        <f>IF('Pegar ML'!C540="Paquete de 2 productos",IF('Pegar ML'!O540="",0,'Pegar ML'!O540),IF('Pegar ML'!O541="",0,'Pegar ML'!O541))</f>
        <v>0</v>
      </c>
      <c r="K545" s="14">
        <f t="shared" si="26"/>
        <v>0</v>
      </c>
      <c r="L545" s="27">
        <f>IF('Pegar ML'!AB541=" ",'Pegar ML'!AB540,'Pegar ML'!AB541)</f>
        <v>0</v>
      </c>
      <c r="M545" s="27" t="str">
        <f>IF('Pegar ML'!AC541=" ",RIGHT('Pegar ML'!AC540,8),RIGHT('Pegar ML'!AC541,8))</f>
        <v/>
      </c>
      <c r="N545" s="27" t="s">
        <v>80</v>
      </c>
      <c r="O545" s="27">
        <f t="shared" si="24"/>
        <v>0</v>
      </c>
      <c r="P545" s="27" t="s">
        <v>80</v>
      </c>
      <c r="Q545" s="55">
        <f>IF('Pegar ML'!AD541=" ",'Pegar ML'!AD540,'Pegar ML'!AD541)</f>
        <v>0</v>
      </c>
      <c r="R545" s="27" t="s">
        <v>80</v>
      </c>
      <c r="S545" s="27" t="s">
        <v>80</v>
      </c>
      <c r="T545" s="27" t="s">
        <v>80</v>
      </c>
      <c r="U545" s="55">
        <f>IF('Pegar ML'!AI541=" ",'Pegar ML'!AI540,'Pegar ML'!AI541)</f>
        <v>0</v>
      </c>
      <c r="V545" s="55">
        <f>IF('Pegar ML'!AK541=" ",'Pegar ML'!AK540,'Pegar ML'!AK541)</f>
        <v>0</v>
      </c>
      <c r="W545" s="55">
        <f>IF('Pegar ML'!AJ541=" ",'Pegar ML'!AJ540,'Pegar ML'!AJ541)</f>
        <v>0</v>
      </c>
      <c r="X545" s="55">
        <f>IF('Pegar ML'!AL541=" ",'Pegar ML'!AL540,'Pegar ML'!AL541)</f>
        <v>0</v>
      </c>
      <c r="Y545" s="27"/>
      <c r="Z545" s="27"/>
      <c r="AA545" s="27"/>
      <c r="AB545" s="27"/>
      <c r="AC545" s="27"/>
      <c r="AD545" s="27"/>
      <c r="AF545" s="8"/>
      <c r="AG545" s="27"/>
      <c r="AH545" s="14">
        <f>+'Pegar ML'!Y541</f>
        <v>0</v>
      </c>
      <c r="AI545" s="13">
        <f t="shared" si="25"/>
        <v>1</v>
      </c>
      <c r="AJ545" s="7">
        <f>+'Pegar ML'!T541</f>
        <v>0</v>
      </c>
      <c r="AK545" s="27"/>
      <c r="AL545" s="27"/>
      <c r="AM545" s="27"/>
      <c r="AN545" s="27"/>
      <c r="AO545" s="27"/>
      <c r="AP545" s="27"/>
      <c r="AQ545" s="27"/>
      <c r="AR545" s="27"/>
      <c r="AS545" s="27">
        <v>17</v>
      </c>
    </row>
    <row r="546" spans="1:45" ht="15" customHeight="1" x14ac:dyDescent="0.25">
      <c r="A546" s="27">
        <f>IF('Pegar ML'!C541="Paquete de 2 productos",'Pegar ML'!A541,IF('Pegar ML'!C540="Paquete de 2 productos",'Pegar ML'!A540,'Pegar ML'!A542))</f>
        <v>0</v>
      </c>
      <c r="B546" s="27"/>
      <c r="C546" s="30" t="str">
        <f>IF(AjusteFecha!I542=0,"",AjusteFecha!I542)</f>
        <v/>
      </c>
      <c r="D546" s="27"/>
      <c r="E546" s="27"/>
      <c r="F546" s="27" t="str">
        <f>IF('Pegar ML'!C542="","",'Pegar ML'!C542)</f>
        <v/>
      </c>
      <c r="G546" s="27" t="str">
        <f>IF('Pegar ML'!G537="ARS","PS","PS")</f>
        <v>PS</v>
      </c>
      <c r="H546" s="14">
        <f>IF('Pegar ML'!C541="Paquete de 2 productos",IF('Pegar ML'!H541="",0,'Pegar ML'!H541),IF('Pegar ML'!H542="",0,'Pegar ML'!H542))</f>
        <v>0</v>
      </c>
      <c r="I546" s="14">
        <f>IF('Pegar ML'!C541="Paquete de 2 productos",IF('Pegar ML'!O541="",0,'Pegar ML'!O541),IF('Pegar ML'!O542="",0,'Pegar ML'!O542))</f>
        <v>0</v>
      </c>
      <c r="J546" s="14">
        <f>IF('Pegar ML'!C541="Paquete de 2 productos",IF('Pegar ML'!O541="",0,'Pegar ML'!O541),IF('Pegar ML'!O542="",0,'Pegar ML'!O542))</f>
        <v>0</v>
      </c>
      <c r="K546" s="14">
        <f t="shared" si="26"/>
        <v>0</v>
      </c>
      <c r="L546" s="27">
        <f>IF('Pegar ML'!AB542=" ",'Pegar ML'!AB541,'Pegar ML'!AB542)</f>
        <v>0</v>
      </c>
      <c r="M546" s="27" t="str">
        <f>IF('Pegar ML'!AC542=" ",RIGHT('Pegar ML'!AC541,8),RIGHT('Pegar ML'!AC542,8))</f>
        <v/>
      </c>
      <c r="N546" s="27" t="s">
        <v>80</v>
      </c>
      <c r="O546" s="27">
        <f t="shared" si="24"/>
        <v>0</v>
      </c>
      <c r="P546" s="27" t="s">
        <v>80</v>
      </c>
      <c r="Q546" s="55">
        <f>IF('Pegar ML'!AD542=" ",'Pegar ML'!AD541,'Pegar ML'!AD542)</f>
        <v>0</v>
      </c>
      <c r="R546" s="27" t="s">
        <v>80</v>
      </c>
      <c r="S546" s="27" t="s">
        <v>80</v>
      </c>
      <c r="T546" s="27" t="s">
        <v>80</v>
      </c>
      <c r="U546" s="55">
        <f>IF('Pegar ML'!AI542=" ",'Pegar ML'!AI541,'Pegar ML'!AI542)</f>
        <v>0</v>
      </c>
      <c r="V546" s="55">
        <f>IF('Pegar ML'!AK542=" ",'Pegar ML'!AK541,'Pegar ML'!AK542)</f>
        <v>0</v>
      </c>
      <c r="W546" s="55">
        <f>IF('Pegar ML'!AJ542=" ",'Pegar ML'!AJ541,'Pegar ML'!AJ542)</f>
        <v>0</v>
      </c>
      <c r="X546" s="55">
        <f>IF('Pegar ML'!AL542=" ",'Pegar ML'!AL541,'Pegar ML'!AL542)</f>
        <v>0</v>
      </c>
      <c r="Y546" s="27"/>
      <c r="Z546" s="27"/>
      <c r="AA546" s="27"/>
      <c r="AB546" s="27"/>
      <c r="AC546" s="27"/>
      <c r="AD546" s="27"/>
      <c r="AF546" s="8"/>
      <c r="AG546" s="27"/>
      <c r="AH546" s="14">
        <f>+'Pegar ML'!Y542</f>
        <v>0</v>
      </c>
      <c r="AI546" s="13">
        <f t="shared" si="25"/>
        <v>1</v>
      </c>
      <c r="AJ546" s="7">
        <f>+'Pegar ML'!T542</f>
        <v>0</v>
      </c>
      <c r="AK546" s="27"/>
      <c r="AL546" s="27"/>
      <c r="AM546" s="27"/>
      <c r="AN546" s="27"/>
      <c r="AO546" s="27"/>
      <c r="AP546" s="27"/>
      <c r="AQ546" s="27"/>
      <c r="AR546" s="27"/>
      <c r="AS546" s="27">
        <v>17</v>
      </c>
    </row>
    <row r="547" spans="1:45" ht="15" customHeight="1" x14ac:dyDescent="0.25">
      <c r="A547" s="27">
        <f>IF('Pegar ML'!C542="Paquete de 2 productos",'Pegar ML'!A542,IF('Pegar ML'!C541="Paquete de 2 productos",'Pegar ML'!A541,'Pegar ML'!A543))</f>
        <v>0</v>
      </c>
      <c r="B547" s="27"/>
      <c r="C547" s="30" t="str">
        <f>IF(AjusteFecha!I543=0,"",AjusteFecha!I543)</f>
        <v/>
      </c>
      <c r="D547" s="27"/>
      <c r="E547" s="27"/>
      <c r="F547" s="27" t="str">
        <f>IF('Pegar ML'!C543="","",'Pegar ML'!C543)</f>
        <v/>
      </c>
      <c r="G547" s="27" t="str">
        <f>IF('Pegar ML'!G538="ARS","PS","PS")</f>
        <v>PS</v>
      </c>
      <c r="H547" s="14">
        <f>IF('Pegar ML'!C542="Paquete de 2 productos",IF('Pegar ML'!H542="",0,'Pegar ML'!H542),IF('Pegar ML'!H543="",0,'Pegar ML'!H543))</f>
        <v>0</v>
      </c>
      <c r="I547" s="14">
        <f>IF('Pegar ML'!C542="Paquete de 2 productos",IF('Pegar ML'!O542="",0,'Pegar ML'!O542),IF('Pegar ML'!O543="",0,'Pegar ML'!O543))</f>
        <v>0</v>
      </c>
      <c r="J547" s="14">
        <f>IF('Pegar ML'!C542="Paquete de 2 productos",IF('Pegar ML'!O542="",0,'Pegar ML'!O542),IF('Pegar ML'!O543="",0,'Pegar ML'!O543))</f>
        <v>0</v>
      </c>
      <c r="K547" s="14">
        <f t="shared" si="26"/>
        <v>0</v>
      </c>
      <c r="L547" s="27">
        <f>IF('Pegar ML'!AB543=" ",'Pegar ML'!AB542,'Pegar ML'!AB543)</f>
        <v>0</v>
      </c>
      <c r="M547" s="27" t="str">
        <f>IF('Pegar ML'!AC543=" ",RIGHT('Pegar ML'!AC542,8),RIGHT('Pegar ML'!AC543,8))</f>
        <v/>
      </c>
      <c r="N547" s="27" t="s">
        <v>80</v>
      </c>
      <c r="O547" s="27">
        <f t="shared" si="24"/>
        <v>0</v>
      </c>
      <c r="P547" s="27" t="s">
        <v>80</v>
      </c>
      <c r="Q547" s="55">
        <f>IF('Pegar ML'!AD543=" ",'Pegar ML'!AD542,'Pegar ML'!AD543)</f>
        <v>0</v>
      </c>
      <c r="R547" s="27" t="s">
        <v>80</v>
      </c>
      <c r="S547" s="27" t="s">
        <v>80</v>
      </c>
      <c r="T547" s="27" t="s">
        <v>80</v>
      </c>
      <c r="U547" s="55">
        <f>IF('Pegar ML'!AI543=" ",'Pegar ML'!AI542,'Pegar ML'!AI543)</f>
        <v>0</v>
      </c>
      <c r="V547" s="55">
        <f>IF('Pegar ML'!AK543=" ",'Pegar ML'!AK542,'Pegar ML'!AK543)</f>
        <v>0</v>
      </c>
      <c r="W547" s="55">
        <f>IF('Pegar ML'!AJ543=" ",'Pegar ML'!AJ542,'Pegar ML'!AJ543)</f>
        <v>0</v>
      </c>
      <c r="X547" s="55">
        <f>IF('Pegar ML'!AL543=" ",'Pegar ML'!AL542,'Pegar ML'!AL543)</f>
        <v>0</v>
      </c>
      <c r="Y547" s="27"/>
      <c r="Z547" s="27"/>
      <c r="AA547" s="27"/>
      <c r="AB547" s="27"/>
      <c r="AC547" s="27"/>
      <c r="AD547" s="27"/>
      <c r="AF547" s="8"/>
      <c r="AG547" s="27"/>
      <c r="AH547" s="14">
        <f>+'Pegar ML'!Y543</f>
        <v>0</v>
      </c>
      <c r="AI547" s="13">
        <f t="shared" si="25"/>
        <v>1</v>
      </c>
      <c r="AJ547" s="7">
        <f>+'Pegar ML'!T543</f>
        <v>0</v>
      </c>
      <c r="AK547" s="27"/>
      <c r="AL547" s="27"/>
      <c r="AM547" s="27"/>
      <c r="AN547" s="27"/>
      <c r="AO547" s="27"/>
      <c r="AP547" s="27"/>
      <c r="AQ547" s="27"/>
      <c r="AR547" s="27"/>
      <c r="AS547" s="27">
        <v>17</v>
      </c>
    </row>
    <row r="548" spans="1:45" ht="15" customHeight="1" x14ac:dyDescent="0.25">
      <c r="A548" s="27">
        <f>IF('Pegar ML'!C543="Paquete de 2 productos",'Pegar ML'!A543,IF('Pegar ML'!C542="Paquete de 2 productos",'Pegar ML'!A542,'Pegar ML'!A544))</f>
        <v>0</v>
      </c>
      <c r="B548" s="27"/>
      <c r="C548" s="30" t="str">
        <f>IF(AjusteFecha!I544=0,"",AjusteFecha!I544)</f>
        <v/>
      </c>
      <c r="D548" s="27"/>
      <c r="E548" s="27"/>
      <c r="F548" s="27" t="str">
        <f>IF('Pegar ML'!C544="","",'Pegar ML'!C544)</f>
        <v/>
      </c>
      <c r="G548" s="27" t="str">
        <f>IF('Pegar ML'!G539="ARS","PS","PS")</f>
        <v>PS</v>
      </c>
      <c r="H548" s="14">
        <f>IF('Pegar ML'!C543="Paquete de 2 productos",IF('Pegar ML'!H543="",0,'Pegar ML'!H543),IF('Pegar ML'!H544="",0,'Pegar ML'!H544))</f>
        <v>0</v>
      </c>
      <c r="I548" s="14">
        <f>IF('Pegar ML'!C543="Paquete de 2 productos",IF('Pegar ML'!O543="",0,'Pegar ML'!O543),IF('Pegar ML'!O544="",0,'Pegar ML'!O544))</f>
        <v>0</v>
      </c>
      <c r="J548" s="14">
        <f>IF('Pegar ML'!C543="Paquete de 2 productos",IF('Pegar ML'!O543="",0,'Pegar ML'!O543),IF('Pegar ML'!O544="",0,'Pegar ML'!O544))</f>
        <v>0</v>
      </c>
      <c r="K548" s="14">
        <f t="shared" si="26"/>
        <v>0</v>
      </c>
      <c r="L548" s="27">
        <f>IF('Pegar ML'!AB544=" ",'Pegar ML'!AB543,'Pegar ML'!AB544)</f>
        <v>0</v>
      </c>
      <c r="M548" s="27" t="str">
        <f>IF('Pegar ML'!AC544=" ",RIGHT('Pegar ML'!AC543,8),RIGHT('Pegar ML'!AC544,8))</f>
        <v/>
      </c>
      <c r="N548" s="27" t="s">
        <v>80</v>
      </c>
      <c r="O548" s="27">
        <f t="shared" si="24"/>
        <v>0</v>
      </c>
      <c r="P548" s="27" t="s">
        <v>80</v>
      </c>
      <c r="Q548" s="55">
        <f>IF('Pegar ML'!AD544=" ",'Pegar ML'!AD543,'Pegar ML'!AD544)</f>
        <v>0</v>
      </c>
      <c r="R548" s="27" t="s">
        <v>80</v>
      </c>
      <c r="S548" s="27" t="s">
        <v>80</v>
      </c>
      <c r="T548" s="27" t="s">
        <v>80</v>
      </c>
      <c r="U548" s="55">
        <f>IF('Pegar ML'!AI544=" ",'Pegar ML'!AI543,'Pegar ML'!AI544)</f>
        <v>0</v>
      </c>
      <c r="V548" s="55">
        <f>IF('Pegar ML'!AK544=" ",'Pegar ML'!AK543,'Pegar ML'!AK544)</f>
        <v>0</v>
      </c>
      <c r="W548" s="55">
        <f>IF('Pegar ML'!AJ544=" ",'Pegar ML'!AJ543,'Pegar ML'!AJ544)</f>
        <v>0</v>
      </c>
      <c r="X548" s="55">
        <f>IF('Pegar ML'!AL544=" ",'Pegar ML'!AL543,'Pegar ML'!AL544)</f>
        <v>0</v>
      </c>
      <c r="Y548" s="27"/>
      <c r="Z548" s="27"/>
      <c r="AA548" s="27"/>
      <c r="AB548" s="27"/>
      <c r="AC548" s="27"/>
      <c r="AD548" s="27"/>
      <c r="AF548" s="8"/>
      <c r="AG548" s="27"/>
      <c r="AH548" s="14">
        <f>+'Pegar ML'!Y544</f>
        <v>0</v>
      </c>
      <c r="AI548" s="13">
        <f t="shared" si="25"/>
        <v>1</v>
      </c>
      <c r="AJ548" s="7">
        <f>+'Pegar ML'!T544</f>
        <v>0</v>
      </c>
      <c r="AK548" s="27"/>
      <c r="AL548" s="27"/>
      <c r="AM548" s="27"/>
      <c r="AN548" s="27"/>
      <c r="AO548" s="27"/>
      <c r="AP548" s="27"/>
      <c r="AQ548" s="27"/>
      <c r="AR548" s="27"/>
      <c r="AS548" s="27">
        <v>17</v>
      </c>
    </row>
    <row r="549" spans="1:45" ht="15" customHeight="1" x14ac:dyDescent="0.25">
      <c r="A549" s="27">
        <f>IF('Pegar ML'!C544="Paquete de 2 productos",'Pegar ML'!A544,IF('Pegar ML'!C543="Paquete de 2 productos",'Pegar ML'!A543,'Pegar ML'!A545))</f>
        <v>0</v>
      </c>
      <c r="B549" s="27"/>
      <c r="C549" s="30" t="str">
        <f>IF(AjusteFecha!I545=0,"",AjusteFecha!I545)</f>
        <v/>
      </c>
      <c r="D549" s="27"/>
      <c r="E549" s="27"/>
      <c r="F549" s="27" t="str">
        <f>IF('Pegar ML'!C545="","",'Pegar ML'!C545)</f>
        <v/>
      </c>
      <c r="G549" s="27" t="str">
        <f>IF('Pegar ML'!G540="ARS","PS","PS")</f>
        <v>PS</v>
      </c>
      <c r="H549" s="14">
        <f>IF('Pegar ML'!C544="Paquete de 2 productos",IF('Pegar ML'!H544="",0,'Pegar ML'!H544),IF('Pegar ML'!H545="",0,'Pegar ML'!H545))</f>
        <v>0</v>
      </c>
      <c r="I549" s="14">
        <f>IF('Pegar ML'!C544="Paquete de 2 productos",IF('Pegar ML'!O544="",0,'Pegar ML'!O544),IF('Pegar ML'!O545="",0,'Pegar ML'!O545))</f>
        <v>0</v>
      </c>
      <c r="J549" s="14">
        <f>IF('Pegar ML'!C544="Paquete de 2 productos",IF('Pegar ML'!O544="",0,'Pegar ML'!O544),IF('Pegar ML'!O545="",0,'Pegar ML'!O545))</f>
        <v>0</v>
      </c>
      <c r="K549" s="14">
        <f t="shared" si="26"/>
        <v>0</v>
      </c>
      <c r="L549" s="27">
        <f>IF('Pegar ML'!AB545=" ",'Pegar ML'!AB544,'Pegar ML'!AB545)</f>
        <v>0</v>
      </c>
      <c r="M549" s="27" t="str">
        <f>IF('Pegar ML'!AC545=" ",RIGHT('Pegar ML'!AC544,8),RIGHT('Pegar ML'!AC545,8))</f>
        <v/>
      </c>
      <c r="N549" s="27" t="s">
        <v>80</v>
      </c>
      <c r="O549" s="27">
        <f t="shared" si="24"/>
        <v>0</v>
      </c>
      <c r="P549" s="27" t="s">
        <v>80</v>
      </c>
      <c r="Q549" s="55">
        <f>IF('Pegar ML'!AD545=" ",'Pegar ML'!AD544,'Pegar ML'!AD545)</f>
        <v>0</v>
      </c>
      <c r="R549" s="27" t="s">
        <v>80</v>
      </c>
      <c r="S549" s="27" t="s">
        <v>80</v>
      </c>
      <c r="T549" s="27" t="s">
        <v>80</v>
      </c>
      <c r="U549" s="55">
        <f>IF('Pegar ML'!AI545=" ",'Pegar ML'!AI544,'Pegar ML'!AI545)</f>
        <v>0</v>
      </c>
      <c r="V549" s="55">
        <f>IF('Pegar ML'!AK545=" ",'Pegar ML'!AK544,'Pegar ML'!AK545)</f>
        <v>0</v>
      </c>
      <c r="W549" s="55">
        <f>IF('Pegar ML'!AJ545=" ",'Pegar ML'!AJ544,'Pegar ML'!AJ545)</f>
        <v>0</v>
      </c>
      <c r="X549" s="55">
        <f>IF('Pegar ML'!AL545=" ",'Pegar ML'!AL544,'Pegar ML'!AL545)</f>
        <v>0</v>
      </c>
      <c r="Y549" s="27"/>
      <c r="Z549" s="27"/>
      <c r="AA549" s="27"/>
      <c r="AB549" s="27"/>
      <c r="AC549" s="27"/>
      <c r="AD549" s="27"/>
      <c r="AF549" s="8"/>
      <c r="AG549" s="27"/>
      <c r="AH549" s="14">
        <f>+'Pegar ML'!Y545</f>
        <v>0</v>
      </c>
      <c r="AI549" s="13">
        <f t="shared" si="25"/>
        <v>1</v>
      </c>
      <c r="AJ549" s="7">
        <f>+'Pegar ML'!T545</f>
        <v>0</v>
      </c>
      <c r="AK549" s="27"/>
      <c r="AL549" s="27"/>
      <c r="AM549" s="27"/>
      <c r="AN549" s="27"/>
      <c r="AO549" s="27"/>
      <c r="AP549" s="27"/>
      <c r="AQ549" s="27"/>
      <c r="AR549" s="27"/>
      <c r="AS549" s="27">
        <v>17</v>
      </c>
    </row>
    <row r="550" spans="1:45" ht="15" customHeight="1" x14ac:dyDescent="0.25">
      <c r="A550" s="27">
        <f>IF('Pegar ML'!C545="Paquete de 2 productos",'Pegar ML'!A545,IF('Pegar ML'!C544="Paquete de 2 productos",'Pegar ML'!A544,'Pegar ML'!A546))</f>
        <v>0</v>
      </c>
      <c r="B550" s="27"/>
      <c r="C550" s="30" t="str">
        <f>IF(AjusteFecha!I546=0,"",AjusteFecha!I546)</f>
        <v/>
      </c>
      <c r="D550" s="27"/>
      <c r="E550" s="27"/>
      <c r="F550" s="27" t="str">
        <f>IF('Pegar ML'!C546="","",'Pegar ML'!C546)</f>
        <v/>
      </c>
      <c r="G550" s="27" t="str">
        <f>IF('Pegar ML'!G541="ARS","PS","PS")</f>
        <v>PS</v>
      </c>
      <c r="H550" s="14">
        <f>IF('Pegar ML'!C545="Paquete de 2 productos",IF('Pegar ML'!H545="",0,'Pegar ML'!H545),IF('Pegar ML'!H546="",0,'Pegar ML'!H546))</f>
        <v>0</v>
      </c>
      <c r="I550" s="14">
        <f>IF('Pegar ML'!C545="Paquete de 2 productos",IF('Pegar ML'!O545="",0,'Pegar ML'!O545),IF('Pegar ML'!O546="",0,'Pegar ML'!O546))</f>
        <v>0</v>
      </c>
      <c r="J550" s="14">
        <f>IF('Pegar ML'!C545="Paquete de 2 productos",IF('Pegar ML'!O545="",0,'Pegar ML'!O545),IF('Pegar ML'!O546="",0,'Pegar ML'!O546))</f>
        <v>0</v>
      </c>
      <c r="K550" s="14">
        <f t="shared" si="26"/>
        <v>0</v>
      </c>
      <c r="L550" s="27">
        <f>IF('Pegar ML'!AB546=" ",'Pegar ML'!AB545,'Pegar ML'!AB546)</f>
        <v>0</v>
      </c>
      <c r="M550" s="27" t="str">
        <f>IF('Pegar ML'!AC546=" ",RIGHT('Pegar ML'!AC545,8),RIGHT('Pegar ML'!AC546,8))</f>
        <v/>
      </c>
      <c r="N550" s="27" t="s">
        <v>80</v>
      </c>
      <c r="O550" s="27">
        <f t="shared" si="24"/>
        <v>0</v>
      </c>
      <c r="P550" s="27" t="s">
        <v>80</v>
      </c>
      <c r="Q550" s="55">
        <f>IF('Pegar ML'!AD546=" ",'Pegar ML'!AD545,'Pegar ML'!AD546)</f>
        <v>0</v>
      </c>
      <c r="R550" s="27" t="s">
        <v>80</v>
      </c>
      <c r="S550" s="27" t="s">
        <v>80</v>
      </c>
      <c r="T550" s="27" t="s">
        <v>80</v>
      </c>
      <c r="U550" s="55">
        <f>IF('Pegar ML'!AI546=" ",'Pegar ML'!AI545,'Pegar ML'!AI546)</f>
        <v>0</v>
      </c>
      <c r="V550" s="55">
        <f>IF('Pegar ML'!AK546=" ",'Pegar ML'!AK545,'Pegar ML'!AK546)</f>
        <v>0</v>
      </c>
      <c r="W550" s="55">
        <f>IF('Pegar ML'!AJ546=" ",'Pegar ML'!AJ545,'Pegar ML'!AJ546)</f>
        <v>0</v>
      </c>
      <c r="X550" s="55">
        <f>IF('Pegar ML'!AL546=" ",'Pegar ML'!AL545,'Pegar ML'!AL546)</f>
        <v>0</v>
      </c>
      <c r="Y550" s="27"/>
      <c r="Z550" s="27"/>
      <c r="AA550" s="27"/>
      <c r="AB550" s="27"/>
      <c r="AC550" s="27"/>
      <c r="AD550" s="27"/>
      <c r="AF550" s="8"/>
      <c r="AG550" s="27"/>
      <c r="AH550" s="14">
        <f>+'Pegar ML'!Y546</f>
        <v>0</v>
      </c>
      <c r="AI550" s="13">
        <f t="shared" si="25"/>
        <v>1</v>
      </c>
      <c r="AJ550" s="7">
        <f>+'Pegar ML'!T546</f>
        <v>0</v>
      </c>
      <c r="AK550" s="27"/>
      <c r="AL550" s="27"/>
      <c r="AM550" s="27"/>
      <c r="AN550" s="27"/>
      <c r="AO550" s="27"/>
      <c r="AP550" s="27"/>
      <c r="AQ550" s="27"/>
      <c r="AR550" s="27"/>
      <c r="AS550" s="27">
        <v>17</v>
      </c>
    </row>
    <row r="551" spans="1:45" ht="15" customHeight="1" x14ac:dyDescent="0.25">
      <c r="A551" s="27">
        <f>IF('Pegar ML'!C546="Paquete de 2 productos",'Pegar ML'!A546,IF('Pegar ML'!C545="Paquete de 2 productos",'Pegar ML'!A545,'Pegar ML'!A547))</f>
        <v>0</v>
      </c>
      <c r="B551" s="27"/>
      <c r="C551" s="30" t="str">
        <f>IF(AjusteFecha!I547=0,"",AjusteFecha!I547)</f>
        <v/>
      </c>
      <c r="D551" s="27"/>
      <c r="E551" s="27"/>
      <c r="F551" s="27" t="str">
        <f>IF('Pegar ML'!C547="","",'Pegar ML'!C547)</f>
        <v/>
      </c>
      <c r="G551" s="27" t="str">
        <f>IF('Pegar ML'!G542="ARS","PS","PS")</f>
        <v>PS</v>
      </c>
      <c r="H551" s="14">
        <f>IF('Pegar ML'!C546="Paquete de 2 productos",IF('Pegar ML'!H546="",0,'Pegar ML'!H546),IF('Pegar ML'!H547="",0,'Pegar ML'!H547))</f>
        <v>0</v>
      </c>
      <c r="I551" s="14">
        <f>IF('Pegar ML'!C546="Paquete de 2 productos",IF('Pegar ML'!O546="",0,'Pegar ML'!O546),IF('Pegar ML'!O547="",0,'Pegar ML'!O547))</f>
        <v>0</v>
      </c>
      <c r="J551" s="14">
        <f>IF('Pegar ML'!C546="Paquete de 2 productos",IF('Pegar ML'!O546="",0,'Pegar ML'!O546),IF('Pegar ML'!O547="",0,'Pegar ML'!O547))</f>
        <v>0</v>
      </c>
      <c r="K551" s="14">
        <f t="shared" si="26"/>
        <v>0</v>
      </c>
      <c r="L551" s="27">
        <f>IF('Pegar ML'!AB547=" ",'Pegar ML'!AB546,'Pegar ML'!AB547)</f>
        <v>0</v>
      </c>
      <c r="M551" s="27" t="str">
        <f>IF('Pegar ML'!AC547=" ",RIGHT('Pegar ML'!AC546,8),RIGHT('Pegar ML'!AC547,8))</f>
        <v/>
      </c>
      <c r="N551" s="27" t="s">
        <v>80</v>
      </c>
      <c r="O551" s="27">
        <f t="shared" si="24"/>
        <v>0</v>
      </c>
      <c r="P551" s="27" t="s">
        <v>80</v>
      </c>
      <c r="Q551" s="55">
        <f>IF('Pegar ML'!AD547=" ",'Pegar ML'!AD546,'Pegar ML'!AD547)</f>
        <v>0</v>
      </c>
      <c r="R551" s="27" t="s">
        <v>80</v>
      </c>
      <c r="S551" s="27" t="s">
        <v>80</v>
      </c>
      <c r="T551" s="27" t="s">
        <v>80</v>
      </c>
      <c r="U551" s="55">
        <f>IF('Pegar ML'!AI547=" ",'Pegar ML'!AI546,'Pegar ML'!AI547)</f>
        <v>0</v>
      </c>
      <c r="V551" s="55">
        <f>IF('Pegar ML'!AK547=" ",'Pegar ML'!AK546,'Pegar ML'!AK547)</f>
        <v>0</v>
      </c>
      <c r="W551" s="55">
        <f>IF('Pegar ML'!AJ547=" ",'Pegar ML'!AJ546,'Pegar ML'!AJ547)</f>
        <v>0</v>
      </c>
      <c r="X551" s="55">
        <f>IF('Pegar ML'!AL547=" ",'Pegar ML'!AL546,'Pegar ML'!AL547)</f>
        <v>0</v>
      </c>
      <c r="Y551" s="27"/>
      <c r="Z551" s="27"/>
      <c r="AA551" s="27"/>
      <c r="AB551" s="27"/>
      <c r="AC551" s="27"/>
      <c r="AD551" s="27"/>
      <c r="AF551" s="8"/>
      <c r="AG551" s="27"/>
      <c r="AH551" s="14">
        <f>+'Pegar ML'!Y547</f>
        <v>0</v>
      </c>
      <c r="AI551" s="13">
        <f t="shared" si="25"/>
        <v>1</v>
      </c>
      <c r="AJ551" s="7">
        <f>+'Pegar ML'!T547</f>
        <v>0</v>
      </c>
      <c r="AK551" s="27"/>
      <c r="AL551" s="27"/>
      <c r="AM551" s="27"/>
      <c r="AN551" s="27"/>
      <c r="AO551" s="27"/>
      <c r="AP551" s="27"/>
      <c r="AQ551" s="27"/>
      <c r="AR551" s="27"/>
      <c r="AS551" s="27">
        <v>17</v>
      </c>
    </row>
    <row r="552" spans="1:45" ht="15" customHeight="1" x14ac:dyDescent="0.25">
      <c r="A552" s="27">
        <f>IF('Pegar ML'!C547="Paquete de 2 productos",'Pegar ML'!A547,IF('Pegar ML'!C546="Paquete de 2 productos",'Pegar ML'!A546,'Pegar ML'!A548))</f>
        <v>0</v>
      </c>
      <c r="B552" s="27"/>
      <c r="C552" s="30" t="str">
        <f>IF(AjusteFecha!I548=0,"",AjusteFecha!I548)</f>
        <v/>
      </c>
      <c r="D552" s="27"/>
      <c r="E552" s="27"/>
      <c r="F552" s="27" t="str">
        <f>IF('Pegar ML'!C548="","",'Pegar ML'!C548)</f>
        <v/>
      </c>
      <c r="G552" s="27" t="str">
        <f>IF('Pegar ML'!G543="ARS","PS","PS")</f>
        <v>PS</v>
      </c>
      <c r="H552" s="14">
        <f>IF('Pegar ML'!C547="Paquete de 2 productos",IF('Pegar ML'!H547="",0,'Pegar ML'!H547),IF('Pegar ML'!H548="",0,'Pegar ML'!H548))</f>
        <v>0</v>
      </c>
      <c r="I552" s="14">
        <f>IF('Pegar ML'!C547="Paquete de 2 productos",IF('Pegar ML'!O547="",0,'Pegar ML'!O547),IF('Pegar ML'!O548="",0,'Pegar ML'!O548))</f>
        <v>0</v>
      </c>
      <c r="J552" s="14">
        <f>IF('Pegar ML'!C547="Paquete de 2 productos",IF('Pegar ML'!O547="",0,'Pegar ML'!O547),IF('Pegar ML'!O548="",0,'Pegar ML'!O548))</f>
        <v>0</v>
      </c>
      <c r="K552" s="14">
        <f t="shared" si="26"/>
        <v>0</v>
      </c>
      <c r="L552" s="27">
        <f>IF('Pegar ML'!AB548=" ",'Pegar ML'!AB547,'Pegar ML'!AB548)</f>
        <v>0</v>
      </c>
      <c r="M552" s="27" t="str">
        <f>IF('Pegar ML'!AC548=" ",RIGHT('Pegar ML'!AC547,8),RIGHT('Pegar ML'!AC548,8))</f>
        <v/>
      </c>
      <c r="N552" s="27" t="s">
        <v>80</v>
      </c>
      <c r="O552" s="27">
        <f t="shared" si="24"/>
        <v>0</v>
      </c>
      <c r="P552" s="27" t="s">
        <v>80</v>
      </c>
      <c r="Q552" s="55">
        <f>IF('Pegar ML'!AD548=" ",'Pegar ML'!AD547,'Pegar ML'!AD548)</f>
        <v>0</v>
      </c>
      <c r="R552" s="27" t="s">
        <v>80</v>
      </c>
      <c r="S552" s="27" t="s">
        <v>80</v>
      </c>
      <c r="T552" s="27" t="s">
        <v>80</v>
      </c>
      <c r="U552" s="55">
        <f>IF('Pegar ML'!AI548=" ",'Pegar ML'!AI547,'Pegar ML'!AI548)</f>
        <v>0</v>
      </c>
      <c r="V552" s="55">
        <f>IF('Pegar ML'!AK548=" ",'Pegar ML'!AK547,'Pegar ML'!AK548)</f>
        <v>0</v>
      </c>
      <c r="W552" s="55">
        <f>IF('Pegar ML'!AJ548=" ",'Pegar ML'!AJ547,'Pegar ML'!AJ548)</f>
        <v>0</v>
      </c>
      <c r="X552" s="55">
        <f>IF('Pegar ML'!AL548=" ",'Pegar ML'!AL547,'Pegar ML'!AL548)</f>
        <v>0</v>
      </c>
      <c r="Y552" s="27"/>
      <c r="Z552" s="27"/>
      <c r="AA552" s="27"/>
      <c r="AB552" s="27"/>
      <c r="AC552" s="27"/>
      <c r="AD552" s="27"/>
      <c r="AF552" s="8"/>
      <c r="AG552" s="27"/>
      <c r="AH552" s="14">
        <f>+'Pegar ML'!Y548</f>
        <v>0</v>
      </c>
      <c r="AI552" s="13">
        <f t="shared" si="25"/>
        <v>1</v>
      </c>
      <c r="AJ552" s="7">
        <f>+'Pegar ML'!T548</f>
        <v>0</v>
      </c>
      <c r="AK552" s="27"/>
      <c r="AL552" s="27"/>
      <c r="AM552" s="27"/>
      <c r="AN552" s="27"/>
      <c r="AO552" s="27"/>
      <c r="AP552" s="27"/>
      <c r="AQ552" s="27"/>
      <c r="AR552" s="27"/>
      <c r="AS552" s="27">
        <v>17</v>
      </c>
    </row>
    <row r="553" spans="1:45" ht="15" customHeight="1" x14ac:dyDescent="0.25">
      <c r="A553" s="27">
        <f>IF('Pegar ML'!C548="Paquete de 2 productos",'Pegar ML'!A548,IF('Pegar ML'!C547="Paquete de 2 productos",'Pegar ML'!A547,'Pegar ML'!A549))</f>
        <v>0</v>
      </c>
      <c r="B553" s="27"/>
      <c r="C553" s="30" t="str">
        <f>IF(AjusteFecha!I549=0,"",AjusteFecha!I549)</f>
        <v/>
      </c>
      <c r="D553" s="27"/>
      <c r="E553" s="27"/>
      <c r="F553" s="27" t="str">
        <f>IF('Pegar ML'!C549="","",'Pegar ML'!C549)</f>
        <v/>
      </c>
      <c r="G553" s="27" t="str">
        <f>IF('Pegar ML'!G544="ARS","PS","PS")</f>
        <v>PS</v>
      </c>
      <c r="H553" s="14">
        <f>IF('Pegar ML'!C548="Paquete de 2 productos",IF('Pegar ML'!H548="",0,'Pegar ML'!H548),IF('Pegar ML'!H549="",0,'Pegar ML'!H549))</f>
        <v>0</v>
      </c>
      <c r="I553" s="14">
        <f>IF('Pegar ML'!C548="Paquete de 2 productos",IF('Pegar ML'!O548="",0,'Pegar ML'!O548),IF('Pegar ML'!O549="",0,'Pegar ML'!O549))</f>
        <v>0</v>
      </c>
      <c r="J553" s="14">
        <f>IF('Pegar ML'!C548="Paquete de 2 productos",IF('Pegar ML'!O548="",0,'Pegar ML'!O548),IF('Pegar ML'!O549="",0,'Pegar ML'!O549))</f>
        <v>0</v>
      </c>
      <c r="K553" s="14">
        <f t="shared" si="26"/>
        <v>0</v>
      </c>
      <c r="L553" s="27">
        <f>IF('Pegar ML'!AB549=" ",'Pegar ML'!AB548,'Pegar ML'!AB549)</f>
        <v>0</v>
      </c>
      <c r="M553" s="27" t="str">
        <f>IF('Pegar ML'!AC549=" ",RIGHT('Pegar ML'!AC548,8),RIGHT('Pegar ML'!AC549,8))</f>
        <v/>
      </c>
      <c r="N553" s="27" t="s">
        <v>80</v>
      </c>
      <c r="O553" s="27">
        <f t="shared" si="24"/>
        <v>0</v>
      </c>
      <c r="P553" s="27" t="s">
        <v>80</v>
      </c>
      <c r="Q553" s="55">
        <f>IF('Pegar ML'!AD549=" ",'Pegar ML'!AD548,'Pegar ML'!AD549)</f>
        <v>0</v>
      </c>
      <c r="R553" s="27" t="s">
        <v>80</v>
      </c>
      <c r="S553" s="27" t="s">
        <v>80</v>
      </c>
      <c r="T553" s="27" t="s">
        <v>80</v>
      </c>
      <c r="U553" s="55">
        <f>IF('Pegar ML'!AI549=" ",'Pegar ML'!AI548,'Pegar ML'!AI549)</f>
        <v>0</v>
      </c>
      <c r="V553" s="55">
        <f>IF('Pegar ML'!AK549=" ",'Pegar ML'!AK548,'Pegar ML'!AK549)</f>
        <v>0</v>
      </c>
      <c r="W553" s="55">
        <f>IF('Pegar ML'!AJ549=" ",'Pegar ML'!AJ548,'Pegar ML'!AJ549)</f>
        <v>0</v>
      </c>
      <c r="X553" s="55">
        <f>IF('Pegar ML'!AL549=" ",'Pegar ML'!AL548,'Pegar ML'!AL549)</f>
        <v>0</v>
      </c>
      <c r="Y553" s="27"/>
      <c r="Z553" s="27"/>
      <c r="AA553" s="27"/>
      <c r="AB553" s="27"/>
      <c r="AC553" s="27"/>
      <c r="AD553" s="27"/>
      <c r="AF553" s="8"/>
      <c r="AG553" s="27"/>
      <c r="AH553" s="14">
        <f>+'Pegar ML'!Y549</f>
        <v>0</v>
      </c>
      <c r="AI553" s="13">
        <f t="shared" si="25"/>
        <v>1</v>
      </c>
      <c r="AJ553" s="7">
        <f>+'Pegar ML'!T549</f>
        <v>0</v>
      </c>
      <c r="AK553" s="27"/>
      <c r="AL553" s="27"/>
      <c r="AM553" s="27"/>
      <c r="AN553" s="27"/>
      <c r="AO553" s="27"/>
      <c r="AP553" s="27"/>
      <c r="AQ553" s="27"/>
      <c r="AR553" s="27"/>
      <c r="AS553" s="27">
        <v>17</v>
      </c>
    </row>
    <row r="554" spans="1:45" ht="15" customHeight="1" x14ac:dyDescent="0.25">
      <c r="A554" s="27">
        <f>IF('Pegar ML'!C549="Paquete de 2 productos",'Pegar ML'!A549,IF('Pegar ML'!C548="Paquete de 2 productos",'Pegar ML'!A548,'Pegar ML'!A550))</f>
        <v>0</v>
      </c>
      <c r="B554" s="27"/>
      <c r="C554" s="30" t="str">
        <f>IF(AjusteFecha!I550=0,"",AjusteFecha!I550)</f>
        <v/>
      </c>
      <c r="D554" s="27"/>
      <c r="E554" s="27"/>
      <c r="F554" s="27" t="str">
        <f>IF('Pegar ML'!C550="","",'Pegar ML'!C550)</f>
        <v/>
      </c>
      <c r="G554" s="27" t="str">
        <f>IF('Pegar ML'!G545="ARS","PS","PS")</f>
        <v>PS</v>
      </c>
      <c r="H554" s="14">
        <f>IF('Pegar ML'!C549="Paquete de 2 productos",IF('Pegar ML'!H549="",0,'Pegar ML'!H549),IF('Pegar ML'!H550="",0,'Pegar ML'!H550))</f>
        <v>0</v>
      </c>
      <c r="I554" s="14">
        <f>IF('Pegar ML'!C549="Paquete de 2 productos",IF('Pegar ML'!O549="",0,'Pegar ML'!O549),IF('Pegar ML'!O550="",0,'Pegar ML'!O550))</f>
        <v>0</v>
      </c>
      <c r="J554" s="14">
        <f>IF('Pegar ML'!C549="Paquete de 2 productos",IF('Pegar ML'!O549="",0,'Pegar ML'!O549),IF('Pegar ML'!O550="",0,'Pegar ML'!O550))</f>
        <v>0</v>
      </c>
      <c r="K554" s="14">
        <f t="shared" si="26"/>
        <v>0</v>
      </c>
      <c r="L554" s="27">
        <f>IF('Pegar ML'!AB550=" ",'Pegar ML'!AB549,'Pegar ML'!AB550)</f>
        <v>0</v>
      </c>
      <c r="M554" s="27" t="str">
        <f>IF('Pegar ML'!AC550=" ",RIGHT('Pegar ML'!AC549,8),RIGHT('Pegar ML'!AC550,8))</f>
        <v/>
      </c>
      <c r="N554" s="27" t="s">
        <v>80</v>
      </c>
      <c r="O554" s="27">
        <f t="shared" si="24"/>
        <v>0</v>
      </c>
      <c r="P554" s="27" t="s">
        <v>80</v>
      </c>
      <c r="Q554" s="55">
        <f>IF('Pegar ML'!AD550=" ",'Pegar ML'!AD549,'Pegar ML'!AD550)</f>
        <v>0</v>
      </c>
      <c r="R554" s="27" t="s">
        <v>80</v>
      </c>
      <c r="S554" s="27" t="s">
        <v>80</v>
      </c>
      <c r="T554" s="27" t="s">
        <v>80</v>
      </c>
      <c r="U554" s="55">
        <f>IF('Pegar ML'!AI550=" ",'Pegar ML'!AI549,'Pegar ML'!AI550)</f>
        <v>0</v>
      </c>
      <c r="V554" s="55">
        <f>IF('Pegar ML'!AK550=" ",'Pegar ML'!AK549,'Pegar ML'!AK550)</f>
        <v>0</v>
      </c>
      <c r="W554" s="55">
        <f>IF('Pegar ML'!AJ550=" ",'Pegar ML'!AJ549,'Pegar ML'!AJ550)</f>
        <v>0</v>
      </c>
      <c r="X554" s="55">
        <f>IF('Pegar ML'!AL550=" ",'Pegar ML'!AL549,'Pegar ML'!AL550)</f>
        <v>0</v>
      </c>
      <c r="Y554" s="27"/>
      <c r="Z554" s="27"/>
      <c r="AA554" s="27"/>
      <c r="AB554" s="27"/>
      <c r="AC554" s="27"/>
      <c r="AD554" s="27"/>
      <c r="AF554" s="8"/>
      <c r="AG554" s="27"/>
      <c r="AH554" s="14">
        <f>+'Pegar ML'!Y550</f>
        <v>0</v>
      </c>
      <c r="AI554" s="13">
        <f t="shared" si="25"/>
        <v>1</v>
      </c>
      <c r="AJ554" s="7">
        <f>+'Pegar ML'!T550</f>
        <v>0</v>
      </c>
      <c r="AK554" s="27"/>
      <c r="AL554" s="27"/>
      <c r="AM554" s="27"/>
      <c r="AN554" s="27"/>
      <c r="AO554" s="27"/>
      <c r="AP554" s="27"/>
      <c r="AQ554" s="27"/>
      <c r="AR554" s="27"/>
      <c r="AS554" s="27">
        <v>17</v>
      </c>
    </row>
    <row r="555" spans="1:45" ht="15" customHeight="1" x14ac:dyDescent="0.25">
      <c r="A555" s="27">
        <f>IF('Pegar ML'!C550="Paquete de 2 productos",'Pegar ML'!A550,IF('Pegar ML'!C549="Paquete de 2 productos",'Pegar ML'!A549,'Pegar ML'!A551))</f>
        <v>0</v>
      </c>
      <c r="B555" s="27"/>
      <c r="C555" s="30" t="str">
        <f>IF(AjusteFecha!I551=0,"",AjusteFecha!I551)</f>
        <v/>
      </c>
      <c r="D555" s="27"/>
      <c r="E555" s="27"/>
      <c r="F555" s="27" t="str">
        <f>IF('Pegar ML'!C551="","",'Pegar ML'!C551)</f>
        <v/>
      </c>
      <c r="G555" s="27" t="str">
        <f>IF('Pegar ML'!G546="ARS","PS","PS")</f>
        <v>PS</v>
      </c>
      <c r="H555" s="14">
        <f>IF('Pegar ML'!C550="Paquete de 2 productos",IF('Pegar ML'!H550="",0,'Pegar ML'!H550),IF('Pegar ML'!H551="",0,'Pegar ML'!H551))</f>
        <v>0</v>
      </c>
      <c r="I555" s="14">
        <f>IF('Pegar ML'!C550="Paquete de 2 productos",IF('Pegar ML'!O550="",0,'Pegar ML'!O550),IF('Pegar ML'!O551="",0,'Pegar ML'!O551))</f>
        <v>0</v>
      </c>
      <c r="J555" s="14">
        <f>IF('Pegar ML'!C550="Paquete de 2 productos",IF('Pegar ML'!O550="",0,'Pegar ML'!O550),IF('Pegar ML'!O551="",0,'Pegar ML'!O551))</f>
        <v>0</v>
      </c>
      <c r="K555" s="14">
        <f t="shared" si="26"/>
        <v>0</v>
      </c>
      <c r="L555" s="27">
        <f>IF('Pegar ML'!AB551=" ",'Pegar ML'!AB550,'Pegar ML'!AB551)</f>
        <v>0</v>
      </c>
      <c r="M555" s="27" t="str">
        <f>IF('Pegar ML'!AC551=" ",RIGHT('Pegar ML'!AC550,8),RIGHT('Pegar ML'!AC551,8))</f>
        <v/>
      </c>
      <c r="N555" s="27" t="s">
        <v>80</v>
      </c>
      <c r="O555" s="27">
        <f t="shared" si="24"/>
        <v>0</v>
      </c>
      <c r="P555" s="27" t="s">
        <v>80</v>
      </c>
      <c r="Q555" s="55">
        <f>IF('Pegar ML'!AD551=" ",'Pegar ML'!AD550,'Pegar ML'!AD551)</f>
        <v>0</v>
      </c>
      <c r="R555" s="27" t="s">
        <v>80</v>
      </c>
      <c r="S555" s="27" t="s">
        <v>80</v>
      </c>
      <c r="T555" s="27" t="s">
        <v>80</v>
      </c>
      <c r="U555" s="55">
        <f>IF('Pegar ML'!AI551=" ",'Pegar ML'!AI550,'Pegar ML'!AI551)</f>
        <v>0</v>
      </c>
      <c r="V555" s="55">
        <f>IF('Pegar ML'!AK551=" ",'Pegar ML'!AK550,'Pegar ML'!AK551)</f>
        <v>0</v>
      </c>
      <c r="W555" s="55">
        <f>IF('Pegar ML'!AJ551=" ",'Pegar ML'!AJ550,'Pegar ML'!AJ551)</f>
        <v>0</v>
      </c>
      <c r="X555" s="55">
        <f>IF('Pegar ML'!AL551=" ",'Pegar ML'!AL550,'Pegar ML'!AL551)</f>
        <v>0</v>
      </c>
      <c r="Y555" s="27"/>
      <c r="Z555" s="27"/>
      <c r="AA555" s="27"/>
      <c r="AB555" s="27"/>
      <c r="AC555" s="27"/>
      <c r="AD555" s="27"/>
      <c r="AF555" s="8"/>
      <c r="AG555" s="27"/>
      <c r="AH555" s="14">
        <f>+'Pegar ML'!Y551</f>
        <v>0</v>
      </c>
      <c r="AI555" s="13">
        <f t="shared" si="25"/>
        <v>1</v>
      </c>
      <c r="AJ555" s="7">
        <f>+'Pegar ML'!T551</f>
        <v>0</v>
      </c>
      <c r="AK555" s="27"/>
      <c r="AL555" s="27"/>
      <c r="AM555" s="27"/>
      <c r="AN555" s="27"/>
      <c r="AO555" s="27"/>
      <c r="AP555" s="27"/>
      <c r="AQ555" s="27"/>
      <c r="AR555" s="27"/>
      <c r="AS555" s="27">
        <v>17</v>
      </c>
    </row>
    <row r="556" spans="1:45" ht="15" customHeight="1" x14ac:dyDescent="0.25">
      <c r="A556" s="27">
        <f>IF('Pegar ML'!C551="Paquete de 2 productos",'Pegar ML'!A551,IF('Pegar ML'!C550="Paquete de 2 productos",'Pegar ML'!A550,'Pegar ML'!A552))</f>
        <v>0</v>
      </c>
      <c r="B556" s="27"/>
      <c r="C556" s="30" t="str">
        <f>IF(AjusteFecha!I552=0,"",AjusteFecha!I552)</f>
        <v/>
      </c>
      <c r="D556" s="27"/>
      <c r="E556" s="27"/>
      <c r="F556" s="27" t="str">
        <f>IF('Pegar ML'!C552="","",'Pegar ML'!C552)</f>
        <v/>
      </c>
      <c r="G556" s="27" t="str">
        <f>IF('Pegar ML'!G547="ARS","PS","PS")</f>
        <v>PS</v>
      </c>
      <c r="H556" s="14">
        <f>IF('Pegar ML'!C551="Paquete de 2 productos",IF('Pegar ML'!H551="",0,'Pegar ML'!H551),IF('Pegar ML'!H552="",0,'Pegar ML'!H552))</f>
        <v>0</v>
      </c>
      <c r="I556" s="14">
        <f>IF('Pegar ML'!C551="Paquete de 2 productos",IF('Pegar ML'!O551="",0,'Pegar ML'!O551),IF('Pegar ML'!O552="",0,'Pegar ML'!O552))</f>
        <v>0</v>
      </c>
      <c r="J556" s="14">
        <f>IF('Pegar ML'!C551="Paquete de 2 productos",IF('Pegar ML'!O551="",0,'Pegar ML'!O551),IF('Pegar ML'!O552="",0,'Pegar ML'!O552))</f>
        <v>0</v>
      </c>
      <c r="K556" s="14">
        <f t="shared" si="26"/>
        <v>0</v>
      </c>
      <c r="L556" s="27">
        <f>IF('Pegar ML'!AB552=" ",'Pegar ML'!AB551,'Pegar ML'!AB552)</f>
        <v>0</v>
      </c>
      <c r="M556" s="27" t="str">
        <f>IF('Pegar ML'!AC552=" ",RIGHT('Pegar ML'!AC551,8),RIGHT('Pegar ML'!AC552,8))</f>
        <v/>
      </c>
      <c r="N556" s="27" t="s">
        <v>80</v>
      </c>
      <c r="O556" s="27">
        <f t="shared" si="24"/>
        <v>0</v>
      </c>
      <c r="P556" s="27" t="s">
        <v>80</v>
      </c>
      <c r="Q556" s="55">
        <f>IF('Pegar ML'!AD552=" ",'Pegar ML'!AD551,'Pegar ML'!AD552)</f>
        <v>0</v>
      </c>
      <c r="R556" s="27" t="s">
        <v>80</v>
      </c>
      <c r="S556" s="27" t="s">
        <v>80</v>
      </c>
      <c r="T556" s="27" t="s">
        <v>80</v>
      </c>
      <c r="U556" s="55">
        <f>IF('Pegar ML'!AI552=" ",'Pegar ML'!AI551,'Pegar ML'!AI552)</f>
        <v>0</v>
      </c>
      <c r="V556" s="55">
        <f>IF('Pegar ML'!AK552=" ",'Pegar ML'!AK551,'Pegar ML'!AK552)</f>
        <v>0</v>
      </c>
      <c r="W556" s="55">
        <f>IF('Pegar ML'!AJ552=" ",'Pegar ML'!AJ551,'Pegar ML'!AJ552)</f>
        <v>0</v>
      </c>
      <c r="X556" s="55">
        <f>IF('Pegar ML'!AL552=" ",'Pegar ML'!AL551,'Pegar ML'!AL552)</f>
        <v>0</v>
      </c>
      <c r="Y556" s="27"/>
      <c r="Z556" s="27"/>
      <c r="AA556" s="27"/>
      <c r="AB556" s="27"/>
      <c r="AC556" s="27"/>
      <c r="AD556" s="27"/>
      <c r="AF556" s="8"/>
      <c r="AG556" s="27"/>
      <c r="AH556" s="14">
        <f>+'Pegar ML'!Y552</f>
        <v>0</v>
      </c>
      <c r="AI556" s="13">
        <f t="shared" si="25"/>
        <v>1</v>
      </c>
      <c r="AJ556" s="7">
        <f>+'Pegar ML'!T552</f>
        <v>0</v>
      </c>
      <c r="AK556" s="27"/>
      <c r="AL556" s="27"/>
      <c r="AM556" s="27"/>
      <c r="AN556" s="27"/>
      <c r="AO556" s="27"/>
      <c r="AP556" s="27"/>
      <c r="AQ556" s="27"/>
      <c r="AR556" s="27"/>
      <c r="AS556" s="27">
        <v>17</v>
      </c>
    </row>
    <row r="557" spans="1:45" ht="15" customHeight="1" x14ac:dyDescent="0.25">
      <c r="A557" s="27">
        <f>IF('Pegar ML'!C552="Paquete de 2 productos",'Pegar ML'!A552,IF('Pegar ML'!C551="Paquete de 2 productos",'Pegar ML'!A551,'Pegar ML'!A553))</f>
        <v>0</v>
      </c>
      <c r="B557" s="27"/>
      <c r="C557" s="30" t="str">
        <f>IF(AjusteFecha!I553=0,"",AjusteFecha!I553)</f>
        <v/>
      </c>
      <c r="D557" s="27"/>
      <c r="E557" s="27"/>
      <c r="F557" s="27" t="str">
        <f>IF('Pegar ML'!C553="","",'Pegar ML'!C553)</f>
        <v/>
      </c>
      <c r="G557" s="27" t="str">
        <f>IF('Pegar ML'!G548="ARS","PS","PS")</f>
        <v>PS</v>
      </c>
      <c r="H557" s="14">
        <f>IF('Pegar ML'!C552="Paquete de 2 productos",IF('Pegar ML'!H552="",0,'Pegar ML'!H552),IF('Pegar ML'!H553="",0,'Pegar ML'!H553))</f>
        <v>0</v>
      </c>
      <c r="I557" s="14">
        <f>IF('Pegar ML'!C552="Paquete de 2 productos",IF('Pegar ML'!O552="",0,'Pegar ML'!O552),IF('Pegar ML'!O553="",0,'Pegar ML'!O553))</f>
        <v>0</v>
      </c>
      <c r="J557" s="14">
        <f>IF('Pegar ML'!C552="Paquete de 2 productos",IF('Pegar ML'!O552="",0,'Pegar ML'!O552),IF('Pegar ML'!O553="",0,'Pegar ML'!O553))</f>
        <v>0</v>
      </c>
      <c r="K557" s="14">
        <f t="shared" si="26"/>
        <v>0</v>
      </c>
      <c r="L557" s="27">
        <f>IF('Pegar ML'!AB553=" ",'Pegar ML'!AB552,'Pegar ML'!AB553)</f>
        <v>0</v>
      </c>
      <c r="M557" s="27" t="str">
        <f>IF('Pegar ML'!AC553=" ",RIGHT('Pegar ML'!AC552,8),RIGHT('Pegar ML'!AC553,8))</f>
        <v/>
      </c>
      <c r="N557" s="27" t="s">
        <v>80</v>
      </c>
      <c r="O557" s="27">
        <f t="shared" si="24"/>
        <v>0</v>
      </c>
      <c r="P557" s="27" t="s">
        <v>80</v>
      </c>
      <c r="Q557" s="55">
        <f>IF('Pegar ML'!AD553=" ",'Pegar ML'!AD552,'Pegar ML'!AD553)</f>
        <v>0</v>
      </c>
      <c r="R557" s="27" t="s">
        <v>80</v>
      </c>
      <c r="S557" s="27" t="s">
        <v>80</v>
      </c>
      <c r="T557" s="27" t="s">
        <v>80</v>
      </c>
      <c r="U557" s="55">
        <f>IF('Pegar ML'!AI553=" ",'Pegar ML'!AI552,'Pegar ML'!AI553)</f>
        <v>0</v>
      </c>
      <c r="V557" s="55">
        <f>IF('Pegar ML'!AK553=" ",'Pegar ML'!AK552,'Pegar ML'!AK553)</f>
        <v>0</v>
      </c>
      <c r="W557" s="55">
        <f>IF('Pegar ML'!AJ553=" ",'Pegar ML'!AJ552,'Pegar ML'!AJ553)</f>
        <v>0</v>
      </c>
      <c r="X557" s="55">
        <f>IF('Pegar ML'!AL553=" ",'Pegar ML'!AL552,'Pegar ML'!AL553)</f>
        <v>0</v>
      </c>
      <c r="Y557" s="27"/>
      <c r="Z557" s="27"/>
      <c r="AA557" s="27"/>
      <c r="AB557" s="27"/>
      <c r="AC557" s="27"/>
      <c r="AD557" s="27"/>
      <c r="AF557" s="8"/>
      <c r="AG557" s="27"/>
      <c r="AH557" s="14">
        <f>+'Pegar ML'!Y553</f>
        <v>0</v>
      </c>
      <c r="AI557" s="13">
        <f t="shared" si="25"/>
        <v>1</v>
      </c>
      <c r="AJ557" s="7">
        <f>+'Pegar ML'!T553</f>
        <v>0</v>
      </c>
      <c r="AK557" s="27"/>
      <c r="AL557" s="27"/>
      <c r="AM557" s="27"/>
      <c r="AN557" s="27"/>
      <c r="AO557" s="27"/>
      <c r="AP557" s="27"/>
      <c r="AQ557" s="27"/>
      <c r="AR557" s="27"/>
      <c r="AS557" s="27">
        <v>17</v>
      </c>
    </row>
    <row r="558" spans="1:45" ht="15" customHeight="1" x14ac:dyDescent="0.25">
      <c r="A558" s="27">
        <f>IF('Pegar ML'!C553="Paquete de 2 productos",'Pegar ML'!A553,IF('Pegar ML'!C552="Paquete de 2 productos",'Pegar ML'!A552,'Pegar ML'!A554))</f>
        <v>0</v>
      </c>
      <c r="B558" s="27"/>
      <c r="C558" s="30" t="str">
        <f>IF(AjusteFecha!I554=0,"",AjusteFecha!I554)</f>
        <v/>
      </c>
      <c r="D558" s="27"/>
      <c r="E558" s="27"/>
      <c r="F558" s="27" t="str">
        <f>IF('Pegar ML'!C554="","",'Pegar ML'!C554)</f>
        <v/>
      </c>
      <c r="G558" s="27" t="str">
        <f>IF('Pegar ML'!G549="ARS","PS","PS")</f>
        <v>PS</v>
      </c>
      <c r="H558" s="14">
        <f>IF('Pegar ML'!C553="Paquete de 2 productos",IF('Pegar ML'!H553="",0,'Pegar ML'!H553),IF('Pegar ML'!H554="",0,'Pegar ML'!H554))</f>
        <v>0</v>
      </c>
      <c r="I558" s="14">
        <f>IF('Pegar ML'!C553="Paquete de 2 productos",IF('Pegar ML'!O553="",0,'Pegar ML'!O553),IF('Pegar ML'!O554="",0,'Pegar ML'!O554))</f>
        <v>0</v>
      </c>
      <c r="J558" s="14">
        <f>IF('Pegar ML'!C553="Paquete de 2 productos",IF('Pegar ML'!O553="",0,'Pegar ML'!O553),IF('Pegar ML'!O554="",0,'Pegar ML'!O554))</f>
        <v>0</v>
      </c>
      <c r="K558" s="14">
        <f t="shared" si="26"/>
        <v>0</v>
      </c>
      <c r="L558" s="27">
        <f>IF('Pegar ML'!AB554=" ",'Pegar ML'!AB553,'Pegar ML'!AB554)</f>
        <v>0</v>
      </c>
      <c r="M558" s="27" t="str">
        <f>IF('Pegar ML'!AC554=" ",RIGHT('Pegar ML'!AC553,8),RIGHT('Pegar ML'!AC554,8))</f>
        <v/>
      </c>
      <c r="N558" s="27" t="s">
        <v>80</v>
      </c>
      <c r="O558" s="27">
        <f t="shared" si="24"/>
        <v>0</v>
      </c>
      <c r="P558" s="27" t="s">
        <v>80</v>
      </c>
      <c r="Q558" s="55">
        <f>IF('Pegar ML'!AD554=" ",'Pegar ML'!AD553,'Pegar ML'!AD554)</f>
        <v>0</v>
      </c>
      <c r="R558" s="27" t="s">
        <v>80</v>
      </c>
      <c r="S558" s="27" t="s">
        <v>80</v>
      </c>
      <c r="T558" s="27" t="s">
        <v>80</v>
      </c>
      <c r="U558" s="55">
        <f>IF('Pegar ML'!AI554=" ",'Pegar ML'!AI553,'Pegar ML'!AI554)</f>
        <v>0</v>
      </c>
      <c r="V558" s="55">
        <f>IF('Pegar ML'!AK554=" ",'Pegar ML'!AK553,'Pegar ML'!AK554)</f>
        <v>0</v>
      </c>
      <c r="W558" s="55">
        <f>IF('Pegar ML'!AJ554=" ",'Pegar ML'!AJ553,'Pegar ML'!AJ554)</f>
        <v>0</v>
      </c>
      <c r="X558" s="55">
        <f>IF('Pegar ML'!AL554=" ",'Pegar ML'!AL553,'Pegar ML'!AL554)</f>
        <v>0</v>
      </c>
      <c r="Y558" s="27"/>
      <c r="Z558" s="27"/>
      <c r="AA558" s="27"/>
      <c r="AB558" s="27"/>
      <c r="AC558" s="27"/>
      <c r="AD558" s="27"/>
      <c r="AF558" s="8"/>
      <c r="AG558" s="27"/>
      <c r="AH558" s="14">
        <f>+'Pegar ML'!Y554</f>
        <v>0</v>
      </c>
      <c r="AI558" s="13">
        <f t="shared" si="25"/>
        <v>1</v>
      </c>
      <c r="AJ558" s="7">
        <f>+'Pegar ML'!T554</f>
        <v>0</v>
      </c>
      <c r="AK558" s="27"/>
      <c r="AL558" s="27"/>
      <c r="AM558" s="27"/>
      <c r="AN558" s="27"/>
      <c r="AO558" s="27"/>
      <c r="AP558" s="27"/>
      <c r="AQ558" s="27"/>
      <c r="AR558" s="27"/>
      <c r="AS558" s="27">
        <v>17</v>
      </c>
    </row>
    <row r="559" spans="1:45" ht="15" customHeight="1" x14ac:dyDescent="0.25">
      <c r="A559" s="27">
        <f>IF('Pegar ML'!C554="Paquete de 2 productos",'Pegar ML'!A554,IF('Pegar ML'!C553="Paquete de 2 productos",'Pegar ML'!A553,'Pegar ML'!A555))</f>
        <v>0</v>
      </c>
      <c r="B559" s="27"/>
      <c r="C559" s="30" t="str">
        <f>IF(AjusteFecha!I555=0,"",AjusteFecha!I555)</f>
        <v/>
      </c>
      <c r="D559" s="27"/>
      <c r="E559" s="27"/>
      <c r="F559" s="27" t="str">
        <f>IF('Pegar ML'!C555="","",'Pegar ML'!C555)</f>
        <v/>
      </c>
      <c r="G559" s="27" t="str">
        <f>IF('Pegar ML'!G550="ARS","PS","PS")</f>
        <v>PS</v>
      </c>
      <c r="H559" s="14">
        <f>IF('Pegar ML'!C554="Paquete de 2 productos",IF('Pegar ML'!H554="",0,'Pegar ML'!H554),IF('Pegar ML'!H555="",0,'Pegar ML'!H555))</f>
        <v>0</v>
      </c>
      <c r="I559" s="14">
        <f>IF('Pegar ML'!C554="Paquete de 2 productos",IF('Pegar ML'!O554="",0,'Pegar ML'!O554),IF('Pegar ML'!O555="",0,'Pegar ML'!O555))</f>
        <v>0</v>
      </c>
      <c r="J559" s="14">
        <f>IF('Pegar ML'!C554="Paquete de 2 productos",IF('Pegar ML'!O554="",0,'Pegar ML'!O554),IF('Pegar ML'!O555="",0,'Pegar ML'!O555))</f>
        <v>0</v>
      </c>
      <c r="K559" s="14">
        <f t="shared" si="26"/>
        <v>0</v>
      </c>
      <c r="L559" s="27">
        <f>IF('Pegar ML'!AB555=" ",'Pegar ML'!AB554,'Pegar ML'!AB555)</f>
        <v>0</v>
      </c>
      <c r="M559" s="27" t="str">
        <f>IF('Pegar ML'!AC555=" ",RIGHT('Pegar ML'!AC554,8),RIGHT('Pegar ML'!AC555,8))</f>
        <v/>
      </c>
      <c r="N559" s="27" t="s">
        <v>80</v>
      </c>
      <c r="O559" s="27">
        <f t="shared" si="24"/>
        <v>0</v>
      </c>
      <c r="P559" s="27" t="s">
        <v>80</v>
      </c>
      <c r="Q559" s="55">
        <f>IF('Pegar ML'!AD555=" ",'Pegar ML'!AD554,'Pegar ML'!AD555)</f>
        <v>0</v>
      </c>
      <c r="R559" s="27" t="s">
        <v>80</v>
      </c>
      <c r="S559" s="27" t="s">
        <v>80</v>
      </c>
      <c r="T559" s="27" t="s">
        <v>80</v>
      </c>
      <c r="U559" s="55">
        <f>IF('Pegar ML'!AI555=" ",'Pegar ML'!AI554,'Pegar ML'!AI555)</f>
        <v>0</v>
      </c>
      <c r="V559" s="55">
        <f>IF('Pegar ML'!AK555=" ",'Pegar ML'!AK554,'Pegar ML'!AK555)</f>
        <v>0</v>
      </c>
      <c r="W559" s="55">
        <f>IF('Pegar ML'!AJ555=" ",'Pegar ML'!AJ554,'Pegar ML'!AJ555)</f>
        <v>0</v>
      </c>
      <c r="X559" s="55">
        <f>IF('Pegar ML'!AL555=" ",'Pegar ML'!AL554,'Pegar ML'!AL555)</f>
        <v>0</v>
      </c>
      <c r="Y559" s="27"/>
      <c r="Z559" s="27"/>
      <c r="AA559" s="27"/>
      <c r="AB559" s="27"/>
      <c r="AC559" s="27"/>
      <c r="AD559" s="27"/>
      <c r="AF559" s="8"/>
      <c r="AG559" s="27"/>
      <c r="AH559" s="14">
        <f>+'Pegar ML'!Y555</f>
        <v>0</v>
      </c>
      <c r="AI559" s="13">
        <f t="shared" si="25"/>
        <v>1</v>
      </c>
      <c r="AJ559" s="7">
        <f>+'Pegar ML'!T555</f>
        <v>0</v>
      </c>
      <c r="AK559" s="27"/>
      <c r="AL559" s="27"/>
      <c r="AM559" s="27"/>
      <c r="AN559" s="27"/>
      <c r="AO559" s="27"/>
      <c r="AP559" s="27"/>
      <c r="AQ559" s="27"/>
      <c r="AR559" s="27"/>
      <c r="AS559" s="27">
        <v>17</v>
      </c>
    </row>
    <row r="560" spans="1:45" ht="15" customHeight="1" x14ac:dyDescent="0.25">
      <c r="A560" s="27">
        <f>IF('Pegar ML'!C555="Paquete de 2 productos",'Pegar ML'!A555,IF('Pegar ML'!C554="Paquete de 2 productos",'Pegar ML'!A554,'Pegar ML'!A556))</f>
        <v>0</v>
      </c>
      <c r="B560" s="27"/>
      <c r="C560" s="30" t="str">
        <f>IF(AjusteFecha!I556=0,"",AjusteFecha!I556)</f>
        <v/>
      </c>
      <c r="D560" s="27"/>
      <c r="E560" s="27"/>
      <c r="F560" s="27" t="str">
        <f>IF('Pegar ML'!C556="","",'Pegar ML'!C556)</f>
        <v/>
      </c>
      <c r="G560" s="27" t="str">
        <f>IF('Pegar ML'!G551="ARS","PS","PS")</f>
        <v>PS</v>
      </c>
      <c r="H560" s="14">
        <f>IF('Pegar ML'!C555="Paquete de 2 productos",IF('Pegar ML'!H555="",0,'Pegar ML'!H555),IF('Pegar ML'!H556="",0,'Pegar ML'!H556))</f>
        <v>0</v>
      </c>
      <c r="I560" s="14">
        <f>IF('Pegar ML'!C555="Paquete de 2 productos",IF('Pegar ML'!O555="",0,'Pegar ML'!O555),IF('Pegar ML'!O556="",0,'Pegar ML'!O556))</f>
        <v>0</v>
      </c>
      <c r="J560" s="14">
        <f>IF('Pegar ML'!C555="Paquete de 2 productos",IF('Pegar ML'!O555="",0,'Pegar ML'!O555),IF('Pegar ML'!O556="",0,'Pegar ML'!O556))</f>
        <v>0</v>
      </c>
      <c r="K560" s="14">
        <f t="shared" si="26"/>
        <v>0</v>
      </c>
      <c r="L560" s="27">
        <f>IF('Pegar ML'!AB556=" ",'Pegar ML'!AB555,'Pegar ML'!AB556)</f>
        <v>0</v>
      </c>
      <c r="M560" s="27" t="str">
        <f>IF('Pegar ML'!AC556=" ",RIGHT('Pegar ML'!AC555,8),RIGHT('Pegar ML'!AC556,8))</f>
        <v/>
      </c>
      <c r="N560" s="27" t="s">
        <v>80</v>
      </c>
      <c r="O560" s="27">
        <f t="shared" si="24"/>
        <v>0</v>
      </c>
      <c r="P560" s="27" t="s">
        <v>80</v>
      </c>
      <c r="Q560" s="55">
        <f>IF('Pegar ML'!AD556=" ",'Pegar ML'!AD555,'Pegar ML'!AD556)</f>
        <v>0</v>
      </c>
      <c r="R560" s="27" t="s">
        <v>80</v>
      </c>
      <c r="S560" s="27" t="s">
        <v>80</v>
      </c>
      <c r="T560" s="27" t="s">
        <v>80</v>
      </c>
      <c r="U560" s="55">
        <f>IF('Pegar ML'!AI556=" ",'Pegar ML'!AI555,'Pegar ML'!AI556)</f>
        <v>0</v>
      </c>
      <c r="V560" s="55">
        <f>IF('Pegar ML'!AK556=" ",'Pegar ML'!AK555,'Pegar ML'!AK556)</f>
        <v>0</v>
      </c>
      <c r="W560" s="55">
        <f>IF('Pegar ML'!AJ556=" ",'Pegar ML'!AJ555,'Pegar ML'!AJ556)</f>
        <v>0</v>
      </c>
      <c r="X560" s="55">
        <f>IF('Pegar ML'!AL556=" ",'Pegar ML'!AL555,'Pegar ML'!AL556)</f>
        <v>0</v>
      </c>
      <c r="Y560" s="27"/>
      <c r="Z560" s="27"/>
      <c r="AA560" s="27"/>
      <c r="AB560" s="27"/>
      <c r="AC560" s="27"/>
      <c r="AD560" s="27"/>
      <c r="AF560" s="8"/>
      <c r="AG560" s="27"/>
      <c r="AH560" s="14">
        <f>+'Pegar ML'!Y556</f>
        <v>0</v>
      </c>
      <c r="AI560" s="13">
        <f t="shared" si="25"/>
        <v>1</v>
      </c>
      <c r="AJ560" s="7">
        <f>+'Pegar ML'!T556</f>
        <v>0</v>
      </c>
      <c r="AK560" s="27"/>
      <c r="AL560" s="27"/>
      <c r="AM560" s="27"/>
      <c r="AN560" s="27"/>
      <c r="AO560" s="27"/>
      <c r="AP560" s="27"/>
      <c r="AQ560" s="27"/>
      <c r="AR560" s="27"/>
      <c r="AS560" s="27">
        <v>17</v>
      </c>
    </row>
    <row r="561" spans="1:45" ht="15" customHeight="1" x14ac:dyDescent="0.25">
      <c r="A561" s="27">
        <f>IF('Pegar ML'!C556="Paquete de 2 productos",'Pegar ML'!A556,IF('Pegar ML'!C555="Paquete de 2 productos",'Pegar ML'!A555,'Pegar ML'!A557))</f>
        <v>0</v>
      </c>
      <c r="B561" s="27"/>
      <c r="C561" s="30" t="str">
        <f>IF(AjusteFecha!I557=0,"",AjusteFecha!I557)</f>
        <v/>
      </c>
      <c r="D561" s="27"/>
      <c r="E561" s="27"/>
      <c r="F561" s="27" t="str">
        <f>IF('Pegar ML'!C557="","",'Pegar ML'!C557)</f>
        <v/>
      </c>
      <c r="G561" s="27" t="str">
        <f>IF('Pegar ML'!G552="ARS","PS","PS")</f>
        <v>PS</v>
      </c>
      <c r="H561" s="14">
        <f>IF('Pegar ML'!C556="Paquete de 2 productos",IF('Pegar ML'!H556="",0,'Pegar ML'!H556),IF('Pegar ML'!H557="",0,'Pegar ML'!H557))</f>
        <v>0</v>
      </c>
      <c r="I561" s="14">
        <f>IF('Pegar ML'!C556="Paquete de 2 productos",IF('Pegar ML'!O556="",0,'Pegar ML'!O556),IF('Pegar ML'!O557="",0,'Pegar ML'!O557))</f>
        <v>0</v>
      </c>
      <c r="J561" s="14">
        <f>IF('Pegar ML'!C556="Paquete de 2 productos",IF('Pegar ML'!O556="",0,'Pegar ML'!O556),IF('Pegar ML'!O557="",0,'Pegar ML'!O557))</f>
        <v>0</v>
      </c>
      <c r="K561" s="14">
        <f t="shared" si="26"/>
        <v>0</v>
      </c>
      <c r="L561" s="27">
        <f>IF('Pegar ML'!AB557=" ",'Pegar ML'!AB556,'Pegar ML'!AB557)</f>
        <v>0</v>
      </c>
      <c r="M561" s="27" t="str">
        <f>IF('Pegar ML'!AC557=" ",RIGHT('Pegar ML'!AC556,8),RIGHT('Pegar ML'!AC557,8))</f>
        <v/>
      </c>
      <c r="N561" s="27" t="s">
        <v>80</v>
      </c>
      <c r="O561" s="27">
        <f t="shared" si="24"/>
        <v>0</v>
      </c>
      <c r="P561" s="27" t="s">
        <v>80</v>
      </c>
      <c r="Q561" s="55">
        <f>IF('Pegar ML'!AD557=" ",'Pegar ML'!AD556,'Pegar ML'!AD557)</f>
        <v>0</v>
      </c>
      <c r="R561" s="27" t="s">
        <v>80</v>
      </c>
      <c r="S561" s="27" t="s">
        <v>80</v>
      </c>
      <c r="T561" s="27" t="s">
        <v>80</v>
      </c>
      <c r="U561" s="55">
        <f>IF('Pegar ML'!AI557=" ",'Pegar ML'!AI556,'Pegar ML'!AI557)</f>
        <v>0</v>
      </c>
      <c r="V561" s="55">
        <f>IF('Pegar ML'!AK557=" ",'Pegar ML'!AK556,'Pegar ML'!AK557)</f>
        <v>0</v>
      </c>
      <c r="W561" s="55">
        <f>IF('Pegar ML'!AJ557=" ",'Pegar ML'!AJ556,'Pegar ML'!AJ557)</f>
        <v>0</v>
      </c>
      <c r="X561" s="55">
        <f>IF('Pegar ML'!AL557=" ",'Pegar ML'!AL556,'Pegar ML'!AL557)</f>
        <v>0</v>
      </c>
      <c r="Y561" s="27"/>
      <c r="Z561" s="27"/>
      <c r="AA561" s="27"/>
      <c r="AB561" s="27"/>
      <c r="AC561" s="27"/>
      <c r="AD561" s="27"/>
      <c r="AF561" s="8"/>
      <c r="AG561" s="27"/>
      <c r="AH561" s="14">
        <f>+'Pegar ML'!Y557</f>
        <v>0</v>
      </c>
      <c r="AI561" s="13">
        <f t="shared" si="25"/>
        <v>1</v>
      </c>
      <c r="AJ561" s="7">
        <f>+'Pegar ML'!T557</f>
        <v>0</v>
      </c>
      <c r="AK561" s="27"/>
      <c r="AL561" s="27"/>
      <c r="AM561" s="27"/>
      <c r="AN561" s="27"/>
      <c r="AO561" s="27"/>
      <c r="AP561" s="27"/>
      <c r="AQ561" s="27"/>
      <c r="AR561" s="27"/>
      <c r="AS561" s="27">
        <v>17</v>
      </c>
    </row>
    <row r="562" spans="1:45" ht="15" customHeight="1" x14ac:dyDescent="0.25">
      <c r="A562" s="27">
        <f>IF('Pegar ML'!C557="Paquete de 2 productos",'Pegar ML'!A557,IF('Pegar ML'!C556="Paquete de 2 productos",'Pegar ML'!A556,'Pegar ML'!A558))</f>
        <v>0</v>
      </c>
      <c r="B562" s="27"/>
      <c r="C562" s="30" t="str">
        <f>IF(AjusteFecha!I558=0,"",AjusteFecha!I558)</f>
        <v/>
      </c>
      <c r="D562" s="27"/>
      <c r="E562" s="27"/>
      <c r="F562" s="27" t="str">
        <f>IF('Pegar ML'!C558="","",'Pegar ML'!C558)</f>
        <v/>
      </c>
      <c r="G562" s="27" t="str">
        <f>IF('Pegar ML'!G553="ARS","PS","PS")</f>
        <v>PS</v>
      </c>
      <c r="H562" s="14">
        <f>IF('Pegar ML'!C557="Paquete de 2 productos",IF('Pegar ML'!H557="",0,'Pegar ML'!H557),IF('Pegar ML'!H558="",0,'Pegar ML'!H558))</f>
        <v>0</v>
      </c>
      <c r="I562" s="14">
        <f>IF('Pegar ML'!C557="Paquete de 2 productos",IF('Pegar ML'!O557="",0,'Pegar ML'!O557),IF('Pegar ML'!O558="",0,'Pegar ML'!O558))</f>
        <v>0</v>
      </c>
      <c r="J562" s="14">
        <f>IF('Pegar ML'!C557="Paquete de 2 productos",IF('Pegar ML'!O557="",0,'Pegar ML'!O557),IF('Pegar ML'!O558="",0,'Pegar ML'!O558))</f>
        <v>0</v>
      </c>
      <c r="K562" s="14">
        <f t="shared" si="26"/>
        <v>0</v>
      </c>
      <c r="L562" s="27">
        <f>IF('Pegar ML'!AB558=" ",'Pegar ML'!AB557,'Pegar ML'!AB558)</f>
        <v>0</v>
      </c>
      <c r="M562" s="27" t="str">
        <f>IF('Pegar ML'!AC558=" ",RIGHT('Pegar ML'!AC557,8),RIGHT('Pegar ML'!AC558,8))</f>
        <v/>
      </c>
      <c r="N562" s="27" t="s">
        <v>80</v>
      </c>
      <c r="O562" s="27">
        <f t="shared" si="24"/>
        <v>0</v>
      </c>
      <c r="P562" s="27" t="s">
        <v>80</v>
      </c>
      <c r="Q562" s="55">
        <f>IF('Pegar ML'!AD558=" ",'Pegar ML'!AD557,'Pegar ML'!AD558)</f>
        <v>0</v>
      </c>
      <c r="R562" s="27" t="s">
        <v>80</v>
      </c>
      <c r="S562" s="27" t="s">
        <v>80</v>
      </c>
      <c r="T562" s="27" t="s">
        <v>80</v>
      </c>
      <c r="U562" s="55">
        <f>IF('Pegar ML'!AI558=" ",'Pegar ML'!AI557,'Pegar ML'!AI558)</f>
        <v>0</v>
      </c>
      <c r="V562" s="55">
        <f>IF('Pegar ML'!AK558=" ",'Pegar ML'!AK557,'Pegar ML'!AK558)</f>
        <v>0</v>
      </c>
      <c r="W562" s="55">
        <f>IF('Pegar ML'!AJ558=" ",'Pegar ML'!AJ557,'Pegar ML'!AJ558)</f>
        <v>0</v>
      </c>
      <c r="X562" s="55">
        <f>IF('Pegar ML'!AL558=" ",'Pegar ML'!AL557,'Pegar ML'!AL558)</f>
        <v>0</v>
      </c>
      <c r="Y562" s="27"/>
      <c r="Z562" s="27"/>
      <c r="AA562" s="27"/>
      <c r="AB562" s="27"/>
      <c r="AC562" s="27"/>
      <c r="AD562" s="27"/>
      <c r="AF562" s="8"/>
      <c r="AG562" s="27"/>
      <c r="AH562" s="14">
        <f>+'Pegar ML'!Y558</f>
        <v>0</v>
      </c>
      <c r="AI562" s="13">
        <f t="shared" si="25"/>
        <v>1</v>
      </c>
      <c r="AJ562" s="7">
        <f>+'Pegar ML'!T558</f>
        <v>0</v>
      </c>
      <c r="AK562" s="27"/>
      <c r="AL562" s="27"/>
      <c r="AM562" s="27"/>
      <c r="AN562" s="27"/>
      <c r="AO562" s="27"/>
      <c r="AP562" s="27"/>
      <c r="AQ562" s="27"/>
      <c r="AR562" s="27"/>
      <c r="AS562" s="27">
        <v>17</v>
      </c>
    </row>
    <row r="563" spans="1:45" ht="15" customHeight="1" x14ac:dyDescent="0.25">
      <c r="A563" s="27">
        <f>IF('Pegar ML'!C558="Paquete de 2 productos",'Pegar ML'!A558,IF('Pegar ML'!C557="Paquete de 2 productos",'Pegar ML'!A557,'Pegar ML'!A559))</f>
        <v>0</v>
      </c>
      <c r="B563" s="27"/>
      <c r="C563" s="30" t="str">
        <f>IF(AjusteFecha!I559=0,"",AjusteFecha!I559)</f>
        <v/>
      </c>
      <c r="D563" s="27"/>
      <c r="E563" s="27"/>
      <c r="F563" s="27" t="str">
        <f>IF('Pegar ML'!C559="","",'Pegar ML'!C559)</f>
        <v/>
      </c>
      <c r="G563" s="27" t="str">
        <f>IF('Pegar ML'!G554="ARS","PS","PS")</f>
        <v>PS</v>
      </c>
      <c r="H563" s="14">
        <f>IF('Pegar ML'!C558="Paquete de 2 productos",IF('Pegar ML'!H558="",0,'Pegar ML'!H558),IF('Pegar ML'!H559="",0,'Pegar ML'!H559))</f>
        <v>0</v>
      </c>
      <c r="I563" s="14">
        <f>IF('Pegar ML'!C558="Paquete de 2 productos",IF('Pegar ML'!O558="",0,'Pegar ML'!O558),IF('Pegar ML'!O559="",0,'Pegar ML'!O559))</f>
        <v>0</v>
      </c>
      <c r="J563" s="14">
        <f>IF('Pegar ML'!C558="Paquete de 2 productos",IF('Pegar ML'!O558="",0,'Pegar ML'!O558),IF('Pegar ML'!O559="",0,'Pegar ML'!O559))</f>
        <v>0</v>
      </c>
      <c r="K563" s="14">
        <f t="shared" si="26"/>
        <v>0</v>
      </c>
      <c r="L563" s="27">
        <f>IF('Pegar ML'!AB559=" ",'Pegar ML'!AB558,'Pegar ML'!AB559)</f>
        <v>0</v>
      </c>
      <c r="M563" s="27" t="str">
        <f>IF('Pegar ML'!AC559=" ",RIGHT('Pegar ML'!AC558,8),RIGHT('Pegar ML'!AC559,8))</f>
        <v/>
      </c>
      <c r="N563" s="27" t="s">
        <v>80</v>
      </c>
      <c r="O563" s="27">
        <f t="shared" si="24"/>
        <v>0</v>
      </c>
      <c r="P563" s="27" t="s">
        <v>80</v>
      </c>
      <c r="Q563" s="55">
        <f>IF('Pegar ML'!AD559=" ",'Pegar ML'!AD558,'Pegar ML'!AD559)</f>
        <v>0</v>
      </c>
      <c r="R563" s="27" t="s">
        <v>80</v>
      </c>
      <c r="S563" s="27" t="s">
        <v>80</v>
      </c>
      <c r="T563" s="27" t="s">
        <v>80</v>
      </c>
      <c r="U563" s="55">
        <f>IF('Pegar ML'!AI559=" ",'Pegar ML'!AI558,'Pegar ML'!AI559)</f>
        <v>0</v>
      </c>
      <c r="V563" s="55">
        <f>IF('Pegar ML'!AK559=" ",'Pegar ML'!AK558,'Pegar ML'!AK559)</f>
        <v>0</v>
      </c>
      <c r="W563" s="55">
        <f>IF('Pegar ML'!AJ559=" ",'Pegar ML'!AJ558,'Pegar ML'!AJ559)</f>
        <v>0</v>
      </c>
      <c r="X563" s="55">
        <f>IF('Pegar ML'!AL559=" ",'Pegar ML'!AL558,'Pegar ML'!AL559)</f>
        <v>0</v>
      </c>
      <c r="Y563" s="27"/>
      <c r="Z563" s="27"/>
      <c r="AA563" s="27"/>
      <c r="AB563" s="27"/>
      <c r="AC563" s="27"/>
      <c r="AD563" s="27"/>
      <c r="AF563" s="8"/>
      <c r="AG563" s="27"/>
      <c r="AH563" s="14">
        <f>+'Pegar ML'!Y559</f>
        <v>0</v>
      </c>
      <c r="AI563" s="13">
        <f t="shared" si="25"/>
        <v>1</v>
      </c>
      <c r="AJ563" s="7">
        <f>+'Pegar ML'!T559</f>
        <v>0</v>
      </c>
      <c r="AK563" s="27"/>
      <c r="AL563" s="27"/>
      <c r="AM563" s="27"/>
      <c r="AN563" s="27"/>
      <c r="AO563" s="27"/>
      <c r="AP563" s="27"/>
      <c r="AQ563" s="27"/>
      <c r="AR563" s="27"/>
      <c r="AS563" s="27">
        <v>17</v>
      </c>
    </row>
    <row r="564" spans="1:45" ht="15" customHeight="1" x14ac:dyDescent="0.25">
      <c r="A564" s="27">
        <f>IF('Pegar ML'!C559="Paquete de 2 productos",'Pegar ML'!A559,IF('Pegar ML'!C558="Paquete de 2 productos",'Pegar ML'!A558,'Pegar ML'!A560))</f>
        <v>0</v>
      </c>
      <c r="B564" s="27"/>
      <c r="C564" s="30" t="str">
        <f>IF(AjusteFecha!I560=0,"",AjusteFecha!I560)</f>
        <v/>
      </c>
      <c r="D564" s="27"/>
      <c r="E564" s="27"/>
      <c r="F564" s="27" t="str">
        <f>IF('Pegar ML'!C560="","",'Pegar ML'!C560)</f>
        <v/>
      </c>
      <c r="G564" s="27" t="str">
        <f>IF('Pegar ML'!G555="ARS","PS","PS")</f>
        <v>PS</v>
      </c>
      <c r="H564" s="14">
        <f>IF('Pegar ML'!C559="Paquete de 2 productos",IF('Pegar ML'!H559="",0,'Pegar ML'!H559),IF('Pegar ML'!H560="",0,'Pegar ML'!H560))</f>
        <v>0</v>
      </c>
      <c r="I564" s="14">
        <f>IF('Pegar ML'!C559="Paquete de 2 productos",IF('Pegar ML'!O559="",0,'Pegar ML'!O559),IF('Pegar ML'!O560="",0,'Pegar ML'!O560))</f>
        <v>0</v>
      </c>
      <c r="J564" s="14">
        <f>IF('Pegar ML'!C559="Paquete de 2 productos",IF('Pegar ML'!O559="",0,'Pegar ML'!O559),IF('Pegar ML'!O560="",0,'Pegar ML'!O560))</f>
        <v>0</v>
      </c>
      <c r="K564" s="14">
        <f t="shared" si="26"/>
        <v>0</v>
      </c>
      <c r="L564" s="27">
        <f>IF('Pegar ML'!AB560=" ",'Pegar ML'!AB559,'Pegar ML'!AB560)</f>
        <v>0</v>
      </c>
      <c r="M564" s="27" t="str">
        <f>IF('Pegar ML'!AC560=" ",RIGHT('Pegar ML'!AC559,8),RIGHT('Pegar ML'!AC560,8))</f>
        <v/>
      </c>
      <c r="N564" s="27" t="s">
        <v>80</v>
      </c>
      <c r="O564" s="27">
        <f t="shared" si="24"/>
        <v>0</v>
      </c>
      <c r="P564" s="27" t="s">
        <v>80</v>
      </c>
      <c r="Q564" s="55">
        <f>IF('Pegar ML'!AD560=" ",'Pegar ML'!AD559,'Pegar ML'!AD560)</f>
        <v>0</v>
      </c>
      <c r="R564" s="27" t="s">
        <v>80</v>
      </c>
      <c r="S564" s="27" t="s">
        <v>80</v>
      </c>
      <c r="T564" s="27" t="s">
        <v>80</v>
      </c>
      <c r="U564" s="55">
        <f>IF('Pegar ML'!AI560=" ",'Pegar ML'!AI559,'Pegar ML'!AI560)</f>
        <v>0</v>
      </c>
      <c r="V564" s="55">
        <f>IF('Pegar ML'!AK560=" ",'Pegar ML'!AK559,'Pegar ML'!AK560)</f>
        <v>0</v>
      </c>
      <c r="W564" s="55">
        <f>IF('Pegar ML'!AJ560=" ",'Pegar ML'!AJ559,'Pegar ML'!AJ560)</f>
        <v>0</v>
      </c>
      <c r="X564" s="55">
        <f>IF('Pegar ML'!AL560=" ",'Pegar ML'!AL559,'Pegar ML'!AL560)</f>
        <v>0</v>
      </c>
      <c r="Y564" s="27"/>
      <c r="Z564" s="27"/>
      <c r="AA564" s="27"/>
      <c r="AB564" s="27"/>
      <c r="AC564" s="27"/>
      <c r="AD564" s="27"/>
      <c r="AF564" s="8"/>
      <c r="AG564" s="27"/>
      <c r="AH564" s="14">
        <f>+'Pegar ML'!Y560</f>
        <v>0</v>
      </c>
      <c r="AI564" s="13">
        <f t="shared" si="25"/>
        <v>1</v>
      </c>
      <c r="AJ564" s="7">
        <f>+'Pegar ML'!T560</f>
        <v>0</v>
      </c>
      <c r="AK564" s="27"/>
      <c r="AL564" s="27"/>
      <c r="AM564" s="27"/>
      <c r="AN564" s="27"/>
      <c r="AO564" s="27"/>
      <c r="AP564" s="27"/>
      <c r="AQ564" s="27"/>
      <c r="AR564" s="27"/>
      <c r="AS564" s="27">
        <v>17</v>
      </c>
    </row>
    <row r="565" spans="1:45" ht="15" customHeight="1" x14ac:dyDescent="0.25">
      <c r="A565" s="27">
        <f>IF('Pegar ML'!C560="Paquete de 2 productos",'Pegar ML'!A560,IF('Pegar ML'!C559="Paquete de 2 productos",'Pegar ML'!A559,'Pegar ML'!A561))</f>
        <v>0</v>
      </c>
      <c r="B565" s="27"/>
      <c r="C565" s="30" t="str">
        <f>IF(AjusteFecha!I561=0,"",AjusteFecha!I561)</f>
        <v/>
      </c>
      <c r="D565" s="27"/>
      <c r="E565" s="27"/>
      <c r="F565" s="27" t="str">
        <f>IF('Pegar ML'!C561="","",'Pegar ML'!C561)</f>
        <v/>
      </c>
      <c r="G565" s="27" t="str">
        <f>IF('Pegar ML'!G556="ARS","PS","PS")</f>
        <v>PS</v>
      </c>
      <c r="H565" s="14">
        <f>IF('Pegar ML'!C560="Paquete de 2 productos",IF('Pegar ML'!H560="",0,'Pegar ML'!H560),IF('Pegar ML'!H561="",0,'Pegar ML'!H561))</f>
        <v>0</v>
      </c>
      <c r="I565" s="14">
        <f>IF('Pegar ML'!C560="Paquete de 2 productos",IF('Pegar ML'!O560="",0,'Pegar ML'!O560),IF('Pegar ML'!O561="",0,'Pegar ML'!O561))</f>
        <v>0</v>
      </c>
      <c r="J565" s="14">
        <f>IF('Pegar ML'!C560="Paquete de 2 productos",IF('Pegar ML'!O560="",0,'Pegar ML'!O560),IF('Pegar ML'!O561="",0,'Pegar ML'!O561))</f>
        <v>0</v>
      </c>
      <c r="K565" s="14">
        <f t="shared" si="26"/>
        <v>0</v>
      </c>
      <c r="L565" s="27">
        <f>IF('Pegar ML'!AB561=" ",'Pegar ML'!AB560,'Pegar ML'!AB561)</f>
        <v>0</v>
      </c>
      <c r="M565" s="27" t="str">
        <f>IF('Pegar ML'!AC561=" ",RIGHT('Pegar ML'!AC560,8),RIGHT('Pegar ML'!AC561,8))</f>
        <v/>
      </c>
      <c r="N565" s="27" t="s">
        <v>80</v>
      </c>
      <c r="O565" s="27">
        <f t="shared" si="24"/>
        <v>0</v>
      </c>
      <c r="P565" s="27" t="s">
        <v>80</v>
      </c>
      <c r="Q565" s="55">
        <f>IF('Pegar ML'!AD561=" ",'Pegar ML'!AD560,'Pegar ML'!AD561)</f>
        <v>0</v>
      </c>
      <c r="R565" s="27" t="s">
        <v>80</v>
      </c>
      <c r="S565" s="27" t="s">
        <v>80</v>
      </c>
      <c r="T565" s="27" t="s">
        <v>80</v>
      </c>
      <c r="U565" s="55">
        <f>IF('Pegar ML'!AI561=" ",'Pegar ML'!AI560,'Pegar ML'!AI561)</f>
        <v>0</v>
      </c>
      <c r="V565" s="55">
        <f>IF('Pegar ML'!AK561=" ",'Pegar ML'!AK560,'Pegar ML'!AK561)</f>
        <v>0</v>
      </c>
      <c r="W565" s="55">
        <f>IF('Pegar ML'!AJ561=" ",'Pegar ML'!AJ560,'Pegar ML'!AJ561)</f>
        <v>0</v>
      </c>
      <c r="X565" s="55">
        <f>IF('Pegar ML'!AL561=" ",'Pegar ML'!AL560,'Pegar ML'!AL561)</f>
        <v>0</v>
      </c>
      <c r="Y565" s="27"/>
      <c r="Z565" s="27"/>
      <c r="AA565" s="27"/>
      <c r="AB565" s="27"/>
      <c r="AC565" s="27"/>
      <c r="AD565" s="27"/>
      <c r="AF565" s="8"/>
      <c r="AG565" s="27"/>
      <c r="AH565" s="14">
        <f>+'Pegar ML'!Y561</f>
        <v>0</v>
      </c>
      <c r="AI565" s="13">
        <f t="shared" si="25"/>
        <v>1</v>
      </c>
      <c r="AJ565" s="7">
        <f>+'Pegar ML'!T561</f>
        <v>0</v>
      </c>
      <c r="AK565" s="27"/>
      <c r="AL565" s="27"/>
      <c r="AM565" s="27"/>
      <c r="AN565" s="27"/>
      <c r="AO565" s="27"/>
      <c r="AP565" s="27"/>
      <c r="AQ565" s="27"/>
      <c r="AR565" s="27"/>
      <c r="AS565" s="27">
        <v>17</v>
      </c>
    </row>
    <row r="566" spans="1:45" ht="15" customHeight="1" x14ac:dyDescent="0.25">
      <c r="A566" s="27">
        <f>IF('Pegar ML'!C561="Paquete de 2 productos",'Pegar ML'!A561,IF('Pegar ML'!C560="Paquete de 2 productos",'Pegar ML'!A560,'Pegar ML'!A562))</f>
        <v>0</v>
      </c>
      <c r="B566" s="27"/>
      <c r="C566" s="30" t="str">
        <f>IF(AjusteFecha!I562=0,"",AjusteFecha!I562)</f>
        <v/>
      </c>
      <c r="D566" s="27"/>
      <c r="E566" s="27"/>
      <c r="F566" s="27" t="str">
        <f>IF('Pegar ML'!C562="","",'Pegar ML'!C562)</f>
        <v/>
      </c>
      <c r="G566" s="27" t="str">
        <f>IF('Pegar ML'!G557="ARS","PS","PS")</f>
        <v>PS</v>
      </c>
      <c r="H566" s="14">
        <f>IF('Pegar ML'!C561="Paquete de 2 productos",IF('Pegar ML'!H561="",0,'Pegar ML'!H561),IF('Pegar ML'!H562="",0,'Pegar ML'!H562))</f>
        <v>0</v>
      </c>
      <c r="I566" s="14">
        <f>IF('Pegar ML'!C561="Paquete de 2 productos",IF('Pegar ML'!O561="",0,'Pegar ML'!O561),IF('Pegar ML'!O562="",0,'Pegar ML'!O562))</f>
        <v>0</v>
      </c>
      <c r="J566" s="14">
        <f>IF('Pegar ML'!C561="Paquete de 2 productos",IF('Pegar ML'!O561="",0,'Pegar ML'!O561),IF('Pegar ML'!O562="",0,'Pegar ML'!O562))</f>
        <v>0</v>
      </c>
      <c r="K566" s="14">
        <f t="shared" si="26"/>
        <v>0</v>
      </c>
      <c r="L566" s="27">
        <f>IF('Pegar ML'!AB562=" ",'Pegar ML'!AB561,'Pegar ML'!AB562)</f>
        <v>0</v>
      </c>
      <c r="M566" s="27" t="str">
        <f>IF('Pegar ML'!AC562=" ",RIGHT('Pegar ML'!AC561,8),RIGHT('Pegar ML'!AC562,8))</f>
        <v/>
      </c>
      <c r="N566" s="27" t="s">
        <v>80</v>
      </c>
      <c r="O566" s="27">
        <f t="shared" si="24"/>
        <v>0</v>
      </c>
      <c r="P566" s="27" t="s">
        <v>80</v>
      </c>
      <c r="Q566" s="55">
        <f>IF('Pegar ML'!AD562=" ",'Pegar ML'!AD561,'Pegar ML'!AD562)</f>
        <v>0</v>
      </c>
      <c r="R566" s="27" t="s">
        <v>80</v>
      </c>
      <c r="S566" s="27" t="s">
        <v>80</v>
      </c>
      <c r="T566" s="27" t="s">
        <v>80</v>
      </c>
      <c r="U566" s="55">
        <f>IF('Pegar ML'!AI562=" ",'Pegar ML'!AI561,'Pegar ML'!AI562)</f>
        <v>0</v>
      </c>
      <c r="V566" s="55">
        <f>IF('Pegar ML'!AK562=" ",'Pegar ML'!AK561,'Pegar ML'!AK562)</f>
        <v>0</v>
      </c>
      <c r="W566" s="55">
        <f>IF('Pegar ML'!AJ562=" ",'Pegar ML'!AJ561,'Pegar ML'!AJ562)</f>
        <v>0</v>
      </c>
      <c r="X566" s="55">
        <f>IF('Pegar ML'!AL562=" ",'Pegar ML'!AL561,'Pegar ML'!AL562)</f>
        <v>0</v>
      </c>
      <c r="Y566" s="27"/>
      <c r="Z566" s="27"/>
      <c r="AA566" s="27"/>
      <c r="AB566" s="27"/>
      <c r="AC566" s="27"/>
      <c r="AD566" s="27"/>
      <c r="AF566" s="8"/>
      <c r="AG566" s="27"/>
      <c r="AH566" s="14">
        <f>+'Pegar ML'!Y562</f>
        <v>0</v>
      </c>
      <c r="AI566" s="13">
        <f t="shared" si="25"/>
        <v>1</v>
      </c>
      <c r="AJ566" s="7">
        <f>+'Pegar ML'!T562</f>
        <v>0</v>
      </c>
      <c r="AK566" s="27"/>
      <c r="AL566" s="27"/>
      <c r="AM566" s="27"/>
      <c r="AN566" s="27"/>
      <c r="AO566" s="27"/>
      <c r="AP566" s="27"/>
      <c r="AQ566" s="27"/>
      <c r="AR566" s="27"/>
      <c r="AS566" s="27">
        <v>17</v>
      </c>
    </row>
    <row r="567" spans="1:45" ht="15" customHeight="1" x14ac:dyDescent="0.25">
      <c r="A567" s="27">
        <f>IF('Pegar ML'!C562="Paquete de 2 productos",'Pegar ML'!A562,IF('Pegar ML'!C561="Paquete de 2 productos",'Pegar ML'!A561,'Pegar ML'!A563))</f>
        <v>0</v>
      </c>
      <c r="B567" s="27"/>
      <c r="C567" s="30" t="str">
        <f>IF(AjusteFecha!I563=0,"",AjusteFecha!I563)</f>
        <v/>
      </c>
      <c r="D567" s="27"/>
      <c r="E567" s="27"/>
      <c r="F567" s="27" t="str">
        <f>IF('Pegar ML'!C563="","",'Pegar ML'!C563)</f>
        <v/>
      </c>
      <c r="G567" s="27" t="str">
        <f>IF('Pegar ML'!G558="ARS","PS","PS")</f>
        <v>PS</v>
      </c>
      <c r="H567" s="14">
        <f>IF('Pegar ML'!C562="Paquete de 2 productos",IF('Pegar ML'!H562="",0,'Pegar ML'!H562),IF('Pegar ML'!H563="",0,'Pegar ML'!H563))</f>
        <v>0</v>
      </c>
      <c r="I567" s="14">
        <f>IF('Pegar ML'!C562="Paquete de 2 productos",IF('Pegar ML'!O562="",0,'Pegar ML'!O562),IF('Pegar ML'!O563="",0,'Pegar ML'!O563))</f>
        <v>0</v>
      </c>
      <c r="J567" s="14">
        <f>IF('Pegar ML'!C562="Paquete de 2 productos",IF('Pegar ML'!O562="",0,'Pegar ML'!O562),IF('Pegar ML'!O563="",0,'Pegar ML'!O563))</f>
        <v>0</v>
      </c>
      <c r="K567" s="14">
        <f t="shared" si="26"/>
        <v>0</v>
      </c>
      <c r="L567" s="27">
        <f>IF('Pegar ML'!AB563=" ",'Pegar ML'!AB562,'Pegar ML'!AB563)</f>
        <v>0</v>
      </c>
      <c r="M567" s="27" t="str">
        <f>IF('Pegar ML'!AC563=" ",RIGHT('Pegar ML'!AC562,8),RIGHT('Pegar ML'!AC563,8))</f>
        <v/>
      </c>
      <c r="N567" s="27" t="s">
        <v>80</v>
      </c>
      <c r="O567" s="27">
        <f t="shared" si="24"/>
        <v>0</v>
      </c>
      <c r="P567" s="27" t="s">
        <v>80</v>
      </c>
      <c r="Q567" s="55">
        <f>IF('Pegar ML'!AD563=" ",'Pegar ML'!AD562,'Pegar ML'!AD563)</f>
        <v>0</v>
      </c>
      <c r="R567" s="27" t="s">
        <v>80</v>
      </c>
      <c r="S567" s="27" t="s">
        <v>80</v>
      </c>
      <c r="T567" s="27" t="s">
        <v>80</v>
      </c>
      <c r="U567" s="55">
        <f>IF('Pegar ML'!AI563=" ",'Pegar ML'!AI562,'Pegar ML'!AI563)</f>
        <v>0</v>
      </c>
      <c r="V567" s="55">
        <f>IF('Pegar ML'!AK563=" ",'Pegar ML'!AK562,'Pegar ML'!AK563)</f>
        <v>0</v>
      </c>
      <c r="W567" s="55">
        <f>IF('Pegar ML'!AJ563=" ",'Pegar ML'!AJ562,'Pegar ML'!AJ563)</f>
        <v>0</v>
      </c>
      <c r="X567" s="55">
        <f>IF('Pegar ML'!AL563=" ",'Pegar ML'!AL562,'Pegar ML'!AL563)</f>
        <v>0</v>
      </c>
      <c r="Y567" s="27"/>
      <c r="Z567" s="27"/>
      <c r="AA567" s="27"/>
      <c r="AB567" s="27"/>
      <c r="AC567" s="27"/>
      <c r="AD567" s="27"/>
      <c r="AF567" s="8"/>
      <c r="AG567" s="27"/>
      <c r="AH567" s="14">
        <f>+'Pegar ML'!Y563</f>
        <v>0</v>
      </c>
      <c r="AI567" s="13">
        <f t="shared" si="25"/>
        <v>1</v>
      </c>
      <c r="AJ567" s="7">
        <f>+'Pegar ML'!T563</f>
        <v>0</v>
      </c>
      <c r="AK567" s="27"/>
      <c r="AL567" s="27"/>
      <c r="AM567" s="27"/>
      <c r="AN567" s="27"/>
      <c r="AO567" s="27"/>
      <c r="AP567" s="27"/>
      <c r="AQ567" s="27"/>
      <c r="AR567" s="27"/>
      <c r="AS567" s="27">
        <v>17</v>
      </c>
    </row>
    <row r="568" spans="1:45" ht="15" customHeight="1" x14ac:dyDescent="0.25">
      <c r="A568" s="27">
        <f>IF('Pegar ML'!C563="Paquete de 2 productos",'Pegar ML'!A563,IF('Pegar ML'!C562="Paquete de 2 productos",'Pegar ML'!A562,'Pegar ML'!A564))</f>
        <v>0</v>
      </c>
      <c r="B568" s="27"/>
      <c r="C568" s="30" t="str">
        <f>IF(AjusteFecha!I564=0,"",AjusteFecha!I564)</f>
        <v/>
      </c>
      <c r="D568" s="27"/>
      <c r="E568" s="27"/>
      <c r="F568" s="27" t="str">
        <f>IF('Pegar ML'!C564="","",'Pegar ML'!C564)</f>
        <v/>
      </c>
      <c r="G568" s="27" t="str">
        <f>IF('Pegar ML'!G559="ARS","PS","PS")</f>
        <v>PS</v>
      </c>
      <c r="H568" s="14">
        <f>IF('Pegar ML'!C563="Paquete de 2 productos",IF('Pegar ML'!H563="",0,'Pegar ML'!H563),IF('Pegar ML'!H564="",0,'Pegar ML'!H564))</f>
        <v>0</v>
      </c>
      <c r="I568" s="14">
        <f>IF('Pegar ML'!C563="Paquete de 2 productos",IF('Pegar ML'!O563="",0,'Pegar ML'!O563),IF('Pegar ML'!O564="",0,'Pegar ML'!O564))</f>
        <v>0</v>
      </c>
      <c r="J568" s="14">
        <f>IF('Pegar ML'!C563="Paquete de 2 productos",IF('Pegar ML'!O563="",0,'Pegar ML'!O563),IF('Pegar ML'!O564="",0,'Pegar ML'!O564))</f>
        <v>0</v>
      </c>
      <c r="K568" s="14">
        <f t="shared" si="26"/>
        <v>0</v>
      </c>
      <c r="L568" s="27">
        <f>IF('Pegar ML'!AB564=" ",'Pegar ML'!AB563,'Pegar ML'!AB564)</f>
        <v>0</v>
      </c>
      <c r="M568" s="27" t="str">
        <f>IF('Pegar ML'!AC564=" ",RIGHT('Pegar ML'!AC563,8),RIGHT('Pegar ML'!AC564,8))</f>
        <v/>
      </c>
      <c r="N568" s="27" t="s">
        <v>80</v>
      </c>
      <c r="O568" s="27">
        <f t="shared" si="24"/>
        <v>0</v>
      </c>
      <c r="P568" s="27" t="s">
        <v>80</v>
      </c>
      <c r="Q568" s="55">
        <f>IF('Pegar ML'!AD564=" ",'Pegar ML'!AD563,'Pegar ML'!AD564)</f>
        <v>0</v>
      </c>
      <c r="R568" s="27" t="s">
        <v>80</v>
      </c>
      <c r="S568" s="27" t="s">
        <v>80</v>
      </c>
      <c r="T568" s="27" t="s">
        <v>80</v>
      </c>
      <c r="U568" s="55">
        <f>IF('Pegar ML'!AI564=" ",'Pegar ML'!AI563,'Pegar ML'!AI564)</f>
        <v>0</v>
      </c>
      <c r="V568" s="55">
        <f>IF('Pegar ML'!AK564=" ",'Pegar ML'!AK563,'Pegar ML'!AK564)</f>
        <v>0</v>
      </c>
      <c r="W568" s="55">
        <f>IF('Pegar ML'!AJ564=" ",'Pegar ML'!AJ563,'Pegar ML'!AJ564)</f>
        <v>0</v>
      </c>
      <c r="X568" s="55">
        <f>IF('Pegar ML'!AL564=" ",'Pegar ML'!AL563,'Pegar ML'!AL564)</f>
        <v>0</v>
      </c>
      <c r="Y568" s="27"/>
      <c r="Z568" s="27"/>
      <c r="AA568" s="27"/>
      <c r="AB568" s="27"/>
      <c r="AC568" s="27"/>
      <c r="AD568" s="27"/>
      <c r="AF568" s="8"/>
      <c r="AG568" s="27"/>
      <c r="AH568" s="14">
        <f>+'Pegar ML'!Y564</f>
        <v>0</v>
      </c>
      <c r="AI568" s="13">
        <f t="shared" si="25"/>
        <v>1</v>
      </c>
      <c r="AJ568" s="7">
        <f>+'Pegar ML'!T564</f>
        <v>0</v>
      </c>
      <c r="AK568" s="27"/>
      <c r="AL568" s="27"/>
      <c r="AM568" s="27"/>
      <c r="AN568" s="27"/>
      <c r="AO568" s="27"/>
      <c r="AP568" s="27"/>
      <c r="AQ568" s="27"/>
      <c r="AR568" s="27"/>
      <c r="AS568" s="27">
        <v>17</v>
      </c>
    </row>
    <row r="569" spans="1:45" ht="15" customHeight="1" x14ac:dyDescent="0.25">
      <c r="A569" s="27">
        <f>IF('Pegar ML'!C564="Paquete de 2 productos",'Pegar ML'!A564,IF('Pegar ML'!C563="Paquete de 2 productos",'Pegar ML'!A563,'Pegar ML'!A565))</f>
        <v>0</v>
      </c>
      <c r="B569" s="27"/>
      <c r="C569" s="30" t="str">
        <f>IF(AjusteFecha!I565=0,"",AjusteFecha!I565)</f>
        <v/>
      </c>
      <c r="D569" s="27"/>
      <c r="E569" s="27"/>
      <c r="F569" s="27" t="str">
        <f>IF('Pegar ML'!C565="","",'Pegar ML'!C565)</f>
        <v/>
      </c>
      <c r="G569" s="27" t="str">
        <f>IF('Pegar ML'!G560="ARS","PS","PS")</f>
        <v>PS</v>
      </c>
      <c r="H569" s="14">
        <f>IF('Pegar ML'!C564="Paquete de 2 productos",IF('Pegar ML'!H564="",0,'Pegar ML'!H564),IF('Pegar ML'!H565="",0,'Pegar ML'!H565))</f>
        <v>0</v>
      </c>
      <c r="I569" s="14">
        <f>IF('Pegar ML'!C564="Paquete de 2 productos",IF('Pegar ML'!O564="",0,'Pegar ML'!O564),IF('Pegar ML'!O565="",0,'Pegar ML'!O565))</f>
        <v>0</v>
      </c>
      <c r="J569" s="14">
        <f>IF('Pegar ML'!C564="Paquete de 2 productos",IF('Pegar ML'!O564="",0,'Pegar ML'!O564),IF('Pegar ML'!O565="",0,'Pegar ML'!O565))</f>
        <v>0</v>
      </c>
      <c r="K569" s="14">
        <f t="shared" si="26"/>
        <v>0</v>
      </c>
      <c r="L569" s="27">
        <f>IF('Pegar ML'!AB565=" ",'Pegar ML'!AB564,'Pegar ML'!AB565)</f>
        <v>0</v>
      </c>
      <c r="M569" s="27" t="str">
        <f>IF('Pegar ML'!AC565=" ",RIGHT('Pegar ML'!AC564,8),RIGHT('Pegar ML'!AC565,8))</f>
        <v/>
      </c>
      <c r="N569" s="27" t="s">
        <v>80</v>
      </c>
      <c r="O569" s="27">
        <f t="shared" si="24"/>
        <v>0</v>
      </c>
      <c r="P569" s="27" t="s">
        <v>80</v>
      </c>
      <c r="Q569" s="55">
        <f>IF('Pegar ML'!AD565=" ",'Pegar ML'!AD564,'Pegar ML'!AD565)</f>
        <v>0</v>
      </c>
      <c r="R569" s="27" t="s">
        <v>80</v>
      </c>
      <c r="S569" s="27" t="s">
        <v>80</v>
      </c>
      <c r="T569" s="27" t="s">
        <v>80</v>
      </c>
      <c r="U569" s="55">
        <f>IF('Pegar ML'!AI565=" ",'Pegar ML'!AI564,'Pegar ML'!AI565)</f>
        <v>0</v>
      </c>
      <c r="V569" s="55">
        <f>IF('Pegar ML'!AK565=" ",'Pegar ML'!AK564,'Pegar ML'!AK565)</f>
        <v>0</v>
      </c>
      <c r="W569" s="55">
        <f>IF('Pegar ML'!AJ565=" ",'Pegar ML'!AJ564,'Pegar ML'!AJ565)</f>
        <v>0</v>
      </c>
      <c r="X569" s="55">
        <f>IF('Pegar ML'!AL565=" ",'Pegar ML'!AL564,'Pegar ML'!AL565)</f>
        <v>0</v>
      </c>
      <c r="Y569" s="27"/>
      <c r="Z569" s="27"/>
      <c r="AA569" s="27"/>
      <c r="AB569" s="27"/>
      <c r="AC569" s="27"/>
      <c r="AD569" s="27"/>
      <c r="AF569" s="8"/>
      <c r="AG569" s="27"/>
      <c r="AH569" s="14">
        <f>+'Pegar ML'!Y565</f>
        <v>0</v>
      </c>
      <c r="AI569" s="13">
        <f t="shared" si="25"/>
        <v>1</v>
      </c>
      <c r="AJ569" s="7">
        <f>+'Pegar ML'!T565</f>
        <v>0</v>
      </c>
      <c r="AK569" s="27"/>
      <c r="AL569" s="27"/>
      <c r="AM569" s="27"/>
      <c r="AN569" s="27"/>
      <c r="AO569" s="27"/>
      <c r="AP569" s="27"/>
      <c r="AQ569" s="27"/>
      <c r="AR569" s="27"/>
      <c r="AS569" s="27">
        <v>17</v>
      </c>
    </row>
    <row r="570" spans="1:45" ht="15" customHeight="1" x14ac:dyDescent="0.25">
      <c r="A570" s="27">
        <f>IF('Pegar ML'!C565="Paquete de 2 productos",'Pegar ML'!A565,IF('Pegar ML'!C564="Paquete de 2 productos",'Pegar ML'!A564,'Pegar ML'!A566))</f>
        <v>0</v>
      </c>
      <c r="B570" s="27"/>
      <c r="C570" s="30" t="str">
        <f>IF(AjusteFecha!I566=0,"",AjusteFecha!I566)</f>
        <v/>
      </c>
      <c r="D570" s="27"/>
      <c r="E570" s="27"/>
      <c r="F570" s="27" t="str">
        <f>IF('Pegar ML'!C566="","",'Pegar ML'!C566)</f>
        <v/>
      </c>
      <c r="G570" s="27" t="str">
        <f>IF('Pegar ML'!G561="ARS","PS","PS")</f>
        <v>PS</v>
      </c>
      <c r="H570" s="14">
        <f>IF('Pegar ML'!C565="Paquete de 2 productos",IF('Pegar ML'!H565="",0,'Pegar ML'!H565),IF('Pegar ML'!H566="",0,'Pegar ML'!H566))</f>
        <v>0</v>
      </c>
      <c r="I570" s="14">
        <f>IF('Pegar ML'!C565="Paquete de 2 productos",IF('Pegar ML'!O565="",0,'Pegar ML'!O565),IF('Pegar ML'!O566="",0,'Pegar ML'!O566))</f>
        <v>0</v>
      </c>
      <c r="J570" s="14">
        <f>IF('Pegar ML'!C565="Paquete de 2 productos",IF('Pegar ML'!O565="",0,'Pegar ML'!O565),IF('Pegar ML'!O566="",0,'Pegar ML'!O566))</f>
        <v>0</v>
      </c>
      <c r="K570" s="14">
        <f t="shared" si="26"/>
        <v>0</v>
      </c>
      <c r="L570" s="27">
        <f>IF('Pegar ML'!AB566=" ",'Pegar ML'!AB565,'Pegar ML'!AB566)</f>
        <v>0</v>
      </c>
      <c r="M570" s="27" t="str">
        <f>IF('Pegar ML'!AC566=" ",RIGHT('Pegar ML'!AC565,8),RIGHT('Pegar ML'!AC566,8))</f>
        <v/>
      </c>
      <c r="N570" s="27" t="s">
        <v>80</v>
      </c>
      <c r="O570" s="27">
        <f t="shared" si="24"/>
        <v>0</v>
      </c>
      <c r="P570" s="27" t="s">
        <v>80</v>
      </c>
      <c r="Q570" s="55">
        <f>IF('Pegar ML'!AD566=" ",'Pegar ML'!AD565,'Pegar ML'!AD566)</f>
        <v>0</v>
      </c>
      <c r="R570" s="27" t="s">
        <v>80</v>
      </c>
      <c r="S570" s="27" t="s">
        <v>80</v>
      </c>
      <c r="T570" s="27" t="s">
        <v>80</v>
      </c>
      <c r="U570" s="55">
        <f>IF('Pegar ML'!AI566=" ",'Pegar ML'!AI565,'Pegar ML'!AI566)</f>
        <v>0</v>
      </c>
      <c r="V570" s="55">
        <f>IF('Pegar ML'!AK566=" ",'Pegar ML'!AK565,'Pegar ML'!AK566)</f>
        <v>0</v>
      </c>
      <c r="W570" s="55">
        <f>IF('Pegar ML'!AJ566=" ",'Pegar ML'!AJ565,'Pegar ML'!AJ566)</f>
        <v>0</v>
      </c>
      <c r="X570" s="55">
        <f>IF('Pegar ML'!AL566=" ",'Pegar ML'!AL565,'Pegar ML'!AL566)</f>
        <v>0</v>
      </c>
      <c r="Y570" s="27"/>
      <c r="Z570" s="27"/>
      <c r="AA570" s="27"/>
      <c r="AB570" s="27"/>
      <c r="AC570" s="27"/>
      <c r="AD570" s="27"/>
      <c r="AF570" s="8"/>
      <c r="AG570" s="27"/>
      <c r="AH570" s="14">
        <f>+'Pegar ML'!Y566</f>
        <v>0</v>
      </c>
      <c r="AI570" s="13">
        <f t="shared" si="25"/>
        <v>1</v>
      </c>
      <c r="AJ570" s="7">
        <f>+'Pegar ML'!T566</f>
        <v>0</v>
      </c>
      <c r="AK570" s="27"/>
      <c r="AL570" s="27"/>
      <c r="AM570" s="27"/>
      <c r="AN570" s="27"/>
      <c r="AO570" s="27"/>
      <c r="AP570" s="27"/>
      <c r="AQ570" s="27"/>
      <c r="AR570" s="27"/>
      <c r="AS570" s="27">
        <v>17</v>
      </c>
    </row>
    <row r="571" spans="1:45" ht="15" customHeight="1" x14ac:dyDescent="0.25">
      <c r="A571" s="27">
        <f>IF('Pegar ML'!C566="Paquete de 2 productos",'Pegar ML'!A566,IF('Pegar ML'!C565="Paquete de 2 productos",'Pegar ML'!A565,'Pegar ML'!A567))</f>
        <v>0</v>
      </c>
      <c r="B571" s="27"/>
      <c r="C571" s="30" t="str">
        <f>IF(AjusteFecha!I567=0,"",AjusteFecha!I567)</f>
        <v/>
      </c>
      <c r="D571" s="27"/>
      <c r="E571" s="27"/>
      <c r="F571" s="27" t="str">
        <f>IF('Pegar ML'!C567="","",'Pegar ML'!C567)</f>
        <v/>
      </c>
      <c r="G571" s="27" t="str">
        <f>IF('Pegar ML'!G562="ARS","PS","PS")</f>
        <v>PS</v>
      </c>
      <c r="H571" s="14">
        <f>IF('Pegar ML'!C566="Paquete de 2 productos",IF('Pegar ML'!H566="",0,'Pegar ML'!H566),IF('Pegar ML'!H567="",0,'Pegar ML'!H567))</f>
        <v>0</v>
      </c>
      <c r="I571" s="14">
        <f>IF('Pegar ML'!C566="Paquete de 2 productos",IF('Pegar ML'!O566="",0,'Pegar ML'!O566),IF('Pegar ML'!O567="",0,'Pegar ML'!O567))</f>
        <v>0</v>
      </c>
      <c r="J571" s="14">
        <f>IF('Pegar ML'!C566="Paquete de 2 productos",IF('Pegar ML'!O566="",0,'Pegar ML'!O566),IF('Pegar ML'!O567="",0,'Pegar ML'!O567))</f>
        <v>0</v>
      </c>
      <c r="K571" s="14">
        <f t="shared" si="26"/>
        <v>0</v>
      </c>
      <c r="L571" s="27">
        <f>IF('Pegar ML'!AB567=" ",'Pegar ML'!AB566,'Pegar ML'!AB567)</f>
        <v>0</v>
      </c>
      <c r="M571" s="27" t="str">
        <f>IF('Pegar ML'!AC567=" ",RIGHT('Pegar ML'!AC566,8),RIGHT('Pegar ML'!AC567,8))</f>
        <v/>
      </c>
      <c r="N571" s="27" t="s">
        <v>80</v>
      </c>
      <c r="O571" s="27">
        <f t="shared" si="24"/>
        <v>0</v>
      </c>
      <c r="P571" s="27" t="s">
        <v>80</v>
      </c>
      <c r="Q571" s="55">
        <f>IF('Pegar ML'!AD567=" ",'Pegar ML'!AD566,'Pegar ML'!AD567)</f>
        <v>0</v>
      </c>
      <c r="R571" s="27" t="s">
        <v>80</v>
      </c>
      <c r="S571" s="27" t="s">
        <v>80</v>
      </c>
      <c r="T571" s="27" t="s">
        <v>80</v>
      </c>
      <c r="U571" s="55">
        <f>IF('Pegar ML'!AI567=" ",'Pegar ML'!AI566,'Pegar ML'!AI567)</f>
        <v>0</v>
      </c>
      <c r="V571" s="55">
        <f>IF('Pegar ML'!AK567=" ",'Pegar ML'!AK566,'Pegar ML'!AK567)</f>
        <v>0</v>
      </c>
      <c r="W571" s="55">
        <f>IF('Pegar ML'!AJ567=" ",'Pegar ML'!AJ566,'Pegar ML'!AJ567)</f>
        <v>0</v>
      </c>
      <c r="X571" s="55">
        <f>IF('Pegar ML'!AL567=" ",'Pegar ML'!AL566,'Pegar ML'!AL567)</f>
        <v>0</v>
      </c>
      <c r="Y571" s="27"/>
      <c r="Z571" s="27"/>
      <c r="AA571" s="27"/>
      <c r="AB571" s="27"/>
      <c r="AC571" s="27"/>
      <c r="AD571" s="27"/>
      <c r="AF571" s="8"/>
      <c r="AG571" s="27"/>
      <c r="AH571" s="14">
        <f>+'Pegar ML'!Y567</f>
        <v>0</v>
      </c>
      <c r="AI571" s="13">
        <f t="shared" si="25"/>
        <v>1</v>
      </c>
      <c r="AJ571" s="7">
        <f>+'Pegar ML'!T567</f>
        <v>0</v>
      </c>
      <c r="AK571" s="27"/>
      <c r="AL571" s="27"/>
      <c r="AM571" s="27"/>
      <c r="AN571" s="27"/>
      <c r="AO571" s="27"/>
      <c r="AP571" s="27"/>
      <c r="AQ571" s="27"/>
      <c r="AR571" s="27"/>
      <c r="AS571" s="27">
        <v>17</v>
      </c>
    </row>
    <row r="572" spans="1:45" ht="15" customHeight="1" x14ac:dyDescent="0.25">
      <c r="A572" s="27">
        <f>IF('Pegar ML'!C567="Paquete de 2 productos",'Pegar ML'!A567,IF('Pegar ML'!C566="Paquete de 2 productos",'Pegar ML'!A566,'Pegar ML'!A568))</f>
        <v>0</v>
      </c>
      <c r="B572" s="27"/>
      <c r="C572" s="30" t="str">
        <f>IF(AjusteFecha!I568=0,"",AjusteFecha!I568)</f>
        <v/>
      </c>
      <c r="D572" s="27"/>
      <c r="E572" s="27"/>
      <c r="F572" s="27" t="str">
        <f>IF('Pegar ML'!C568="","",'Pegar ML'!C568)</f>
        <v/>
      </c>
      <c r="G572" s="27" t="str">
        <f>IF('Pegar ML'!G563="ARS","PS","PS")</f>
        <v>PS</v>
      </c>
      <c r="H572" s="14">
        <f>IF('Pegar ML'!C567="Paquete de 2 productos",IF('Pegar ML'!H567="",0,'Pegar ML'!H567),IF('Pegar ML'!H568="",0,'Pegar ML'!H568))</f>
        <v>0</v>
      </c>
      <c r="I572" s="14">
        <f>IF('Pegar ML'!C567="Paquete de 2 productos",IF('Pegar ML'!O567="",0,'Pegar ML'!O567),IF('Pegar ML'!O568="",0,'Pegar ML'!O568))</f>
        <v>0</v>
      </c>
      <c r="J572" s="14">
        <f>IF('Pegar ML'!C567="Paquete de 2 productos",IF('Pegar ML'!O567="",0,'Pegar ML'!O567),IF('Pegar ML'!O568="",0,'Pegar ML'!O568))</f>
        <v>0</v>
      </c>
      <c r="K572" s="14">
        <f t="shared" si="26"/>
        <v>0</v>
      </c>
      <c r="L572" s="27">
        <f>IF('Pegar ML'!AB568=" ",'Pegar ML'!AB567,'Pegar ML'!AB568)</f>
        <v>0</v>
      </c>
      <c r="M572" s="27" t="str">
        <f>IF('Pegar ML'!AC568=" ",RIGHT('Pegar ML'!AC567,8),RIGHT('Pegar ML'!AC568,8))</f>
        <v/>
      </c>
      <c r="N572" s="27" t="s">
        <v>80</v>
      </c>
      <c r="O572" s="27">
        <f t="shared" si="24"/>
        <v>0</v>
      </c>
      <c r="P572" s="27" t="s">
        <v>80</v>
      </c>
      <c r="Q572" s="55">
        <f>IF('Pegar ML'!AD568=" ",'Pegar ML'!AD567,'Pegar ML'!AD568)</f>
        <v>0</v>
      </c>
      <c r="R572" s="27" t="s">
        <v>80</v>
      </c>
      <c r="S572" s="27" t="s">
        <v>80</v>
      </c>
      <c r="T572" s="27" t="s">
        <v>80</v>
      </c>
      <c r="U572" s="55">
        <f>IF('Pegar ML'!AI568=" ",'Pegar ML'!AI567,'Pegar ML'!AI568)</f>
        <v>0</v>
      </c>
      <c r="V572" s="55">
        <f>IF('Pegar ML'!AK568=" ",'Pegar ML'!AK567,'Pegar ML'!AK568)</f>
        <v>0</v>
      </c>
      <c r="W572" s="55">
        <f>IF('Pegar ML'!AJ568=" ",'Pegar ML'!AJ567,'Pegar ML'!AJ568)</f>
        <v>0</v>
      </c>
      <c r="X572" s="55">
        <f>IF('Pegar ML'!AL568=" ",'Pegar ML'!AL567,'Pegar ML'!AL568)</f>
        <v>0</v>
      </c>
      <c r="Y572" s="27"/>
      <c r="Z572" s="27"/>
      <c r="AA572" s="27"/>
      <c r="AB572" s="27"/>
      <c r="AC572" s="27"/>
      <c r="AD572" s="27"/>
      <c r="AF572" s="8"/>
      <c r="AG572" s="27"/>
      <c r="AH572" s="14">
        <f>+'Pegar ML'!Y568</f>
        <v>0</v>
      </c>
      <c r="AI572" s="13">
        <f t="shared" si="25"/>
        <v>1</v>
      </c>
      <c r="AJ572" s="7">
        <f>+'Pegar ML'!T568</f>
        <v>0</v>
      </c>
      <c r="AK572" s="27"/>
      <c r="AL572" s="27"/>
      <c r="AM572" s="27"/>
      <c r="AN572" s="27"/>
      <c r="AO572" s="27"/>
      <c r="AP572" s="27"/>
      <c r="AQ572" s="27"/>
      <c r="AR572" s="27"/>
      <c r="AS572" s="27">
        <v>17</v>
      </c>
    </row>
    <row r="573" spans="1:45" ht="15" customHeight="1" x14ac:dyDescent="0.25">
      <c r="A573" s="27">
        <f>IF('Pegar ML'!C568="Paquete de 2 productos",'Pegar ML'!A568,IF('Pegar ML'!C567="Paquete de 2 productos",'Pegar ML'!A567,'Pegar ML'!A569))</f>
        <v>0</v>
      </c>
      <c r="B573" s="27"/>
      <c r="C573" s="30" t="str">
        <f>IF(AjusteFecha!I569=0,"",AjusteFecha!I569)</f>
        <v/>
      </c>
      <c r="D573" s="27"/>
      <c r="E573" s="27"/>
      <c r="F573" s="27" t="str">
        <f>IF('Pegar ML'!C569="","",'Pegar ML'!C569)</f>
        <v/>
      </c>
      <c r="G573" s="27" t="str">
        <f>IF('Pegar ML'!G564="ARS","PS","PS")</f>
        <v>PS</v>
      </c>
      <c r="H573" s="14">
        <f>IF('Pegar ML'!C568="Paquete de 2 productos",IF('Pegar ML'!H568="",0,'Pegar ML'!H568),IF('Pegar ML'!H569="",0,'Pegar ML'!H569))</f>
        <v>0</v>
      </c>
      <c r="I573" s="14">
        <f>IF('Pegar ML'!C568="Paquete de 2 productos",IF('Pegar ML'!O568="",0,'Pegar ML'!O568),IF('Pegar ML'!O569="",0,'Pegar ML'!O569))</f>
        <v>0</v>
      </c>
      <c r="J573" s="14">
        <f>IF('Pegar ML'!C568="Paquete de 2 productos",IF('Pegar ML'!O568="",0,'Pegar ML'!O568),IF('Pegar ML'!O569="",0,'Pegar ML'!O569))</f>
        <v>0</v>
      </c>
      <c r="K573" s="14">
        <f t="shared" si="26"/>
        <v>0</v>
      </c>
      <c r="L573" s="27">
        <f>IF('Pegar ML'!AB569=" ",'Pegar ML'!AB568,'Pegar ML'!AB569)</f>
        <v>0</v>
      </c>
      <c r="M573" s="27" t="str">
        <f>IF('Pegar ML'!AC569=" ",RIGHT('Pegar ML'!AC568,8),RIGHT('Pegar ML'!AC569,8))</f>
        <v/>
      </c>
      <c r="N573" s="27" t="s">
        <v>80</v>
      </c>
      <c r="O573" s="27">
        <f t="shared" si="24"/>
        <v>0</v>
      </c>
      <c r="P573" s="27" t="s">
        <v>80</v>
      </c>
      <c r="Q573" s="55">
        <f>IF('Pegar ML'!AD569=" ",'Pegar ML'!AD568,'Pegar ML'!AD569)</f>
        <v>0</v>
      </c>
      <c r="R573" s="27" t="s">
        <v>80</v>
      </c>
      <c r="S573" s="27" t="s">
        <v>80</v>
      </c>
      <c r="T573" s="27" t="s">
        <v>80</v>
      </c>
      <c r="U573" s="55">
        <f>IF('Pegar ML'!AI569=" ",'Pegar ML'!AI568,'Pegar ML'!AI569)</f>
        <v>0</v>
      </c>
      <c r="V573" s="55">
        <f>IF('Pegar ML'!AK569=" ",'Pegar ML'!AK568,'Pegar ML'!AK569)</f>
        <v>0</v>
      </c>
      <c r="W573" s="55">
        <f>IF('Pegar ML'!AJ569=" ",'Pegar ML'!AJ568,'Pegar ML'!AJ569)</f>
        <v>0</v>
      </c>
      <c r="X573" s="55">
        <f>IF('Pegar ML'!AL569=" ",'Pegar ML'!AL568,'Pegar ML'!AL569)</f>
        <v>0</v>
      </c>
      <c r="Y573" s="27"/>
      <c r="Z573" s="27"/>
      <c r="AA573" s="27"/>
      <c r="AB573" s="27"/>
      <c r="AC573" s="27"/>
      <c r="AD573" s="27"/>
      <c r="AF573" s="8"/>
      <c r="AG573" s="27"/>
      <c r="AH573" s="14">
        <f>+'Pegar ML'!Y569</f>
        <v>0</v>
      </c>
      <c r="AI573" s="13">
        <f t="shared" si="25"/>
        <v>1</v>
      </c>
      <c r="AJ573" s="7">
        <f>+'Pegar ML'!T569</f>
        <v>0</v>
      </c>
      <c r="AK573" s="27"/>
      <c r="AL573" s="27"/>
      <c r="AM573" s="27"/>
      <c r="AN573" s="27"/>
      <c r="AO573" s="27"/>
      <c r="AP573" s="27"/>
      <c r="AQ573" s="27"/>
      <c r="AR573" s="27"/>
      <c r="AS573" s="27">
        <v>17</v>
      </c>
    </row>
    <row r="574" spans="1:45" ht="15" customHeight="1" x14ac:dyDescent="0.25">
      <c r="A574" s="27">
        <f>IF('Pegar ML'!C569="Paquete de 2 productos",'Pegar ML'!A569,IF('Pegar ML'!C568="Paquete de 2 productos",'Pegar ML'!A568,'Pegar ML'!A570))</f>
        <v>0</v>
      </c>
      <c r="B574" s="27"/>
      <c r="C574" s="30" t="str">
        <f>IF(AjusteFecha!I570=0,"",AjusteFecha!I570)</f>
        <v/>
      </c>
      <c r="D574" s="27"/>
      <c r="E574" s="27"/>
      <c r="F574" s="27" t="str">
        <f>IF('Pegar ML'!C570="","",'Pegar ML'!C570)</f>
        <v/>
      </c>
      <c r="G574" s="27" t="str">
        <f>IF('Pegar ML'!G565="ARS","PS","PS")</f>
        <v>PS</v>
      </c>
      <c r="H574" s="14">
        <f>IF('Pegar ML'!C569="Paquete de 2 productos",IF('Pegar ML'!H569="",0,'Pegar ML'!H569),IF('Pegar ML'!H570="",0,'Pegar ML'!H570))</f>
        <v>0</v>
      </c>
      <c r="I574" s="14">
        <f>IF('Pegar ML'!C569="Paquete de 2 productos",IF('Pegar ML'!O569="",0,'Pegar ML'!O569),IF('Pegar ML'!O570="",0,'Pegar ML'!O570))</f>
        <v>0</v>
      </c>
      <c r="J574" s="14">
        <f>IF('Pegar ML'!C569="Paquete de 2 productos",IF('Pegar ML'!O569="",0,'Pegar ML'!O569),IF('Pegar ML'!O570="",0,'Pegar ML'!O570))</f>
        <v>0</v>
      </c>
      <c r="K574" s="14">
        <f t="shared" si="26"/>
        <v>0</v>
      </c>
      <c r="L574" s="27">
        <f>IF('Pegar ML'!AB570=" ",'Pegar ML'!AB569,'Pegar ML'!AB570)</f>
        <v>0</v>
      </c>
      <c r="M574" s="27" t="str">
        <f>IF('Pegar ML'!AC570=" ",RIGHT('Pegar ML'!AC569,8),RIGHT('Pegar ML'!AC570,8))</f>
        <v/>
      </c>
      <c r="N574" s="27" t="s">
        <v>80</v>
      </c>
      <c r="O574" s="27">
        <f t="shared" si="24"/>
        <v>0</v>
      </c>
      <c r="P574" s="27" t="s">
        <v>80</v>
      </c>
      <c r="Q574" s="55">
        <f>IF('Pegar ML'!AD570=" ",'Pegar ML'!AD569,'Pegar ML'!AD570)</f>
        <v>0</v>
      </c>
      <c r="R574" s="27" t="s">
        <v>80</v>
      </c>
      <c r="S574" s="27" t="s">
        <v>80</v>
      </c>
      <c r="T574" s="27" t="s">
        <v>80</v>
      </c>
      <c r="U574" s="55">
        <f>IF('Pegar ML'!AI570=" ",'Pegar ML'!AI569,'Pegar ML'!AI570)</f>
        <v>0</v>
      </c>
      <c r="V574" s="55">
        <f>IF('Pegar ML'!AK570=" ",'Pegar ML'!AK569,'Pegar ML'!AK570)</f>
        <v>0</v>
      </c>
      <c r="W574" s="55">
        <f>IF('Pegar ML'!AJ570=" ",'Pegar ML'!AJ569,'Pegar ML'!AJ570)</f>
        <v>0</v>
      </c>
      <c r="X574" s="55">
        <f>IF('Pegar ML'!AL570=" ",'Pegar ML'!AL569,'Pegar ML'!AL570)</f>
        <v>0</v>
      </c>
      <c r="Y574" s="27"/>
      <c r="Z574" s="27"/>
      <c r="AA574" s="27"/>
      <c r="AB574" s="27"/>
      <c r="AC574" s="27"/>
      <c r="AD574" s="27"/>
      <c r="AF574" s="8"/>
      <c r="AG574" s="27"/>
      <c r="AH574" s="14">
        <f>+'Pegar ML'!Y570</f>
        <v>0</v>
      </c>
      <c r="AI574" s="13">
        <f t="shared" si="25"/>
        <v>1</v>
      </c>
      <c r="AJ574" s="7">
        <f>+'Pegar ML'!T570</f>
        <v>0</v>
      </c>
      <c r="AK574" s="27"/>
      <c r="AL574" s="27"/>
      <c r="AM574" s="27"/>
      <c r="AN574" s="27"/>
      <c r="AO574" s="27"/>
      <c r="AP574" s="27"/>
      <c r="AQ574" s="27"/>
      <c r="AR574" s="27"/>
      <c r="AS574" s="27">
        <v>17</v>
      </c>
    </row>
    <row r="575" spans="1:45" ht="15" customHeight="1" x14ac:dyDescent="0.25">
      <c r="A575" s="27">
        <f>IF('Pegar ML'!C570="Paquete de 2 productos",'Pegar ML'!A570,IF('Pegar ML'!C569="Paquete de 2 productos",'Pegar ML'!A569,'Pegar ML'!A571))</f>
        <v>0</v>
      </c>
      <c r="B575" s="27"/>
      <c r="C575" s="30" t="str">
        <f>IF(AjusteFecha!I571=0,"",AjusteFecha!I571)</f>
        <v/>
      </c>
      <c r="D575" s="27"/>
      <c r="E575" s="27"/>
      <c r="F575" s="27" t="str">
        <f>IF('Pegar ML'!C571="","",'Pegar ML'!C571)</f>
        <v/>
      </c>
      <c r="G575" s="27" t="str">
        <f>IF('Pegar ML'!G566="ARS","PS","PS")</f>
        <v>PS</v>
      </c>
      <c r="H575" s="14">
        <f>IF('Pegar ML'!C570="Paquete de 2 productos",IF('Pegar ML'!H570="",0,'Pegar ML'!H570),IF('Pegar ML'!H571="",0,'Pegar ML'!H571))</f>
        <v>0</v>
      </c>
      <c r="I575" s="14">
        <f>IF('Pegar ML'!C570="Paquete de 2 productos",IF('Pegar ML'!O570="",0,'Pegar ML'!O570),IF('Pegar ML'!O571="",0,'Pegar ML'!O571))</f>
        <v>0</v>
      </c>
      <c r="J575" s="14">
        <f>IF('Pegar ML'!C570="Paquete de 2 productos",IF('Pegar ML'!O570="",0,'Pegar ML'!O570),IF('Pegar ML'!O571="",0,'Pegar ML'!O571))</f>
        <v>0</v>
      </c>
      <c r="K575" s="14">
        <f t="shared" si="26"/>
        <v>0</v>
      </c>
      <c r="L575" s="27">
        <f>IF('Pegar ML'!AB571=" ",'Pegar ML'!AB570,'Pegar ML'!AB571)</f>
        <v>0</v>
      </c>
      <c r="M575" s="27" t="str">
        <f>IF('Pegar ML'!AC571=" ",RIGHT('Pegar ML'!AC570,8),RIGHT('Pegar ML'!AC571,8))</f>
        <v/>
      </c>
      <c r="N575" s="27" t="s">
        <v>80</v>
      </c>
      <c r="O575" s="27">
        <f t="shared" si="24"/>
        <v>0</v>
      </c>
      <c r="P575" s="27" t="s">
        <v>80</v>
      </c>
      <c r="Q575" s="55">
        <f>IF('Pegar ML'!AD571=" ",'Pegar ML'!AD570,'Pegar ML'!AD571)</f>
        <v>0</v>
      </c>
      <c r="R575" s="27" t="s">
        <v>80</v>
      </c>
      <c r="S575" s="27" t="s">
        <v>80</v>
      </c>
      <c r="T575" s="27" t="s">
        <v>80</v>
      </c>
      <c r="U575" s="55">
        <f>IF('Pegar ML'!AI571=" ",'Pegar ML'!AI570,'Pegar ML'!AI571)</f>
        <v>0</v>
      </c>
      <c r="V575" s="55">
        <f>IF('Pegar ML'!AK571=" ",'Pegar ML'!AK570,'Pegar ML'!AK571)</f>
        <v>0</v>
      </c>
      <c r="W575" s="55">
        <f>IF('Pegar ML'!AJ571=" ",'Pegar ML'!AJ570,'Pegar ML'!AJ571)</f>
        <v>0</v>
      </c>
      <c r="X575" s="55">
        <f>IF('Pegar ML'!AL571=" ",'Pegar ML'!AL570,'Pegar ML'!AL571)</f>
        <v>0</v>
      </c>
      <c r="Y575" s="27"/>
      <c r="Z575" s="27"/>
      <c r="AA575" s="27"/>
      <c r="AB575" s="27"/>
      <c r="AC575" s="27"/>
      <c r="AD575" s="27"/>
      <c r="AF575" s="8"/>
      <c r="AG575" s="27"/>
      <c r="AH575" s="14">
        <f>+'Pegar ML'!Y571</f>
        <v>0</v>
      </c>
      <c r="AI575" s="13">
        <f t="shared" si="25"/>
        <v>1</v>
      </c>
      <c r="AJ575" s="7">
        <f>+'Pegar ML'!T571</f>
        <v>0</v>
      </c>
      <c r="AK575" s="27"/>
      <c r="AL575" s="27"/>
      <c r="AM575" s="27"/>
      <c r="AN575" s="27"/>
      <c r="AO575" s="27"/>
      <c r="AP575" s="27"/>
      <c r="AQ575" s="27"/>
      <c r="AR575" s="27"/>
      <c r="AS575" s="27">
        <v>17</v>
      </c>
    </row>
    <row r="576" spans="1:45" ht="15" customHeight="1" x14ac:dyDescent="0.25">
      <c r="A576" s="27">
        <f>IF('Pegar ML'!C571="Paquete de 2 productos",'Pegar ML'!A571,IF('Pegar ML'!C570="Paquete de 2 productos",'Pegar ML'!A570,'Pegar ML'!A572))</f>
        <v>0</v>
      </c>
      <c r="B576" s="27"/>
      <c r="C576" s="30" t="str">
        <f>IF(AjusteFecha!I572=0,"",AjusteFecha!I572)</f>
        <v/>
      </c>
      <c r="D576" s="27"/>
      <c r="E576" s="27"/>
      <c r="F576" s="27" t="str">
        <f>IF('Pegar ML'!C572="","",'Pegar ML'!C572)</f>
        <v/>
      </c>
      <c r="G576" s="27" t="str">
        <f>IF('Pegar ML'!G567="ARS","PS","PS")</f>
        <v>PS</v>
      </c>
      <c r="H576" s="14">
        <f>IF('Pegar ML'!C571="Paquete de 2 productos",IF('Pegar ML'!H571="",0,'Pegar ML'!H571),IF('Pegar ML'!H572="",0,'Pegar ML'!H572))</f>
        <v>0</v>
      </c>
      <c r="I576" s="14">
        <f>IF('Pegar ML'!C571="Paquete de 2 productos",IF('Pegar ML'!O571="",0,'Pegar ML'!O571),IF('Pegar ML'!O572="",0,'Pegar ML'!O572))</f>
        <v>0</v>
      </c>
      <c r="J576" s="14">
        <f>IF('Pegar ML'!C571="Paquete de 2 productos",IF('Pegar ML'!O571="",0,'Pegar ML'!O571),IF('Pegar ML'!O572="",0,'Pegar ML'!O572))</f>
        <v>0</v>
      </c>
      <c r="K576" s="14">
        <f t="shared" si="26"/>
        <v>0</v>
      </c>
      <c r="L576" s="27">
        <f>IF('Pegar ML'!AB572=" ",'Pegar ML'!AB571,'Pegar ML'!AB572)</f>
        <v>0</v>
      </c>
      <c r="M576" s="27" t="str">
        <f>IF('Pegar ML'!AC572=" ",RIGHT('Pegar ML'!AC571,8),RIGHT('Pegar ML'!AC572,8))</f>
        <v/>
      </c>
      <c r="N576" s="27" t="s">
        <v>80</v>
      </c>
      <c r="O576" s="27">
        <f t="shared" si="24"/>
        <v>0</v>
      </c>
      <c r="P576" s="27" t="s">
        <v>80</v>
      </c>
      <c r="Q576" s="55">
        <f>IF('Pegar ML'!AD572=" ",'Pegar ML'!AD571,'Pegar ML'!AD572)</f>
        <v>0</v>
      </c>
      <c r="R576" s="27" t="s">
        <v>80</v>
      </c>
      <c r="S576" s="27" t="s">
        <v>80</v>
      </c>
      <c r="T576" s="27" t="s">
        <v>80</v>
      </c>
      <c r="U576" s="55">
        <f>IF('Pegar ML'!AI572=" ",'Pegar ML'!AI571,'Pegar ML'!AI572)</f>
        <v>0</v>
      </c>
      <c r="V576" s="55">
        <f>IF('Pegar ML'!AK572=" ",'Pegar ML'!AK571,'Pegar ML'!AK572)</f>
        <v>0</v>
      </c>
      <c r="W576" s="55">
        <f>IF('Pegar ML'!AJ572=" ",'Pegar ML'!AJ571,'Pegar ML'!AJ572)</f>
        <v>0</v>
      </c>
      <c r="X576" s="55">
        <f>IF('Pegar ML'!AL572=" ",'Pegar ML'!AL571,'Pegar ML'!AL572)</f>
        <v>0</v>
      </c>
      <c r="Y576" s="27"/>
      <c r="Z576" s="27"/>
      <c r="AA576" s="27"/>
      <c r="AB576" s="27"/>
      <c r="AC576" s="27"/>
      <c r="AD576" s="27"/>
      <c r="AF576" s="8"/>
      <c r="AG576" s="27"/>
      <c r="AH576" s="14">
        <f>+'Pegar ML'!Y572</f>
        <v>0</v>
      </c>
      <c r="AI576" s="13">
        <f t="shared" si="25"/>
        <v>1</v>
      </c>
      <c r="AJ576" s="7">
        <f>+'Pegar ML'!T572</f>
        <v>0</v>
      </c>
      <c r="AK576" s="27"/>
      <c r="AL576" s="27"/>
      <c r="AM576" s="27"/>
      <c r="AN576" s="27"/>
      <c r="AO576" s="27"/>
      <c r="AP576" s="27"/>
      <c r="AQ576" s="27"/>
      <c r="AR576" s="27"/>
      <c r="AS576" s="27">
        <v>17</v>
      </c>
    </row>
    <row r="577" spans="1:45" ht="15" customHeight="1" x14ac:dyDescent="0.25">
      <c r="A577" s="27">
        <f>IF('Pegar ML'!C572="Paquete de 2 productos",'Pegar ML'!A572,IF('Pegar ML'!C571="Paquete de 2 productos",'Pegar ML'!A571,'Pegar ML'!A573))</f>
        <v>0</v>
      </c>
      <c r="B577" s="27"/>
      <c r="C577" s="30" t="str">
        <f>IF(AjusteFecha!I573=0,"",AjusteFecha!I573)</f>
        <v/>
      </c>
      <c r="D577" s="27"/>
      <c r="E577" s="27"/>
      <c r="F577" s="27" t="str">
        <f>IF('Pegar ML'!C573="","",'Pegar ML'!C573)</f>
        <v/>
      </c>
      <c r="G577" s="27" t="str">
        <f>IF('Pegar ML'!G568="ARS","PS","PS")</f>
        <v>PS</v>
      </c>
      <c r="H577" s="14">
        <f>IF('Pegar ML'!C572="Paquete de 2 productos",IF('Pegar ML'!H572="",0,'Pegar ML'!H572),IF('Pegar ML'!H573="",0,'Pegar ML'!H573))</f>
        <v>0</v>
      </c>
      <c r="I577" s="14">
        <f>IF('Pegar ML'!C572="Paquete de 2 productos",IF('Pegar ML'!O572="",0,'Pegar ML'!O572),IF('Pegar ML'!O573="",0,'Pegar ML'!O573))</f>
        <v>0</v>
      </c>
      <c r="J577" s="14">
        <f>IF('Pegar ML'!C572="Paquete de 2 productos",IF('Pegar ML'!O572="",0,'Pegar ML'!O572),IF('Pegar ML'!O573="",0,'Pegar ML'!O573))</f>
        <v>0</v>
      </c>
      <c r="K577" s="14">
        <f t="shared" si="26"/>
        <v>0</v>
      </c>
      <c r="L577" s="27">
        <f>IF('Pegar ML'!AB573=" ",'Pegar ML'!AB572,'Pegar ML'!AB573)</f>
        <v>0</v>
      </c>
      <c r="M577" s="27" t="str">
        <f>IF('Pegar ML'!AC573=" ",RIGHT('Pegar ML'!AC572,8),RIGHT('Pegar ML'!AC573,8))</f>
        <v/>
      </c>
      <c r="N577" s="27" t="s">
        <v>80</v>
      </c>
      <c r="O577" s="27">
        <f t="shared" si="24"/>
        <v>0</v>
      </c>
      <c r="P577" s="27" t="s">
        <v>80</v>
      </c>
      <c r="Q577" s="55">
        <f>IF('Pegar ML'!AD573=" ",'Pegar ML'!AD572,'Pegar ML'!AD573)</f>
        <v>0</v>
      </c>
      <c r="R577" s="27" t="s">
        <v>80</v>
      </c>
      <c r="S577" s="27" t="s">
        <v>80</v>
      </c>
      <c r="T577" s="27" t="s">
        <v>80</v>
      </c>
      <c r="U577" s="55">
        <f>IF('Pegar ML'!AI573=" ",'Pegar ML'!AI572,'Pegar ML'!AI573)</f>
        <v>0</v>
      </c>
      <c r="V577" s="55">
        <f>IF('Pegar ML'!AK573=" ",'Pegar ML'!AK572,'Pegar ML'!AK573)</f>
        <v>0</v>
      </c>
      <c r="W577" s="55">
        <f>IF('Pegar ML'!AJ573=" ",'Pegar ML'!AJ572,'Pegar ML'!AJ573)</f>
        <v>0</v>
      </c>
      <c r="X577" s="55">
        <f>IF('Pegar ML'!AL573=" ",'Pegar ML'!AL572,'Pegar ML'!AL573)</f>
        <v>0</v>
      </c>
      <c r="Y577" s="27"/>
      <c r="Z577" s="27"/>
      <c r="AA577" s="27"/>
      <c r="AB577" s="27"/>
      <c r="AC577" s="27"/>
      <c r="AD577" s="27"/>
      <c r="AF577" s="8"/>
      <c r="AG577" s="27"/>
      <c r="AH577" s="14">
        <f>+'Pegar ML'!Y573</f>
        <v>0</v>
      </c>
      <c r="AI577" s="13">
        <f t="shared" si="25"/>
        <v>1</v>
      </c>
      <c r="AJ577" s="7">
        <f>+'Pegar ML'!T573</f>
        <v>0</v>
      </c>
      <c r="AK577" s="27"/>
      <c r="AL577" s="27"/>
      <c r="AM577" s="27"/>
      <c r="AN577" s="27"/>
      <c r="AO577" s="27"/>
      <c r="AP577" s="27"/>
      <c r="AQ577" s="27"/>
      <c r="AR577" s="27"/>
      <c r="AS577" s="27">
        <v>17</v>
      </c>
    </row>
    <row r="578" spans="1:45" ht="15" customHeight="1" x14ac:dyDescent="0.25">
      <c r="A578" s="27">
        <f>IF('Pegar ML'!C573="Paquete de 2 productos",'Pegar ML'!A573,IF('Pegar ML'!C572="Paquete de 2 productos",'Pegar ML'!A572,'Pegar ML'!A574))</f>
        <v>0</v>
      </c>
      <c r="B578" s="27"/>
      <c r="C578" s="30" t="str">
        <f>IF(AjusteFecha!I574=0,"",AjusteFecha!I574)</f>
        <v/>
      </c>
      <c r="D578" s="27"/>
      <c r="E578" s="27"/>
      <c r="F578" s="27" t="str">
        <f>IF('Pegar ML'!C574="","",'Pegar ML'!C574)</f>
        <v/>
      </c>
      <c r="G578" s="27" t="str">
        <f>IF('Pegar ML'!G569="ARS","PS","PS")</f>
        <v>PS</v>
      </c>
      <c r="H578" s="14">
        <f>IF('Pegar ML'!C573="Paquete de 2 productos",IF('Pegar ML'!H573="",0,'Pegar ML'!H573),IF('Pegar ML'!H574="",0,'Pegar ML'!H574))</f>
        <v>0</v>
      </c>
      <c r="I578" s="14">
        <f>IF('Pegar ML'!C573="Paquete de 2 productos",IF('Pegar ML'!O573="",0,'Pegar ML'!O573),IF('Pegar ML'!O574="",0,'Pegar ML'!O574))</f>
        <v>0</v>
      </c>
      <c r="J578" s="14">
        <f>IF('Pegar ML'!C573="Paquete de 2 productos",IF('Pegar ML'!O573="",0,'Pegar ML'!O573),IF('Pegar ML'!O574="",0,'Pegar ML'!O574))</f>
        <v>0</v>
      </c>
      <c r="K578" s="14">
        <f t="shared" si="26"/>
        <v>0</v>
      </c>
      <c r="L578" s="27">
        <f>IF('Pegar ML'!AB574=" ",'Pegar ML'!AB573,'Pegar ML'!AB574)</f>
        <v>0</v>
      </c>
      <c r="M578" s="27" t="str">
        <f>IF('Pegar ML'!AC574=" ",RIGHT('Pegar ML'!AC573,8),RIGHT('Pegar ML'!AC574,8))</f>
        <v/>
      </c>
      <c r="N578" s="27" t="s">
        <v>80</v>
      </c>
      <c r="O578" s="27">
        <f t="shared" si="24"/>
        <v>0</v>
      </c>
      <c r="P578" s="27" t="s">
        <v>80</v>
      </c>
      <c r="Q578" s="55">
        <f>IF('Pegar ML'!AD574=" ",'Pegar ML'!AD573,'Pegar ML'!AD574)</f>
        <v>0</v>
      </c>
      <c r="R578" s="27" t="s">
        <v>80</v>
      </c>
      <c r="S578" s="27" t="s">
        <v>80</v>
      </c>
      <c r="T578" s="27" t="s">
        <v>80</v>
      </c>
      <c r="U578" s="55">
        <f>IF('Pegar ML'!AI574=" ",'Pegar ML'!AI573,'Pegar ML'!AI574)</f>
        <v>0</v>
      </c>
      <c r="V578" s="55">
        <f>IF('Pegar ML'!AK574=" ",'Pegar ML'!AK573,'Pegar ML'!AK574)</f>
        <v>0</v>
      </c>
      <c r="W578" s="55">
        <f>IF('Pegar ML'!AJ574=" ",'Pegar ML'!AJ573,'Pegar ML'!AJ574)</f>
        <v>0</v>
      </c>
      <c r="X578" s="55">
        <f>IF('Pegar ML'!AL574=" ",'Pegar ML'!AL573,'Pegar ML'!AL574)</f>
        <v>0</v>
      </c>
      <c r="Y578" s="27"/>
      <c r="Z578" s="27"/>
      <c r="AA578" s="27"/>
      <c r="AB578" s="27"/>
      <c r="AC578" s="27"/>
      <c r="AD578" s="27"/>
      <c r="AF578" s="8"/>
      <c r="AG578" s="27"/>
      <c r="AH578" s="14">
        <f>+'Pegar ML'!Y574</f>
        <v>0</v>
      </c>
      <c r="AI578" s="13">
        <f t="shared" si="25"/>
        <v>1</v>
      </c>
      <c r="AJ578" s="7">
        <f>+'Pegar ML'!T574</f>
        <v>0</v>
      </c>
      <c r="AK578" s="27"/>
      <c r="AL578" s="27"/>
      <c r="AM578" s="27"/>
      <c r="AN578" s="27"/>
      <c r="AO578" s="27"/>
      <c r="AP578" s="27"/>
      <c r="AQ578" s="27"/>
      <c r="AR578" s="27"/>
      <c r="AS578" s="27">
        <v>17</v>
      </c>
    </row>
    <row r="579" spans="1:45" ht="15" customHeight="1" x14ac:dyDescent="0.25">
      <c r="A579" s="27">
        <f>IF('Pegar ML'!C574="Paquete de 2 productos",'Pegar ML'!A574,IF('Pegar ML'!C573="Paquete de 2 productos",'Pegar ML'!A573,'Pegar ML'!A575))</f>
        <v>0</v>
      </c>
      <c r="B579" s="27"/>
      <c r="C579" s="30" t="str">
        <f>IF(AjusteFecha!I575=0,"",AjusteFecha!I575)</f>
        <v/>
      </c>
      <c r="D579" s="27"/>
      <c r="E579" s="27"/>
      <c r="F579" s="27" t="str">
        <f>IF('Pegar ML'!C575="","",'Pegar ML'!C575)</f>
        <v/>
      </c>
      <c r="G579" s="27" t="str">
        <f>IF('Pegar ML'!G570="ARS","PS","PS")</f>
        <v>PS</v>
      </c>
      <c r="H579" s="14">
        <f>IF('Pegar ML'!C574="Paquete de 2 productos",IF('Pegar ML'!H574="",0,'Pegar ML'!H574),IF('Pegar ML'!H575="",0,'Pegar ML'!H575))</f>
        <v>0</v>
      </c>
      <c r="I579" s="14">
        <f>IF('Pegar ML'!C574="Paquete de 2 productos",IF('Pegar ML'!O574="",0,'Pegar ML'!O574),IF('Pegar ML'!O575="",0,'Pegar ML'!O575))</f>
        <v>0</v>
      </c>
      <c r="J579" s="14">
        <f>IF('Pegar ML'!C574="Paquete de 2 productos",IF('Pegar ML'!O574="",0,'Pegar ML'!O574),IF('Pegar ML'!O575="",0,'Pegar ML'!O575))</f>
        <v>0</v>
      </c>
      <c r="K579" s="14">
        <f t="shared" si="26"/>
        <v>0</v>
      </c>
      <c r="L579" s="27">
        <f>IF('Pegar ML'!AB575=" ",'Pegar ML'!AB574,'Pegar ML'!AB575)</f>
        <v>0</v>
      </c>
      <c r="M579" s="27" t="str">
        <f>IF('Pegar ML'!AC575=" ",RIGHT('Pegar ML'!AC574,8),RIGHT('Pegar ML'!AC575,8))</f>
        <v/>
      </c>
      <c r="N579" s="27" t="s">
        <v>80</v>
      </c>
      <c r="O579" s="27">
        <f t="shared" si="24"/>
        <v>0</v>
      </c>
      <c r="P579" s="27" t="s">
        <v>80</v>
      </c>
      <c r="Q579" s="55">
        <f>IF('Pegar ML'!AD575=" ",'Pegar ML'!AD574,'Pegar ML'!AD575)</f>
        <v>0</v>
      </c>
      <c r="R579" s="27" t="s">
        <v>80</v>
      </c>
      <c r="S579" s="27" t="s">
        <v>80</v>
      </c>
      <c r="T579" s="27" t="s">
        <v>80</v>
      </c>
      <c r="U579" s="55">
        <f>IF('Pegar ML'!AI575=" ",'Pegar ML'!AI574,'Pegar ML'!AI575)</f>
        <v>0</v>
      </c>
      <c r="V579" s="55">
        <f>IF('Pegar ML'!AK575=" ",'Pegar ML'!AK574,'Pegar ML'!AK575)</f>
        <v>0</v>
      </c>
      <c r="W579" s="55">
        <f>IF('Pegar ML'!AJ575=" ",'Pegar ML'!AJ574,'Pegar ML'!AJ575)</f>
        <v>0</v>
      </c>
      <c r="X579" s="55">
        <f>IF('Pegar ML'!AL575=" ",'Pegar ML'!AL574,'Pegar ML'!AL575)</f>
        <v>0</v>
      </c>
      <c r="Y579" s="27"/>
      <c r="Z579" s="27"/>
      <c r="AA579" s="27"/>
      <c r="AB579" s="27"/>
      <c r="AC579" s="27"/>
      <c r="AD579" s="27"/>
      <c r="AF579" s="8"/>
      <c r="AG579" s="27"/>
      <c r="AH579" s="14">
        <f>+'Pegar ML'!Y575</f>
        <v>0</v>
      </c>
      <c r="AI579" s="13">
        <f t="shared" si="25"/>
        <v>1</v>
      </c>
      <c r="AJ579" s="7">
        <f>+'Pegar ML'!T575</f>
        <v>0</v>
      </c>
      <c r="AK579" s="27"/>
      <c r="AL579" s="27"/>
      <c r="AM579" s="27"/>
      <c r="AN579" s="27"/>
      <c r="AO579" s="27"/>
      <c r="AP579" s="27"/>
      <c r="AQ579" s="27"/>
      <c r="AR579" s="27"/>
      <c r="AS579" s="27">
        <v>17</v>
      </c>
    </row>
    <row r="580" spans="1:45" ht="15" customHeight="1" x14ac:dyDescent="0.25">
      <c r="A580" s="27">
        <f>IF('Pegar ML'!C575="Paquete de 2 productos",'Pegar ML'!A575,IF('Pegar ML'!C574="Paquete de 2 productos",'Pegar ML'!A574,'Pegar ML'!A576))</f>
        <v>0</v>
      </c>
      <c r="B580" s="27"/>
      <c r="C580" s="30" t="str">
        <f>IF(AjusteFecha!I576=0,"",AjusteFecha!I576)</f>
        <v/>
      </c>
      <c r="D580" s="27"/>
      <c r="E580" s="27"/>
      <c r="F580" s="27" t="str">
        <f>IF('Pegar ML'!C576="","",'Pegar ML'!C576)</f>
        <v/>
      </c>
      <c r="G580" s="27" t="str">
        <f>IF('Pegar ML'!G571="ARS","PS","PS")</f>
        <v>PS</v>
      </c>
      <c r="H580" s="14">
        <f>IF('Pegar ML'!C575="Paquete de 2 productos",IF('Pegar ML'!H575="",0,'Pegar ML'!H575),IF('Pegar ML'!H576="",0,'Pegar ML'!H576))</f>
        <v>0</v>
      </c>
      <c r="I580" s="14">
        <f>IF('Pegar ML'!C575="Paquete de 2 productos",IF('Pegar ML'!O575="",0,'Pegar ML'!O575),IF('Pegar ML'!O576="",0,'Pegar ML'!O576))</f>
        <v>0</v>
      </c>
      <c r="J580" s="14">
        <f>IF('Pegar ML'!C575="Paquete de 2 productos",IF('Pegar ML'!O575="",0,'Pegar ML'!O575),IF('Pegar ML'!O576="",0,'Pegar ML'!O576))</f>
        <v>0</v>
      </c>
      <c r="K580" s="14">
        <f t="shared" si="26"/>
        <v>0</v>
      </c>
      <c r="L580" s="27">
        <f>IF('Pegar ML'!AB576=" ",'Pegar ML'!AB575,'Pegar ML'!AB576)</f>
        <v>0</v>
      </c>
      <c r="M580" s="27" t="str">
        <f>IF('Pegar ML'!AC576=" ",RIGHT('Pegar ML'!AC575,8),RIGHT('Pegar ML'!AC576,8))</f>
        <v/>
      </c>
      <c r="N580" s="27" t="s">
        <v>80</v>
      </c>
      <c r="O580" s="27">
        <f t="shared" si="24"/>
        <v>0</v>
      </c>
      <c r="P580" s="27" t="s">
        <v>80</v>
      </c>
      <c r="Q580" s="55">
        <f>IF('Pegar ML'!AD576=" ",'Pegar ML'!AD575,'Pegar ML'!AD576)</f>
        <v>0</v>
      </c>
      <c r="R580" s="27" t="s">
        <v>80</v>
      </c>
      <c r="S580" s="27" t="s">
        <v>80</v>
      </c>
      <c r="T580" s="27" t="s">
        <v>80</v>
      </c>
      <c r="U580" s="55">
        <f>IF('Pegar ML'!AI576=" ",'Pegar ML'!AI575,'Pegar ML'!AI576)</f>
        <v>0</v>
      </c>
      <c r="V580" s="55">
        <f>IF('Pegar ML'!AK576=" ",'Pegar ML'!AK575,'Pegar ML'!AK576)</f>
        <v>0</v>
      </c>
      <c r="W580" s="55">
        <f>IF('Pegar ML'!AJ576=" ",'Pegar ML'!AJ575,'Pegar ML'!AJ576)</f>
        <v>0</v>
      </c>
      <c r="X580" s="55">
        <f>IF('Pegar ML'!AL576=" ",'Pegar ML'!AL575,'Pegar ML'!AL576)</f>
        <v>0</v>
      </c>
      <c r="Y580" s="27"/>
      <c r="Z580" s="27"/>
      <c r="AA580" s="27"/>
      <c r="AB580" s="27"/>
      <c r="AC580" s="27"/>
      <c r="AD580" s="27"/>
      <c r="AF580" s="8"/>
      <c r="AG580" s="27"/>
      <c r="AH580" s="14">
        <f>+'Pegar ML'!Y576</f>
        <v>0</v>
      </c>
      <c r="AI580" s="13">
        <f t="shared" si="25"/>
        <v>1</v>
      </c>
      <c r="AJ580" s="7">
        <f>+'Pegar ML'!T576</f>
        <v>0</v>
      </c>
      <c r="AK580" s="27"/>
      <c r="AL580" s="27"/>
      <c r="AM580" s="27"/>
      <c r="AN580" s="27"/>
      <c r="AO580" s="27"/>
      <c r="AP580" s="27"/>
      <c r="AQ580" s="27"/>
      <c r="AR580" s="27"/>
      <c r="AS580" s="27">
        <v>17</v>
      </c>
    </row>
    <row r="581" spans="1:45" ht="15" customHeight="1" x14ac:dyDescent="0.25">
      <c r="A581" s="27">
        <f>IF('Pegar ML'!C576="Paquete de 2 productos",'Pegar ML'!A576,IF('Pegar ML'!C575="Paquete de 2 productos",'Pegar ML'!A575,'Pegar ML'!A577))</f>
        <v>0</v>
      </c>
      <c r="B581" s="27"/>
      <c r="C581" s="30" t="str">
        <f>IF(AjusteFecha!I577=0,"",AjusteFecha!I577)</f>
        <v/>
      </c>
      <c r="D581" s="27"/>
      <c r="E581" s="27"/>
      <c r="F581" s="27" t="str">
        <f>IF('Pegar ML'!C577="","",'Pegar ML'!C577)</f>
        <v/>
      </c>
      <c r="G581" s="27" t="str">
        <f>IF('Pegar ML'!G572="ARS","PS","PS")</f>
        <v>PS</v>
      </c>
      <c r="H581" s="14">
        <f>IF('Pegar ML'!C576="Paquete de 2 productos",IF('Pegar ML'!H576="",0,'Pegar ML'!H576),IF('Pegar ML'!H577="",0,'Pegar ML'!H577))</f>
        <v>0</v>
      </c>
      <c r="I581" s="14">
        <f>IF('Pegar ML'!C576="Paquete de 2 productos",IF('Pegar ML'!O576="",0,'Pegar ML'!O576),IF('Pegar ML'!O577="",0,'Pegar ML'!O577))</f>
        <v>0</v>
      </c>
      <c r="J581" s="14">
        <f>IF('Pegar ML'!C576="Paquete de 2 productos",IF('Pegar ML'!O576="",0,'Pegar ML'!O576),IF('Pegar ML'!O577="",0,'Pegar ML'!O577))</f>
        <v>0</v>
      </c>
      <c r="K581" s="14">
        <f t="shared" si="26"/>
        <v>0</v>
      </c>
      <c r="L581" s="27">
        <f>IF('Pegar ML'!AB577=" ",'Pegar ML'!AB576,'Pegar ML'!AB577)</f>
        <v>0</v>
      </c>
      <c r="M581" s="27" t="str">
        <f>IF('Pegar ML'!AC577=" ",RIGHT('Pegar ML'!AC576,8),RIGHT('Pegar ML'!AC577,8))</f>
        <v/>
      </c>
      <c r="N581" s="27" t="s">
        <v>80</v>
      </c>
      <c r="O581" s="27">
        <f t="shared" si="24"/>
        <v>0</v>
      </c>
      <c r="P581" s="27" t="s">
        <v>80</v>
      </c>
      <c r="Q581" s="55">
        <f>IF('Pegar ML'!AD577=" ",'Pegar ML'!AD576,'Pegar ML'!AD577)</f>
        <v>0</v>
      </c>
      <c r="R581" s="27" t="s">
        <v>80</v>
      </c>
      <c r="S581" s="27" t="s">
        <v>80</v>
      </c>
      <c r="T581" s="27" t="s">
        <v>80</v>
      </c>
      <c r="U581" s="55">
        <f>IF('Pegar ML'!AI577=" ",'Pegar ML'!AI576,'Pegar ML'!AI577)</f>
        <v>0</v>
      </c>
      <c r="V581" s="55">
        <f>IF('Pegar ML'!AK577=" ",'Pegar ML'!AK576,'Pegar ML'!AK577)</f>
        <v>0</v>
      </c>
      <c r="W581" s="55">
        <f>IF('Pegar ML'!AJ577=" ",'Pegar ML'!AJ576,'Pegar ML'!AJ577)</f>
        <v>0</v>
      </c>
      <c r="X581" s="55">
        <f>IF('Pegar ML'!AL577=" ",'Pegar ML'!AL576,'Pegar ML'!AL577)</f>
        <v>0</v>
      </c>
      <c r="Y581" s="27"/>
      <c r="Z581" s="27"/>
      <c r="AA581" s="27"/>
      <c r="AB581" s="27"/>
      <c r="AC581" s="27"/>
      <c r="AD581" s="27"/>
      <c r="AF581" s="8"/>
      <c r="AG581" s="27"/>
      <c r="AH581" s="14">
        <f>+'Pegar ML'!Y577</f>
        <v>0</v>
      </c>
      <c r="AI581" s="13">
        <f t="shared" si="25"/>
        <v>1</v>
      </c>
      <c r="AJ581" s="7">
        <f>+'Pegar ML'!T577</f>
        <v>0</v>
      </c>
      <c r="AK581" s="27"/>
      <c r="AL581" s="27"/>
      <c r="AM581" s="27"/>
      <c r="AN581" s="27"/>
      <c r="AO581" s="27"/>
      <c r="AP581" s="27"/>
      <c r="AQ581" s="27"/>
      <c r="AR581" s="27"/>
      <c r="AS581" s="27">
        <v>17</v>
      </c>
    </row>
    <row r="582" spans="1:45" ht="15" customHeight="1" x14ac:dyDescent="0.25">
      <c r="A582" s="27">
        <f>IF('Pegar ML'!C577="Paquete de 2 productos",'Pegar ML'!A577,IF('Pegar ML'!C576="Paquete de 2 productos",'Pegar ML'!A576,'Pegar ML'!A578))</f>
        <v>0</v>
      </c>
      <c r="B582" s="27"/>
      <c r="C582" s="30" t="str">
        <f>IF(AjusteFecha!I578=0,"",AjusteFecha!I578)</f>
        <v/>
      </c>
      <c r="D582" s="27"/>
      <c r="E582" s="27"/>
      <c r="F582" s="27" t="str">
        <f>IF('Pegar ML'!C578="","",'Pegar ML'!C578)</f>
        <v/>
      </c>
      <c r="G582" s="27" t="str">
        <f>IF('Pegar ML'!G573="ARS","PS","PS")</f>
        <v>PS</v>
      </c>
      <c r="H582" s="14">
        <f>IF('Pegar ML'!C577="Paquete de 2 productos",IF('Pegar ML'!H577="",0,'Pegar ML'!H577),IF('Pegar ML'!H578="",0,'Pegar ML'!H578))</f>
        <v>0</v>
      </c>
      <c r="I582" s="14">
        <f>IF('Pegar ML'!C577="Paquete de 2 productos",IF('Pegar ML'!O577="",0,'Pegar ML'!O577),IF('Pegar ML'!O578="",0,'Pegar ML'!O578))</f>
        <v>0</v>
      </c>
      <c r="J582" s="14">
        <f>IF('Pegar ML'!C577="Paquete de 2 productos",IF('Pegar ML'!O577="",0,'Pegar ML'!O577),IF('Pegar ML'!O578="",0,'Pegar ML'!O578))</f>
        <v>0</v>
      </c>
      <c r="K582" s="14">
        <f t="shared" si="26"/>
        <v>0</v>
      </c>
      <c r="L582" s="27">
        <f>IF('Pegar ML'!AB578=" ",'Pegar ML'!AB577,'Pegar ML'!AB578)</f>
        <v>0</v>
      </c>
      <c r="M582" s="27" t="str">
        <f>IF('Pegar ML'!AC578=" ",RIGHT('Pegar ML'!AC577,8),RIGHT('Pegar ML'!AC578,8))</f>
        <v/>
      </c>
      <c r="N582" s="27" t="s">
        <v>80</v>
      </c>
      <c r="O582" s="27">
        <f t="shared" si="24"/>
        <v>0</v>
      </c>
      <c r="P582" s="27" t="s">
        <v>80</v>
      </c>
      <c r="Q582" s="55">
        <f>IF('Pegar ML'!AD578=" ",'Pegar ML'!AD577,'Pegar ML'!AD578)</f>
        <v>0</v>
      </c>
      <c r="R582" s="27" t="s">
        <v>80</v>
      </c>
      <c r="S582" s="27" t="s">
        <v>80</v>
      </c>
      <c r="T582" s="27" t="s">
        <v>80</v>
      </c>
      <c r="U582" s="55">
        <f>IF('Pegar ML'!AI578=" ",'Pegar ML'!AI577,'Pegar ML'!AI578)</f>
        <v>0</v>
      </c>
      <c r="V582" s="55">
        <f>IF('Pegar ML'!AK578=" ",'Pegar ML'!AK577,'Pegar ML'!AK578)</f>
        <v>0</v>
      </c>
      <c r="W582" s="55">
        <f>IF('Pegar ML'!AJ578=" ",'Pegar ML'!AJ577,'Pegar ML'!AJ578)</f>
        <v>0</v>
      </c>
      <c r="X582" s="55">
        <f>IF('Pegar ML'!AL578=" ",'Pegar ML'!AL577,'Pegar ML'!AL578)</f>
        <v>0</v>
      </c>
      <c r="Y582" s="27"/>
      <c r="Z582" s="27"/>
      <c r="AA582" s="27"/>
      <c r="AB582" s="27"/>
      <c r="AC582" s="27"/>
      <c r="AD582" s="27"/>
      <c r="AF582" s="8"/>
      <c r="AG582" s="27"/>
      <c r="AH582" s="14">
        <f>+'Pegar ML'!Y578</f>
        <v>0</v>
      </c>
      <c r="AI582" s="13">
        <f t="shared" si="25"/>
        <v>1</v>
      </c>
      <c r="AJ582" s="7">
        <f>+'Pegar ML'!T578</f>
        <v>0</v>
      </c>
      <c r="AK582" s="27"/>
      <c r="AL582" s="27"/>
      <c r="AM582" s="27"/>
      <c r="AN582" s="27"/>
      <c r="AO582" s="27"/>
      <c r="AP582" s="27"/>
      <c r="AQ582" s="27"/>
      <c r="AR582" s="27"/>
      <c r="AS582" s="27">
        <v>17</v>
      </c>
    </row>
    <row r="583" spans="1:45" ht="15" customHeight="1" x14ac:dyDescent="0.25">
      <c r="A583" s="27">
        <f>IF('Pegar ML'!C578="Paquete de 2 productos",'Pegar ML'!A578,IF('Pegar ML'!C577="Paquete de 2 productos",'Pegar ML'!A577,'Pegar ML'!A579))</f>
        <v>0</v>
      </c>
      <c r="B583" s="27"/>
      <c r="C583" s="30" t="str">
        <f>IF(AjusteFecha!I579=0,"",AjusteFecha!I579)</f>
        <v/>
      </c>
      <c r="D583" s="27"/>
      <c r="E583" s="27"/>
      <c r="F583" s="27" t="str">
        <f>IF('Pegar ML'!C579="","",'Pegar ML'!C579)</f>
        <v/>
      </c>
      <c r="G583" s="27" t="str">
        <f>IF('Pegar ML'!G574="ARS","PS","PS")</f>
        <v>PS</v>
      </c>
      <c r="H583" s="14">
        <f>IF('Pegar ML'!C578="Paquete de 2 productos",IF('Pegar ML'!H578="",0,'Pegar ML'!H578),IF('Pegar ML'!H579="",0,'Pegar ML'!H579))</f>
        <v>0</v>
      </c>
      <c r="I583" s="14">
        <f>IF('Pegar ML'!C578="Paquete de 2 productos",IF('Pegar ML'!O578="",0,'Pegar ML'!O578),IF('Pegar ML'!O579="",0,'Pegar ML'!O579))</f>
        <v>0</v>
      </c>
      <c r="J583" s="14">
        <f>IF('Pegar ML'!C578="Paquete de 2 productos",IF('Pegar ML'!O578="",0,'Pegar ML'!O578),IF('Pegar ML'!O579="",0,'Pegar ML'!O579))</f>
        <v>0</v>
      </c>
      <c r="K583" s="14">
        <f t="shared" si="26"/>
        <v>0</v>
      </c>
      <c r="L583" s="27">
        <f>IF('Pegar ML'!AB579=" ",'Pegar ML'!AB578,'Pegar ML'!AB579)</f>
        <v>0</v>
      </c>
      <c r="M583" s="27" t="str">
        <f>IF('Pegar ML'!AC579=" ",RIGHT('Pegar ML'!AC578,8),RIGHT('Pegar ML'!AC579,8))</f>
        <v/>
      </c>
      <c r="N583" s="27" t="s">
        <v>80</v>
      </c>
      <c r="O583" s="27">
        <f t="shared" si="24"/>
        <v>0</v>
      </c>
      <c r="P583" s="27" t="s">
        <v>80</v>
      </c>
      <c r="Q583" s="55">
        <f>IF('Pegar ML'!AD579=" ",'Pegar ML'!AD578,'Pegar ML'!AD579)</f>
        <v>0</v>
      </c>
      <c r="R583" s="27" t="s">
        <v>80</v>
      </c>
      <c r="S583" s="27" t="s">
        <v>80</v>
      </c>
      <c r="T583" s="27" t="s">
        <v>80</v>
      </c>
      <c r="U583" s="55">
        <f>IF('Pegar ML'!AI579=" ",'Pegar ML'!AI578,'Pegar ML'!AI579)</f>
        <v>0</v>
      </c>
      <c r="V583" s="55">
        <f>IF('Pegar ML'!AK579=" ",'Pegar ML'!AK578,'Pegar ML'!AK579)</f>
        <v>0</v>
      </c>
      <c r="W583" s="55">
        <f>IF('Pegar ML'!AJ579=" ",'Pegar ML'!AJ578,'Pegar ML'!AJ579)</f>
        <v>0</v>
      </c>
      <c r="X583" s="55">
        <f>IF('Pegar ML'!AL579=" ",'Pegar ML'!AL578,'Pegar ML'!AL579)</f>
        <v>0</v>
      </c>
      <c r="Y583" s="27"/>
      <c r="Z583" s="27"/>
      <c r="AA583" s="27"/>
      <c r="AB583" s="27"/>
      <c r="AC583" s="27"/>
      <c r="AD583" s="27"/>
      <c r="AF583" s="8"/>
      <c r="AG583" s="27"/>
      <c r="AH583" s="14">
        <f>+'Pegar ML'!Y579</f>
        <v>0</v>
      </c>
      <c r="AI583" s="13">
        <f t="shared" si="25"/>
        <v>1</v>
      </c>
      <c r="AJ583" s="7">
        <f>+'Pegar ML'!T579</f>
        <v>0</v>
      </c>
      <c r="AK583" s="27"/>
      <c r="AL583" s="27"/>
      <c r="AM583" s="27"/>
      <c r="AN583" s="27"/>
      <c r="AO583" s="27"/>
      <c r="AP583" s="27"/>
      <c r="AQ583" s="27"/>
      <c r="AR583" s="27"/>
      <c r="AS583" s="27">
        <v>17</v>
      </c>
    </row>
    <row r="584" spans="1:45" ht="15" customHeight="1" x14ac:dyDescent="0.25">
      <c r="A584" s="27">
        <f>IF('Pegar ML'!C579="Paquete de 2 productos",'Pegar ML'!A579,IF('Pegar ML'!C578="Paquete de 2 productos",'Pegar ML'!A578,'Pegar ML'!A580))</f>
        <v>0</v>
      </c>
      <c r="B584" s="27"/>
      <c r="C584" s="30" t="str">
        <f>IF(AjusteFecha!I580=0,"",AjusteFecha!I580)</f>
        <v/>
      </c>
      <c r="D584" s="27"/>
      <c r="E584" s="27"/>
      <c r="F584" s="27" t="str">
        <f>IF('Pegar ML'!C580="","",'Pegar ML'!C580)</f>
        <v/>
      </c>
      <c r="G584" s="27" t="str">
        <f>IF('Pegar ML'!G575="ARS","PS","PS")</f>
        <v>PS</v>
      </c>
      <c r="H584" s="14">
        <f>IF('Pegar ML'!C579="Paquete de 2 productos",IF('Pegar ML'!H579="",0,'Pegar ML'!H579),IF('Pegar ML'!H580="",0,'Pegar ML'!H580))</f>
        <v>0</v>
      </c>
      <c r="I584" s="14">
        <f>IF('Pegar ML'!C579="Paquete de 2 productos",IF('Pegar ML'!O579="",0,'Pegar ML'!O579),IF('Pegar ML'!O580="",0,'Pegar ML'!O580))</f>
        <v>0</v>
      </c>
      <c r="J584" s="14">
        <f>IF('Pegar ML'!C579="Paquete de 2 productos",IF('Pegar ML'!O579="",0,'Pegar ML'!O579),IF('Pegar ML'!O580="",0,'Pegar ML'!O580))</f>
        <v>0</v>
      </c>
      <c r="K584" s="14">
        <f t="shared" si="26"/>
        <v>0</v>
      </c>
      <c r="L584" s="27">
        <f>IF('Pegar ML'!AB580=" ",'Pegar ML'!AB579,'Pegar ML'!AB580)</f>
        <v>0</v>
      </c>
      <c r="M584" s="27" t="str">
        <f>IF('Pegar ML'!AC580=" ",RIGHT('Pegar ML'!AC579,8),RIGHT('Pegar ML'!AC580,8))</f>
        <v/>
      </c>
      <c r="N584" s="27" t="s">
        <v>80</v>
      </c>
      <c r="O584" s="27">
        <f t="shared" si="24"/>
        <v>0</v>
      </c>
      <c r="P584" s="27" t="s">
        <v>80</v>
      </c>
      <c r="Q584" s="55">
        <f>IF('Pegar ML'!AD580=" ",'Pegar ML'!AD579,'Pegar ML'!AD580)</f>
        <v>0</v>
      </c>
      <c r="R584" s="27" t="s">
        <v>80</v>
      </c>
      <c r="S584" s="27" t="s">
        <v>80</v>
      </c>
      <c r="T584" s="27" t="s">
        <v>80</v>
      </c>
      <c r="U584" s="55">
        <f>IF('Pegar ML'!AI580=" ",'Pegar ML'!AI579,'Pegar ML'!AI580)</f>
        <v>0</v>
      </c>
      <c r="V584" s="55">
        <f>IF('Pegar ML'!AK580=" ",'Pegar ML'!AK579,'Pegar ML'!AK580)</f>
        <v>0</v>
      </c>
      <c r="W584" s="55">
        <f>IF('Pegar ML'!AJ580=" ",'Pegar ML'!AJ579,'Pegar ML'!AJ580)</f>
        <v>0</v>
      </c>
      <c r="X584" s="55">
        <f>IF('Pegar ML'!AL580=" ",'Pegar ML'!AL579,'Pegar ML'!AL580)</f>
        <v>0</v>
      </c>
      <c r="Y584" s="27"/>
      <c r="Z584" s="27"/>
      <c r="AA584" s="27"/>
      <c r="AB584" s="27"/>
      <c r="AC584" s="27"/>
      <c r="AD584" s="27"/>
      <c r="AF584" s="8"/>
      <c r="AG584" s="27"/>
      <c r="AH584" s="14">
        <f>+'Pegar ML'!Y580</f>
        <v>0</v>
      </c>
      <c r="AI584" s="13">
        <f t="shared" si="25"/>
        <v>1</v>
      </c>
      <c r="AJ584" s="7">
        <f>+'Pegar ML'!T580</f>
        <v>0</v>
      </c>
      <c r="AK584" s="27"/>
      <c r="AL584" s="27"/>
      <c r="AM584" s="27"/>
      <c r="AN584" s="27"/>
      <c r="AO584" s="27"/>
      <c r="AP584" s="27"/>
      <c r="AQ584" s="27"/>
      <c r="AR584" s="27"/>
      <c r="AS584" s="27">
        <v>17</v>
      </c>
    </row>
    <row r="585" spans="1:45" ht="15" customHeight="1" x14ac:dyDescent="0.25">
      <c r="A585" s="27">
        <f>IF('Pegar ML'!C580="Paquete de 2 productos",'Pegar ML'!A580,IF('Pegar ML'!C579="Paquete de 2 productos",'Pegar ML'!A579,'Pegar ML'!A581))</f>
        <v>0</v>
      </c>
      <c r="B585" s="27"/>
      <c r="C585" s="30" t="str">
        <f>IF(AjusteFecha!I581=0,"",AjusteFecha!I581)</f>
        <v/>
      </c>
      <c r="D585" s="27"/>
      <c r="E585" s="27"/>
      <c r="F585" s="27" t="str">
        <f>IF('Pegar ML'!C581="","",'Pegar ML'!C581)</f>
        <v/>
      </c>
      <c r="G585" s="27" t="str">
        <f>IF('Pegar ML'!G576="ARS","PS","PS")</f>
        <v>PS</v>
      </c>
      <c r="H585" s="14">
        <f>IF('Pegar ML'!C580="Paquete de 2 productos",IF('Pegar ML'!H580="",0,'Pegar ML'!H580),IF('Pegar ML'!H581="",0,'Pegar ML'!H581))</f>
        <v>0</v>
      </c>
      <c r="I585" s="14">
        <f>IF('Pegar ML'!C580="Paquete de 2 productos",IF('Pegar ML'!O580="",0,'Pegar ML'!O580),IF('Pegar ML'!O581="",0,'Pegar ML'!O581))</f>
        <v>0</v>
      </c>
      <c r="J585" s="14">
        <f>IF('Pegar ML'!C580="Paquete de 2 productos",IF('Pegar ML'!O580="",0,'Pegar ML'!O580),IF('Pegar ML'!O581="",0,'Pegar ML'!O581))</f>
        <v>0</v>
      </c>
      <c r="K585" s="14">
        <f t="shared" si="26"/>
        <v>0</v>
      </c>
      <c r="L585" s="27">
        <f>IF('Pegar ML'!AB581=" ",'Pegar ML'!AB580,'Pegar ML'!AB581)</f>
        <v>0</v>
      </c>
      <c r="M585" s="27" t="str">
        <f>IF('Pegar ML'!AC581=" ",RIGHT('Pegar ML'!AC580,8),RIGHT('Pegar ML'!AC581,8))</f>
        <v/>
      </c>
      <c r="N585" s="27" t="s">
        <v>80</v>
      </c>
      <c r="O585" s="27">
        <f t="shared" si="24"/>
        <v>0</v>
      </c>
      <c r="P585" s="27" t="s">
        <v>80</v>
      </c>
      <c r="Q585" s="55">
        <f>IF('Pegar ML'!AD581=" ",'Pegar ML'!AD580,'Pegar ML'!AD581)</f>
        <v>0</v>
      </c>
      <c r="R585" s="27" t="s">
        <v>80</v>
      </c>
      <c r="S585" s="27" t="s">
        <v>80</v>
      </c>
      <c r="T585" s="27" t="s">
        <v>80</v>
      </c>
      <c r="U585" s="55">
        <f>IF('Pegar ML'!AI581=" ",'Pegar ML'!AI580,'Pegar ML'!AI581)</f>
        <v>0</v>
      </c>
      <c r="V585" s="55">
        <f>IF('Pegar ML'!AK581=" ",'Pegar ML'!AK580,'Pegar ML'!AK581)</f>
        <v>0</v>
      </c>
      <c r="W585" s="55">
        <f>IF('Pegar ML'!AJ581=" ",'Pegar ML'!AJ580,'Pegar ML'!AJ581)</f>
        <v>0</v>
      </c>
      <c r="X585" s="55">
        <f>IF('Pegar ML'!AL581=" ",'Pegar ML'!AL580,'Pegar ML'!AL581)</f>
        <v>0</v>
      </c>
      <c r="Y585" s="27"/>
      <c r="Z585" s="27"/>
      <c r="AA585" s="27"/>
      <c r="AB585" s="27"/>
      <c r="AC585" s="27"/>
      <c r="AD585" s="27"/>
      <c r="AF585" s="8"/>
      <c r="AG585" s="27"/>
      <c r="AH585" s="14">
        <f>+'Pegar ML'!Y581</f>
        <v>0</v>
      </c>
      <c r="AI585" s="13">
        <f t="shared" si="25"/>
        <v>1</v>
      </c>
      <c r="AJ585" s="7">
        <f>+'Pegar ML'!T581</f>
        <v>0</v>
      </c>
      <c r="AK585" s="27"/>
      <c r="AL585" s="27"/>
      <c r="AM585" s="27"/>
      <c r="AN585" s="27"/>
      <c r="AO585" s="27"/>
      <c r="AP585" s="27"/>
      <c r="AQ585" s="27"/>
      <c r="AR585" s="27"/>
      <c r="AS585" s="27">
        <v>17</v>
      </c>
    </row>
    <row r="586" spans="1:45" ht="15" customHeight="1" x14ac:dyDescent="0.25">
      <c r="A586" s="27">
        <f>IF('Pegar ML'!C581="Paquete de 2 productos",'Pegar ML'!A581,IF('Pegar ML'!C580="Paquete de 2 productos",'Pegar ML'!A580,'Pegar ML'!A582))</f>
        <v>0</v>
      </c>
      <c r="B586" s="27"/>
      <c r="C586" s="30" t="str">
        <f>IF(AjusteFecha!I582=0,"",AjusteFecha!I582)</f>
        <v/>
      </c>
      <c r="D586" s="27"/>
      <c r="E586" s="27"/>
      <c r="F586" s="27" t="str">
        <f>IF('Pegar ML'!C582="","",'Pegar ML'!C582)</f>
        <v/>
      </c>
      <c r="G586" s="27" t="str">
        <f>IF('Pegar ML'!G577="ARS","PS","PS")</f>
        <v>PS</v>
      </c>
      <c r="H586" s="14">
        <f>IF('Pegar ML'!C581="Paquete de 2 productos",IF('Pegar ML'!H581="",0,'Pegar ML'!H581),IF('Pegar ML'!H582="",0,'Pegar ML'!H582))</f>
        <v>0</v>
      </c>
      <c r="I586" s="14">
        <f>IF('Pegar ML'!C581="Paquete de 2 productos",IF('Pegar ML'!O581="",0,'Pegar ML'!O581),IF('Pegar ML'!O582="",0,'Pegar ML'!O582))</f>
        <v>0</v>
      </c>
      <c r="J586" s="14">
        <f>IF('Pegar ML'!C581="Paquete de 2 productos",IF('Pegar ML'!O581="",0,'Pegar ML'!O581),IF('Pegar ML'!O582="",0,'Pegar ML'!O582))</f>
        <v>0</v>
      </c>
      <c r="K586" s="14">
        <f t="shared" si="26"/>
        <v>0</v>
      </c>
      <c r="L586" s="27">
        <f>IF('Pegar ML'!AB582=" ",'Pegar ML'!AB581,'Pegar ML'!AB582)</f>
        <v>0</v>
      </c>
      <c r="M586" s="27" t="str">
        <f>IF('Pegar ML'!AC582=" ",RIGHT('Pegar ML'!AC581,8),RIGHT('Pegar ML'!AC582,8))</f>
        <v/>
      </c>
      <c r="N586" s="27" t="s">
        <v>80</v>
      </c>
      <c r="O586" s="27">
        <f t="shared" si="24"/>
        <v>0</v>
      </c>
      <c r="P586" s="27" t="s">
        <v>80</v>
      </c>
      <c r="Q586" s="55">
        <f>IF('Pegar ML'!AD582=" ",'Pegar ML'!AD581,'Pegar ML'!AD582)</f>
        <v>0</v>
      </c>
      <c r="R586" s="27" t="s">
        <v>80</v>
      </c>
      <c r="S586" s="27" t="s">
        <v>80</v>
      </c>
      <c r="T586" s="27" t="s">
        <v>80</v>
      </c>
      <c r="U586" s="55">
        <f>IF('Pegar ML'!AI582=" ",'Pegar ML'!AI581,'Pegar ML'!AI582)</f>
        <v>0</v>
      </c>
      <c r="V586" s="55">
        <f>IF('Pegar ML'!AK582=" ",'Pegar ML'!AK581,'Pegar ML'!AK582)</f>
        <v>0</v>
      </c>
      <c r="W586" s="55">
        <f>IF('Pegar ML'!AJ582=" ",'Pegar ML'!AJ581,'Pegar ML'!AJ582)</f>
        <v>0</v>
      </c>
      <c r="X586" s="55">
        <f>IF('Pegar ML'!AL582=" ",'Pegar ML'!AL581,'Pegar ML'!AL582)</f>
        <v>0</v>
      </c>
      <c r="Y586" s="27"/>
      <c r="Z586" s="27"/>
      <c r="AA586" s="27"/>
      <c r="AB586" s="27"/>
      <c r="AC586" s="27"/>
      <c r="AD586" s="27"/>
      <c r="AF586" s="8"/>
      <c r="AG586" s="27"/>
      <c r="AH586" s="14">
        <f>+'Pegar ML'!Y582</f>
        <v>0</v>
      </c>
      <c r="AI586" s="13">
        <f t="shared" si="25"/>
        <v>1</v>
      </c>
      <c r="AJ586" s="7">
        <f>+'Pegar ML'!T582</f>
        <v>0</v>
      </c>
      <c r="AK586" s="27"/>
      <c r="AL586" s="27"/>
      <c r="AM586" s="27"/>
      <c r="AN586" s="27"/>
      <c r="AO586" s="27"/>
      <c r="AP586" s="27"/>
      <c r="AQ586" s="27"/>
      <c r="AR586" s="27"/>
      <c r="AS586" s="27">
        <v>17</v>
      </c>
    </row>
    <row r="587" spans="1:45" ht="15" customHeight="1" x14ac:dyDescent="0.25">
      <c r="A587" s="27">
        <f>IF('Pegar ML'!C582="Paquete de 2 productos",'Pegar ML'!A582,IF('Pegar ML'!C581="Paquete de 2 productos",'Pegar ML'!A581,'Pegar ML'!A583))</f>
        <v>0</v>
      </c>
      <c r="B587" s="27"/>
      <c r="C587" s="30" t="str">
        <f>IF(AjusteFecha!I583=0,"",AjusteFecha!I583)</f>
        <v/>
      </c>
      <c r="D587" s="27"/>
      <c r="E587" s="27"/>
      <c r="F587" s="27" t="str">
        <f>IF('Pegar ML'!C583="","",'Pegar ML'!C583)</f>
        <v/>
      </c>
      <c r="G587" s="27" t="str">
        <f>IF('Pegar ML'!G578="ARS","PS","PS")</f>
        <v>PS</v>
      </c>
      <c r="H587" s="14">
        <f>IF('Pegar ML'!C582="Paquete de 2 productos",IF('Pegar ML'!H582="",0,'Pegar ML'!H582),IF('Pegar ML'!H583="",0,'Pegar ML'!H583))</f>
        <v>0</v>
      </c>
      <c r="I587" s="14">
        <f>IF('Pegar ML'!C582="Paquete de 2 productos",IF('Pegar ML'!O582="",0,'Pegar ML'!O582),IF('Pegar ML'!O583="",0,'Pegar ML'!O583))</f>
        <v>0</v>
      </c>
      <c r="J587" s="14">
        <f>IF('Pegar ML'!C582="Paquete de 2 productos",IF('Pegar ML'!O582="",0,'Pegar ML'!O582),IF('Pegar ML'!O583="",0,'Pegar ML'!O583))</f>
        <v>0</v>
      </c>
      <c r="K587" s="14">
        <f t="shared" si="26"/>
        <v>0</v>
      </c>
      <c r="L587" s="27">
        <f>IF('Pegar ML'!AB583=" ",'Pegar ML'!AB582,'Pegar ML'!AB583)</f>
        <v>0</v>
      </c>
      <c r="M587" s="27" t="str">
        <f>IF('Pegar ML'!AC583=" ",RIGHT('Pegar ML'!AC582,8),RIGHT('Pegar ML'!AC583,8))</f>
        <v/>
      </c>
      <c r="N587" s="27" t="s">
        <v>80</v>
      </c>
      <c r="O587" s="27">
        <f t="shared" ref="O587:O650" si="27">+L587</f>
        <v>0</v>
      </c>
      <c r="P587" s="27" t="s">
        <v>80</v>
      </c>
      <c r="Q587" s="55">
        <f>IF('Pegar ML'!AD583=" ",'Pegar ML'!AD582,'Pegar ML'!AD583)</f>
        <v>0</v>
      </c>
      <c r="R587" s="27" t="s">
        <v>80</v>
      </c>
      <c r="S587" s="27" t="s">
        <v>80</v>
      </c>
      <c r="T587" s="27" t="s">
        <v>80</v>
      </c>
      <c r="U587" s="55">
        <f>IF('Pegar ML'!AI583=" ",'Pegar ML'!AI582,'Pegar ML'!AI583)</f>
        <v>0</v>
      </c>
      <c r="V587" s="55">
        <f>IF('Pegar ML'!AK583=" ",'Pegar ML'!AK582,'Pegar ML'!AK583)</f>
        <v>0</v>
      </c>
      <c r="W587" s="55">
        <f>IF('Pegar ML'!AJ583=" ",'Pegar ML'!AJ582,'Pegar ML'!AJ583)</f>
        <v>0</v>
      </c>
      <c r="X587" s="55">
        <f>IF('Pegar ML'!AL583=" ",'Pegar ML'!AL582,'Pegar ML'!AL583)</f>
        <v>0</v>
      </c>
      <c r="Y587" s="27"/>
      <c r="Z587" s="27"/>
      <c r="AA587" s="27"/>
      <c r="AB587" s="27"/>
      <c r="AC587" s="27"/>
      <c r="AD587" s="27"/>
      <c r="AF587" s="8"/>
      <c r="AG587" s="27"/>
      <c r="AH587" s="14">
        <f>+'Pegar ML'!Y583</f>
        <v>0</v>
      </c>
      <c r="AI587" s="13">
        <f t="shared" ref="AI587:AI650" si="28">IF(F587="Paquete de 2 productos","",1)</f>
        <v>1</v>
      </c>
      <c r="AJ587" s="7">
        <f>+'Pegar ML'!T583</f>
        <v>0</v>
      </c>
      <c r="AK587" s="27"/>
      <c r="AL587" s="27"/>
      <c r="AM587" s="27"/>
      <c r="AN587" s="27"/>
      <c r="AO587" s="27"/>
      <c r="AP587" s="27"/>
      <c r="AQ587" s="27"/>
      <c r="AR587" s="27"/>
      <c r="AS587" s="27">
        <v>17</v>
      </c>
    </row>
    <row r="588" spans="1:45" ht="15" customHeight="1" x14ac:dyDescent="0.25">
      <c r="A588" s="27">
        <f>IF('Pegar ML'!C583="Paquete de 2 productos",'Pegar ML'!A583,IF('Pegar ML'!C582="Paquete de 2 productos",'Pegar ML'!A582,'Pegar ML'!A584))</f>
        <v>0</v>
      </c>
      <c r="B588" s="27"/>
      <c r="C588" s="30" t="str">
        <f>IF(AjusteFecha!I584=0,"",AjusteFecha!I584)</f>
        <v/>
      </c>
      <c r="D588" s="27"/>
      <c r="E588" s="27"/>
      <c r="F588" s="27" t="str">
        <f>IF('Pegar ML'!C584="","",'Pegar ML'!C584)</f>
        <v/>
      </c>
      <c r="G588" s="27" t="str">
        <f>IF('Pegar ML'!G579="ARS","PS","PS")</f>
        <v>PS</v>
      </c>
      <c r="H588" s="14">
        <f>IF('Pegar ML'!C583="Paquete de 2 productos",IF('Pegar ML'!H583="",0,'Pegar ML'!H583),IF('Pegar ML'!H584="",0,'Pegar ML'!H584))</f>
        <v>0</v>
      </c>
      <c r="I588" s="14">
        <f>IF('Pegar ML'!C583="Paquete de 2 productos",IF('Pegar ML'!O583="",0,'Pegar ML'!O583),IF('Pegar ML'!O584="",0,'Pegar ML'!O584))</f>
        <v>0</v>
      </c>
      <c r="J588" s="14">
        <f>IF('Pegar ML'!C583="Paquete de 2 productos",IF('Pegar ML'!O583="",0,'Pegar ML'!O583),IF('Pegar ML'!O584="",0,'Pegar ML'!O584))</f>
        <v>0</v>
      </c>
      <c r="K588" s="14">
        <f t="shared" ref="K588:K651" si="29">+H588-I588+J588</f>
        <v>0</v>
      </c>
      <c r="L588" s="27">
        <f>IF('Pegar ML'!AB584=" ",'Pegar ML'!AB583,'Pegar ML'!AB584)</f>
        <v>0</v>
      </c>
      <c r="M588" s="27" t="str">
        <f>IF('Pegar ML'!AC584=" ",RIGHT('Pegar ML'!AC583,8),RIGHT('Pegar ML'!AC584,8))</f>
        <v/>
      </c>
      <c r="N588" s="27" t="s">
        <v>80</v>
      </c>
      <c r="O588" s="27">
        <f t="shared" si="27"/>
        <v>0</v>
      </c>
      <c r="P588" s="27" t="s">
        <v>80</v>
      </c>
      <c r="Q588" s="55">
        <f>IF('Pegar ML'!AD584=" ",'Pegar ML'!AD583,'Pegar ML'!AD584)</f>
        <v>0</v>
      </c>
      <c r="R588" s="27" t="s">
        <v>80</v>
      </c>
      <c r="S588" s="27" t="s">
        <v>80</v>
      </c>
      <c r="T588" s="27" t="s">
        <v>80</v>
      </c>
      <c r="U588" s="55">
        <f>IF('Pegar ML'!AI584=" ",'Pegar ML'!AI583,'Pegar ML'!AI584)</f>
        <v>0</v>
      </c>
      <c r="V588" s="55">
        <f>IF('Pegar ML'!AK584=" ",'Pegar ML'!AK583,'Pegar ML'!AK584)</f>
        <v>0</v>
      </c>
      <c r="W588" s="55">
        <f>IF('Pegar ML'!AJ584=" ",'Pegar ML'!AJ583,'Pegar ML'!AJ584)</f>
        <v>0</v>
      </c>
      <c r="X588" s="55">
        <f>IF('Pegar ML'!AL584=" ",'Pegar ML'!AL583,'Pegar ML'!AL584)</f>
        <v>0</v>
      </c>
      <c r="Y588" s="27"/>
      <c r="Z588" s="27"/>
      <c r="AA588" s="27"/>
      <c r="AB588" s="27"/>
      <c r="AC588" s="27"/>
      <c r="AD588" s="27"/>
      <c r="AF588" s="8"/>
      <c r="AG588" s="27"/>
      <c r="AH588" s="14">
        <f>+'Pegar ML'!Y584</f>
        <v>0</v>
      </c>
      <c r="AI588" s="13">
        <f t="shared" si="28"/>
        <v>1</v>
      </c>
      <c r="AJ588" s="7">
        <f>+'Pegar ML'!T584</f>
        <v>0</v>
      </c>
      <c r="AK588" s="27"/>
      <c r="AL588" s="27"/>
      <c r="AM588" s="27"/>
      <c r="AN588" s="27"/>
      <c r="AO588" s="27"/>
      <c r="AP588" s="27"/>
      <c r="AQ588" s="27"/>
      <c r="AR588" s="27"/>
      <c r="AS588" s="27">
        <v>17</v>
      </c>
    </row>
    <row r="589" spans="1:45" ht="15" customHeight="1" x14ac:dyDescent="0.25">
      <c r="A589" s="27">
        <f>IF('Pegar ML'!C584="Paquete de 2 productos",'Pegar ML'!A584,IF('Pegar ML'!C583="Paquete de 2 productos",'Pegar ML'!A583,'Pegar ML'!A585))</f>
        <v>0</v>
      </c>
      <c r="B589" s="27"/>
      <c r="C589" s="30" t="str">
        <f>IF(AjusteFecha!I585=0,"",AjusteFecha!I585)</f>
        <v/>
      </c>
      <c r="D589" s="27"/>
      <c r="E589" s="27"/>
      <c r="F589" s="27" t="str">
        <f>IF('Pegar ML'!C585="","",'Pegar ML'!C585)</f>
        <v/>
      </c>
      <c r="G589" s="27" t="str">
        <f>IF('Pegar ML'!G580="ARS","PS","PS")</f>
        <v>PS</v>
      </c>
      <c r="H589" s="14">
        <f>IF('Pegar ML'!C584="Paquete de 2 productos",IF('Pegar ML'!H584="",0,'Pegar ML'!H584),IF('Pegar ML'!H585="",0,'Pegar ML'!H585))</f>
        <v>0</v>
      </c>
      <c r="I589" s="14">
        <f>IF('Pegar ML'!C584="Paquete de 2 productos",IF('Pegar ML'!O584="",0,'Pegar ML'!O584),IF('Pegar ML'!O585="",0,'Pegar ML'!O585))</f>
        <v>0</v>
      </c>
      <c r="J589" s="14">
        <f>IF('Pegar ML'!C584="Paquete de 2 productos",IF('Pegar ML'!O584="",0,'Pegar ML'!O584),IF('Pegar ML'!O585="",0,'Pegar ML'!O585))</f>
        <v>0</v>
      </c>
      <c r="K589" s="14">
        <f t="shared" si="29"/>
        <v>0</v>
      </c>
      <c r="L589" s="27">
        <f>IF('Pegar ML'!AB585=" ",'Pegar ML'!AB584,'Pegar ML'!AB585)</f>
        <v>0</v>
      </c>
      <c r="M589" s="27" t="str">
        <f>IF('Pegar ML'!AC585=" ",RIGHT('Pegar ML'!AC584,8),RIGHT('Pegar ML'!AC585,8))</f>
        <v/>
      </c>
      <c r="N589" s="27" t="s">
        <v>80</v>
      </c>
      <c r="O589" s="27">
        <f t="shared" si="27"/>
        <v>0</v>
      </c>
      <c r="P589" s="27" t="s">
        <v>80</v>
      </c>
      <c r="Q589" s="55">
        <f>IF('Pegar ML'!AD585=" ",'Pegar ML'!AD584,'Pegar ML'!AD585)</f>
        <v>0</v>
      </c>
      <c r="R589" s="27" t="s">
        <v>80</v>
      </c>
      <c r="S589" s="27" t="s">
        <v>80</v>
      </c>
      <c r="T589" s="27" t="s">
        <v>80</v>
      </c>
      <c r="U589" s="55">
        <f>IF('Pegar ML'!AI585=" ",'Pegar ML'!AI584,'Pegar ML'!AI585)</f>
        <v>0</v>
      </c>
      <c r="V589" s="55">
        <f>IF('Pegar ML'!AK585=" ",'Pegar ML'!AK584,'Pegar ML'!AK585)</f>
        <v>0</v>
      </c>
      <c r="W589" s="55">
        <f>IF('Pegar ML'!AJ585=" ",'Pegar ML'!AJ584,'Pegar ML'!AJ585)</f>
        <v>0</v>
      </c>
      <c r="X589" s="55">
        <f>IF('Pegar ML'!AL585=" ",'Pegar ML'!AL584,'Pegar ML'!AL585)</f>
        <v>0</v>
      </c>
      <c r="Y589" s="27"/>
      <c r="Z589" s="27"/>
      <c r="AA589" s="27"/>
      <c r="AB589" s="27"/>
      <c r="AC589" s="27"/>
      <c r="AD589" s="27"/>
      <c r="AF589" s="8"/>
      <c r="AG589" s="27"/>
      <c r="AH589" s="14">
        <f>+'Pegar ML'!Y585</f>
        <v>0</v>
      </c>
      <c r="AI589" s="13">
        <f t="shared" si="28"/>
        <v>1</v>
      </c>
      <c r="AJ589" s="7">
        <f>+'Pegar ML'!T585</f>
        <v>0</v>
      </c>
      <c r="AK589" s="27"/>
      <c r="AL589" s="27"/>
      <c r="AM589" s="27"/>
      <c r="AN589" s="27"/>
      <c r="AO589" s="27"/>
      <c r="AP589" s="27"/>
      <c r="AQ589" s="27"/>
      <c r="AR589" s="27"/>
      <c r="AS589" s="27">
        <v>17</v>
      </c>
    </row>
    <row r="590" spans="1:45" ht="15" customHeight="1" x14ac:dyDescent="0.25">
      <c r="A590" s="27">
        <f>IF('Pegar ML'!C585="Paquete de 2 productos",'Pegar ML'!A585,IF('Pegar ML'!C584="Paquete de 2 productos",'Pegar ML'!A584,'Pegar ML'!A586))</f>
        <v>0</v>
      </c>
      <c r="B590" s="27"/>
      <c r="C590" s="30" t="str">
        <f>IF(AjusteFecha!I586=0,"",AjusteFecha!I586)</f>
        <v/>
      </c>
      <c r="D590" s="27"/>
      <c r="E590" s="27"/>
      <c r="F590" s="27" t="str">
        <f>IF('Pegar ML'!C586="","",'Pegar ML'!C586)</f>
        <v/>
      </c>
      <c r="G590" s="27" t="str">
        <f>IF('Pegar ML'!G581="ARS","PS","PS")</f>
        <v>PS</v>
      </c>
      <c r="H590" s="14">
        <f>IF('Pegar ML'!C585="Paquete de 2 productos",IF('Pegar ML'!H585="",0,'Pegar ML'!H585),IF('Pegar ML'!H586="",0,'Pegar ML'!H586))</f>
        <v>0</v>
      </c>
      <c r="I590" s="14">
        <f>IF('Pegar ML'!C585="Paquete de 2 productos",IF('Pegar ML'!O585="",0,'Pegar ML'!O585),IF('Pegar ML'!O586="",0,'Pegar ML'!O586))</f>
        <v>0</v>
      </c>
      <c r="J590" s="14">
        <f>IF('Pegar ML'!C585="Paquete de 2 productos",IF('Pegar ML'!O585="",0,'Pegar ML'!O585),IF('Pegar ML'!O586="",0,'Pegar ML'!O586))</f>
        <v>0</v>
      </c>
      <c r="K590" s="14">
        <f t="shared" si="29"/>
        <v>0</v>
      </c>
      <c r="L590" s="27">
        <f>IF('Pegar ML'!AB586=" ",'Pegar ML'!AB585,'Pegar ML'!AB586)</f>
        <v>0</v>
      </c>
      <c r="M590" s="27" t="str">
        <f>IF('Pegar ML'!AC586=" ",RIGHT('Pegar ML'!AC585,8),RIGHT('Pegar ML'!AC586,8))</f>
        <v/>
      </c>
      <c r="N590" s="27" t="s">
        <v>80</v>
      </c>
      <c r="O590" s="27">
        <f t="shared" si="27"/>
        <v>0</v>
      </c>
      <c r="P590" s="27" t="s">
        <v>80</v>
      </c>
      <c r="Q590" s="55">
        <f>IF('Pegar ML'!AD586=" ",'Pegar ML'!AD585,'Pegar ML'!AD586)</f>
        <v>0</v>
      </c>
      <c r="R590" s="27" t="s">
        <v>80</v>
      </c>
      <c r="S590" s="27" t="s">
        <v>80</v>
      </c>
      <c r="T590" s="27" t="s">
        <v>80</v>
      </c>
      <c r="U590" s="55">
        <f>IF('Pegar ML'!AI586=" ",'Pegar ML'!AI585,'Pegar ML'!AI586)</f>
        <v>0</v>
      </c>
      <c r="V590" s="55">
        <f>IF('Pegar ML'!AK586=" ",'Pegar ML'!AK585,'Pegar ML'!AK586)</f>
        <v>0</v>
      </c>
      <c r="W590" s="55">
        <f>IF('Pegar ML'!AJ586=" ",'Pegar ML'!AJ585,'Pegar ML'!AJ586)</f>
        <v>0</v>
      </c>
      <c r="X590" s="55">
        <f>IF('Pegar ML'!AL586=" ",'Pegar ML'!AL585,'Pegar ML'!AL586)</f>
        <v>0</v>
      </c>
      <c r="Y590" s="27"/>
      <c r="Z590" s="27"/>
      <c r="AA590" s="27"/>
      <c r="AB590" s="27"/>
      <c r="AC590" s="27"/>
      <c r="AD590" s="27"/>
      <c r="AF590" s="8"/>
      <c r="AG590" s="27"/>
      <c r="AH590" s="14">
        <f>+'Pegar ML'!Y586</f>
        <v>0</v>
      </c>
      <c r="AI590" s="13">
        <f t="shared" si="28"/>
        <v>1</v>
      </c>
      <c r="AJ590" s="7">
        <f>+'Pegar ML'!T586</f>
        <v>0</v>
      </c>
      <c r="AK590" s="27"/>
      <c r="AL590" s="27"/>
      <c r="AM590" s="27"/>
      <c r="AN590" s="27"/>
      <c r="AO590" s="27"/>
      <c r="AP590" s="27"/>
      <c r="AQ590" s="27"/>
      <c r="AR590" s="27"/>
      <c r="AS590" s="27">
        <v>17</v>
      </c>
    </row>
    <row r="591" spans="1:45" ht="15" customHeight="1" x14ac:dyDescent="0.25">
      <c r="A591" s="27">
        <f>IF('Pegar ML'!C586="Paquete de 2 productos",'Pegar ML'!A586,IF('Pegar ML'!C585="Paquete de 2 productos",'Pegar ML'!A585,'Pegar ML'!A587))</f>
        <v>0</v>
      </c>
      <c r="B591" s="27"/>
      <c r="C591" s="30" t="str">
        <f>IF(AjusteFecha!I587=0,"",AjusteFecha!I587)</f>
        <v/>
      </c>
      <c r="D591" s="27"/>
      <c r="E591" s="27"/>
      <c r="F591" s="27" t="str">
        <f>IF('Pegar ML'!C587="","",'Pegar ML'!C587)</f>
        <v/>
      </c>
      <c r="G591" s="27" t="str">
        <f>IF('Pegar ML'!G582="ARS","PS","PS")</f>
        <v>PS</v>
      </c>
      <c r="H591" s="14">
        <f>IF('Pegar ML'!C586="Paquete de 2 productos",IF('Pegar ML'!H586="",0,'Pegar ML'!H586),IF('Pegar ML'!H587="",0,'Pegar ML'!H587))</f>
        <v>0</v>
      </c>
      <c r="I591" s="14">
        <f>IF('Pegar ML'!C586="Paquete de 2 productos",IF('Pegar ML'!O586="",0,'Pegar ML'!O586),IF('Pegar ML'!O587="",0,'Pegar ML'!O587))</f>
        <v>0</v>
      </c>
      <c r="J591" s="14">
        <f>IF('Pegar ML'!C586="Paquete de 2 productos",IF('Pegar ML'!O586="",0,'Pegar ML'!O586),IF('Pegar ML'!O587="",0,'Pegar ML'!O587))</f>
        <v>0</v>
      </c>
      <c r="K591" s="14">
        <f t="shared" si="29"/>
        <v>0</v>
      </c>
      <c r="L591" s="27">
        <f>IF('Pegar ML'!AB587=" ",'Pegar ML'!AB586,'Pegar ML'!AB587)</f>
        <v>0</v>
      </c>
      <c r="M591" s="27" t="str">
        <f>IF('Pegar ML'!AC587=" ",RIGHT('Pegar ML'!AC586,8),RIGHT('Pegar ML'!AC587,8))</f>
        <v/>
      </c>
      <c r="N591" s="27" t="s">
        <v>80</v>
      </c>
      <c r="O591" s="27">
        <f t="shared" si="27"/>
        <v>0</v>
      </c>
      <c r="P591" s="27" t="s">
        <v>80</v>
      </c>
      <c r="Q591" s="55">
        <f>IF('Pegar ML'!AD587=" ",'Pegar ML'!AD586,'Pegar ML'!AD587)</f>
        <v>0</v>
      </c>
      <c r="R591" s="27" t="s">
        <v>80</v>
      </c>
      <c r="S591" s="27" t="s">
        <v>80</v>
      </c>
      <c r="T591" s="27" t="s">
        <v>80</v>
      </c>
      <c r="U591" s="55">
        <f>IF('Pegar ML'!AI587=" ",'Pegar ML'!AI586,'Pegar ML'!AI587)</f>
        <v>0</v>
      </c>
      <c r="V591" s="55">
        <f>IF('Pegar ML'!AK587=" ",'Pegar ML'!AK586,'Pegar ML'!AK587)</f>
        <v>0</v>
      </c>
      <c r="W591" s="55">
        <f>IF('Pegar ML'!AJ587=" ",'Pegar ML'!AJ586,'Pegar ML'!AJ587)</f>
        <v>0</v>
      </c>
      <c r="X591" s="55">
        <f>IF('Pegar ML'!AL587=" ",'Pegar ML'!AL586,'Pegar ML'!AL587)</f>
        <v>0</v>
      </c>
      <c r="Y591" s="27"/>
      <c r="Z591" s="27"/>
      <c r="AA591" s="27"/>
      <c r="AB591" s="27"/>
      <c r="AC591" s="27"/>
      <c r="AD591" s="27"/>
      <c r="AF591" s="8"/>
      <c r="AG591" s="27"/>
      <c r="AH591" s="14">
        <f>+'Pegar ML'!Y587</f>
        <v>0</v>
      </c>
      <c r="AI591" s="13">
        <f t="shared" si="28"/>
        <v>1</v>
      </c>
      <c r="AJ591" s="7">
        <f>+'Pegar ML'!T587</f>
        <v>0</v>
      </c>
      <c r="AK591" s="27"/>
      <c r="AL591" s="27"/>
      <c r="AM591" s="27"/>
      <c r="AN591" s="27"/>
      <c r="AO591" s="27"/>
      <c r="AP591" s="27"/>
      <c r="AQ591" s="27"/>
      <c r="AR591" s="27"/>
      <c r="AS591" s="27">
        <v>17</v>
      </c>
    </row>
    <row r="592" spans="1:45" ht="15" customHeight="1" x14ac:dyDescent="0.25">
      <c r="A592" s="27">
        <f>IF('Pegar ML'!C587="Paquete de 2 productos",'Pegar ML'!A587,IF('Pegar ML'!C586="Paquete de 2 productos",'Pegar ML'!A586,'Pegar ML'!A588))</f>
        <v>0</v>
      </c>
      <c r="B592" s="27"/>
      <c r="C592" s="30" t="str">
        <f>IF(AjusteFecha!I588=0,"",AjusteFecha!I588)</f>
        <v/>
      </c>
      <c r="D592" s="27"/>
      <c r="E592" s="27"/>
      <c r="F592" s="27" t="str">
        <f>IF('Pegar ML'!C588="","",'Pegar ML'!C588)</f>
        <v/>
      </c>
      <c r="G592" s="27" t="str">
        <f>IF('Pegar ML'!G583="ARS","PS","PS")</f>
        <v>PS</v>
      </c>
      <c r="H592" s="14">
        <f>IF('Pegar ML'!C587="Paquete de 2 productos",IF('Pegar ML'!H587="",0,'Pegar ML'!H587),IF('Pegar ML'!H588="",0,'Pegar ML'!H588))</f>
        <v>0</v>
      </c>
      <c r="I592" s="14">
        <f>IF('Pegar ML'!C587="Paquete de 2 productos",IF('Pegar ML'!O587="",0,'Pegar ML'!O587),IF('Pegar ML'!O588="",0,'Pegar ML'!O588))</f>
        <v>0</v>
      </c>
      <c r="J592" s="14">
        <f>IF('Pegar ML'!C587="Paquete de 2 productos",IF('Pegar ML'!O587="",0,'Pegar ML'!O587),IF('Pegar ML'!O588="",0,'Pegar ML'!O588))</f>
        <v>0</v>
      </c>
      <c r="K592" s="14">
        <f t="shared" si="29"/>
        <v>0</v>
      </c>
      <c r="L592" s="27">
        <f>IF('Pegar ML'!AB588=" ",'Pegar ML'!AB587,'Pegar ML'!AB588)</f>
        <v>0</v>
      </c>
      <c r="M592" s="27" t="str">
        <f>IF('Pegar ML'!AC588=" ",RIGHT('Pegar ML'!AC587,8),RIGHT('Pegar ML'!AC588,8))</f>
        <v/>
      </c>
      <c r="N592" s="27" t="s">
        <v>80</v>
      </c>
      <c r="O592" s="27">
        <f t="shared" si="27"/>
        <v>0</v>
      </c>
      <c r="P592" s="27" t="s">
        <v>80</v>
      </c>
      <c r="Q592" s="55">
        <f>IF('Pegar ML'!AD588=" ",'Pegar ML'!AD587,'Pegar ML'!AD588)</f>
        <v>0</v>
      </c>
      <c r="R592" s="27" t="s">
        <v>80</v>
      </c>
      <c r="S592" s="27" t="s">
        <v>80</v>
      </c>
      <c r="T592" s="27" t="s">
        <v>80</v>
      </c>
      <c r="U592" s="55">
        <f>IF('Pegar ML'!AI588=" ",'Pegar ML'!AI587,'Pegar ML'!AI588)</f>
        <v>0</v>
      </c>
      <c r="V592" s="55">
        <f>IF('Pegar ML'!AK588=" ",'Pegar ML'!AK587,'Pegar ML'!AK588)</f>
        <v>0</v>
      </c>
      <c r="W592" s="55">
        <f>IF('Pegar ML'!AJ588=" ",'Pegar ML'!AJ587,'Pegar ML'!AJ588)</f>
        <v>0</v>
      </c>
      <c r="X592" s="55">
        <f>IF('Pegar ML'!AL588=" ",'Pegar ML'!AL587,'Pegar ML'!AL588)</f>
        <v>0</v>
      </c>
      <c r="Y592" s="27"/>
      <c r="Z592" s="27"/>
      <c r="AA592" s="27"/>
      <c r="AB592" s="27"/>
      <c r="AC592" s="27"/>
      <c r="AD592" s="27"/>
      <c r="AF592" s="8"/>
      <c r="AG592" s="27"/>
      <c r="AH592" s="14">
        <f>+'Pegar ML'!Y588</f>
        <v>0</v>
      </c>
      <c r="AI592" s="13">
        <f t="shared" si="28"/>
        <v>1</v>
      </c>
      <c r="AJ592" s="7">
        <f>+'Pegar ML'!T588</f>
        <v>0</v>
      </c>
      <c r="AK592" s="27"/>
      <c r="AL592" s="27"/>
      <c r="AM592" s="27"/>
      <c r="AN592" s="27"/>
      <c r="AO592" s="27"/>
      <c r="AP592" s="27"/>
      <c r="AQ592" s="27"/>
      <c r="AR592" s="27"/>
      <c r="AS592" s="27">
        <v>17</v>
      </c>
    </row>
    <row r="593" spans="1:45" ht="15" customHeight="1" x14ac:dyDescent="0.25">
      <c r="A593" s="27">
        <f>IF('Pegar ML'!C588="Paquete de 2 productos",'Pegar ML'!A588,IF('Pegar ML'!C587="Paquete de 2 productos",'Pegar ML'!A587,'Pegar ML'!A589))</f>
        <v>0</v>
      </c>
      <c r="B593" s="27"/>
      <c r="C593" s="30" t="str">
        <f>IF(AjusteFecha!I589=0,"",AjusteFecha!I589)</f>
        <v/>
      </c>
      <c r="D593" s="27"/>
      <c r="E593" s="27"/>
      <c r="F593" s="27" t="str">
        <f>IF('Pegar ML'!C589="","",'Pegar ML'!C589)</f>
        <v/>
      </c>
      <c r="G593" s="27" t="str">
        <f>IF('Pegar ML'!G584="ARS","PS","PS")</f>
        <v>PS</v>
      </c>
      <c r="H593" s="14">
        <f>IF('Pegar ML'!C588="Paquete de 2 productos",IF('Pegar ML'!H588="",0,'Pegar ML'!H588),IF('Pegar ML'!H589="",0,'Pegar ML'!H589))</f>
        <v>0</v>
      </c>
      <c r="I593" s="14">
        <f>IF('Pegar ML'!C588="Paquete de 2 productos",IF('Pegar ML'!O588="",0,'Pegar ML'!O588),IF('Pegar ML'!O589="",0,'Pegar ML'!O589))</f>
        <v>0</v>
      </c>
      <c r="J593" s="14">
        <f>IF('Pegar ML'!C588="Paquete de 2 productos",IF('Pegar ML'!O588="",0,'Pegar ML'!O588),IF('Pegar ML'!O589="",0,'Pegar ML'!O589))</f>
        <v>0</v>
      </c>
      <c r="K593" s="14">
        <f t="shared" si="29"/>
        <v>0</v>
      </c>
      <c r="L593" s="27">
        <f>IF('Pegar ML'!AB589=" ",'Pegar ML'!AB588,'Pegar ML'!AB589)</f>
        <v>0</v>
      </c>
      <c r="M593" s="27" t="str">
        <f>IF('Pegar ML'!AC589=" ",RIGHT('Pegar ML'!AC588,8),RIGHT('Pegar ML'!AC589,8))</f>
        <v/>
      </c>
      <c r="N593" s="27" t="s">
        <v>80</v>
      </c>
      <c r="O593" s="27">
        <f t="shared" si="27"/>
        <v>0</v>
      </c>
      <c r="P593" s="27" t="s">
        <v>80</v>
      </c>
      <c r="Q593" s="55">
        <f>IF('Pegar ML'!AD589=" ",'Pegar ML'!AD588,'Pegar ML'!AD589)</f>
        <v>0</v>
      </c>
      <c r="R593" s="27" t="s">
        <v>80</v>
      </c>
      <c r="S593" s="27" t="s">
        <v>80</v>
      </c>
      <c r="T593" s="27" t="s">
        <v>80</v>
      </c>
      <c r="U593" s="55">
        <f>IF('Pegar ML'!AI589=" ",'Pegar ML'!AI588,'Pegar ML'!AI589)</f>
        <v>0</v>
      </c>
      <c r="V593" s="55">
        <f>IF('Pegar ML'!AK589=" ",'Pegar ML'!AK588,'Pegar ML'!AK589)</f>
        <v>0</v>
      </c>
      <c r="W593" s="55">
        <f>IF('Pegar ML'!AJ589=" ",'Pegar ML'!AJ588,'Pegar ML'!AJ589)</f>
        <v>0</v>
      </c>
      <c r="X593" s="55">
        <f>IF('Pegar ML'!AL589=" ",'Pegar ML'!AL588,'Pegar ML'!AL589)</f>
        <v>0</v>
      </c>
      <c r="Y593" s="27"/>
      <c r="Z593" s="27"/>
      <c r="AA593" s="27"/>
      <c r="AB593" s="27"/>
      <c r="AC593" s="27"/>
      <c r="AD593" s="27"/>
      <c r="AF593" s="8"/>
      <c r="AG593" s="27"/>
      <c r="AH593" s="14">
        <f>+'Pegar ML'!Y589</f>
        <v>0</v>
      </c>
      <c r="AI593" s="13">
        <f t="shared" si="28"/>
        <v>1</v>
      </c>
      <c r="AJ593" s="7">
        <f>+'Pegar ML'!T589</f>
        <v>0</v>
      </c>
      <c r="AK593" s="27"/>
      <c r="AL593" s="27"/>
      <c r="AM593" s="27"/>
      <c r="AN593" s="27"/>
      <c r="AO593" s="27"/>
      <c r="AP593" s="27"/>
      <c r="AQ593" s="27"/>
      <c r="AR593" s="27"/>
      <c r="AS593" s="27">
        <v>17</v>
      </c>
    </row>
    <row r="594" spans="1:45" ht="15" customHeight="1" x14ac:dyDescent="0.25">
      <c r="A594" s="27">
        <f>IF('Pegar ML'!C589="Paquete de 2 productos",'Pegar ML'!A589,IF('Pegar ML'!C588="Paquete de 2 productos",'Pegar ML'!A588,'Pegar ML'!A590))</f>
        <v>0</v>
      </c>
      <c r="B594" s="27"/>
      <c r="C594" s="30" t="str">
        <f>IF(AjusteFecha!I590=0,"",AjusteFecha!I590)</f>
        <v/>
      </c>
      <c r="D594" s="27"/>
      <c r="E594" s="27"/>
      <c r="F594" s="27" t="str">
        <f>IF('Pegar ML'!C590="","",'Pegar ML'!C590)</f>
        <v/>
      </c>
      <c r="G594" s="27" t="str">
        <f>IF('Pegar ML'!G585="ARS","PS","PS")</f>
        <v>PS</v>
      </c>
      <c r="H594" s="14">
        <f>IF('Pegar ML'!C589="Paquete de 2 productos",IF('Pegar ML'!H589="",0,'Pegar ML'!H589),IF('Pegar ML'!H590="",0,'Pegar ML'!H590))</f>
        <v>0</v>
      </c>
      <c r="I594" s="14">
        <f>IF('Pegar ML'!C589="Paquete de 2 productos",IF('Pegar ML'!O589="",0,'Pegar ML'!O589),IF('Pegar ML'!O590="",0,'Pegar ML'!O590))</f>
        <v>0</v>
      </c>
      <c r="J594" s="14">
        <f>IF('Pegar ML'!C589="Paquete de 2 productos",IF('Pegar ML'!O589="",0,'Pegar ML'!O589),IF('Pegar ML'!O590="",0,'Pegar ML'!O590))</f>
        <v>0</v>
      </c>
      <c r="K594" s="14">
        <f t="shared" si="29"/>
        <v>0</v>
      </c>
      <c r="L594" s="27">
        <f>IF('Pegar ML'!AB590=" ",'Pegar ML'!AB589,'Pegar ML'!AB590)</f>
        <v>0</v>
      </c>
      <c r="M594" s="27" t="str">
        <f>IF('Pegar ML'!AC590=" ",RIGHT('Pegar ML'!AC589,8),RIGHT('Pegar ML'!AC590,8))</f>
        <v/>
      </c>
      <c r="N594" s="27" t="s">
        <v>80</v>
      </c>
      <c r="O594" s="27">
        <f t="shared" si="27"/>
        <v>0</v>
      </c>
      <c r="P594" s="27" t="s">
        <v>80</v>
      </c>
      <c r="Q594" s="55">
        <f>IF('Pegar ML'!AD590=" ",'Pegar ML'!AD589,'Pegar ML'!AD590)</f>
        <v>0</v>
      </c>
      <c r="R594" s="27" t="s">
        <v>80</v>
      </c>
      <c r="S594" s="27" t="s">
        <v>80</v>
      </c>
      <c r="T594" s="27" t="s">
        <v>80</v>
      </c>
      <c r="U594" s="55">
        <f>IF('Pegar ML'!AI590=" ",'Pegar ML'!AI589,'Pegar ML'!AI590)</f>
        <v>0</v>
      </c>
      <c r="V594" s="55">
        <f>IF('Pegar ML'!AK590=" ",'Pegar ML'!AK589,'Pegar ML'!AK590)</f>
        <v>0</v>
      </c>
      <c r="W594" s="55">
        <f>IF('Pegar ML'!AJ590=" ",'Pegar ML'!AJ589,'Pegar ML'!AJ590)</f>
        <v>0</v>
      </c>
      <c r="X594" s="55">
        <f>IF('Pegar ML'!AL590=" ",'Pegar ML'!AL589,'Pegar ML'!AL590)</f>
        <v>0</v>
      </c>
      <c r="Y594" s="27"/>
      <c r="Z594" s="27"/>
      <c r="AA594" s="27"/>
      <c r="AB594" s="27"/>
      <c r="AC594" s="27"/>
      <c r="AD594" s="27"/>
      <c r="AF594" s="8"/>
      <c r="AG594" s="27"/>
      <c r="AH594" s="14">
        <f>+'Pegar ML'!Y590</f>
        <v>0</v>
      </c>
      <c r="AI594" s="13">
        <f t="shared" si="28"/>
        <v>1</v>
      </c>
      <c r="AJ594" s="7">
        <f>+'Pegar ML'!T590</f>
        <v>0</v>
      </c>
      <c r="AK594" s="27"/>
      <c r="AL594" s="27"/>
      <c r="AM594" s="27"/>
      <c r="AN594" s="27"/>
      <c r="AO594" s="27"/>
      <c r="AP594" s="27"/>
      <c r="AQ594" s="27"/>
      <c r="AR594" s="27"/>
      <c r="AS594" s="27">
        <v>17</v>
      </c>
    </row>
    <row r="595" spans="1:45" ht="15" customHeight="1" x14ac:dyDescent="0.25">
      <c r="A595" s="27">
        <f>IF('Pegar ML'!C590="Paquete de 2 productos",'Pegar ML'!A590,IF('Pegar ML'!C589="Paquete de 2 productos",'Pegar ML'!A589,'Pegar ML'!A591))</f>
        <v>0</v>
      </c>
      <c r="B595" s="27"/>
      <c r="C595" s="30" t="str">
        <f>IF(AjusteFecha!I591=0,"",AjusteFecha!I591)</f>
        <v/>
      </c>
      <c r="D595" s="27"/>
      <c r="E595" s="27"/>
      <c r="F595" s="27" t="str">
        <f>IF('Pegar ML'!C591="","",'Pegar ML'!C591)</f>
        <v/>
      </c>
      <c r="G595" s="27" t="str">
        <f>IF('Pegar ML'!G586="ARS","PS","PS")</f>
        <v>PS</v>
      </c>
      <c r="H595" s="14">
        <f>IF('Pegar ML'!C590="Paquete de 2 productos",IF('Pegar ML'!H590="",0,'Pegar ML'!H590),IF('Pegar ML'!H591="",0,'Pegar ML'!H591))</f>
        <v>0</v>
      </c>
      <c r="I595" s="14">
        <f>IF('Pegar ML'!C590="Paquete de 2 productos",IF('Pegar ML'!O590="",0,'Pegar ML'!O590),IF('Pegar ML'!O591="",0,'Pegar ML'!O591))</f>
        <v>0</v>
      </c>
      <c r="J595" s="14">
        <f>IF('Pegar ML'!C590="Paquete de 2 productos",IF('Pegar ML'!O590="",0,'Pegar ML'!O590),IF('Pegar ML'!O591="",0,'Pegar ML'!O591))</f>
        <v>0</v>
      </c>
      <c r="K595" s="14">
        <f t="shared" si="29"/>
        <v>0</v>
      </c>
      <c r="L595" s="27">
        <f>IF('Pegar ML'!AB591=" ",'Pegar ML'!AB590,'Pegar ML'!AB591)</f>
        <v>0</v>
      </c>
      <c r="M595" s="27" t="str">
        <f>IF('Pegar ML'!AC591=" ",RIGHT('Pegar ML'!AC590,8),RIGHT('Pegar ML'!AC591,8))</f>
        <v/>
      </c>
      <c r="N595" s="27" t="s">
        <v>80</v>
      </c>
      <c r="O595" s="27">
        <f t="shared" si="27"/>
        <v>0</v>
      </c>
      <c r="P595" s="27" t="s">
        <v>80</v>
      </c>
      <c r="Q595" s="55">
        <f>IF('Pegar ML'!AD591=" ",'Pegar ML'!AD590,'Pegar ML'!AD591)</f>
        <v>0</v>
      </c>
      <c r="R595" s="27" t="s">
        <v>80</v>
      </c>
      <c r="S595" s="27" t="s">
        <v>80</v>
      </c>
      <c r="T595" s="27" t="s">
        <v>80</v>
      </c>
      <c r="U595" s="55">
        <f>IF('Pegar ML'!AI591=" ",'Pegar ML'!AI590,'Pegar ML'!AI591)</f>
        <v>0</v>
      </c>
      <c r="V595" s="55">
        <f>IF('Pegar ML'!AK591=" ",'Pegar ML'!AK590,'Pegar ML'!AK591)</f>
        <v>0</v>
      </c>
      <c r="W595" s="55">
        <f>IF('Pegar ML'!AJ591=" ",'Pegar ML'!AJ590,'Pegar ML'!AJ591)</f>
        <v>0</v>
      </c>
      <c r="X595" s="55">
        <f>IF('Pegar ML'!AL591=" ",'Pegar ML'!AL590,'Pegar ML'!AL591)</f>
        <v>0</v>
      </c>
      <c r="Y595" s="27"/>
      <c r="Z595" s="27"/>
      <c r="AA595" s="27"/>
      <c r="AB595" s="27"/>
      <c r="AC595" s="27"/>
      <c r="AD595" s="27"/>
      <c r="AF595" s="8"/>
      <c r="AG595" s="27"/>
      <c r="AH595" s="14">
        <f>+'Pegar ML'!Y591</f>
        <v>0</v>
      </c>
      <c r="AI595" s="13">
        <f t="shared" si="28"/>
        <v>1</v>
      </c>
      <c r="AJ595" s="7">
        <f>+'Pegar ML'!T591</f>
        <v>0</v>
      </c>
      <c r="AK595" s="27"/>
      <c r="AL595" s="27"/>
      <c r="AM595" s="27"/>
      <c r="AN595" s="27"/>
      <c r="AO595" s="27"/>
      <c r="AP595" s="27"/>
      <c r="AQ595" s="27"/>
      <c r="AR595" s="27"/>
      <c r="AS595" s="27">
        <v>17</v>
      </c>
    </row>
    <row r="596" spans="1:45" ht="15" customHeight="1" x14ac:dyDescent="0.25">
      <c r="A596" s="27">
        <f>IF('Pegar ML'!C591="Paquete de 2 productos",'Pegar ML'!A591,IF('Pegar ML'!C590="Paquete de 2 productos",'Pegar ML'!A590,'Pegar ML'!A592))</f>
        <v>0</v>
      </c>
      <c r="B596" s="27"/>
      <c r="C596" s="30" t="str">
        <f>IF(AjusteFecha!I592=0,"",AjusteFecha!I592)</f>
        <v/>
      </c>
      <c r="D596" s="27"/>
      <c r="E596" s="27"/>
      <c r="F596" s="27" t="str">
        <f>IF('Pegar ML'!C592="","",'Pegar ML'!C592)</f>
        <v/>
      </c>
      <c r="G596" s="27" t="str">
        <f>IF('Pegar ML'!G587="ARS","PS","PS")</f>
        <v>PS</v>
      </c>
      <c r="H596" s="14">
        <f>IF('Pegar ML'!C591="Paquete de 2 productos",IF('Pegar ML'!H591="",0,'Pegar ML'!H591),IF('Pegar ML'!H592="",0,'Pegar ML'!H592))</f>
        <v>0</v>
      </c>
      <c r="I596" s="14">
        <f>IF('Pegar ML'!C591="Paquete de 2 productos",IF('Pegar ML'!O591="",0,'Pegar ML'!O591),IF('Pegar ML'!O592="",0,'Pegar ML'!O592))</f>
        <v>0</v>
      </c>
      <c r="J596" s="14">
        <f>IF('Pegar ML'!C591="Paquete de 2 productos",IF('Pegar ML'!O591="",0,'Pegar ML'!O591),IF('Pegar ML'!O592="",0,'Pegar ML'!O592))</f>
        <v>0</v>
      </c>
      <c r="K596" s="14">
        <f t="shared" si="29"/>
        <v>0</v>
      </c>
      <c r="L596" s="27">
        <f>IF('Pegar ML'!AB592=" ",'Pegar ML'!AB591,'Pegar ML'!AB592)</f>
        <v>0</v>
      </c>
      <c r="M596" s="27" t="str">
        <f>IF('Pegar ML'!AC592=" ",RIGHT('Pegar ML'!AC591,8),RIGHT('Pegar ML'!AC592,8))</f>
        <v/>
      </c>
      <c r="N596" s="27" t="s">
        <v>80</v>
      </c>
      <c r="O596" s="27">
        <f t="shared" si="27"/>
        <v>0</v>
      </c>
      <c r="P596" s="27" t="s">
        <v>80</v>
      </c>
      <c r="Q596" s="55">
        <f>IF('Pegar ML'!AD592=" ",'Pegar ML'!AD591,'Pegar ML'!AD592)</f>
        <v>0</v>
      </c>
      <c r="R596" s="27" t="s">
        <v>80</v>
      </c>
      <c r="S596" s="27" t="s">
        <v>80</v>
      </c>
      <c r="T596" s="27" t="s">
        <v>80</v>
      </c>
      <c r="U596" s="55">
        <f>IF('Pegar ML'!AI592=" ",'Pegar ML'!AI591,'Pegar ML'!AI592)</f>
        <v>0</v>
      </c>
      <c r="V596" s="55">
        <f>IF('Pegar ML'!AK592=" ",'Pegar ML'!AK591,'Pegar ML'!AK592)</f>
        <v>0</v>
      </c>
      <c r="W596" s="55">
        <f>IF('Pegar ML'!AJ592=" ",'Pegar ML'!AJ591,'Pegar ML'!AJ592)</f>
        <v>0</v>
      </c>
      <c r="X596" s="55">
        <f>IF('Pegar ML'!AL592=" ",'Pegar ML'!AL591,'Pegar ML'!AL592)</f>
        <v>0</v>
      </c>
      <c r="Y596" s="27"/>
      <c r="Z596" s="27"/>
      <c r="AA596" s="27"/>
      <c r="AB596" s="27"/>
      <c r="AC596" s="27"/>
      <c r="AD596" s="27"/>
      <c r="AF596" s="8"/>
      <c r="AG596" s="27"/>
      <c r="AH596" s="14">
        <f>+'Pegar ML'!Y592</f>
        <v>0</v>
      </c>
      <c r="AI596" s="13">
        <f t="shared" si="28"/>
        <v>1</v>
      </c>
      <c r="AJ596" s="7">
        <f>+'Pegar ML'!T592</f>
        <v>0</v>
      </c>
      <c r="AK596" s="27"/>
      <c r="AL596" s="27"/>
      <c r="AM596" s="27"/>
      <c r="AN596" s="27"/>
      <c r="AO596" s="27"/>
      <c r="AP596" s="27"/>
      <c r="AQ596" s="27"/>
      <c r="AR596" s="27"/>
      <c r="AS596" s="27">
        <v>17</v>
      </c>
    </row>
    <row r="597" spans="1:45" ht="15" customHeight="1" x14ac:dyDescent="0.25">
      <c r="A597" s="27">
        <f>IF('Pegar ML'!C592="Paquete de 2 productos",'Pegar ML'!A592,IF('Pegar ML'!C591="Paquete de 2 productos",'Pegar ML'!A591,'Pegar ML'!A593))</f>
        <v>0</v>
      </c>
      <c r="B597" s="27"/>
      <c r="C597" s="30" t="str">
        <f>IF(AjusteFecha!I593=0,"",AjusteFecha!I593)</f>
        <v/>
      </c>
      <c r="D597" s="27"/>
      <c r="E597" s="27"/>
      <c r="F597" s="27" t="str">
        <f>IF('Pegar ML'!C593="","",'Pegar ML'!C593)</f>
        <v/>
      </c>
      <c r="G597" s="27" t="str">
        <f>IF('Pegar ML'!G588="ARS","PS","PS")</f>
        <v>PS</v>
      </c>
      <c r="H597" s="14">
        <f>IF('Pegar ML'!C592="Paquete de 2 productos",IF('Pegar ML'!H592="",0,'Pegar ML'!H592),IF('Pegar ML'!H593="",0,'Pegar ML'!H593))</f>
        <v>0</v>
      </c>
      <c r="I597" s="14">
        <f>IF('Pegar ML'!C592="Paquete de 2 productos",IF('Pegar ML'!O592="",0,'Pegar ML'!O592),IF('Pegar ML'!O593="",0,'Pegar ML'!O593))</f>
        <v>0</v>
      </c>
      <c r="J597" s="14">
        <f>IF('Pegar ML'!C592="Paquete de 2 productos",IF('Pegar ML'!O592="",0,'Pegar ML'!O592),IF('Pegar ML'!O593="",0,'Pegar ML'!O593))</f>
        <v>0</v>
      </c>
      <c r="K597" s="14">
        <f t="shared" si="29"/>
        <v>0</v>
      </c>
      <c r="L597" s="27">
        <f>IF('Pegar ML'!AB593=" ",'Pegar ML'!AB592,'Pegar ML'!AB593)</f>
        <v>0</v>
      </c>
      <c r="M597" s="27" t="str">
        <f>IF('Pegar ML'!AC593=" ",RIGHT('Pegar ML'!AC592,8),RIGHT('Pegar ML'!AC593,8))</f>
        <v/>
      </c>
      <c r="N597" s="27" t="s">
        <v>80</v>
      </c>
      <c r="O597" s="27">
        <f t="shared" si="27"/>
        <v>0</v>
      </c>
      <c r="P597" s="27" t="s">
        <v>80</v>
      </c>
      <c r="Q597" s="55">
        <f>IF('Pegar ML'!AD593=" ",'Pegar ML'!AD592,'Pegar ML'!AD593)</f>
        <v>0</v>
      </c>
      <c r="R597" s="27" t="s">
        <v>80</v>
      </c>
      <c r="S597" s="27" t="s">
        <v>80</v>
      </c>
      <c r="T597" s="27" t="s">
        <v>80</v>
      </c>
      <c r="U597" s="55">
        <f>IF('Pegar ML'!AI593=" ",'Pegar ML'!AI592,'Pegar ML'!AI593)</f>
        <v>0</v>
      </c>
      <c r="V597" s="55">
        <f>IF('Pegar ML'!AK593=" ",'Pegar ML'!AK592,'Pegar ML'!AK593)</f>
        <v>0</v>
      </c>
      <c r="W597" s="55">
        <f>IF('Pegar ML'!AJ593=" ",'Pegar ML'!AJ592,'Pegar ML'!AJ593)</f>
        <v>0</v>
      </c>
      <c r="X597" s="55">
        <f>IF('Pegar ML'!AL593=" ",'Pegar ML'!AL592,'Pegar ML'!AL593)</f>
        <v>0</v>
      </c>
      <c r="Y597" s="27"/>
      <c r="Z597" s="27"/>
      <c r="AA597" s="27"/>
      <c r="AB597" s="27"/>
      <c r="AC597" s="27"/>
      <c r="AD597" s="27"/>
      <c r="AF597" s="8"/>
      <c r="AG597" s="27"/>
      <c r="AH597" s="14">
        <f>+'Pegar ML'!Y593</f>
        <v>0</v>
      </c>
      <c r="AI597" s="13">
        <f t="shared" si="28"/>
        <v>1</v>
      </c>
      <c r="AJ597" s="7">
        <f>+'Pegar ML'!T593</f>
        <v>0</v>
      </c>
      <c r="AK597" s="27"/>
      <c r="AL597" s="27"/>
      <c r="AM597" s="27"/>
      <c r="AN597" s="27"/>
      <c r="AO597" s="27"/>
      <c r="AP597" s="27"/>
      <c r="AQ597" s="27"/>
      <c r="AR597" s="27"/>
      <c r="AS597" s="27">
        <v>17</v>
      </c>
    </row>
    <row r="598" spans="1:45" ht="15" customHeight="1" x14ac:dyDescent="0.25">
      <c r="A598" s="27">
        <f>IF('Pegar ML'!C593="Paquete de 2 productos",'Pegar ML'!A593,IF('Pegar ML'!C592="Paquete de 2 productos",'Pegar ML'!A592,'Pegar ML'!A594))</f>
        <v>0</v>
      </c>
      <c r="B598" s="27"/>
      <c r="C598" s="30" t="str">
        <f>IF(AjusteFecha!I594=0,"",AjusteFecha!I594)</f>
        <v/>
      </c>
      <c r="D598" s="27"/>
      <c r="E598" s="27"/>
      <c r="F598" s="27" t="str">
        <f>IF('Pegar ML'!C594="","",'Pegar ML'!C594)</f>
        <v/>
      </c>
      <c r="G598" s="27" t="str">
        <f>IF('Pegar ML'!G589="ARS","PS","PS")</f>
        <v>PS</v>
      </c>
      <c r="H598" s="14">
        <f>IF('Pegar ML'!C593="Paquete de 2 productos",IF('Pegar ML'!H593="",0,'Pegar ML'!H593),IF('Pegar ML'!H594="",0,'Pegar ML'!H594))</f>
        <v>0</v>
      </c>
      <c r="I598" s="14">
        <f>IF('Pegar ML'!C593="Paquete de 2 productos",IF('Pegar ML'!O593="",0,'Pegar ML'!O593),IF('Pegar ML'!O594="",0,'Pegar ML'!O594))</f>
        <v>0</v>
      </c>
      <c r="J598" s="14">
        <f>IF('Pegar ML'!C593="Paquete de 2 productos",IF('Pegar ML'!O593="",0,'Pegar ML'!O593),IF('Pegar ML'!O594="",0,'Pegar ML'!O594))</f>
        <v>0</v>
      </c>
      <c r="K598" s="14">
        <f t="shared" si="29"/>
        <v>0</v>
      </c>
      <c r="L598" s="27">
        <f>IF('Pegar ML'!AB594=" ",'Pegar ML'!AB593,'Pegar ML'!AB594)</f>
        <v>0</v>
      </c>
      <c r="M598" s="27" t="str">
        <f>IF('Pegar ML'!AC594=" ",RIGHT('Pegar ML'!AC593,8),RIGHT('Pegar ML'!AC594,8))</f>
        <v/>
      </c>
      <c r="N598" s="27" t="s">
        <v>80</v>
      </c>
      <c r="O598" s="27">
        <f t="shared" si="27"/>
        <v>0</v>
      </c>
      <c r="P598" s="27" t="s">
        <v>80</v>
      </c>
      <c r="Q598" s="55">
        <f>IF('Pegar ML'!AD594=" ",'Pegar ML'!AD593,'Pegar ML'!AD594)</f>
        <v>0</v>
      </c>
      <c r="R598" s="27" t="s">
        <v>80</v>
      </c>
      <c r="S598" s="27" t="s">
        <v>80</v>
      </c>
      <c r="T598" s="27" t="s">
        <v>80</v>
      </c>
      <c r="U598" s="55">
        <f>IF('Pegar ML'!AI594=" ",'Pegar ML'!AI593,'Pegar ML'!AI594)</f>
        <v>0</v>
      </c>
      <c r="V598" s="55">
        <f>IF('Pegar ML'!AK594=" ",'Pegar ML'!AK593,'Pegar ML'!AK594)</f>
        <v>0</v>
      </c>
      <c r="W598" s="55">
        <f>IF('Pegar ML'!AJ594=" ",'Pegar ML'!AJ593,'Pegar ML'!AJ594)</f>
        <v>0</v>
      </c>
      <c r="X598" s="55">
        <f>IF('Pegar ML'!AL594=" ",'Pegar ML'!AL593,'Pegar ML'!AL594)</f>
        <v>0</v>
      </c>
      <c r="Y598" s="27"/>
      <c r="Z598" s="27"/>
      <c r="AA598" s="27"/>
      <c r="AB598" s="27"/>
      <c r="AC598" s="27"/>
      <c r="AD598" s="27"/>
      <c r="AF598" s="8"/>
      <c r="AG598" s="27"/>
      <c r="AH598" s="14">
        <f>+'Pegar ML'!Y594</f>
        <v>0</v>
      </c>
      <c r="AI598" s="13">
        <f t="shared" si="28"/>
        <v>1</v>
      </c>
      <c r="AJ598" s="7">
        <f>+'Pegar ML'!T594</f>
        <v>0</v>
      </c>
      <c r="AK598" s="27"/>
      <c r="AL598" s="27"/>
      <c r="AM598" s="27"/>
      <c r="AN598" s="27"/>
      <c r="AO598" s="27"/>
      <c r="AP598" s="27"/>
      <c r="AQ598" s="27"/>
      <c r="AR598" s="27"/>
      <c r="AS598" s="27">
        <v>17</v>
      </c>
    </row>
    <row r="599" spans="1:45" ht="15" customHeight="1" x14ac:dyDescent="0.25">
      <c r="A599" s="27">
        <f>IF('Pegar ML'!C594="Paquete de 2 productos",'Pegar ML'!A594,IF('Pegar ML'!C593="Paquete de 2 productos",'Pegar ML'!A593,'Pegar ML'!A595))</f>
        <v>0</v>
      </c>
      <c r="B599" s="27"/>
      <c r="C599" s="30" t="str">
        <f>IF(AjusteFecha!I595=0,"",AjusteFecha!I595)</f>
        <v/>
      </c>
      <c r="D599" s="27"/>
      <c r="E599" s="27"/>
      <c r="F599" s="27" t="str">
        <f>IF('Pegar ML'!C595="","",'Pegar ML'!C595)</f>
        <v/>
      </c>
      <c r="G599" s="27" t="str">
        <f>IF('Pegar ML'!G590="ARS","PS","PS")</f>
        <v>PS</v>
      </c>
      <c r="H599" s="14">
        <f>IF('Pegar ML'!C594="Paquete de 2 productos",IF('Pegar ML'!H594="",0,'Pegar ML'!H594),IF('Pegar ML'!H595="",0,'Pegar ML'!H595))</f>
        <v>0</v>
      </c>
      <c r="I599" s="14">
        <f>IF('Pegar ML'!C594="Paquete de 2 productos",IF('Pegar ML'!O594="",0,'Pegar ML'!O594),IF('Pegar ML'!O595="",0,'Pegar ML'!O595))</f>
        <v>0</v>
      </c>
      <c r="J599" s="14">
        <f>IF('Pegar ML'!C594="Paquete de 2 productos",IF('Pegar ML'!O594="",0,'Pegar ML'!O594),IF('Pegar ML'!O595="",0,'Pegar ML'!O595))</f>
        <v>0</v>
      </c>
      <c r="K599" s="14">
        <f t="shared" si="29"/>
        <v>0</v>
      </c>
      <c r="L599" s="27">
        <f>IF('Pegar ML'!AB595=" ",'Pegar ML'!AB594,'Pegar ML'!AB595)</f>
        <v>0</v>
      </c>
      <c r="M599" s="27" t="str">
        <f>IF('Pegar ML'!AC595=" ",RIGHT('Pegar ML'!AC594,8),RIGHT('Pegar ML'!AC595,8))</f>
        <v/>
      </c>
      <c r="N599" s="27" t="s">
        <v>80</v>
      </c>
      <c r="O599" s="27">
        <f t="shared" si="27"/>
        <v>0</v>
      </c>
      <c r="P599" s="27" t="s">
        <v>80</v>
      </c>
      <c r="Q599" s="55">
        <f>IF('Pegar ML'!AD595=" ",'Pegar ML'!AD594,'Pegar ML'!AD595)</f>
        <v>0</v>
      </c>
      <c r="R599" s="27" t="s">
        <v>80</v>
      </c>
      <c r="S599" s="27" t="s">
        <v>80</v>
      </c>
      <c r="T599" s="27" t="s">
        <v>80</v>
      </c>
      <c r="U599" s="55">
        <f>IF('Pegar ML'!AI595=" ",'Pegar ML'!AI594,'Pegar ML'!AI595)</f>
        <v>0</v>
      </c>
      <c r="V599" s="55">
        <f>IF('Pegar ML'!AK595=" ",'Pegar ML'!AK594,'Pegar ML'!AK595)</f>
        <v>0</v>
      </c>
      <c r="W599" s="55">
        <f>IF('Pegar ML'!AJ595=" ",'Pegar ML'!AJ594,'Pegar ML'!AJ595)</f>
        <v>0</v>
      </c>
      <c r="X599" s="55">
        <f>IF('Pegar ML'!AL595=" ",'Pegar ML'!AL594,'Pegar ML'!AL595)</f>
        <v>0</v>
      </c>
      <c r="Y599" s="27"/>
      <c r="Z599" s="27"/>
      <c r="AA599" s="27"/>
      <c r="AB599" s="27"/>
      <c r="AC599" s="27"/>
      <c r="AD599" s="27"/>
      <c r="AF599" s="8"/>
      <c r="AG599" s="27"/>
      <c r="AH599" s="14">
        <f>+'Pegar ML'!Y595</f>
        <v>0</v>
      </c>
      <c r="AI599" s="13">
        <f t="shared" si="28"/>
        <v>1</v>
      </c>
      <c r="AJ599" s="7">
        <f>+'Pegar ML'!T595</f>
        <v>0</v>
      </c>
      <c r="AK599" s="27"/>
      <c r="AL599" s="27"/>
      <c r="AM599" s="27"/>
      <c r="AN599" s="27"/>
      <c r="AO599" s="27"/>
      <c r="AP599" s="27"/>
      <c r="AQ599" s="27"/>
      <c r="AR599" s="27"/>
      <c r="AS599" s="27">
        <v>17</v>
      </c>
    </row>
    <row r="600" spans="1:45" ht="15" customHeight="1" x14ac:dyDescent="0.25">
      <c r="A600" s="27">
        <f>IF('Pegar ML'!C595="Paquete de 2 productos",'Pegar ML'!A595,IF('Pegar ML'!C594="Paquete de 2 productos",'Pegar ML'!A594,'Pegar ML'!A596))</f>
        <v>0</v>
      </c>
      <c r="B600" s="27"/>
      <c r="C600" s="30" t="str">
        <f>IF(AjusteFecha!I596=0,"",AjusteFecha!I596)</f>
        <v/>
      </c>
      <c r="D600" s="27"/>
      <c r="E600" s="27"/>
      <c r="F600" s="27" t="str">
        <f>IF('Pegar ML'!C596="","",'Pegar ML'!C596)</f>
        <v/>
      </c>
      <c r="G600" s="27" t="str">
        <f>IF('Pegar ML'!G591="ARS","PS","PS")</f>
        <v>PS</v>
      </c>
      <c r="H600" s="14">
        <f>IF('Pegar ML'!C595="Paquete de 2 productos",IF('Pegar ML'!H595="",0,'Pegar ML'!H595),IF('Pegar ML'!H596="",0,'Pegar ML'!H596))</f>
        <v>0</v>
      </c>
      <c r="I600" s="14">
        <f>IF('Pegar ML'!C595="Paquete de 2 productos",IF('Pegar ML'!O595="",0,'Pegar ML'!O595),IF('Pegar ML'!O596="",0,'Pegar ML'!O596))</f>
        <v>0</v>
      </c>
      <c r="J600" s="14">
        <f>IF('Pegar ML'!C595="Paquete de 2 productos",IF('Pegar ML'!O595="",0,'Pegar ML'!O595),IF('Pegar ML'!O596="",0,'Pegar ML'!O596))</f>
        <v>0</v>
      </c>
      <c r="K600" s="14">
        <f t="shared" si="29"/>
        <v>0</v>
      </c>
      <c r="L600" s="27">
        <f>IF('Pegar ML'!AB596=" ",'Pegar ML'!AB595,'Pegar ML'!AB596)</f>
        <v>0</v>
      </c>
      <c r="M600" s="27" t="str">
        <f>IF('Pegar ML'!AC596=" ",RIGHT('Pegar ML'!AC595,8),RIGHT('Pegar ML'!AC596,8))</f>
        <v/>
      </c>
      <c r="N600" s="27" t="s">
        <v>80</v>
      </c>
      <c r="O600" s="27">
        <f t="shared" si="27"/>
        <v>0</v>
      </c>
      <c r="P600" s="27" t="s">
        <v>80</v>
      </c>
      <c r="Q600" s="55">
        <f>IF('Pegar ML'!AD596=" ",'Pegar ML'!AD595,'Pegar ML'!AD596)</f>
        <v>0</v>
      </c>
      <c r="R600" s="27" t="s">
        <v>80</v>
      </c>
      <c r="S600" s="27" t="s">
        <v>80</v>
      </c>
      <c r="T600" s="27" t="s">
        <v>80</v>
      </c>
      <c r="U600" s="55">
        <f>IF('Pegar ML'!AI596=" ",'Pegar ML'!AI595,'Pegar ML'!AI596)</f>
        <v>0</v>
      </c>
      <c r="V600" s="55">
        <f>IF('Pegar ML'!AK596=" ",'Pegar ML'!AK595,'Pegar ML'!AK596)</f>
        <v>0</v>
      </c>
      <c r="W600" s="55">
        <f>IF('Pegar ML'!AJ596=" ",'Pegar ML'!AJ595,'Pegar ML'!AJ596)</f>
        <v>0</v>
      </c>
      <c r="X600" s="55">
        <f>IF('Pegar ML'!AL596=" ",'Pegar ML'!AL595,'Pegar ML'!AL596)</f>
        <v>0</v>
      </c>
      <c r="Y600" s="27"/>
      <c r="Z600" s="27"/>
      <c r="AA600" s="27"/>
      <c r="AB600" s="27"/>
      <c r="AC600" s="27"/>
      <c r="AD600" s="27"/>
      <c r="AF600" s="8"/>
      <c r="AG600" s="27"/>
      <c r="AH600" s="14">
        <f>+'Pegar ML'!Y596</f>
        <v>0</v>
      </c>
      <c r="AI600" s="13">
        <f t="shared" si="28"/>
        <v>1</v>
      </c>
      <c r="AJ600" s="7">
        <f>+'Pegar ML'!T596</f>
        <v>0</v>
      </c>
      <c r="AK600" s="27"/>
      <c r="AL600" s="27"/>
      <c r="AM600" s="27"/>
      <c r="AN600" s="27"/>
      <c r="AO600" s="27"/>
      <c r="AP600" s="27"/>
      <c r="AQ600" s="27"/>
      <c r="AR600" s="27"/>
      <c r="AS600" s="27">
        <v>17</v>
      </c>
    </row>
    <row r="601" spans="1:45" ht="15" customHeight="1" x14ac:dyDescent="0.25">
      <c r="A601" s="27">
        <f>IF('Pegar ML'!C596="Paquete de 2 productos",'Pegar ML'!A596,IF('Pegar ML'!C595="Paquete de 2 productos",'Pegar ML'!A595,'Pegar ML'!A597))</f>
        <v>0</v>
      </c>
      <c r="B601" s="27"/>
      <c r="C601" s="30" t="str">
        <f>IF(AjusteFecha!I597=0,"",AjusteFecha!I597)</f>
        <v/>
      </c>
      <c r="D601" s="27"/>
      <c r="E601" s="27"/>
      <c r="F601" s="27" t="str">
        <f>IF('Pegar ML'!C597="","",'Pegar ML'!C597)</f>
        <v/>
      </c>
      <c r="G601" s="27" t="str">
        <f>IF('Pegar ML'!G592="ARS","PS","PS")</f>
        <v>PS</v>
      </c>
      <c r="H601" s="14">
        <f>IF('Pegar ML'!C596="Paquete de 2 productos",IF('Pegar ML'!H596="",0,'Pegar ML'!H596),IF('Pegar ML'!H597="",0,'Pegar ML'!H597))</f>
        <v>0</v>
      </c>
      <c r="I601" s="14">
        <f>IF('Pegar ML'!C596="Paquete de 2 productos",IF('Pegar ML'!O596="",0,'Pegar ML'!O596),IF('Pegar ML'!O597="",0,'Pegar ML'!O597))</f>
        <v>0</v>
      </c>
      <c r="J601" s="14">
        <f>IF('Pegar ML'!C596="Paquete de 2 productos",IF('Pegar ML'!O596="",0,'Pegar ML'!O596),IF('Pegar ML'!O597="",0,'Pegar ML'!O597))</f>
        <v>0</v>
      </c>
      <c r="K601" s="14">
        <f t="shared" si="29"/>
        <v>0</v>
      </c>
      <c r="L601" s="27">
        <f>IF('Pegar ML'!AB597=" ",'Pegar ML'!AB596,'Pegar ML'!AB597)</f>
        <v>0</v>
      </c>
      <c r="M601" s="27" t="str">
        <f>IF('Pegar ML'!AC597=" ",RIGHT('Pegar ML'!AC596,8),RIGHT('Pegar ML'!AC597,8))</f>
        <v/>
      </c>
      <c r="N601" s="27" t="s">
        <v>80</v>
      </c>
      <c r="O601" s="27">
        <f t="shared" si="27"/>
        <v>0</v>
      </c>
      <c r="P601" s="27" t="s">
        <v>80</v>
      </c>
      <c r="Q601" s="55">
        <f>IF('Pegar ML'!AD597=" ",'Pegar ML'!AD596,'Pegar ML'!AD597)</f>
        <v>0</v>
      </c>
      <c r="R601" s="27" t="s">
        <v>80</v>
      </c>
      <c r="S601" s="27" t="s">
        <v>80</v>
      </c>
      <c r="T601" s="27" t="s">
        <v>80</v>
      </c>
      <c r="U601" s="55">
        <f>IF('Pegar ML'!AI597=" ",'Pegar ML'!AI596,'Pegar ML'!AI597)</f>
        <v>0</v>
      </c>
      <c r="V601" s="55">
        <f>IF('Pegar ML'!AK597=" ",'Pegar ML'!AK596,'Pegar ML'!AK597)</f>
        <v>0</v>
      </c>
      <c r="W601" s="55">
        <f>IF('Pegar ML'!AJ597=" ",'Pegar ML'!AJ596,'Pegar ML'!AJ597)</f>
        <v>0</v>
      </c>
      <c r="X601" s="55">
        <f>IF('Pegar ML'!AL597=" ",'Pegar ML'!AL596,'Pegar ML'!AL597)</f>
        <v>0</v>
      </c>
      <c r="Y601" s="27"/>
      <c r="Z601" s="27"/>
      <c r="AA601" s="27"/>
      <c r="AB601" s="27"/>
      <c r="AC601" s="27"/>
      <c r="AD601" s="27"/>
      <c r="AF601" s="8"/>
      <c r="AG601" s="27"/>
      <c r="AH601" s="14">
        <f>+'Pegar ML'!Y597</f>
        <v>0</v>
      </c>
      <c r="AI601" s="13">
        <f t="shared" si="28"/>
        <v>1</v>
      </c>
      <c r="AJ601" s="7">
        <f>+'Pegar ML'!T597</f>
        <v>0</v>
      </c>
      <c r="AK601" s="27"/>
      <c r="AL601" s="27"/>
      <c r="AM601" s="27"/>
      <c r="AN601" s="27"/>
      <c r="AO601" s="27"/>
      <c r="AP601" s="27"/>
      <c r="AQ601" s="27"/>
      <c r="AR601" s="27"/>
      <c r="AS601" s="27">
        <v>17</v>
      </c>
    </row>
    <row r="602" spans="1:45" ht="15" customHeight="1" x14ac:dyDescent="0.25">
      <c r="A602" s="27">
        <f>IF('Pegar ML'!C597="Paquete de 2 productos",'Pegar ML'!A597,IF('Pegar ML'!C596="Paquete de 2 productos",'Pegar ML'!A596,'Pegar ML'!A598))</f>
        <v>0</v>
      </c>
      <c r="B602" s="27"/>
      <c r="C602" s="30" t="str">
        <f>IF(AjusteFecha!I598=0,"",AjusteFecha!I598)</f>
        <v/>
      </c>
      <c r="D602" s="27"/>
      <c r="E602" s="27"/>
      <c r="F602" s="27" t="str">
        <f>IF('Pegar ML'!C598="","",'Pegar ML'!C598)</f>
        <v/>
      </c>
      <c r="G602" s="27" t="str">
        <f>IF('Pegar ML'!G593="ARS","PS","PS")</f>
        <v>PS</v>
      </c>
      <c r="H602" s="14">
        <f>IF('Pegar ML'!C597="Paquete de 2 productos",IF('Pegar ML'!H597="",0,'Pegar ML'!H597),IF('Pegar ML'!H598="",0,'Pegar ML'!H598))</f>
        <v>0</v>
      </c>
      <c r="I602" s="14">
        <f>IF('Pegar ML'!C597="Paquete de 2 productos",IF('Pegar ML'!O597="",0,'Pegar ML'!O597),IF('Pegar ML'!O598="",0,'Pegar ML'!O598))</f>
        <v>0</v>
      </c>
      <c r="J602" s="14">
        <f>IF('Pegar ML'!C597="Paquete de 2 productos",IF('Pegar ML'!O597="",0,'Pegar ML'!O597),IF('Pegar ML'!O598="",0,'Pegar ML'!O598))</f>
        <v>0</v>
      </c>
      <c r="K602" s="14">
        <f t="shared" si="29"/>
        <v>0</v>
      </c>
      <c r="L602" s="27">
        <f>IF('Pegar ML'!AB598=" ",'Pegar ML'!AB597,'Pegar ML'!AB598)</f>
        <v>0</v>
      </c>
      <c r="M602" s="27" t="str">
        <f>IF('Pegar ML'!AC598=" ",RIGHT('Pegar ML'!AC597,8),RIGHT('Pegar ML'!AC598,8))</f>
        <v/>
      </c>
      <c r="N602" s="27" t="s">
        <v>80</v>
      </c>
      <c r="O602" s="27">
        <f t="shared" si="27"/>
        <v>0</v>
      </c>
      <c r="P602" s="27" t="s">
        <v>80</v>
      </c>
      <c r="Q602" s="55">
        <f>IF('Pegar ML'!AD598=" ",'Pegar ML'!AD597,'Pegar ML'!AD598)</f>
        <v>0</v>
      </c>
      <c r="R602" s="27" t="s">
        <v>80</v>
      </c>
      <c r="S602" s="27" t="s">
        <v>80</v>
      </c>
      <c r="T602" s="27" t="s">
        <v>80</v>
      </c>
      <c r="U602" s="55">
        <f>IF('Pegar ML'!AI598=" ",'Pegar ML'!AI597,'Pegar ML'!AI598)</f>
        <v>0</v>
      </c>
      <c r="V602" s="55">
        <f>IF('Pegar ML'!AK598=" ",'Pegar ML'!AK597,'Pegar ML'!AK598)</f>
        <v>0</v>
      </c>
      <c r="W602" s="55">
        <f>IF('Pegar ML'!AJ598=" ",'Pegar ML'!AJ597,'Pegar ML'!AJ598)</f>
        <v>0</v>
      </c>
      <c r="X602" s="55">
        <f>IF('Pegar ML'!AL598=" ",'Pegar ML'!AL597,'Pegar ML'!AL598)</f>
        <v>0</v>
      </c>
      <c r="Y602" s="27"/>
      <c r="Z602" s="27"/>
      <c r="AA602" s="27"/>
      <c r="AB602" s="27"/>
      <c r="AC602" s="27"/>
      <c r="AD602" s="27"/>
      <c r="AF602" s="8"/>
      <c r="AG602" s="27"/>
      <c r="AH602" s="14">
        <f>+'Pegar ML'!Y598</f>
        <v>0</v>
      </c>
      <c r="AI602" s="13">
        <f t="shared" si="28"/>
        <v>1</v>
      </c>
      <c r="AJ602" s="7">
        <f>+'Pegar ML'!T598</f>
        <v>0</v>
      </c>
      <c r="AK602" s="27"/>
      <c r="AL602" s="27"/>
      <c r="AM602" s="27"/>
      <c r="AN602" s="27"/>
      <c r="AO602" s="27"/>
      <c r="AP602" s="27"/>
      <c r="AQ602" s="27"/>
      <c r="AR602" s="27"/>
      <c r="AS602" s="27">
        <v>17</v>
      </c>
    </row>
    <row r="603" spans="1:45" ht="15" customHeight="1" x14ac:dyDescent="0.25">
      <c r="A603" s="27">
        <f>IF('Pegar ML'!C598="Paquete de 2 productos",'Pegar ML'!A598,IF('Pegar ML'!C597="Paquete de 2 productos",'Pegar ML'!A597,'Pegar ML'!A599))</f>
        <v>0</v>
      </c>
      <c r="B603" s="27"/>
      <c r="C603" s="30" t="str">
        <f>IF(AjusteFecha!I599=0,"",AjusteFecha!I599)</f>
        <v/>
      </c>
      <c r="D603" s="27"/>
      <c r="E603" s="27"/>
      <c r="F603" s="27" t="str">
        <f>IF('Pegar ML'!C599="","",'Pegar ML'!C599)</f>
        <v/>
      </c>
      <c r="G603" s="27" t="str">
        <f>IF('Pegar ML'!G594="ARS","PS","PS")</f>
        <v>PS</v>
      </c>
      <c r="H603" s="14">
        <f>IF('Pegar ML'!C598="Paquete de 2 productos",IF('Pegar ML'!H598="",0,'Pegar ML'!H598),IF('Pegar ML'!H599="",0,'Pegar ML'!H599))</f>
        <v>0</v>
      </c>
      <c r="I603" s="14">
        <f>IF('Pegar ML'!C598="Paquete de 2 productos",IF('Pegar ML'!O598="",0,'Pegar ML'!O598),IF('Pegar ML'!O599="",0,'Pegar ML'!O599))</f>
        <v>0</v>
      </c>
      <c r="J603" s="14">
        <f>IF('Pegar ML'!C598="Paquete de 2 productos",IF('Pegar ML'!O598="",0,'Pegar ML'!O598),IF('Pegar ML'!O599="",0,'Pegar ML'!O599))</f>
        <v>0</v>
      </c>
      <c r="K603" s="14">
        <f t="shared" si="29"/>
        <v>0</v>
      </c>
      <c r="L603" s="27">
        <f>IF('Pegar ML'!AB599=" ",'Pegar ML'!AB598,'Pegar ML'!AB599)</f>
        <v>0</v>
      </c>
      <c r="M603" s="27" t="str">
        <f>IF('Pegar ML'!AC599=" ",RIGHT('Pegar ML'!AC598,8),RIGHT('Pegar ML'!AC599,8))</f>
        <v/>
      </c>
      <c r="N603" s="27" t="s">
        <v>80</v>
      </c>
      <c r="O603" s="27">
        <f t="shared" si="27"/>
        <v>0</v>
      </c>
      <c r="P603" s="27" t="s">
        <v>80</v>
      </c>
      <c r="Q603" s="55">
        <f>IF('Pegar ML'!AD599=" ",'Pegar ML'!AD598,'Pegar ML'!AD599)</f>
        <v>0</v>
      </c>
      <c r="R603" s="27" t="s">
        <v>80</v>
      </c>
      <c r="S603" s="27" t="s">
        <v>80</v>
      </c>
      <c r="T603" s="27" t="s">
        <v>80</v>
      </c>
      <c r="U603" s="55">
        <f>IF('Pegar ML'!AI599=" ",'Pegar ML'!AI598,'Pegar ML'!AI599)</f>
        <v>0</v>
      </c>
      <c r="V603" s="55">
        <f>IF('Pegar ML'!AK599=" ",'Pegar ML'!AK598,'Pegar ML'!AK599)</f>
        <v>0</v>
      </c>
      <c r="W603" s="55">
        <f>IF('Pegar ML'!AJ599=" ",'Pegar ML'!AJ598,'Pegar ML'!AJ599)</f>
        <v>0</v>
      </c>
      <c r="X603" s="55">
        <f>IF('Pegar ML'!AL599=" ",'Pegar ML'!AL598,'Pegar ML'!AL599)</f>
        <v>0</v>
      </c>
      <c r="Y603" s="27"/>
      <c r="Z603" s="27"/>
      <c r="AA603" s="27"/>
      <c r="AB603" s="27"/>
      <c r="AC603" s="27"/>
      <c r="AD603" s="27"/>
      <c r="AF603" s="8"/>
      <c r="AG603" s="27"/>
      <c r="AH603" s="14">
        <f>+'Pegar ML'!Y599</f>
        <v>0</v>
      </c>
      <c r="AI603" s="13">
        <f t="shared" si="28"/>
        <v>1</v>
      </c>
      <c r="AJ603" s="7">
        <f>+'Pegar ML'!T599</f>
        <v>0</v>
      </c>
      <c r="AK603" s="27"/>
      <c r="AL603" s="27"/>
      <c r="AM603" s="27"/>
      <c r="AN603" s="27"/>
      <c r="AO603" s="27"/>
      <c r="AP603" s="27"/>
      <c r="AQ603" s="27"/>
      <c r="AR603" s="27"/>
      <c r="AS603" s="27">
        <v>17</v>
      </c>
    </row>
    <row r="604" spans="1:45" ht="15" customHeight="1" x14ac:dyDescent="0.25">
      <c r="A604" s="27">
        <f>IF('Pegar ML'!C599="Paquete de 2 productos",'Pegar ML'!A599,IF('Pegar ML'!C598="Paquete de 2 productos",'Pegar ML'!A598,'Pegar ML'!A600))</f>
        <v>0</v>
      </c>
      <c r="B604" s="27"/>
      <c r="C604" s="30" t="str">
        <f>IF(AjusteFecha!I600=0,"",AjusteFecha!I600)</f>
        <v/>
      </c>
      <c r="D604" s="27"/>
      <c r="E604" s="27"/>
      <c r="F604" s="27" t="str">
        <f>IF('Pegar ML'!C600="","",'Pegar ML'!C600)</f>
        <v/>
      </c>
      <c r="G604" s="27" t="str">
        <f>IF('Pegar ML'!G595="ARS","PS","PS")</f>
        <v>PS</v>
      </c>
      <c r="H604" s="14">
        <f>IF('Pegar ML'!C599="Paquete de 2 productos",IF('Pegar ML'!H599="",0,'Pegar ML'!H599),IF('Pegar ML'!H600="",0,'Pegar ML'!H600))</f>
        <v>0</v>
      </c>
      <c r="I604" s="14">
        <f>IF('Pegar ML'!C599="Paquete de 2 productos",IF('Pegar ML'!O599="",0,'Pegar ML'!O599),IF('Pegar ML'!O600="",0,'Pegar ML'!O600))</f>
        <v>0</v>
      </c>
      <c r="J604" s="14">
        <f>IF('Pegar ML'!C599="Paquete de 2 productos",IF('Pegar ML'!O599="",0,'Pegar ML'!O599),IF('Pegar ML'!O600="",0,'Pegar ML'!O600))</f>
        <v>0</v>
      </c>
      <c r="K604" s="14">
        <f t="shared" si="29"/>
        <v>0</v>
      </c>
      <c r="L604" s="27">
        <f>IF('Pegar ML'!AB600=" ",'Pegar ML'!AB599,'Pegar ML'!AB600)</f>
        <v>0</v>
      </c>
      <c r="M604" s="27" t="str">
        <f>IF('Pegar ML'!AC600=" ",RIGHT('Pegar ML'!AC599,8),RIGHT('Pegar ML'!AC600,8))</f>
        <v/>
      </c>
      <c r="N604" s="27" t="s">
        <v>80</v>
      </c>
      <c r="O604" s="27">
        <f t="shared" si="27"/>
        <v>0</v>
      </c>
      <c r="P604" s="27" t="s">
        <v>80</v>
      </c>
      <c r="Q604" s="55">
        <f>IF('Pegar ML'!AD600=" ",'Pegar ML'!AD599,'Pegar ML'!AD600)</f>
        <v>0</v>
      </c>
      <c r="R604" s="27" t="s">
        <v>80</v>
      </c>
      <c r="S604" s="27" t="s">
        <v>80</v>
      </c>
      <c r="T604" s="27" t="s">
        <v>80</v>
      </c>
      <c r="U604" s="55">
        <f>IF('Pegar ML'!AI600=" ",'Pegar ML'!AI599,'Pegar ML'!AI600)</f>
        <v>0</v>
      </c>
      <c r="V604" s="55">
        <f>IF('Pegar ML'!AK600=" ",'Pegar ML'!AK599,'Pegar ML'!AK600)</f>
        <v>0</v>
      </c>
      <c r="W604" s="55">
        <f>IF('Pegar ML'!AJ600=" ",'Pegar ML'!AJ599,'Pegar ML'!AJ600)</f>
        <v>0</v>
      </c>
      <c r="X604" s="55">
        <f>IF('Pegar ML'!AL600=" ",'Pegar ML'!AL599,'Pegar ML'!AL600)</f>
        <v>0</v>
      </c>
      <c r="Y604" s="27"/>
      <c r="Z604" s="27"/>
      <c r="AA604" s="27"/>
      <c r="AB604" s="27"/>
      <c r="AC604" s="27"/>
      <c r="AD604" s="27"/>
      <c r="AF604" s="8"/>
      <c r="AG604" s="27"/>
      <c r="AH604" s="14">
        <f>+'Pegar ML'!Y600</f>
        <v>0</v>
      </c>
      <c r="AI604" s="13">
        <f t="shared" si="28"/>
        <v>1</v>
      </c>
      <c r="AJ604" s="7">
        <f>+'Pegar ML'!T600</f>
        <v>0</v>
      </c>
      <c r="AK604" s="27"/>
      <c r="AL604" s="27"/>
      <c r="AM604" s="27"/>
      <c r="AN604" s="27"/>
      <c r="AO604" s="27"/>
      <c r="AP604" s="27"/>
      <c r="AQ604" s="27"/>
      <c r="AR604" s="27"/>
      <c r="AS604" s="27">
        <v>17</v>
      </c>
    </row>
    <row r="605" spans="1:45" ht="15" customHeight="1" x14ac:dyDescent="0.25">
      <c r="A605" s="27">
        <f>IF('Pegar ML'!C600="Paquete de 2 productos",'Pegar ML'!A600,IF('Pegar ML'!C599="Paquete de 2 productos",'Pegar ML'!A599,'Pegar ML'!A601))</f>
        <v>0</v>
      </c>
      <c r="B605" s="27"/>
      <c r="C605" s="30" t="str">
        <f>IF(AjusteFecha!I601=0,"",AjusteFecha!I601)</f>
        <v/>
      </c>
      <c r="D605" s="27"/>
      <c r="E605" s="27"/>
      <c r="F605" s="27" t="str">
        <f>IF('Pegar ML'!C601="","",'Pegar ML'!C601)</f>
        <v/>
      </c>
      <c r="G605" s="27" t="str">
        <f>IF('Pegar ML'!G596="ARS","PS","PS")</f>
        <v>PS</v>
      </c>
      <c r="H605" s="14">
        <f>IF('Pegar ML'!C600="Paquete de 2 productos",IF('Pegar ML'!H600="",0,'Pegar ML'!H600),IF('Pegar ML'!H601="",0,'Pegar ML'!H601))</f>
        <v>0</v>
      </c>
      <c r="I605" s="14">
        <f>IF('Pegar ML'!C600="Paquete de 2 productos",IF('Pegar ML'!O600="",0,'Pegar ML'!O600),IF('Pegar ML'!O601="",0,'Pegar ML'!O601))</f>
        <v>0</v>
      </c>
      <c r="J605" s="14">
        <f>IF('Pegar ML'!C600="Paquete de 2 productos",IF('Pegar ML'!O600="",0,'Pegar ML'!O600),IF('Pegar ML'!O601="",0,'Pegar ML'!O601))</f>
        <v>0</v>
      </c>
      <c r="K605" s="14">
        <f t="shared" si="29"/>
        <v>0</v>
      </c>
      <c r="L605" s="27">
        <f>IF('Pegar ML'!AB601=" ",'Pegar ML'!AB600,'Pegar ML'!AB601)</f>
        <v>0</v>
      </c>
      <c r="M605" s="27" t="str">
        <f>IF('Pegar ML'!AC601=" ",RIGHT('Pegar ML'!AC600,8),RIGHT('Pegar ML'!AC601,8))</f>
        <v/>
      </c>
      <c r="N605" s="27" t="s">
        <v>80</v>
      </c>
      <c r="O605" s="27">
        <f t="shared" si="27"/>
        <v>0</v>
      </c>
      <c r="P605" s="27" t="s">
        <v>80</v>
      </c>
      <c r="Q605" s="55">
        <f>IF('Pegar ML'!AD601=" ",'Pegar ML'!AD600,'Pegar ML'!AD601)</f>
        <v>0</v>
      </c>
      <c r="R605" s="27" t="s">
        <v>80</v>
      </c>
      <c r="S605" s="27" t="s">
        <v>80</v>
      </c>
      <c r="T605" s="27" t="s">
        <v>80</v>
      </c>
      <c r="U605" s="55">
        <f>IF('Pegar ML'!AI601=" ",'Pegar ML'!AI600,'Pegar ML'!AI601)</f>
        <v>0</v>
      </c>
      <c r="V605" s="55">
        <f>IF('Pegar ML'!AK601=" ",'Pegar ML'!AK600,'Pegar ML'!AK601)</f>
        <v>0</v>
      </c>
      <c r="W605" s="55">
        <f>IF('Pegar ML'!AJ601=" ",'Pegar ML'!AJ600,'Pegar ML'!AJ601)</f>
        <v>0</v>
      </c>
      <c r="X605" s="55">
        <f>IF('Pegar ML'!AL601=" ",'Pegar ML'!AL600,'Pegar ML'!AL601)</f>
        <v>0</v>
      </c>
      <c r="Y605" s="27"/>
      <c r="Z605" s="27"/>
      <c r="AA605" s="27"/>
      <c r="AB605" s="27"/>
      <c r="AC605" s="27"/>
      <c r="AD605" s="27"/>
      <c r="AF605" s="8"/>
      <c r="AG605" s="27"/>
      <c r="AH605" s="14">
        <f>+'Pegar ML'!Y601</f>
        <v>0</v>
      </c>
      <c r="AI605" s="13">
        <f t="shared" si="28"/>
        <v>1</v>
      </c>
      <c r="AJ605" s="7">
        <f>+'Pegar ML'!T601</f>
        <v>0</v>
      </c>
      <c r="AK605" s="27"/>
      <c r="AL605" s="27"/>
      <c r="AM605" s="27"/>
      <c r="AN605" s="27"/>
      <c r="AO605" s="27"/>
      <c r="AP605" s="27"/>
      <c r="AQ605" s="27"/>
      <c r="AR605" s="27"/>
      <c r="AS605" s="27">
        <v>17</v>
      </c>
    </row>
    <row r="606" spans="1:45" ht="15" customHeight="1" x14ac:dyDescent="0.25">
      <c r="A606" s="27">
        <f>IF('Pegar ML'!C601="Paquete de 2 productos",'Pegar ML'!A601,IF('Pegar ML'!C600="Paquete de 2 productos",'Pegar ML'!A600,'Pegar ML'!A602))</f>
        <v>0</v>
      </c>
      <c r="B606" s="27"/>
      <c r="C606" s="30" t="str">
        <f>IF(AjusteFecha!I602=0,"",AjusteFecha!I602)</f>
        <v/>
      </c>
      <c r="D606" s="27"/>
      <c r="E606" s="27"/>
      <c r="F606" s="27" t="str">
        <f>IF('Pegar ML'!C602="","",'Pegar ML'!C602)</f>
        <v/>
      </c>
      <c r="G606" s="27" t="str">
        <f>IF('Pegar ML'!G597="ARS","PS","PS")</f>
        <v>PS</v>
      </c>
      <c r="H606" s="14">
        <f>IF('Pegar ML'!C601="Paquete de 2 productos",IF('Pegar ML'!H601="",0,'Pegar ML'!H601),IF('Pegar ML'!H602="",0,'Pegar ML'!H602))</f>
        <v>0</v>
      </c>
      <c r="I606" s="14">
        <f>IF('Pegar ML'!C601="Paquete de 2 productos",IF('Pegar ML'!O601="",0,'Pegar ML'!O601),IF('Pegar ML'!O602="",0,'Pegar ML'!O602))</f>
        <v>0</v>
      </c>
      <c r="J606" s="14">
        <f>IF('Pegar ML'!C601="Paquete de 2 productos",IF('Pegar ML'!O601="",0,'Pegar ML'!O601),IF('Pegar ML'!O602="",0,'Pegar ML'!O602))</f>
        <v>0</v>
      </c>
      <c r="K606" s="14">
        <f t="shared" si="29"/>
        <v>0</v>
      </c>
      <c r="L606" s="27">
        <f>IF('Pegar ML'!AB602=" ",'Pegar ML'!AB601,'Pegar ML'!AB602)</f>
        <v>0</v>
      </c>
      <c r="M606" s="27" t="str">
        <f>IF('Pegar ML'!AC602=" ",RIGHT('Pegar ML'!AC601,8),RIGHT('Pegar ML'!AC602,8))</f>
        <v/>
      </c>
      <c r="N606" s="27" t="s">
        <v>80</v>
      </c>
      <c r="O606" s="27">
        <f t="shared" si="27"/>
        <v>0</v>
      </c>
      <c r="P606" s="27" t="s">
        <v>80</v>
      </c>
      <c r="Q606" s="55">
        <f>IF('Pegar ML'!AD602=" ",'Pegar ML'!AD601,'Pegar ML'!AD602)</f>
        <v>0</v>
      </c>
      <c r="R606" s="27" t="s">
        <v>80</v>
      </c>
      <c r="S606" s="27" t="s">
        <v>80</v>
      </c>
      <c r="T606" s="27" t="s">
        <v>80</v>
      </c>
      <c r="U606" s="55">
        <f>IF('Pegar ML'!AI602=" ",'Pegar ML'!AI601,'Pegar ML'!AI602)</f>
        <v>0</v>
      </c>
      <c r="V606" s="55">
        <f>IF('Pegar ML'!AK602=" ",'Pegar ML'!AK601,'Pegar ML'!AK602)</f>
        <v>0</v>
      </c>
      <c r="W606" s="55">
        <f>IF('Pegar ML'!AJ602=" ",'Pegar ML'!AJ601,'Pegar ML'!AJ602)</f>
        <v>0</v>
      </c>
      <c r="X606" s="55">
        <f>IF('Pegar ML'!AL602=" ",'Pegar ML'!AL601,'Pegar ML'!AL602)</f>
        <v>0</v>
      </c>
      <c r="Y606" s="27"/>
      <c r="Z606" s="27"/>
      <c r="AA606" s="27"/>
      <c r="AB606" s="27"/>
      <c r="AC606" s="27"/>
      <c r="AD606" s="27"/>
      <c r="AF606" s="8"/>
      <c r="AG606" s="27"/>
      <c r="AH606" s="14">
        <f>+'Pegar ML'!Y602</f>
        <v>0</v>
      </c>
      <c r="AI606" s="13">
        <f t="shared" si="28"/>
        <v>1</v>
      </c>
      <c r="AJ606" s="7">
        <f>+'Pegar ML'!T602</f>
        <v>0</v>
      </c>
      <c r="AK606" s="27"/>
      <c r="AL606" s="27"/>
      <c r="AM606" s="27"/>
      <c r="AN606" s="27"/>
      <c r="AO606" s="27"/>
      <c r="AP606" s="27"/>
      <c r="AQ606" s="27"/>
      <c r="AR606" s="27"/>
      <c r="AS606" s="27">
        <v>17</v>
      </c>
    </row>
    <row r="607" spans="1:45" ht="15" customHeight="1" x14ac:dyDescent="0.25">
      <c r="A607" s="27">
        <f>IF('Pegar ML'!C602="Paquete de 2 productos",'Pegar ML'!A602,IF('Pegar ML'!C601="Paquete de 2 productos",'Pegar ML'!A601,'Pegar ML'!A603))</f>
        <v>0</v>
      </c>
      <c r="B607" s="27"/>
      <c r="C607" s="30" t="str">
        <f>IF(AjusteFecha!I603=0,"",AjusteFecha!I603)</f>
        <v/>
      </c>
      <c r="D607" s="27"/>
      <c r="E607" s="27"/>
      <c r="F607" s="27" t="str">
        <f>IF('Pegar ML'!C603="","",'Pegar ML'!C603)</f>
        <v/>
      </c>
      <c r="G607" s="27" t="str">
        <f>IF('Pegar ML'!G598="ARS","PS","PS")</f>
        <v>PS</v>
      </c>
      <c r="H607" s="14">
        <f>IF('Pegar ML'!C602="Paquete de 2 productos",IF('Pegar ML'!H602="",0,'Pegar ML'!H602),IF('Pegar ML'!H603="",0,'Pegar ML'!H603))</f>
        <v>0</v>
      </c>
      <c r="I607" s="14">
        <f>IF('Pegar ML'!C602="Paquete de 2 productos",IF('Pegar ML'!O602="",0,'Pegar ML'!O602),IF('Pegar ML'!O603="",0,'Pegar ML'!O603))</f>
        <v>0</v>
      </c>
      <c r="J607" s="14">
        <f>IF('Pegar ML'!C602="Paquete de 2 productos",IF('Pegar ML'!O602="",0,'Pegar ML'!O602),IF('Pegar ML'!O603="",0,'Pegar ML'!O603))</f>
        <v>0</v>
      </c>
      <c r="K607" s="14">
        <f t="shared" si="29"/>
        <v>0</v>
      </c>
      <c r="L607" s="27">
        <f>IF('Pegar ML'!AB603=" ",'Pegar ML'!AB602,'Pegar ML'!AB603)</f>
        <v>0</v>
      </c>
      <c r="M607" s="27" t="str">
        <f>IF('Pegar ML'!AC603=" ",RIGHT('Pegar ML'!AC602,8),RIGHT('Pegar ML'!AC603,8))</f>
        <v/>
      </c>
      <c r="N607" s="27" t="s">
        <v>80</v>
      </c>
      <c r="O607" s="27">
        <f t="shared" si="27"/>
        <v>0</v>
      </c>
      <c r="P607" s="27" t="s">
        <v>80</v>
      </c>
      <c r="Q607" s="55">
        <f>IF('Pegar ML'!AD603=" ",'Pegar ML'!AD602,'Pegar ML'!AD603)</f>
        <v>0</v>
      </c>
      <c r="R607" s="27" t="s">
        <v>80</v>
      </c>
      <c r="S607" s="27" t="s">
        <v>80</v>
      </c>
      <c r="T607" s="27" t="s">
        <v>80</v>
      </c>
      <c r="U607" s="55">
        <f>IF('Pegar ML'!AI603=" ",'Pegar ML'!AI602,'Pegar ML'!AI603)</f>
        <v>0</v>
      </c>
      <c r="V607" s="55">
        <f>IF('Pegar ML'!AK603=" ",'Pegar ML'!AK602,'Pegar ML'!AK603)</f>
        <v>0</v>
      </c>
      <c r="W607" s="55">
        <f>IF('Pegar ML'!AJ603=" ",'Pegar ML'!AJ602,'Pegar ML'!AJ603)</f>
        <v>0</v>
      </c>
      <c r="X607" s="55">
        <f>IF('Pegar ML'!AL603=" ",'Pegar ML'!AL602,'Pegar ML'!AL603)</f>
        <v>0</v>
      </c>
      <c r="Y607" s="27"/>
      <c r="Z607" s="27"/>
      <c r="AA607" s="27"/>
      <c r="AB607" s="27"/>
      <c r="AC607" s="27"/>
      <c r="AD607" s="27"/>
      <c r="AF607" s="8"/>
      <c r="AG607" s="27"/>
      <c r="AH607" s="14">
        <f>+'Pegar ML'!Y603</f>
        <v>0</v>
      </c>
      <c r="AI607" s="13">
        <f t="shared" si="28"/>
        <v>1</v>
      </c>
      <c r="AJ607" s="7">
        <f>+'Pegar ML'!T603</f>
        <v>0</v>
      </c>
      <c r="AK607" s="27"/>
      <c r="AL607" s="27"/>
      <c r="AM607" s="27"/>
      <c r="AN607" s="27"/>
      <c r="AO607" s="27"/>
      <c r="AP607" s="27"/>
      <c r="AQ607" s="27"/>
      <c r="AR607" s="27"/>
      <c r="AS607" s="27">
        <v>17</v>
      </c>
    </row>
    <row r="608" spans="1:45" ht="15" customHeight="1" x14ac:dyDescent="0.25">
      <c r="A608" s="27">
        <f>IF('Pegar ML'!C603="Paquete de 2 productos",'Pegar ML'!A603,IF('Pegar ML'!C602="Paquete de 2 productos",'Pegar ML'!A602,'Pegar ML'!A604))</f>
        <v>0</v>
      </c>
      <c r="B608" s="27"/>
      <c r="C608" s="30" t="str">
        <f>IF(AjusteFecha!I604=0,"",AjusteFecha!I604)</f>
        <v/>
      </c>
      <c r="D608" s="27"/>
      <c r="E608" s="27"/>
      <c r="F608" s="27" t="str">
        <f>IF('Pegar ML'!C604="","",'Pegar ML'!C604)</f>
        <v/>
      </c>
      <c r="G608" s="27" t="str">
        <f>IF('Pegar ML'!G599="ARS","PS","PS")</f>
        <v>PS</v>
      </c>
      <c r="H608" s="14">
        <f>IF('Pegar ML'!C603="Paquete de 2 productos",IF('Pegar ML'!H603="",0,'Pegar ML'!H603),IF('Pegar ML'!H604="",0,'Pegar ML'!H604))</f>
        <v>0</v>
      </c>
      <c r="I608" s="14">
        <f>IF('Pegar ML'!C603="Paquete de 2 productos",IF('Pegar ML'!O603="",0,'Pegar ML'!O603),IF('Pegar ML'!O604="",0,'Pegar ML'!O604))</f>
        <v>0</v>
      </c>
      <c r="J608" s="14">
        <f>IF('Pegar ML'!C603="Paquete de 2 productos",IF('Pegar ML'!O603="",0,'Pegar ML'!O603),IF('Pegar ML'!O604="",0,'Pegar ML'!O604))</f>
        <v>0</v>
      </c>
      <c r="K608" s="14">
        <f t="shared" si="29"/>
        <v>0</v>
      </c>
      <c r="L608" s="27">
        <f>IF('Pegar ML'!AB604=" ",'Pegar ML'!AB603,'Pegar ML'!AB604)</f>
        <v>0</v>
      </c>
      <c r="M608" s="27" t="str">
        <f>IF('Pegar ML'!AC604=" ",RIGHT('Pegar ML'!AC603,8),RIGHT('Pegar ML'!AC604,8))</f>
        <v/>
      </c>
      <c r="N608" s="27" t="s">
        <v>80</v>
      </c>
      <c r="O608" s="27">
        <f t="shared" si="27"/>
        <v>0</v>
      </c>
      <c r="P608" s="27" t="s">
        <v>80</v>
      </c>
      <c r="Q608" s="55">
        <f>IF('Pegar ML'!AD604=" ",'Pegar ML'!AD603,'Pegar ML'!AD604)</f>
        <v>0</v>
      </c>
      <c r="R608" s="27" t="s">
        <v>80</v>
      </c>
      <c r="S608" s="27" t="s">
        <v>80</v>
      </c>
      <c r="T608" s="27" t="s">
        <v>80</v>
      </c>
      <c r="U608" s="55">
        <f>IF('Pegar ML'!AI604=" ",'Pegar ML'!AI603,'Pegar ML'!AI604)</f>
        <v>0</v>
      </c>
      <c r="V608" s="55">
        <f>IF('Pegar ML'!AK604=" ",'Pegar ML'!AK603,'Pegar ML'!AK604)</f>
        <v>0</v>
      </c>
      <c r="W608" s="55">
        <f>IF('Pegar ML'!AJ604=" ",'Pegar ML'!AJ603,'Pegar ML'!AJ604)</f>
        <v>0</v>
      </c>
      <c r="X608" s="55">
        <f>IF('Pegar ML'!AL604=" ",'Pegar ML'!AL603,'Pegar ML'!AL604)</f>
        <v>0</v>
      </c>
      <c r="Y608" s="27"/>
      <c r="Z608" s="27"/>
      <c r="AA608" s="27"/>
      <c r="AB608" s="27"/>
      <c r="AC608" s="27"/>
      <c r="AD608" s="27"/>
      <c r="AF608" s="8"/>
      <c r="AG608" s="27"/>
      <c r="AH608" s="14">
        <f>+'Pegar ML'!Y604</f>
        <v>0</v>
      </c>
      <c r="AI608" s="13">
        <f t="shared" si="28"/>
        <v>1</v>
      </c>
      <c r="AJ608" s="7">
        <f>+'Pegar ML'!T604</f>
        <v>0</v>
      </c>
      <c r="AK608" s="27"/>
      <c r="AL608" s="27"/>
      <c r="AM608" s="27"/>
      <c r="AN608" s="27"/>
      <c r="AO608" s="27"/>
      <c r="AP608" s="27"/>
      <c r="AQ608" s="27"/>
      <c r="AR608" s="27"/>
      <c r="AS608" s="27">
        <v>17</v>
      </c>
    </row>
    <row r="609" spans="1:45" ht="15" customHeight="1" x14ac:dyDescent="0.25">
      <c r="A609" s="27">
        <f>IF('Pegar ML'!C604="Paquete de 2 productos",'Pegar ML'!A604,IF('Pegar ML'!C603="Paquete de 2 productos",'Pegar ML'!A603,'Pegar ML'!A605))</f>
        <v>0</v>
      </c>
      <c r="B609" s="27"/>
      <c r="C609" s="30" t="str">
        <f>IF(AjusteFecha!I605=0,"",AjusteFecha!I605)</f>
        <v/>
      </c>
      <c r="D609" s="27"/>
      <c r="E609" s="27"/>
      <c r="F609" s="27" t="str">
        <f>IF('Pegar ML'!C605="","",'Pegar ML'!C605)</f>
        <v/>
      </c>
      <c r="G609" s="27" t="str">
        <f>IF('Pegar ML'!G600="ARS","PS","PS")</f>
        <v>PS</v>
      </c>
      <c r="H609" s="14">
        <f>IF('Pegar ML'!C604="Paquete de 2 productos",IF('Pegar ML'!H604="",0,'Pegar ML'!H604),IF('Pegar ML'!H605="",0,'Pegar ML'!H605))</f>
        <v>0</v>
      </c>
      <c r="I609" s="14">
        <f>IF('Pegar ML'!C604="Paquete de 2 productos",IF('Pegar ML'!O604="",0,'Pegar ML'!O604),IF('Pegar ML'!O605="",0,'Pegar ML'!O605))</f>
        <v>0</v>
      </c>
      <c r="J609" s="14">
        <f>IF('Pegar ML'!C604="Paquete de 2 productos",IF('Pegar ML'!O604="",0,'Pegar ML'!O604),IF('Pegar ML'!O605="",0,'Pegar ML'!O605))</f>
        <v>0</v>
      </c>
      <c r="K609" s="14">
        <f t="shared" si="29"/>
        <v>0</v>
      </c>
      <c r="L609" s="27">
        <f>IF('Pegar ML'!AB605=" ",'Pegar ML'!AB604,'Pegar ML'!AB605)</f>
        <v>0</v>
      </c>
      <c r="M609" s="27" t="str">
        <f>IF('Pegar ML'!AC605=" ",RIGHT('Pegar ML'!AC604,8),RIGHT('Pegar ML'!AC605,8))</f>
        <v/>
      </c>
      <c r="N609" s="27" t="s">
        <v>80</v>
      </c>
      <c r="O609" s="27">
        <f t="shared" si="27"/>
        <v>0</v>
      </c>
      <c r="P609" s="27" t="s">
        <v>80</v>
      </c>
      <c r="Q609" s="55">
        <f>IF('Pegar ML'!AD605=" ",'Pegar ML'!AD604,'Pegar ML'!AD605)</f>
        <v>0</v>
      </c>
      <c r="R609" s="27" t="s">
        <v>80</v>
      </c>
      <c r="S609" s="27" t="s">
        <v>80</v>
      </c>
      <c r="T609" s="27" t="s">
        <v>80</v>
      </c>
      <c r="U609" s="55">
        <f>IF('Pegar ML'!AI605=" ",'Pegar ML'!AI604,'Pegar ML'!AI605)</f>
        <v>0</v>
      </c>
      <c r="V609" s="55">
        <f>IF('Pegar ML'!AK605=" ",'Pegar ML'!AK604,'Pegar ML'!AK605)</f>
        <v>0</v>
      </c>
      <c r="W609" s="55">
        <f>IF('Pegar ML'!AJ605=" ",'Pegar ML'!AJ604,'Pegar ML'!AJ605)</f>
        <v>0</v>
      </c>
      <c r="X609" s="55">
        <f>IF('Pegar ML'!AL605=" ",'Pegar ML'!AL604,'Pegar ML'!AL605)</f>
        <v>0</v>
      </c>
      <c r="Y609" s="27"/>
      <c r="Z609" s="27"/>
      <c r="AA609" s="27"/>
      <c r="AB609" s="27"/>
      <c r="AC609" s="27"/>
      <c r="AD609" s="27"/>
      <c r="AF609" s="8"/>
      <c r="AG609" s="27"/>
      <c r="AH609" s="14">
        <f>+'Pegar ML'!Y605</f>
        <v>0</v>
      </c>
      <c r="AI609" s="13">
        <f t="shared" si="28"/>
        <v>1</v>
      </c>
      <c r="AJ609" s="7">
        <f>+'Pegar ML'!T605</f>
        <v>0</v>
      </c>
      <c r="AK609" s="27"/>
      <c r="AL609" s="27"/>
      <c r="AM609" s="27"/>
      <c r="AN609" s="27"/>
      <c r="AO609" s="27"/>
      <c r="AP609" s="27"/>
      <c r="AQ609" s="27"/>
      <c r="AR609" s="27"/>
      <c r="AS609" s="27">
        <v>17</v>
      </c>
    </row>
    <row r="610" spans="1:45" ht="15" customHeight="1" x14ac:dyDescent="0.25">
      <c r="A610" s="27">
        <f>IF('Pegar ML'!C605="Paquete de 2 productos",'Pegar ML'!A605,IF('Pegar ML'!C604="Paquete de 2 productos",'Pegar ML'!A604,'Pegar ML'!A606))</f>
        <v>0</v>
      </c>
      <c r="B610" s="27"/>
      <c r="C610" s="30" t="str">
        <f>IF(AjusteFecha!I606=0,"",AjusteFecha!I606)</f>
        <v/>
      </c>
      <c r="D610" s="27"/>
      <c r="E610" s="27"/>
      <c r="F610" s="27" t="str">
        <f>IF('Pegar ML'!C606="","",'Pegar ML'!C606)</f>
        <v/>
      </c>
      <c r="G610" s="27" t="str">
        <f>IF('Pegar ML'!G601="ARS","PS","PS")</f>
        <v>PS</v>
      </c>
      <c r="H610" s="14">
        <f>IF('Pegar ML'!C605="Paquete de 2 productos",IF('Pegar ML'!H605="",0,'Pegar ML'!H605),IF('Pegar ML'!H606="",0,'Pegar ML'!H606))</f>
        <v>0</v>
      </c>
      <c r="I610" s="14">
        <f>IF('Pegar ML'!C605="Paquete de 2 productos",IF('Pegar ML'!O605="",0,'Pegar ML'!O605),IF('Pegar ML'!O606="",0,'Pegar ML'!O606))</f>
        <v>0</v>
      </c>
      <c r="J610" s="14">
        <f>IF('Pegar ML'!C605="Paquete de 2 productos",IF('Pegar ML'!O605="",0,'Pegar ML'!O605),IF('Pegar ML'!O606="",0,'Pegar ML'!O606))</f>
        <v>0</v>
      </c>
      <c r="K610" s="14">
        <f t="shared" si="29"/>
        <v>0</v>
      </c>
      <c r="L610" s="27">
        <f>IF('Pegar ML'!AB606=" ",'Pegar ML'!AB605,'Pegar ML'!AB606)</f>
        <v>0</v>
      </c>
      <c r="M610" s="27" t="str">
        <f>IF('Pegar ML'!AC606=" ",RIGHT('Pegar ML'!AC605,8),RIGHT('Pegar ML'!AC606,8))</f>
        <v/>
      </c>
      <c r="N610" s="27" t="s">
        <v>80</v>
      </c>
      <c r="O610" s="27">
        <f t="shared" si="27"/>
        <v>0</v>
      </c>
      <c r="P610" s="27" t="s">
        <v>80</v>
      </c>
      <c r="Q610" s="55">
        <f>IF('Pegar ML'!AD606=" ",'Pegar ML'!AD605,'Pegar ML'!AD606)</f>
        <v>0</v>
      </c>
      <c r="R610" s="27" t="s">
        <v>80</v>
      </c>
      <c r="S610" s="27" t="s">
        <v>80</v>
      </c>
      <c r="T610" s="27" t="s">
        <v>80</v>
      </c>
      <c r="U610" s="55">
        <f>IF('Pegar ML'!AI606=" ",'Pegar ML'!AI605,'Pegar ML'!AI606)</f>
        <v>0</v>
      </c>
      <c r="V610" s="55">
        <f>IF('Pegar ML'!AK606=" ",'Pegar ML'!AK605,'Pegar ML'!AK606)</f>
        <v>0</v>
      </c>
      <c r="W610" s="55">
        <f>IF('Pegar ML'!AJ606=" ",'Pegar ML'!AJ605,'Pegar ML'!AJ606)</f>
        <v>0</v>
      </c>
      <c r="X610" s="55">
        <f>IF('Pegar ML'!AL606=" ",'Pegar ML'!AL605,'Pegar ML'!AL606)</f>
        <v>0</v>
      </c>
      <c r="Y610" s="27"/>
      <c r="Z610" s="27"/>
      <c r="AA610" s="27"/>
      <c r="AB610" s="27"/>
      <c r="AC610" s="27"/>
      <c r="AD610" s="27"/>
      <c r="AF610" s="8"/>
      <c r="AG610" s="27"/>
      <c r="AH610" s="14">
        <f>+'Pegar ML'!Y606</f>
        <v>0</v>
      </c>
      <c r="AI610" s="13">
        <f t="shared" si="28"/>
        <v>1</v>
      </c>
      <c r="AJ610" s="7">
        <f>+'Pegar ML'!T606</f>
        <v>0</v>
      </c>
      <c r="AK610" s="27"/>
      <c r="AL610" s="27"/>
      <c r="AM610" s="27"/>
      <c r="AN610" s="27"/>
      <c r="AO610" s="27"/>
      <c r="AP610" s="27"/>
      <c r="AQ610" s="27"/>
      <c r="AR610" s="27"/>
      <c r="AS610" s="27">
        <v>17</v>
      </c>
    </row>
    <row r="611" spans="1:45" ht="15" customHeight="1" x14ac:dyDescent="0.25">
      <c r="A611" s="27">
        <f>IF('Pegar ML'!C606="Paquete de 2 productos",'Pegar ML'!A606,IF('Pegar ML'!C605="Paquete de 2 productos",'Pegar ML'!A605,'Pegar ML'!A607))</f>
        <v>0</v>
      </c>
      <c r="B611" s="27"/>
      <c r="C611" s="30" t="str">
        <f>IF(AjusteFecha!I607=0,"",AjusteFecha!I607)</f>
        <v/>
      </c>
      <c r="D611" s="27"/>
      <c r="E611" s="27"/>
      <c r="F611" s="27" t="str">
        <f>IF('Pegar ML'!C607="","",'Pegar ML'!C607)</f>
        <v/>
      </c>
      <c r="G611" s="27" t="str">
        <f>IF('Pegar ML'!G602="ARS","PS","PS")</f>
        <v>PS</v>
      </c>
      <c r="H611" s="14">
        <f>IF('Pegar ML'!C606="Paquete de 2 productos",IF('Pegar ML'!H606="",0,'Pegar ML'!H606),IF('Pegar ML'!H607="",0,'Pegar ML'!H607))</f>
        <v>0</v>
      </c>
      <c r="I611" s="14">
        <f>IF('Pegar ML'!C606="Paquete de 2 productos",IF('Pegar ML'!O606="",0,'Pegar ML'!O606),IF('Pegar ML'!O607="",0,'Pegar ML'!O607))</f>
        <v>0</v>
      </c>
      <c r="J611" s="14">
        <f>IF('Pegar ML'!C606="Paquete de 2 productos",IF('Pegar ML'!O606="",0,'Pegar ML'!O606),IF('Pegar ML'!O607="",0,'Pegar ML'!O607))</f>
        <v>0</v>
      </c>
      <c r="K611" s="14">
        <f t="shared" si="29"/>
        <v>0</v>
      </c>
      <c r="L611" s="27">
        <f>IF('Pegar ML'!AB607=" ",'Pegar ML'!AB606,'Pegar ML'!AB607)</f>
        <v>0</v>
      </c>
      <c r="M611" s="27" t="str">
        <f>IF('Pegar ML'!AC607=" ",RIGHT('Pegar ML'!AC606,8),RIGHT('Pegar ML'!AC607,8))</f>
        <v/>
      </c>
      <c r="N611" s="27" t="s">
        <v>80</v>
      </c>
      <c r="O611" s="27">
        <f t="shared" si="27"/>
        <v>0</v>
      </c>
      <c r="P611" s="27" t="s">
        <v>80</v>
      </c>
      <c r="Q611" s="55">
        <f>IF('Pegar ML'!AD607=" ",'Pegar ML'!AD606,'Pegar ML'!AD607)</f>
        <v>0</v>
      </c>
      <c r="R611" s="27" t="s">
        <v>80</v>
      </c>
      <c r="S611" s="27" t="s">
        <v>80</v>
      </c>
      <c r="T611" s="27" t="s">
        <v>80</v>
      </c>
      <c r="U611" s="55">
        <f>IF('Pegar ML'!AI607=" ",'Pegar ML'!AI606,'Pegar ML'!AI607)</f>
        <v>0</v>
      </c>
      <c r="V611" s="55">
        <f>IF('Pegar ML'!AK607=" ",'Pegar ML'!AK606,'Pegar ML'!AK607)</f>
        <v>0</v>
      </c>
      <c r="W611" s="55">
        <f>IF('Pegar ML'!AJ607=" ",'Pegar ML'!AJ606,'Pegar ML'!AJ607)</f>
        <v>0</v>
      </c>
      <c r="X611" s="55">
        <f>IF('Pegar ML'!AL607=" ",'Pegar ML'!AL606,'Pegar ML'!AL607)</f>
        <v>0</v>
      </c>
      <c r="Y611" s="27"/>
      <c r="Z611" s="27"/>
      <c r="AA611" s="27"/>
      <c r="AB611" s="27"/>
      <c r="AC611" s="27"/>
      <c r="AD611" s="27"/>
      <c r="AF611" s="8"/>
      <c r="AG611" s="27"/>
      <c r="AH611" s="14">
        <f>+'Pegar ML'!Y607</f>
        <v>0</v>
      </c>
      <c r="AI611" s="13">
        <f t="shared" si="28"/>
        <v>1</v>
      </c>
      <c r="AJ611" s="7">
        <f>+'Pegar ML'!T607</f>
        <v>0</v>
      </c>
      <c r="AK611" s="27"/>
      <c r="AL611" s="27"/>
      <c r="AM611" s="27"/>
      <c r="AN611" s="27"/>
      <c r="AO611" s="27"/>
      <c r="AP611" s="27"/>
      <c r="AQ611" s="27"/>
      <c r="AR611" s="27"/>
      <c r="AS611" s="27">
        <v>17</v>
      </c>
    </row>
    <row r="612" spans="1:45" ht="15" customHeight="1" x14ac:dyDescent="0.25">
      <c r="A612" s="27">
        <f>IF('Pegar ML'!C607="Paquete de 2 productos",'Pegar ML'!A607,IF('Pegar ML'!C606="Paquete de 2 productos",'Pegar ML'!A606,'Pegar ML'!A608))</f>
        <v>0</v>
      </c>
      <c r="B612" s="27"/>
      <c r="C612" s="30" t="str">
        <f>IF(AjusteFecha!I608=0,"",AjusteFecha!I608)</f>
        <v/>
      </c>
      <c r="D612" s="27"/>
      <c r="E612" s="27"/>
      <c r="F612" s="27" t="str">
        <f>IF('Pegar ML'!C608="","",'Pegar ML'!C608)</f>
        <v/>
      </c>
      <c r="G612" s="27" t="str">
        <f>IF('Pegar ML'!G603="ARS","PS","PS")</f>
        <v>PS</v>
      </c>
      <c r="H612" s="14">
        <f>IF('Pegar ML'!C607="Paquete de 2 productos",IF('Pegar ML'!H607="",0,'Pegar ML'!H607),IF('Pegar ML'!H608="",0,'Pegar ML'!H608))</f>
        <v>0</v>
      </c>
      <c r="I612" s="14">
        <f>IF('Pegar ML'!C607="Paquete de 2 productos",IF('Pegar ML'!O607="",0,'Pegar ML'!O607),IF('Pegar ML'!O608="",0,'Pegar ML'!O608))</f>
        <v>0</v>
      </c>
      <c r="J612" s="14">
        <f>IF('Pegar ML'!C607="Paquete de 2 productos",IF('Pegar ML'!O607="",0,'Pegar ML'!O607),IF('Pegar ML'!O608="",0,'Pegar ML'!O608))</f>
        <v>0</v>
      </c>
      <c r="K612" s="14">
        <f t="shared" si="29"/>
        <v>0</v>
      </c>
      <c r="L612" s="27">
        <f>IF('Pegar ML'!AB608=" ",'Pegar ML'!AB607,'Pegar ML'!AB608)</f>
        <v>0</v>
      </c>
      <c r="M612" s="27" t="str">
        <f>IF('Pegar ML'!AC608=" ",RIGHT('Pegar ML'!AC607,8),RIGHT('Pegar ML'!AC608,8))</f>
        <v/>
      </c>
      <c r="N612" s="27" t="s">
        <v>80</v>
      </c>
      <c r="O612" s="27">
        <f t="shared" si="27"/>
        <v>0</v>
      </c>
      <c r="P612" s="27" t="s">
        <v>80</v>
      </c>
      <c r="Q612" s="55">
        <f>IF('Pegar ML'!AD608=" ",'Pegar ML'!AD607,'Pegar ML'!AD608)</f>
        <v>0</v>
      </c>
      <c r="R612" s="27" t="s">
        <v>80</v>
      </c>
      <c r="S612" s="27" t="s">
        <v>80</v>
      </c>
      <c r="T612" s="27" t="s">
        <v>80</v>
      </c>
      <c r="U612" s="55">
        <f>IF('Pegar ML'!AI608=" ",'Pegar ML'!AI607,'Pegar ML'!AI608)</f>
        <v>0</v>
      </c>
      <c r="V612" s="55">
        <f>IF('Pegar ML'!AK608=" ",'Pegar ML'!AK607,'Pegar ML'!AK608)</f>
        <v>0</v>
      </c>
      <c r="W612" s="55">
        <f>IF('Pegar ML'!AJ608=" ",'Pegar ML'!AJ607,'Pegar ML'!AJ608)</f>
        <v>0</v>
      </c>
      <c r="X612" s="55">
        <f>IF('Pegar ML'!AL608=" ",'Pegar ML'!AL607,'Pegar ML'!AL608)</f>
        <v>0</v>
      </c>
      <c r="Y612" s="27"/>
      <c r="Z612" s="27"/>
      <c r="AA612" s="27"/>
      <c r="AB612" s="27"/>
      <c r="AC612" s="27"/>
      <c r="AD612" s="27"/>
      <c r="AF612" s="8"/>
      <c r="AG612" s="27"/>
      <c r="AH612" s="14">
        <f>+'Pegar ML'!Y608</f>
        <v>0</v>
      </c>
      <c r="AI612" s="13">
        <f t="shared" si="28"/>
        <v>1</v>
      </c>
      <c r="AJ612" s="7">
        <f>+'Pegar ML'!T608</f>
        <v>0</v>
      </c>
      <c r="AK612" s="27"/>
      <c r="AL612" s="27"/>
      <c r="AM612" s="27"/>
      <c r="AN612" s="27"/>
      <c r="AO612" s="27"/>
      <c r="AP612" s="27"/>
      <c r="AQ612" s="27"/>
      <c r="AR612" s="27"/>
      <c r="AS612" s="27">
        <v>17</v>
      </c>
    </row>
    <row r="613" spans="1:45" ht="15" customHeight="1" x14ac:dyDescent="0.25">
      <c r="A613" s="27">
        <f>IF('Pegar ML'!C608="Paquete de 2 productos",'Pegar ML'!A608,IF('Pegar ML'!C607="Paquete de 2 productos",'Pegar ML'!A607,'Pegar ML'!A609))</f>
        <v>0</v>
      </c>
      <c r="B613" s="27"/>
      <c r="C613" s="30" t="str">
        <f>IF(AjusteFecha!I609=0,"",AjusteFecha!I609)</f>
        <v/>
      </c>
      <c r="D613" s="27"/>
      <c r="E613" s="27"/>
      <c r="F613" s="27" t="str">
        <f>IF('Pegar ML'!C609="","",'Pegar ML'!C609)</f>
        <v/>
      </c>
      <c r="G613" s="27" t="str">
        <f>IF('Pegar ML'!G604="ARS","PS","PS")</f>
        <v>PS</v>
      </c>
      <c r="H613" s="14">
        <f>IF('Pegar ML'!C608="Paquete de 2 productos",IF('Pegar ML'!H608="",0,'Pegar ML'!H608),IF('Pegar ML'!H609="",0,'Pegar ML'!H609))</f>
        <v>0</v>
      </c>
      <c r="I613" s="14">
        <f>IF('Pegar ML'!C608="Paquete de 2 productos",IF('Pegar ML'!O608="",0,'Pegar ML'!O608),IF('Pegar ML'!O609="",0,'Pegar ML'!O609))</f>
        <v>0</v>
      </c>
      <c r="J613" s="14">
        <f>IF('Pegar ML'!C608="Paquete de 2 productos",IF('Pegar ML'!O608="",0,'Pegar ML'!O608),IF('Pegar ML'!O609="",0,'Pegar ML'!O609))</f>
        <v>0</v>
      </c>
      <c r="K613" s="14">
        <f t="shared" si="29"/>
        <v>0</v>
      </c>
      <c r="L613" s="27">
        <f>IF('Pegar ML'!AB609=" ",'Pegar ML'!AB608,'Pegar ML'!AB609)</f>
        <v>0</v>
      </c>
      <c r="M613" s="27" t="str">
        <f>IF('Pegar ML'!AC609=" ",RIGHT('Pegar ML'!AC608,8),RIGHT('Pegar ML'!AC609,8))</f>
        <v/>
      </c>
      <c r="N613" s="27" t="s">
        <v>80</v>
      </c>
      <c r="O613" s="27">
        <f t="shared" si="27"/>
        <v>0</v>
      </c>
      <c r="P613" s="27" t="s">
        <v>80</v>
      </c>
      <c r="Q613" s="55">
        <f>IF('Pegar ML'!AD609=" ",'Pegar ML'!AD608,'Pegar ML'!AD609)</f>
        <v>0</v>
      </c>
      <c r="R613" s="27" t="s">
        <v>80</v>
      </c>
      <c r="S613" s="27" t="s">
        <v>80</v>
      </c>
      <c r="T613" s="27" t="s">
        <v>80</v>
      </c>
      <c r="U613" s="55">
        <f>IF('Pegar ML'!AI609=" ",'Pegar ML'!AI608,'Pegar ML'!AI609)</f>
        <v>0</v>
      </c>
      <c r="V613" s="55">
        <f>IF('Pegar ML'!AK609=" ",'Pegar ML'!AK608,'Pegar ML'!AK609)</f>
        <v>0</v>
      </c>
      <c r="W613" s="55">
        <f>IF('Pegar ML'!AJ609=" ",'Pegar ML'!AJ608,'Pegar ML'!AJ609)</f>
        <v>0</v>
      </c>
      <c r="X613" s="55">
        <f>IF('Pegar ML'!AL609=" ",'Pegar ML'!AL608,'Pegar ML'!AL609)</f>
        <v>0</v>
      </c>
      <c r="Y613" s="27"/>
      <c r="Z613" s="27"/>
      <c r="AA613" s="27"/>
      <c r="AB613" s="27"/>
      <c r="AC613" s="27"/>
      <c r="AD613" s="27"/>
      <c r="AF613" s="8"/>
      <c r="AG613" s="27"/>
      <c r="AH613" s="14">
        <f>+'Pegar ML'!Y609</f>
        <v>0</v>
      </c>
      <c r="AI613" s="13">
        <f t="shared" si="28"/>
        <v>1</v>
      </c>
      <c r="AJ613" s="7">
        <f>+'Pegar ML'!T609</f>
        <v>0</v>
      </c>
      <c r="AK613" s="27"/>
      <c r="AL613" s="27"/>
      <c r="AM613" s="27"/>
      <c r="AN613" s="27"/>
      <c r="AO613" s="27"/>
      <c r="AP613" s="27"/>
      <c r="AQ613" s="27"/>
      <c r="AR613" s="27"/>
      <c r="AS613" s="27">
        <v>17</v>
      </c>
    </row>
    <row r="614" spans="1:45" ht="15" customHeight="1" x14ac:dyDescent="0.25">
      <c r="A614" s="27">
        <f>IF('Pegar ML'!C609="Paquete de 2 productos",'Pegar ML'!A609,IF('Pegar ML'!C608="Paquete de 2 productos",'Pegar ML'!A608,'Pegar ML'!A610))</f>
        <v>0</v>
      </c>
      <c r="B614" s="27"/>
      <c r="C614" s="30" t="str">
        <f>IF(AjusteFecha!I610=0,"",AjusteFecha!I610)</f>
        <v/>
      </c>
      <c r="D614" s="27"/>
      <c r="E614" s="27"/>
      <c r="F614" s="27" t="str">
        <f>IF('Pegar ML'!C610="","",'Pegar ML'!C610)</f>
        <v/>
      </c>
      <c r="G614" s="27" t="str">
        <f>IF('Pegar ML'!G605="ARS","PS","PS")</f>
        <v>PS</v>
      </c>
      <c r="H614" s="14">
        <f>IF('Pegar ML'!C609="Paquete de 2 productos",IF('Pegar ML'!H609="",0,'Pegar ML'!H609),IF('Pegar ML'!H610="",0,'Pegar ML'!H610))</f>
        <v>0</v>
      </c>
      <c r="I614" s="14">
        <f>IF('Pegar ML'!C609="Paquete de 2 productos",IF('Pegar ML'!O609="",0,'Pegar ML'!O609),IF('Pegar ML'!O610="",0,'Pegar ML'!O610))</f>
        <v>0</v>
      </c>
      <c r="J614" s="14">
        <f>IF('Pegar ML'!C609="Paquete de 2 productos",IF('Pegar ML'!O609="",0,'Pegar ML'!O609),IF('Pegar ML'!O610="",0,'Pegar ML'!O610))</f>
        <v>0</v>
      </c>
      <c r="K614" s="14">
        <f t="shared" si="29"/>
        <v>0</v>
      </c>
      <c r="L614" s="27">
        <f>IF('Pegar ML'!AB610=" ",'Pegar ML'!AB609,'Pegar ML'!AB610)</f>
        <v>0</v>
      </c>
      <c r="M614" s="27" t="str">
        <f>IF('Pegar ML'!AC610=" ",RIGHT('Pegar ML'!AC609,8),RIGHT('Pegar ML'!AC610,8))</f>
        <v/>
      </c>
      <c r="N614" s="27" t="s">
        <v>80</v>
      </c>
      <c r="O614" s="27">
        <f t="shared" si="27"/>
        <v>0</v>
      </c>
      <c r="P614" s="27" t="s">
        <v>80</v>
      </c>
      <c r="Q614" s="55">
        <f>IF('Pegar ML'!AD610=" ",'Pegar ML'!AD609,'Pegar ML'!AD610)</f>
        <v>0</v>
      </c>
      <c r="R614" s="27" t="s">
        <v>80</v>
      </c>
      <c r="S614" s="27" t="s">
        <v>80</v>
      </c>
      <c r="T614" s="27" t="s">
        <v>80</v>
      </c>
      <c r="U614" s="55">
        <f>IF('Pegar ML'!AI610=" ",'Pegar ML'!AI609,'Pegar ML'!AI610)</f>
        <v>0</v>
      </c>
      <c r="V614" s="55">
        <f>IF('Pegar ML'!AK610=" ",'Pegar ML'!AK609,'Pegar ML'!AK610)</f>
        <v>0</v>
      </c>
      <c r="W614" s="55">
        <f>IF('Pegar ML'!AJ610=" ",'Pegar ML'!AJ609,'Pegar ML'!AJ610)</f>
        <v>0</v>
      </c>
      <c r="X614" s="55">
        <f>IF('Pegar ML'!AL610=" ",'Pegar ML'!AL609,'Pegar ML'!AL610)</f>
        <v>0</v>
      </c>
      <c r="Y614" s="27"/>
      <c r="Z614" s="27"/>
      <c r="AA614" s="27"/>
      <c r="AB614" s="27"/>
      <c r="AC614" s="27"/>
      <c r="AD614" s="27"/>
      <c r="AF614" s="8"/>
      <c r="AG614" s="27"/>
      <c r="AH614" s="14">
        <f>+'Pegar ML'!Y610</f>
        <v>0</v>
      </c>
      <c r="AI614" s="13">
        <f t="shared" si="28"/>
        <v>1</v>
      </c>
      <c r="AJ614" s="7">
        <f>+'Pegar ML'!T610</f>
        <v>0</v>
      </c>
      <c r="AK614" s="27"/>
      <c r="AL614" s="27"/>
      <c r="AM614" s="27"/>
      <c r="AN614" s="27"/>
      <c r="AO614" s="27"/>
      <c r="AP614" s="27"/>
      <c r="AQ614" s="27"/>
      <c r="AR614" s="27"/>
      <c r="AS614" s="27">
        <v>17</v>
      </c>
    </row>
    <row r="615" spans="1:45" ht="15" customHeight="1" x14ac:dyDescent="0.25">
      <c r="A615" s="27">
        <f>IF('Pegar ML'!C610="Paquete de 2 productos",'Pegar ML'!A610,IF('Pegar ML'!C609="Paquete de 2 productos",'Pegar ML'!A609,'Pegar ML'!A611))</f>
        <v>0</v>
      </c>
      <c r="B615" s="27"/>
      <c r="C615" s="30" t="str">
        <f>IF(AjusteFecha!I611=0,"",AjusteFecha!I611)</f>
        <v/>
      </c>
      <c r="D615" s="27"/>
      <c r="E615" s="27"/>
      <c r="F615" s="27" t="str">
        <f>IF('Pegar ML'!C611="","",'Pegar ML'!C611)</f>
        <v/>
      </c>
      <c r="G615" s="27" t="str">
        <f>IF('Pegar ML'!G606="ARS","PS","PS")</f>
        <v>PS</v>
      </c>
      <c r="H615" s="14">
        <f>IF('Pegar ML'!C610="Paquete de 2 productos",IF('Pegar ML'!H610="",0,'Pegar ML'!H610),IF('Pegar ML'!H611="",0,'Pegar ML'!H611))</f>
        <v>0</v>
      </c>
      <c r="I615" s="14">
        <f>IF('Pegar ML'!C610="Paquete de 2 productos",IF('Pegar ML'!O610="",0,'Pegar ML'!O610),IF('Pegar ML'!O611="",0,'Pegar ML'!O611))</f>
        <v>0</v>
      </c>
      <c r="J615" s="14">
        <f>IF('Pegar ML'!C610="Paquete de 2 productos",IF('Pegar ML'!O610="",0,'Pegar ML'!O610),IF('Pegar ML'!O611="",0,'Pegar ML'!O611))</f>
        <v>0</v>
      </c>
      <c r="K615" s="14">
        <f t="shared" si="29"/>
        <v>0</v>
      </c>
      <c r="L615" s="27">
        <f>IF('Pegar ML'!AB611=" ",'Pegar ML'!AB610,'Pegar ML'!AB611)</f>
        <v>0</v>
      </c>
      <c r="M615" s="27" t="str">
        <f>IF('Pegar ML'!AC611=" ",RIGHT('Pegar ML'!AC610,8),RIGHT('Pegar ML'!AC611,8))</f>
        <v/>
      </c>
      <c r="N615" s="27" t="s">
        <v>80</v>
      </c>
      <c r="O615" s="27">
        <f t="shared" si="27"/>
        <v>0</v>
      </c>
      <c r="P615" s="27" t="s">
        <v>80</v>
      </c>
      <c r="Q615" s="55">
        <f>IF('Pegar ML'!AD611=" ",'Pegar ML'!AD610,'Pegar ML'!AD611)</f>
        <v>0</v>
      </c>
      <c r="R615" s="27" t="s">
        <v>80</v>
      </c>
      <c r="S615" s="27" t="s">
        <v>80</v>
      </c>
      <c r="T615" s="27" t="s">
        <v>80</v>
      </c>
      <c r="U615" s="55">
        <f>IF('Pegar ML'!AI611=" ",'Pegar ML'!AI610,'Pegar ML'!AI611)</f>
        <v>0</v>
      </c>
      <c r="V615" s="55">
        <f>IF('Pegar ML'!AK611=" ",'Pegar ML'!AK610,'Pegar ML'!AK611)</f>
        <v>0</v>
      </c>
      <c r="W615" s="55">
        <f>IF('Pegar ML'!AJ611=" ",'Pegar ML'!AJ610,'Pegar ML'!AJ611)</f>
        <v>0</v>
      </c>
      <c r="X615" s="55">
        <f>IF('Pegar ML'!AL611=" ",'Pegar ML'!AL610,'Pegar ML'!AL611)</f>
        <v>0</v>
      </c>
      <c r="Y615" s="27"/>
      <c r="Z615" s="27"/>
      <c r="AA615" s="27"/>
      <c r="AB615" s="27"/>
      <c r="AC615" s="27"/>
      <c r="AD615" s="27"/>
      <c r="AF615" s="8"/>
      <c r="AG615" s="27"/>
      <c r="AH615" s="14">
        <f>+'Pegar ML'!Y611</f>
        <v>0</v>
      </c>
      <c r="AI615" s="13">
        <f t="shared" si="28"/>
        <v>1</v>
      </c>
      <c r="AJ615" s="7">
        <f>+'Pegar ML'!T611</f>
        <v>0</v>
      </c>
      <c r="AK615" s="27"/>
      <c r="AL615" s="27"/>
      <c r="AM615" s="27"/>
      <c r="AN615" s="27"/>
      <c r="AO615" s="27"/>
      <c r="AP615" s="27"/>
      <c r="AQ615" s="27"/>
      <c r="AR615" s="27"/>
      <c r="AS615" s="27">
        <v>17</v>
      </c>
    </row>
    <row r="616" spans="1:45" ht="15" customHeight="1" x14ac:dyDescent="0.25">
      <c r="A616" s="27">
        <f>IF('Pegar ML'!C611="Paquete de 2 productos",'Pegar ML'!A611,IF('Pegar ML'!C610="Paquete de 2 productos",'Pegar ML'!A610,'Pegar ML'!A612))</f>
        <v>0</v>
      </c>
      <c r="B616" s="27"/>
      <c r="C616" s="30" t="str">
        <f>IF(AjusteFecha!I612=0,"",AjusteFecha!I612)</f>
        <v/>
      </c>
      <c r="D616" s="27"/>
      <c r="E616" s="27"/>
      <c r="F616" s="27" t="str">
        <f>IF('Pegar ML'!C612="","",'Pegar ML'!C612)</f>
        <v/>
      </c>
      <c r="G616" s="27" t="str">
        <f>IF('Pegar ML'!G607="ARS","PS","PS")</f>
        <v>PS</v>
      </c>
      <c r="H616" s="14">
        <f>IF('Pegar ML'!C611="Paquete de 2 productos",IF('Pegar ML'!H611="",0,'Pegar ML'!H611),IF('Pegar ML'!H612="",0,'Pegar ML'!H612))</f>
        <v>0</v>
      </c>
      <c r="I616" s="14">
        <f>IF('Pegar ML'!C611="Paquete de 2 productos",IF('Pegar ML'!O611="",0,'Pegar ML'!O611),IF('Pegar ML'!O612="",0,'Pegar ML'!O612))</f>
        <v>0</v>
      </c>
      <c r="J616" s="14">
        <f>IF('Pegar ML'!C611="Paquete de 2 productos",IF('Pegar ML'!O611="",0,'Pegar ML'!O611),IF('Pegar ML'!O612="",0,'Pegar ML'!O612))</f>
        <v>0</v>
      </c>
      <c r="K616" s="14">
        <f t="shared" si="29"/>
        <v>0</v>
      </c>
      <c r="L616" s="27">
        <f>IF('Pegar ML'!AB612=" ",'Pegar ML'!AB611,'Pegar ML'!AB612)</f>
        <v>0</v>
      </c>
      <c r="M616" s="27" t="str">
        <f>IF('Pegar ML'!AC612=" ",RIGHT('Pegar ML'!AC611,8),RIGHT('Pegar ML'!AC612,8))</f>
        <v/>
      </c>
      <c r="N616" s="27" t="s">
        <v>80</v>
      </c>
      <c r="O616" s="27">
        <f t="shared" si="27"/>
        <v>0</v>
      </c>
      <c r="P616" s="27" t="s">
        <v>80</v>
      </c>
      <c r="Q616" s="55">
        <f>IF('Pegar ML'!AD612=" ",'Pegar ML'!AD611,'Pegar ML'!AD612)</f>
        <v>0</v>
      </c>
      <c r="R616" s="27" t="s">
        <v>80</v>
      </c>
      <c r="S616" s="27" t="s">
        <v>80</v>
      </c>
      <c r="T616" s="27" t="s">
        <v>80</v>
      </c>
      <c r="U616" s="55">
        <f>IF('Pegar ML'!AI612=" ",'Pegar ML'!AI611,'Pegar ML'!AI612)</f>
        <v>0</v>
      </c>
      <c r="V616" s="55">
        <f>IF('Pegar ML'!AK612=" ",'Pegar ML'!AK611,'Pegar ML'!AK612)</f>
        <v>0</v>
      </c>
      <c r="W616" s="55">
        <f>IF('Pegar ML'!AJ612=" ",'Pegar ML'!AJ611,'Pegar ML'!AJ612)</f>
        <v>0</v>
      </c>
      <c r="X616" s="55">
        <f>IF('Pegar ML'!AL612=" ",'Pegar ML'!AL611,'Pegar ML'!AL612)</f>
        <v>0</v>
      </c>
      <c r="Y616" s="27"/>
      <c r="Z616" s="27"/>
      <c r="AA616" s="27"/>
      <c r="AB616" s="27"/>
      <c r="AC616" s="27"/>
      <c r="AD616" s="27"/>
      <c r="AF616" s="8"/>
      <c r="AG616" s="27"/>
      <c r="AH616" s="14">
        <f>+'Pegar ML'!Y612</f>
        <v>0</v>
      </c>
      <c r="AI616" s="13">
        <f t="shared" si="28"/>
        <v>1</v>
      </c>
      <c r="AJ616" s="7">
        <f>+'Pegar ML'!T612</f>
        <v>0</v>
      </c>
      <c r="AK616" s="27"/>
      <c r="AL616" s="27"/>
      <c r="AM616" s="27"/>
      <c r="AN616" s="27"/>
      <c r="AO616" s="27"/>
      <c r="AP616" s="27"/>
      <c r="AQ616" s="27"/>
      <c r="AR616" s="27"/>
      <c r="AS616" s="27">
        <v>17</v>
      </c>
    </row>
    <row r="617" spans="1:45" ht="15" customHeight="1" x14ac:dyDescent="0.25">
      <c r="A617" s="27">
        <f>IF('Pegar ML'!C612="Paquete de 2 productos",'Pegar ML'!A612,IF('Pegar ML'!C611="Paquete de 2 productos",'Pegar ML'!A611,'Pegar ML'!A613))</f>
        <v>0</v>
      </c>
      <c r="B617" s="27"/>
      <c r="C617" s="30" t="str">
        <f>IF(AjusteFecha!I613=0,"",AjusteFecha!I613)</f>
        <v/>
      </c>
      <c r="D617" s="27"/>
      <c r="E617" s="27"/>
      <c r="F617" s="27" t="str">
        <f>IF('Pegar ML'!C613="","",'Pegar ML'!C613)</f>
        <v/>
      </c>
      <c r="G617" s="27" t="str">
        <f>IF('Pegar ML'!G608="ARS","PS","PS")</f>
        <v>PS</v>
      </c>
      <c r="H617" s="14">
        <f>IF('Pegar ML'!C612="Paquete de 2 productos",IF('Pegar ML'!H612="",0,'Pegar ML'!H612),IF('Pegar ML'!H613="",0,'Pegar ML'!H613))</f>
        <v>0</v>
      </c>
      <c r="I617" s="14">
        <f>IF('Pegar ML'!C612="Paquete de 2 productos",IF('Pegar ML'!O612="",0,'Pegar ML'!O612),IF('Pegar ML'!O613="",0,'Pegar ML'!O613))</f>
        <v>0</v>
      </c>
      <c r="J617" s="14">
        <f>IF('Pegar ML'!C612="Paquete de 2 productos",IF('Pegar ML'!O612="",0,'Pegar ML'!O612),IF('Pegar ML'!O613="",0,'Pegar ML'!O613))</f>
        <v>0</v>
      </c>
      <c r="K617" s="14">
        <f t="shared" si="29"/>
        <v>0</v>
      </c>
      <c r="L617" s="27">
        <f>IF('Pegar ML'!AB613=" ",'Pegar ML'!AB612,'Pegar ML'!AB613)</f>
        <v>0</v>
      </c>
      <c r="M617" s="27" t="str">
        <f>IF('Pegar ML'!AC613=" ",RIGHT('Pegar ML'!AC612,8),RIGHT('Pegar ML'!AC613,8))</f>
        <v/>
      </c>
      <c r="N617" s="27" t="s">
        <v>80</v>
      </c>
      <c r="O617" s="27">
        <f t="shared" si="27"/>
        <v>0</v>
      </c>
      <c r="P617" s="27" t="s">
        <v>80</v>
      </c>
      <c r="Q617" s="55">
        <f>IF('Pegar ML'!AD613=" ",'Pegar ML'!AD612,'Pegar ML'!AD613)</f>
        <v>0</v>
      </c>
      <c r="R617" s="27" t="s">
        <v>80</v>
      </c>
      <c r="S617" s="27" t="s">
        <v>80</v>
      </c>
      <c r="T617" s="27" t="s">
        <v>80</v>
      </c>
      <c r="U617" s="55">
        <f>IF('Pegar ML'!AI613=" ",'Pegar ML'!AI612,'Pegar ML'!AI613)</f>
        <v>0</v>
      </c>
      <c r="V617" s="55">
        <f>IF('Pegar ML'!AK613=" ",'Pegar ML'!AK612,'Pegar ML'!AK613)</f>
        <v>0</v>
      </c>
      <c r="W617" s="55">
        <f>IF('Pegar ML'!AJ613=" ",'Pegar ML'!AJ612,'Pegar ML'!AJ613)</f>
        <v>0</v>
      </c>
      <c r="X617" s="55">
        <f>IF('Pegar ML'!AL613=" ",'Pegar ML'!AL612,'Pegar ML'!AL613)</f>
        <v>0</v>
      </c>
      <c r="Y617" s="27"/>
      <c r="Z617" s="27"/>
      <c r="AA617" s="27"/>
      <c r="AB617" s="27"/>
      <c r="AC617" s="27"/>
      <c r="AD617" s="27"/>
      <c r="AF617" s="8"/>
      <c r="AG617" s="27"/>
      <c r="AH617" s="14">
        <f>+'Pegar ML'!Y613</f>
        <v>0</v>
      </c>
      <c r="AI617" s="13">
        <f t="shared" si="28"/>
        <v>1</v>
      </c>
      <c r="AJ617" s="7">
        <f>+'Pegar ML'!T613</f>
        <v>0</v>
      </c>
      <c r="AK617" s="27"/>
      <c r="AL617" s="27"/>
      <c r="AM617" s="27"/>
      <c r="AN617" s="27"/>
      <c r="AO617" s="27"/>
      <c r="AP617" s="27"/>
      <c r="AQ617" s="27"/>
      <c r="AR617" s="27"/>
      <c r="AS617" s="27">
        <v>17</v>
      </c>
    </row>
    <row r="618" spans="1:45" ht="15" customHeight="1" x14ac:dyDescent="0.25">
      <c r="A618" s="27">
        <f>IF('Pegar ML'!C613="Paquete de 2 productos",'Pegar ML'!A613,IF('Pegar ML'!C612="Paquete de 2 productos",'Pegar ML'!A612,'Pegar ML'!A614))</f>
        <v>0</v>
      </c>
      <c r="B618" s="27"/>
      <c r="C618" s="30" t="str">
        <f>IF(AjusteFecha!I614=0,"",AjusteFecha!I614)</f>
        <v/>
      </c>
      <c r="D618" s="27"/>
      <c r="E618" s="27"/>
      <c r="F618" s="27" t="str">
        <f>IF('Pegar ML'!C614="","",'Pegar ML'!C614)</f>
        <v/>
      </c>
      <c r="G618" s="27" t="str">
        <f>IF('Pegar ML'!G609="ARS","PS","PS")</f>
        <v>PS</v>
      </c>
      <c r="H618" s="14">
        <f>IF('Pegar ML'!C613="Paquete de 2 productos",IF('Pegar ML'!H613="",0,'Pegar ML'!H613),IF('Pegar ML'!H614="",0,'Pegar ML'!H614))</f>
        <v>0</v>
      </c>
      <c r="I618" s="14">
        <f>IF('Pegar ML'!C613="Paquete de 2 productos",IF('Pegar ML'!O613="",0,'Pegar ML'!O613),IF('Pegar ML'!O614="",0,'Pegar ML'!O614))</f>
        <v>0</v>
      </c>
      <c r="J618" s="14">
        <f>IF('Pegar ML'!C613="Paquete de 2 productos",IF('Pegar ML'!O613="",0,'Pegar ML'!O613),IF('Pegar ML'!O614="",0,'Pegar ML'!O614))</f>
        <v>0</v>
      </c>
      <c r="K618" s="14">
        <f t="shared" si="29"/>
        <v>0</v>
      </c>
      <c r="L618" s="27">
        <f>IF('Pegar ML'!AB614=" ",'Pegar ML'!AB613,'Pegar ML'!AB614)</f>
        <v>0</v>
      </c>
      <c r="M618" s="27" t="str">
        <f>IF('Pegar ML'!AC614=" ",RIGHT('Pegar ML'!AC613,8),RIGHT('Pegar ML'!AC614,8))</f>
        <v/>
      </c>
      <c r="N618" s="27" t="s">
        <v>80</v>
      </c>
      <c r="O618" s="27">
        <f t="shared" si="27"/>
        <v>0</v>
      </c>
      <c r="P618" s="27" t="s">
        <v>80</v>
      </c>
      <c r="Q618" s="55">
        <f>IF('Pegar ML'!AD614=" ",'Pegar ML'!AD613,'Pegar ML'!AD614)</f>
        <v>0</v>
      </c>
      <c r="R618" s="27" t="s">
        <v>80</v>
      </c>
      <c r="S618" s="27" t="s">
        <v>80</v>
      </c>
      <c r="T618" s="27" t="s">
        <v>80</v>
      </c>
      <c r="U618" s="55">
        <f>IF('Pegar ML'!AI614=" ",'Pegar ML'!AI613,'Pegar ML'!AI614)</f>
        <v>0</v>
      </c>
      <c r="V618" s="55">
        <f>IF('Pegar ML'!AK614=" ",'Pegar ML'!AK613,'Pegar ML'!AK614)</f>
        <v>0</v>
      </c>
      <c r="W618" s="55">
        <f>IF('Pegar ML'!AJ614=" ",'Pegar ML'!AJ613,'Pegar ML'!AJ614)</f>
        <v>0</v>
      </c>
      <c r="X618" s="55">
        <f>IF('Pegar ML'!AL614=" ",'Pegar ML'!AL613,'Pegar ML'!AL614)</f>
        <v>0</v>
      </c>
      <c r="Y618" s="27"/>
      <c r="Z618" s="27"/>
      <c r="AA618" s="27"/>
      <c r="AB618" s="27"/>
      <c r="AC618" s="27"/>
      <c r="AD618" s="27"/>
      <c r="AF618" s="8"/>
      <c r="AG618" s="27"/>
      <c r="AH618" s="14">
        <f>+'Pegar ML'!Y614</f>
        <v>0</v>
      </c>
      <c r="AI618" s="13">
        <f t="shared" si="28"/>
        <v>1</v>
      </c>
      <c r="AJ618" s="7">
        <f>+'Pegar ML'!T614</f>
        <v>0</v>
      </c>
      <c r="AK618" s="27"/>
      <c r="AL618" s="27"/>
      <c r="AM618" s="27"/>
      <c r="AN618" s="27"/>
      <c r="AO618" s="27"/>
      <c r="AP618" s="27"/>
      <c r="AQ618" s="27"/>
      <c r="AR618" s="27"/>
      <c r="AS618" s="27">
        <v>17</v>
      </c>
    </row>
    <row r="619" spans="1:45" ht="15" customHeight="1" x14ac:dyDescent="0.25">
      <c r="A619" s="27">
        <f>IF('Pegar ML'!C614="Paquete de 2 productos",'Pegar ML'!A614,IF('Pegar ML'!C613="Paquete de 2 productos",'Pegar ML'!A613,'Pegar ML'!A615))</f>
        <v>0</v>
      </c>
      <c r="B619" s="27"/>
      <c r="C619" s="30" t="str">
        <f>IF(AjusteFecha!I615=0,"",AjusteFecha!I615)</f>
        <v/>
      </c>
      <c r="D619" s="27"/>
      <c r="E619" s="27"/>
      <c r="F619" s="27" t="str">
        <f>IF('Pegar ML'!C615="","",'Pegar ML'!C615)</f>
        <v/>
      </c>
      <c r="G619" s="27" t="str">
        <f>IF('Pegar ML'!G610="ARS","PS","PS")</f>
        <v>PS</v>
      </c>
      <c r="H619" s="14">
        <f>IF('Pegar ML'!C614="Paquete de 2 productos",IF('Pegar ML'!H614="",0,'Pegar ML'!H614),IF('Pegar ML'!H615="",0,'Pegar ML'!H615))</f>
        <v>0</v>
      </c>
      <c r="I619" s="14">
        <f>IF('Pegar ML'!C614="Paquete de 2 productos",IF('Pegar ML'!O614="",0,'Pegar ML'!O614),IF('Pegar ML'!O615="",0,'Pegar ML'!O615))</f>
        <v>0</v>
      </c>
      <c r="J619" s="14">
        <f>IF('Pegar ML'!C614="Paquete de 2 productos",IF('Pegar ML'!O614="",0,'Pegar ML'!O614),IF('Pegar ML'!O615="",0,'Pegar ML'!O615))</f>
        <v>0</v>
      </c>
      <c r="K619" s="14">
        <f t="shared" si="29"/>
        <v>0</v>
      </c>
      <c r="L619" s="27">
        <f>IF('Pegar ML'!AB615=" ",'Pegar ML'!AB614,'Pegar ML'!AB615)</f>
        <v>0</v>
      </c>
      <c r="M619" s="27" t="str">
        <f>IF('Pegar ML'!AC615=" ",RIGHT('Pegar ML'!AC614,8),RIGHT('Pegar ML'!AC615,8))</f>
        <v/>
      </c>
      <c r="N619" s="27" t="s">
        <v>80</v>
      </c>
      <c r="O619" s="27">
        <f t="shared" si="27"/>
        <v>0</v>
      </c>
      <c r="P619" s="27" t="s">
        <v>80</v>
      </c>
      <c r="Q619" s="55">
        <f>IF('Pegar ML'!AD615=" ",'Pegar ML'!AD614,'Pegar ML'!AD615)</f>
        <v>0</v>
      </c>
      <c r="R619" s="27" t="s">
        <v>80</v>
      </c>
      <c r="S619" s="27" t="s">
        <v>80</v>
      </c>
      <c r="T619" s="27" t="s">
        <v>80</v>
      </c>
      <c r="U619" s="55">
        <f>IF('Pegar ML'!AI615=" ",'Pegar ML'!AI614,'Pegar ML'!AI615)</f>
        <v>0</v>
      </c>
      <c r="V619" s="55">
        <f>IF('Pegar ML'!AK615=" ",'Pegar ML'!AK614,'Pegar ML'!AK615)</f>
        <v>0</v>
      </c>
      <c r="W619" s="55">
        <f>IF('Pegar ML'!AJ615=" ",'Pegar ML'!AJ614,'Pegar ML'!AJ615)</f>
        <v>0</v>
      </c>
      <c r="X619" s="55">
        <f>IF('Pegar ML'!AL615=" ",'Pegar ML'!AL614,'Pegar ML'!AL615)</f>
        <v>0</v>
      </c>
      <c r="Y619" s="27"/>
      <c r="Z619" s="27"/>
      <c r="AA619" s="27"/>
      <c r="AB619" s="27"/>
      <c r="AC619" s="27"/>
      <c r="AD619" s="27"/>
      <c r="AF619" s="8"/>
      <c r="AG619" s="27"/>
      <c r="AH619" s="14">
        <f>+'Pegar ML'!Y615</f>
        <v>0</v>
      </c>
      <c r="AI619" s="13">
        <f t="shared" si="28"/>
        <v>1</v>
      </c>
      <c r="AJ619" s="7">
        <f>+'Pegar ML'!T615</f>
        <v>0</v>
      </c>
      <c r="AK619" s="27"/>
      <c r="AL619" s="27"/>
      <c r="AM619" s="27"/>
      <c r="AN619" s="27"/>
      <c r="AO619" s="27"/>
      <c r="AP619" s="27"/>
      <c r="AQ619" s="27"/>
      <c r="AR619" s="27"/>
      <c r="AS619" s="27">
        <v>17</v>
      </c>
    </row>
    <row r="620" spans="1:45" ht="15" customHeight="1" x14ac:dyDescent="0.25">
      <c r="A620" s="27">
        <f>IF('Pegar ML'!C615="Paquete de 2 productos",'Pegar ML'!A615,IF('Pegar ML'!C614="Paquete de 2 productos",'Pegar ML'!A614,'Pegar ML'!A616))</f>
        <v>0</v>
      </c>
      <c r="B620" s="27"/>
      <c r="C620" s="30" t="str">
        <f>IF(AjusteFecha!I616=0,"",AjusteFecha!I616)</f>
        <v/>
      </c>
      <c r="D620" s="27"/>
      <c r="E620" s="27"/>
      <c r="F620" s="27" t="str">
        <f>IF('Pegar ML'!C616="","",'Pegar ML'!C616)</f>
        <v/>
      </c>
      <c r="G620" s="27" t="str">
        <f>IF('Pegar ML'!G611="ARS","PS","PS")</f>
        <v>PS</v>
      </c>
      <c r="H620" s="14">
        <f>IF('Pegar ML'!C615="Paquete de 2 productos",IF('Pegar ML'!H615="",0,'Pegar ML'!H615),IF('Pegar ML'!H616="",0,'Pegar ML'!H616))</f>
        <v>0</v>
      </c>
      <c r="I620" s="14">
        <f>IF('Pegar ML'!C615="Paquete de 2 productos",IF('Pegar ML'!O615="",0,'Pegar ML'!O615),IF('Pegar ML'!O616="",0,'Pegar ML'!O616))</f>
        <v>0</v>
      </c>
      <c r="J620" s="14">
        <f>IF('Pegar ML'!C615="Paquete de 2 productos",IF('Pegar ML'!O615="",0,'Pegar ML'!O615),IF('Pegar ML'!O616="",0,'Pegar ML'!O616))</f>
        <v>0</v>
      </c>
      <c r="K620" s="14">
        <f t="shared" si="29"/>
        <v>0</v>
      </c>
      <c r="L620" s="27">
        <f>IF('Pegar ML'!AB616=" ",'Pegar ML'!AB615,'Pegar ML'!AB616)</f>
        <v>0</v>
      </c>
      <c r="M620" s="27" t="str">
        <f>IF('Pegar ML'!AC616=" ",RIGHT('Pegar ML'!AC615,8),RIGHT('Pegar ML'!AC616,8))</f>
        <v/>
      </c>
      <c r="N620" s="27" t="s">
        <v>80</v>
      </c>
      <c r="O620" s="27">
        <f t="shared" si="27"/>
        <v>0</v>
      </c>
      <c r="P620" s="27" t="s">
        <v>80</v>
      </c>
      <c r="Q620" s="55">
        <f>IF('Pegar ML'!AD616=" ",'Pegar ML'!AD615,'Pegar ML'!AD616)</f>
        <v>0</v>
      </c>
      <c r="R620" s="27" t="s">
        <v>80</v>
      </c>
      <c r="S620" s="27" t="s">
        <v>80</v>
      </c>
      <c r="T620" s="27" t="s">
        <v>80</v>
      </c>
      <c r="U620" s="55">
        <f>IF('Pegar ML'!AI616=" ",'Pegar ML'!AI615,'Pegar ML'!AI616)</f>
        <v>0</v>
      </c>
      <c r="V620" s="55">
        <f>IF('Pegar ML'!AK616=" ",'Pegar ML'!AK615,'Pegar ML'!AK616)</f>
        <v>0</v>
      </c>
      <c r="W620" s="55">
        <f>IF('Pegar ML'!AJ616=" ",'Pegar ML'!AJ615,'Pegar ML'!AJ616)</f>
        <v>0</v>
      </c>
      <c r="X620" s="55">
        <f>IF('Pegar ML'!AL616=" ",'Pegar ML'!AL615,'Pegar ML'!AL616)</f>
        <v>0</v>
      </c>
      <c r="Y620" s="27"/>
      <c r="Z620" s="27"/>
      <c r="AA620" s="27"/>
      <c r="AB620" s="27"/>
      <c r="AC620" s="27"/>
      <c r="AD620" s="27"/>
      <c r="AF620" s="8"/>
      <c r="AG620" s="27"/>
      <c r="AH620" s="14">
        <f>+'Pegar ML'!Y616</f>
        <v>0</v>
      </c>
      <c r="AI620" s="13">
        <f t="shared" si="28"/>
        <v>1</v>
      </c>
      <c r="AJ620" s="7">
        <f>+'Pegar ML'!T616</f>
        <v>0</v>
      </c>
      <c r="AK620" s="27"/>
      <c r="AL620" s="27"/>
      <c r="AM620" s="27"/>
      <c r="AN620" s="27"/>
      <c r="AO620" s="27"/>
      <c r="AP620" s="27"/>
      <c r="AQ620" s="27"/>
      <c r="AR620" s="27"/>
      <c r="AS620" s="27">
        <v>17</v>
      </c>
    </row>
    <row r="621" spans="1:45" ht="15" customHeight="1" x14ac:dyDescent="0.25">
      <c r="A621" s="27">
        <f>IF('Pegar ML'!C616="Paquete de 2 productos",'Pegar ML'!A616,IF('Pegar ML'!C615="Paquete de 2 productos",'Pegar ML'!A615,'Pegar ML'!A617))</f>
        <v>0</v>
      </c>
      <c r="B621" s="27"/>
      <c r="C621" s="30" t="str">
        <f>IF(AjusteFecha!I617=0,"",AjusteFecha!I617)</f>
        <v/>
      </c>
      <c r="D621" s="27"/>
      <c r="E621" s="27"/>
      <c r="F621" s="27" t="str">
        <f>IF('Pegar ML'!C617="","",'Pegar ML'!C617)</f>
        <v/>
      </c>
      <c r="G621" s="27" t="str">
        <f>IF('Pegar ML'!G612="ARS","PS","PS")</f>
        <v>PS</v>
      </c>
      <c r="H621" s="14">
        <f>IF('Pegar ML'!C616="Paquete de 2 productos",IF('Pegar ML'!H616="",0,'Pegar ML'!H616),IF('Pegar ML'!H617="",0,'Pegar ML'!H617))</f>
        <v>0</v>
      </c>
      <c r="I621" s="14">
        <f>IF('Pegar ML'!C616="Paquete de 2 productos",IF('Pegar ML'!O616="",0,'Pegar ML'!O616),IF('Pegar ML'!O617="",0,'Pegar ML'!O617))</f>
        <v>0</v>
      </c>
      <c r="J621" s="14">
        <f>IF('Pegar ML'!C616="Paquete de 2 productos",IF('Pegar ML'!O616="",0,'Pegar ML'!O616),IF('Pegar ML'!O617="",0,'Pegar ML'!O617))</f>
        <v>0</v>
      </c>
      <c r="K621" s="14">
        <f t="shared" si="29"/>
        <v>0</v>
      </c>
      <c r="L621" s="27">
        <f>IF('Pegar ML'!AB617=" ",'Pegar ML'!AB616,'Pegar ML'!AB617)</f>
        <v>0</v>
      </c>
      <c r="M621" s="27" t="str">
        <f>IF('Pegar ML'!AC617=" ",RIGHT('Pegar ML'!AC616,8),RIGHT('Pegar ML'!AC617,8))</f>
        <v/>
      </c>
      <c r="N621" s="27" t="s">
        <v>80</v>
      </c>
      <c r="O621" s="27">
        <f t="shared" si="27"/>
        <v>0</v>
      </c>
      <c r="P621" s="27" t="s">
        <v>80</v>
      </c>
      <c r="Q621" s="55">
        <f>IF('Pegar ML'!AD617=" ",'Pegar ML'!AD616,'Pegar ML'!AD617)</f>
        <v>0</v>
      </c>
      <c r="R621" s="27" t="s">
        <v>80</v>
      </c>
      <c r="S621" s="27" t="s">
        <v>80</v>
      </c>
      <c r="T621" s="27" t="s">
        <v>80</v>
      </c>
      <c r="U621" s="55">
        <f>IF('Pegar ML'!AI617=" ",'Pegar ML'!AI616,'Pegar ML'!AI617)</f>
        <v>0</v>
      </c>
      <c r="V621" s="55">
        <f>IF('Pegar ML'!AK617=" ",'Pegar ML'!AK616,'Pegar ML'!AK617)</f>
        <v>0</v>
      </c>
      <c r="W621" s="55">
        <f>IF('Pegar ML'!AJ617=" ",'Pegar ML'!AJ616,'Pegar ML'!AJ617)</f>
        <v>0</v>
      </c>
      <c r="X621" s="55">
        <f>IF('Pegar ML'!AL617=" ",'Pegar ML'!AL616,'Pegar ML'!AL617)</f>
        <v>0</v>
      </c>
      <c r="Y621" s="27"/>
      <c r="Z621" s="27"/>
      <c r="AA621" s="27"/>
      <c r="AB621" s="27"/>
      <c r="AC621" s="27"/>
      <c r="AD621" s="27"/>
      <c r="AF621" s="8"/>
      <c r="AG621" s="27"/>
      <c r="AH621" s="14">
        <f>+'Pegar ML'!Y617</f>
        <v>0</v>
      </c>
      <c r="AI621" s="13">
        <f t="shared" si="28"/>
        <v>1</v>
      </c>
      <c r="AJ621" s="7">
        <f>+'Pegar ML'!T617</f>
        <v>0</v>
      </c>
      <c r="AK621" s="27"/>
      <c r="AL621" s="27"/>
      <c r="AM621" s="27"/>
      <c r="AN621" s="27"/>
      <c r="AO621" s="27"/>
      <c r="AP621" s="27"/>
      <c r="AQ621" s="27"/>
      <c r="AR621" s="27"/>
      <c r="AS621" s="27">
        <v>17</v>
      </c>
    </row>
    <row r="622" spans="1:45" ht="15" customHeight="1" x14ac:dyDescent="0.25">
      <c r="A622" s="27">
        <f>IF('Pegar ML'!C617="Paquete de 2 productos",'Pegar ML'!A617,IF('Pegar ML'!C616="Paquete de 2 productos",'Pegar ML'!A616,'Pegar ML'!A618))</f>
        <v>0</v>
      </c>
      <c r="B622" s="27"/>
      <c r="C622" s="30" t="str">
        <f>IF(AjusteFecha!I618=0,"",AjusteFecha!I618)</f>
        <v/>
      </c>
      <c r="D622" s="27"/>
      <c r="E622" s="27"/>
      <c r="F622" s="27" t="str">
        <f>IF('Pegar ML'!C618="","",'Pegar ML'!C618)</f>
        <v/>
      </c>
      <c r="G622" s="27" t="str">
        <f>IF('Pegar ML'!G613="ARS","PS","PS")</f>
        <v>PS</v>
      </c>
      <c r="H622" s="14">
        <f>IF('Pegar ML'!C617="Paquete de 2 productos",IF('Pegar ML'!H617="",0,'Pegar ML'!H617),IF('Pegar ML'!H618="",0,'Pegar ML'!H618))</f>
        <v>0</v>
      </c>
      <c r="I622" s="14">
        <f>IF('Pegar ML'!C617="Paquete de 2 productos",IF('Pegar ML'!O617="",0,'Pegar ML'!O617),IF('Pegar ML'!O618="",0,'Pegar ML'!O618))</f>
        <v>0</v>
      </c>
      <c r="J622" s="14">
        <f>IF('Pegar ML'!C617="Paquete de 2 productos",IF('Pegar ML'!O617="",0,'Pegar ML'!O617),IF('Pegar ML'!O618="",0,'Pegar ML'!O618))</f>
        <v>0</v>
      </c>
      <c r="K622" s="14">
        <f t="shared" si="29"/>
        <v>0</v>
      </c>
      <c r="L622" s="27">
        <f>IF('Pegar ML'!AB618=" ",'Pegar ML'!AB617,'Pegar ML'!AB618)</f>
        <v>0</v>
      </c>
      <c r="M622" s="27" t="str">
        <f>IF('Pegar ML'!AC618=" ",RIGHT('Pegar ML'!AC617,8),RIGHT('Pegar ML'!AC618,8))</f>
        <v/>
      </c>
      <c r="N622" s="27" t="s">
        <v>80</v>
      </c>
      <c r="O622" s="27">
        <f t="shared" si="27"/>
        <v>0</v>
      </c>
      <c r="P622" s="27" t="s">
        <v>80</v>
      </c>
      <c r="Q622" s="55">
        <f>IF('Pegar ML'!AD618=" ",'Pegar ML'!AD617,'Pegar ML'!AD618)</f>
        <v>0</v>
      </c>
      <c r="R622" s="27" t="s">
        <v>80</v>
      </c>
      <c r="S622" s="27" t="s">
        <v>80</v>
      </c>
      <c r="T622" s="27" t="s">
        <v>80</v>
      </c>
      <c r="U622" s="55">
        <f>IF('Pegar ML'!AI618=" ",'Pegar ML'!AI617,'Pegar ML'!AI618)</f>
        <v>0</v>
      </c>
      <c r="V622" s="55">
        <f>IF('Pegar ML'!AK618=" ",'Pegar ML'!AK617,'Pegar ML'!AK618)</f>
        <v>0</v>
      </c>
      <c r="W622" s="55">
        <f>IF('Pegar ML'!AJ618=" ",'Pegar ML'!AJ617,'Pegar ML'!AJ618)</f>
        <v>0</v>
      </c>
      <c r="X622" s="55">
        <f>IF('Pegar ML'!AL618=" ",'Pegar ML'!AL617,'Pegar ML'!AL618)</f>
        <v>0</v>
      </c>
      <c r="Y622" s="27"/>
      <c r="Z622" s="27"/>
      <c r="AA622" s="27"/>
      <c r="AB622" s="27"/>
      <c r="AC622" s="27"/>
      <c r="AD622" s="27"/>
      <c r="AF622" s="8"/>
      <c r="AG622" s="27"/>
      <c r="AH622" s="14">
        <f>+'Pegar ML'!Y618</f>
        <v>0</v>
      </c>
      <c r="AI622" s="13">
        <f t="shared" si="28"/>
        <v>1</v>
      </c>
      <c r="AJ622" s="7">
        <f>+'Pegar ML'!T618</f>
        <v>0</v>
      </c>
      <c r="AK622" s="27"/>
      <c r="AL622" s="27"/>
      <c r="AM622" s="27"/>
      <c r="AN622" s="27"/>
      <c r="AO622" s="27"/>
      <c r="AP622" s="27"/>
      <c r="AQ622" s="27"/>
      <c r="AR622" s="27"/>
      <c r="AS622" s="27">
        <v>17</v>
      </c>
    </row>
    <row r="623" spans="1:45" ht="15" customHeight="1" x14ac:dyDescent="0.25">
      <c r="A623" s="27">
        <f>IF('Pegar ML'!C618="Paquete de 2 productos",'Pegar ML'!A618,IF('Pegar ML'!C617="Paquete de 2 productos",'Pegar ML'!A617,'Pegar ML'!A619))</f>
        <v>0</v>
      </c>
      <c r="B623" s="27"/>
      <c r="C623" s="30" t="str">
        <f>IF(AjusteFecha!I619=0,"",AjusteFecha!I619)</f>
        <v/>
      </c>
      <c r="D623" s="27"/>
      <c r="E623" s="27"/>
      <c r="F623" s="27" t="str">
        <f>IF('Pegar ML'!C619="","",'Pegar ML'!C619)</f>
        <v/>
      </c>
      <c r="G623" s="27" t="str">
        <f>IF('Pegar ML'!G614="ARS","PS","PS")</f>
        <v>PS</v>
      </c>
      <c r="H623" s="14">
        <f>IF('Pegar ML'!C618="Paquete de 2 productos",IF('Pegar ML'!H618="",0,'Pegar ML'!H618),IF('Pegar ML'!H619="",0,'Pegar ML'!H619))</f>
        <v>0</v>
      </c>
      <c r="I623" s="14">
        <f>IF('Pegar ML'!C618="Paquete de 2 productos",IF('Pegar ML'!O618="",0,'Pegar ML'!O618),IF('Pegar ML'!O619="",0,'Pegar ML'!O619))</f>
        <v>0</v>
      </c>
      <c r="J623" s="14">
        <f>IF('Pegar ML'!C618="Paquete de 2 productos",IF('Pegar ML'!O618="",0,'Pegar ML'!O618),IF('Pegar ML'!O619="",0,'Pegar ML'!O619))</f>
        <v>0</v>
      </c>
      <c r="K623" s="14">
        <f t="shared" si="29"/>
        <v>0</v>
      </c>
      <c r="L623" s="27">
        <f>IF('Pegar ML'!AB619=" ",'Pegar ML'!AB618,'Pegar ML'!AB619)</f>
        <v>0</v>
      </c>
      <c r="M623" s="27" t="str">
        <f>IF('Pegar ML'!AC619=" ",RIGHT('Pegar ML'!AC618,8),RIGHT('Pegar ML'!AC619,8))</f>
        <v/>
      </c>
      <c r="N623" s="27" t="s">
        <v>80</v>
      </c>
      <c r="O623" s="27">
        <f t="shared" si="27"/>
        <v>0</v>
      </c>
      <c r="P623" s="27" t="s">
        <v>80</v>
      </c>
      <c r="Q623" s="55">
        <f>IF('Pegar ML'!AD619=" ",'Pegar ML'!AD618,'Pegar ML'!AD619)</f>
        <v>0</v>
      </c>
      <c r="R623" s="27" t="s">
        <v>80</v>
      </c>
      <c r="S623" s="27" t="s">
        <v>80</v>
      </c>
      <c r="T623" s="27" t="s">
        <v>80</v>
      </c>
      <c r="U623" s="55">
        <f>IF('Pegar ML'!AI619=" ",'Pegar ML'!AI618,'Pegar ML'!AI619)</f>
        <v>0</v>
      </c>
      <c r="V623" s="55">
        <f>IF('Pegar ML'!AK619=" ",'Pegar ML'!AK618,'Pegar ML'!AK619)</f>
        <v>0</v>
      </c>
      <c r="W623" s="55">
        <f>IF('Pegar ML'!AJ619=" ",'Pegar ML'!AJ618,'Pegar ML'!AJ619)</f>
        <v>0</v>
      </c>
      <c r="X623" s="55">
        <f>IF('Pegar ML'!AL619=" ",'Pegar ML'!AL618,'Pegar ML'!AL619)</f>
        <v>0</v>
      </c>
      <c r="Y623" s="27"/>
      <c r="Z623" s="27"/>
      <c r="AA623" s="27"/>
      <c r="AB623" s="27"/>
      <c r="AC623" s="27"/>
      <c r="AD623" s="27"/>
      <c r="AF623" s="8"/>
      <c r="AG623" s="27"/>
      <c r="AH623" s="14">
        <f>+'Pegar ML'!Y619</f>
        <v>0</v>
      </c>
      <c r="AI623" s="13">
        <f t="shared" si="28"/>
        <v>1</v>
      </c>
      <c r="AJ623" s="7">
        <f>+'Pegar ML'!T619</f>
        <v>0</v>
      </c>
      <c r="AK623" s="27"/>
      <c r="AL623" s="27"/>
      <c r="AM623" s="27"/>
      <c r="AN623" s="27"/>
      <c r="AO623" s="27"/>
      <c r="AP623" s="27"/>
      <c r="AQ623" s="27"/>
      <c r="AR623" s="27"/>
      <c r="AS623" s="27">
        <v>17</v>
      </c>
    </row>
    <row r="624" spans="1:45" ht="15" customHeight="1" x14ac:dyDescent="0.25">
      <c r="A624" s="27">
        <f>IF('Pegar ML'!C619="Paquete de 2 productos",'Pegar ML'!A619,IF('Pegar ML'!C618="Paquete de 2 productos",'Pegar ML'!A618,'Pegar ML'!A620))</f>
        <v>0</v>
      </c>
      <c r="B624" s="27"/>
      <c r="C624" s="30" t="str">
        <f>IF(AjusteFecha!I620=0,"",AjusteFecha!I620)</f>
        <v/>
      </c>
      <c r="D624" s="27"/>
      <c r="E624" s="27"/>
      <c r="F624" s="27" t="str">
        <f>IF('Pegar ML'!C620="","",'Pegar ML'!C620)</f>
        <v/>
      </c>
      <c r="G624" s="27" t="str">
        <f>IF('Pegar ML'!G615="ARS","PS","PS")</f>
        <v>PS</v>
      </c>
      <c r="H624" s="14">
        <f>IF('Pegar ML'!C619="Paquete de 2 productos",IF('Pegar ML'!H619="",0,'Pegar ML'!H619),IF('Pegar ML'!H620="",0,'Pegar ML'!H620))</f>
        <v>0</v>
      </c>
      <c r="I624" s="14">
        <f>IF('Pegar ML'!C619="Paquete de 2 productos",IF('Pegar ML'!O619="",0,'Pegar ML'!O619),IF('Pegar ML'!O620="",0,'Pegar ML'!O620))</f>
        <v>0</v>
      </c>
      <c r="J624" s="14">
        <f>IF('Pegar ML'!C619="Paquete de 2 productos",IF('Pegar ML'!O619="",0,'Pegar ML'!O619),IF('Pegar ML'!O620="",0,'Pegar ML'!O620))</f>
        <v>0</v>
      </c>
      <c r="K624" s="14">
        <f t="shared" si="29"/>
        <v>0</v>
      </c>
      <c r="L624" s="27">
        <f>IF('Pegar ML'!AB620=" ",'Pegar ML'!AB619,'Pegar ML'!AB620)</f>
        <v>0</v>
      </c>
      <c r="M624" s="27" t="str">
        <f>IF('Pegar ML'!AC620=" ",RIGHT('Pegar ML'!AC619,8),RIGHT('Pegar ML'!AC620,8))</f>
        <v/>
      </c>
      <c r="N624" s="27" t="s">
        <v>80</v>
      </c>
      <c r="O624" s="27">
        <f t="shared" si="27"/>
        <v>0</v>
      </c>
      <c r="P624" s="27" t="s">
        <v>80</v>
      </c>
      <c r="Q624" s="55">
        <f>IF('Pegar ML'!AD620=" ",'Pegar ML'!AD619,'Pegar ML'!AD620)</f>
        <v>0</v>
      </c>
      <c r="R624" s="27" t="s">
        <v>80</v>
      </c>
      <c r="S624" s="27" t="s">
        <v>80</v>
      </c>
      <c r="T624" s="27" t="s">
        <v>80</v>
      </c>
      <c r="U624" s="55">
        <f>IF('Pegar ML'!AI620=" ",'Pegar ML'!AI619,'Pegar ML'!AI620)</f>
        <v>0</v>
      </c>
      <c r="V624" s="55">
        <f>IF('Pegar ML'!AK620=" ",'Pegar ML'!AK619,'Pegar ML'!AK620)</f>
        <v>0</v>
      </c>
      <c r="W624" s="55">
        <f>IF('Pegar ML'!AJ620=" ",'Pegar ML'!AJ619,'Pegar ML'!AJ620)</f>
        <v>0</v>
      </c>
      <c r="X624" s="55">
        <f>IF('Pegar ML'!AL620=" ",'Pegar ML'!AL619,'Pegar ML'!AL620)</f>
        <v>0</v>
      </c>
      <c r="Y624" s="27"/>
      <c r="Z624" s="27"/>
      <c r="AA624" s="27"/>
      <c r="AB624" s="27"/>
      <c r="AC624" s="27"/>
      <c r="AD624" s="27"/>
      <c r="AF624" s="8"/>
      <c r="AG624" s="27"/>
      <c r="AH624" s="14">
        <f>+'Pegar ML'!Y620</f>
        <v>0</v>
      </c>
      <c r="AI624" s="13">
        <f t="shared" si="28"/>
        <v>1</v>
      </c>
      <c r="AJ624" s="7">
        <f>+'Pegar ML'!T620</f>
        <v>0</v>
      </c>
      <c r="AK624" s="27"/>
      <c r="AL624" s="27"/>
      <c r="AM624" s="27"/>
      <c r="AN624" s="27"/>
      <c r="AO624" s="27"/>
      <c r="AP624" s="27"/>
      <c r="AQ624" s="27"/>
      <c r="AR624" s="27"/>
      <c r="AS624" s="27">
        <v>17</v>
      </c>
    </row>
    <row r="625" spans="1:45" ht="15" customHeight="1" x14ac:dyDescent="0.25">
      <c r="A625" s="27">
        <f>IF('Pegar ML'!C620="Paquete de 2 productos",'Pegar ML'!A620,IF('Pegar ML'!C619="Paquete de 2 productos",'Pegar ML'!A619,'Pegar ML'!A621))</f>
        <v>0</v>
      </c>
      <c r="B625" s="27"/>
      <c r="C625" s="30" t="str">
        <f>IF(AjusteFecha!I621=0,"",AjusteFecha!I621)</f>
        <v/>
      </c>
      <c r="D625" s="27"/>
      <c r="E625" s="27"/>
      <c r="F625" s="27" t="str">
        <f>IF('Pegar ML'!C621="","",'Pegar ML'!C621)</f>
        <v/>
      </c>
      <c r="G625" s="27" t="str">
        <f>IF('Pegar ML'!G616="ARS","PS","PS")</f>
        <v>PS</v>
      </c>
      <c r="H625" s="14">
        <f>IF('Pegar ML'!C620="Paquete de 2 productos",IF('Pegar ML'!H620="",0,'Pegar ML'!H620),IF('Pegar ML'!H621="",0,'Pegar ML'!H621))</f>
        <v>0</v>
      </c>
      <c r="I625" s="14">
        <f>IF('Pegar ML'!C620="Paquete de 2 productos",IF('Pegar ML'!O620="",0,'Pegar ML'!O620),IF('Pegar ML'!O621="",0,'Pegar ML'!O621))</f>
        <v>0</v>
      </c>
      <c r="J625" s="14">
        <f>IF('Pegar ML'!C620="Paquete de 2 productos",IF('Pegar ML'!O620="",0,'Pegar ML'!O620),IF('Pegar ML'!O621="",0,'Pegar ML'!O621))</f>
        <v>0</v>
      </c>
      <c r="K625" s="14">
        <f t="shared" si="29"/>
        <v>0</v>
      </c>
      <c r="L625" s="27">
        <f>IF('Pegar ML'!AB621=" ",'Pegar ML'!AB620,'Pegar ML'!AB621)</f>
        <v>0</v>
      </c>
      <c r="M625" s="27" t="str">
        <f>IF('Pegar ML'!AC621=" ",RIGHT('Pegar ML'!AC620,8),RIGHT('Pegar ML'!AC621,8))</f>
        <v/>
      </c>
      <c r="N625" s="27" t="s">
        <v>80</v>
      </c>
      <c r="O625" s="27">
        <f t="shared" si="27"/>
        <v>0</v>
      </c>
      <c r="P625" s="27" t="s">
        <v>80</v>
      </c>
      <c r="Q625" s="55">
        <f>IF('Pegar ML'!AD621=" ",'Pegar ML'!AD620,'Pegar ML'!AD621)</f>
        <v>0</v>
      </c>
      <c r="R625" s="27" t="s">
        <v>80</v>
      </c>
      <c r="S625" s="27" t="s">
        <v>80</v>
      </c>
      <c r="T625" s="27" t="s">
        <v>80</v>
      </c>
      <c r="U625" s="55">
        <f>IF('Pegar ML'!AI621=" ",'Pegar ML'!AI620,'Pegar ML'!AI621)</f>
        <v>0</v>
      </c>
      <c r="V625" s="55">
        <f>IF('Pegar ML'!AK621=" ",'Pegar ML'!AK620,'Pegar ML'!AK621)</f>
        <v>0</v>
      </c>
      <c r="W625" s="55">
        <f>IF('Pegar ML'!AJ621=" ",'Pegar ML'!AJ620,'Pegar ML'!AJ621)</f>
        <v>0</v>
      </c>
      <c r="X625" s="55">
        <f>IF('Pegar ML'!AL621=" ",'Pegar ML'!AL620,'Pegar ML'!AL621)</f>
        <v>0</v>
      </c>
      <c r="Y625" s="27"/>
      <c r="Z625" s="27"/>
      <c r="AA625" s="27"/>
      <c r="AB625" s="27"/>
      <c r="AC625" s="27"/>
      <c r="AD625" s="27"/>
      <c r="AF625" s="8"/>
      <c r="AG625" s="27"/>
      <c r="AH625" s="14">
        <f>+'Pegar ML'!Y621</f>
        <v>0</v>
      </c>
      <c r="AI625" s="13">
        <f t="shared" si="28"/>
        <v>1</v>
      </c>
      <c r="AJ625" s="7">
        <f>+'Pegar ML'!T621</f>
        <v>0</v>
      </c>
      <c r="AK625" s="27"/>
      <c r="AL625" s="27"/>
      <c r="AM625" s="27"/>
      <c r="AN625" s="27"/>
      <c r="AO625" s="27"/>
      <c r="AP625" s="27"/>
      <c r="AQ625" s="27"/>
      <c r="AR625" s="27"/>
      <c r="AS625" s="27">
        <v>17</v>
      </c>
    </row>
    <row r="626" spans="1:45" ht="15" customHeight="1" x14ac:dyDescent="0.25">
      <c r="A626" s="27">
        <f>IF('Pegar ML'!C621="Paquete de 2 productos",'Pegar ML'!A621,IF('Pegar ML'!C620="Paquete de 2 productos",'Pegar ML'!A620,'Pegar ML'!A622))</f>
        <v>0</v>
      </c>
      <c r="B626" s="27"/>
      <c r="C626" s="30" t="str">
        <f>IF(AjusteFecha!I622=0,"",AjusteFecha!I622)</f>
        <v/>
      </c>
      <c r="D626" s="27"/>
      <c r="E626" s="27"/>
      <c r="F626" s="27" t="str">
        <f>IF('Pegar ML'!C622="","",'Pegar ML'!C622)</f>
        <v/>
      </c>
      <c r="G626" s="27" t="str">
        <f>IF('Pegar ML'!G617="ARS","PS","PS")</f>
        <v>PS</v>
      </c>
      <c r="H626" s="14">
        <f>IF('Pegar ML'!C621="Paquete de 2 productos",IF('Pegar ML'!H621="",0,'Pegar ML'!H621),IF('Pegar ML'!H622="",0,'Pegar ML'!H622))</f>
        <v>0</v>
      </c>
      <c r="I626" s="14">
        <f>IF('Pegar ML'!C621="Paquete de 2 productos",IF('Pegar ML'!O621="",0,'Pegar ML'!O621),IF('Pegar ML'!O622="",0,'Pegar ML'!O622))</f>
        <v>0</v>
      </c>
      <c r="J626" s="14">
        <f>IF('Pegar ML'!C621="Paquete de 2 productos",IF('Pegar ML'!O621="",0,'Pegar ML'!O621),IF('Pegar ML'!O622="",0,'Pegar ML'!O622))</f>
        <v>0</v>
      </c>
      <c r="K626" s="14">
        <f t="shared" si="29"/>
        <v>0</v>
      </c>
      <c r="L626" s="27">
        <f>IF('Pegar ML'!AB622=" ",'Pegar ML'!AB621,'Pegar ML'!AB622)</f>
        <v>0</v>
      </c>
      <c r="M626" s="27" t="str">
        <f>IF('Pegar ML'!AC622=" ",RIGHT('Pegar ML'!AC621,8),RIGHT('Pegar ML'!AC622,8))</f>
        <v/>
      </c>
      <c r="N626" s="27" t="s">
        <v>80</v>
      </c>
      <c r="O626" s="27">
        <f t="shared" si="27"/>
        <v>0</v>
      </c>
      <c r="P626" s="27" t="s">
        <v>80</v>
      </c>
      <c r="Q626" s="55">
        <f>IF('Pegar ML'!AD622=" ",'Pegar ML'!AD621,'Pegar ML'!AD622)</f>
        <v>0</v>
      </c>
      <c r="R626" s="27" t="s">
        <v>80</v>
      </c>
      <c r="S626" s="27" t="s">
        <v>80</v>
      </c>
      <c r="T626" s="27" t="s">
        <v>80</v>
      </c>
      <c r="U626" s="55">
        <f>IF('Pegar ML'!AI622=" ",'Pegar ML'!AI621,'Pegar ML'!AI622)</f>
        <v>0</v>
      </c>
      <c r="V626" s="55">
        <f>IF('Pegar ML'!AK622=" ",'Pegar ML'!AK621,'Pegar ML'!AK622)</f>
        <v>0</v>
      </c>
      <c r="W626" s="55">
        <f>IF('Pegar ML'!AJ622=" ",'Pegar ML'!AJ621,'Pegar ML'!AJ622)</f>
        <v>0</v>
      </c>
      <c r="X626" s="55">
        <f>IF('Pegar ML'!AL622=" ",'Pegar ML'!AL621,'Pegar ML'!AL622)</f>
        <v>0</v>
      </c>
      <c r="Y626" s="27"/>
      <c r="Z626" s="27"/>
      <c r="AA626" s="27"/>
      <c r="AB626" s="27"/>
      <c r="AC626" s="27"/>
      <c r="AD626" s="27"/>
      <c r="AF626" s="8"/>
      <c r="AG626" s="27"/>
      <c r="AH626" s="14">
        <f>+'Pegar ML'!Y622</f>
        <v>0</v>
      </c>
      <c r="AI626" s="13">
        <f t="shared" si="28"/>
        <v>1</v>
      </c>
      <c r="AJ626" s="7">
        <f>+'Pegar ML'!T622</f>
        <v>0</v>
      </c>
      <c r="AK626" s="27"/>
      <c r="AL626" s="27"/>
      <c r="AM626" s="27"/>
      <c r="AN626" s="27"/>
      <c r="AO626" s="27"/>
      <c r="AP626" s="27"/>
      <c r="AQ626" s="27"/>
      <c r="AR626" s="27"/>
      <c r="AS626" s="27">
        <v>17</v>
      </c>
    </row>
    <row r="627" spans="1:45" ht="15" customHeight="1" x14ac:dyDescent="0.25">
      <c r="A627" s="27">
        <f>IF('Pegar ML'!C622="Paquete de 2 productos",'Pegar ML'!A622,IF('Pegar ML'!C621="Paquete de 2 productos",'Pegar ML'!A621,'Pegar ML'!A623))</f>
        <v>0</v>
      </c>
      <c r="B627" s="27"/>
      <c r="C627" s="30" t="str">
        <f>IF(AjusteFecha!I623=0,"",AjusteFecha!I623)</f>
        <v/>
      </c>
      <c r="D627" s="27"/>
      <c r="E627" s="27"/>
      <c r="F627" s="27" t="str">
        <f>IF('Pegar ML'!C623="","",'Pegar ML'!C623)</f>
        <v/>
      </c>
      <c r="G627" s="27" t="str">
        <f>IF('Pegar ML'!G618="ARS","PS","PS")</f>
        <v>PS</v>
      </c>
      <c r="H627" s="14">
        <f>IF('Pegar ML'!C622="Paquete de 2 productos",IF('Pegar ML'!H622="",0,'Pegar ML'!H622),IF('Pegar ML'!H623="",0,'Pegar ML'!H623))</f>
        <v>0</v>
      </c>
      <c r="I627" s="14">
        <f>IF('Pegar ML'!C622="Paquete de 2 productos",IF('Pegar ML'!O622="",0,'Pegar ML'!O622),IF('Pegar ML'!O623="",0,'Pegar ML'!O623))</f>
        <v>0</v>
      </c>
      <c r="J627" s="14">
        <f>IF('Pegar ML'!C622="Paquete de 2 productos",IF('Pegar ML'!O622="",0,'Pegar ML'!O622),IF('Pegar ML'!O623="",0,'Pegar ML'!O623))</f>
        <v>0</v>
      </c>
      <c r="K627" s="14">
        <f t="shared" si="29"/>
        <v>0</v>
      </c>
      <c r="L627" s="27">
        <f>IF('Pegar ML'!AB623=" ",'Pegar ML'!AB622,'Pegar ML'!AB623)</f>
        <v>0</v>
      </c>
      <c r="M627" s="27" t="str">
        <f>IF('Pegar ML'!AC623=" ",RIGHT('Pegar ML'!AC622,8),RIGHT('Pegar ML'!AC623,8))</f>
        <v/>
      </c>
      <c r="N627" s="27" t="s">
        <v>80</v>
      </c>
      <c r="O627" s="27">
        <f t="shared" si="27"/>
        <v>0</v>
      </c>
      <c r="P627" s="27" t="s">
        <v>80</v>
      </c>
      <c r="Q627" s="55">
        <f>IF('Pegar ML'!AD623=" ",'Pegar ML'!AD622,'Pegar ML'!AD623)</f>
        <v>0</v>
      </c>
      <c r="R627" s="27" t="s">
        <v>80</v>
      </c>
      <c r="S627" s="27" t="s">
        <v>80</v>
      </c>
      <c r="T627" s="27" t="s">
        <v>80</v>
      </c>
      <c r="U627" s="55">
        <f>IF('Pegar ML'!AI623=" ",'Pegar ML'!AI622,'Pegar ML'!AI623)</f>
        <v>0</v>
      </c>
      <c r="V627" s="55">
        <f>IF('Pegar ML'!AK623=" ",'Pegar ML'!AK622,'Pegar ML'!AK623)</f>
        <v>0</v>
      </c>
      <c r="W627" s="55">
        <f>IF('Pegar ML'!AJ623=" ",'Pegar ML'!AJ622,'Pegar ML'!AJ623)</f>
        <v>0</v>
      </c>
      <c r="X627" s="55">
        <f>IF('Pegar ML'!AL623=" ",'Pegar ML'!AL622,'Pegar ML'!AL623)</f>
        <v>0</v>
      </c>
      <c r="Y627" s="27"/>
      <c r="Z627" s="27"/>
      <c r="AA627" s="27"/>
      <c r="AB627" s="27"/>
      <c r="AC627" s="27"/>
      <c r="AD627" s="27"/>
      <c r="AF627" s="8"/>
      <c r="AG627" s="27"/>
      <c r="AH627" s="14">
        <f>+'Pegar ML'!Y623</f>
        <v>0</v>
      </c>
      <c r="AI627" s="13">
        <f t="shared" si="28"/>
        <v>1</v>
      </c>
      <c r="AJ627" s="7">
        <f>+'Pegar ML'!T623</f>
        <v>0</v>
      </c>
      <c r="AK627" s="27"/>
      <c r="AL627" s="27"/>
      <c r="AM627" s="27"/>
      <c r="AN627" s="27"/>
      <c r="AO627" s="27"/>
      <c r="AP627" s="27"/>
      <c r="AQ627" s="27"/>
      <c r="AR627" s="27"/>
      <c r="AS627" s="27">
        <v>17</v>
      </c>
    </row>
    <row r="628" spans="1:45" ht="15" customHeight="1" x14ac:dyDescent="0.25">
      <c r="A628" s="27">
        <f>IF('Pegar ML'!C623="Paquete de 2 productos",'Pegar ML'!A623,IF('Pegar ML'!C622="Paquete de 2 productos",'Pegar ML'!A622,'Pegar ML'!A624))</f>
        <v>0</v>
      </c>
      <c r="B628" s="27"/>
      <c r="C628" s="30" t="str">
        <f>IF(AjusteFecha!I624=0,"",AjusteFecha!I624)</f>
        <v/>
      </c>
      <c r="D628" s="27"/>
      <c r="E628" s="27"/>
      <c r="F628" s="27" t="str">
        <f>IF('Pegar ML'!C624="","",'Pegar ML'!C624)</f>
        <v/>
      </c>
      <c r="G628" s="27" t="str">
        <f>IF('Pegar ML'!G619="ARS","PS","PS")</f>
        <v>PS</v>
      </c>
      <c r="H628" s="14">
        <f>IF('Pegar ML'!C623="Paquete de 2 productos",IF('Pegar ML'!H623="",0,'Pegar ML'!H623),IF('Pegar ML'!H624="",0,'Pegar ML'!H624))</f>
        <v>0</v>
      </c>
      <c r="I628" s="14">
        <f>IF('Pegar ML'!C623="Paquete de 2 productos",IF('Pegar ML'!O623="",0,'Pegar ML'!O623),IF('Pegar ML'!O624="",0,'Pegar ML'!O624))</f>
        <v>0</v>
      </c>
      <c r="J628" s="14">
        <f>IF('Pegar ML'!C623="Paquete de 2 productos",IF('Pegar ML'!O623="",0,'Pegar ML'!O623),IF('Pegar ML'!O624="",0,'Pegar ML'!O624))</f>
        <v>0</v>
      </c>
      <c r="K628" s="14">
        <f t="shared" si="29"/>
        <v>0</v>
      </c>
      <c r="L628" s="27">
        <f>IF('Pegar ML'!AB624=" ",'Pegar ML'!AB623,'Pegar ML'!AB624)</f>
        <v>0</v>
      </c>
      <c r="M628" s="27" t="str">
        <f>IF('Pegar ML'!AC624=" ",RIGHT('Pegar ML'!AC623,8),RIGHT('Pegar ML'!AC624,8))</f>
        <v/>
      </c>
      <c r="N628" s="27" t="s">
        <v>80</v>
      </c>
      <c r="O628" s="27">
        <f t="shared" si="27"/>
        <v>0</v>
      </c>
      <c r="P628" s="27" t="s">
        <v>80</v>
      </c>
      <c r="Q628" s="55">
        <f>IF('Pegar ML'!AD624=" ",'Pegar ML'!AD623,'Pegar ML'!AD624)</f>
        <v>0</v>
      </c>
      <c r="R628" s="27" t="s">
        <v>80</v>
      </c>
      <c r="S628" s="27" t="s">
        <v>80</v>
      </c>
      <c r="T628" s="27" t="s">
        <v>80</v>
      </c>
      <c r="U628" s="55">
        <f>IF('Pegar ML'!AI624=" ",'Pegar ML'!AI623,'Pegar ML'!AI624)</f>
        <v>0</v>
      </c>
      <c r="V628" s="55">
        <f>IF('Pegar ML'!AK624=" ",'Pegar ML'!AK623,'Pegar ML'!AK624)</f>
        <v>0</v>
      </c>
      <c r="W628" s="55">
        <f>IF('Pegar ML'!AJ624=" ",'Pegar ML'!AJ623,'Pegar ML'!AJ624)</f>
        <v>0</v>
      </c>
      <c r="X628" s="55">
        <f>IF('Pegar ML'!AL624=" ",'Pegar ML'!AL623,'Pegar ML'!AL624)</f>
        <v>0</v>
      </c>
      <c r="Y628" s="27"/>
      <c r="Z628" s="27"/>
      <c r="AA628" s="27"/>
      <c r="AB628" s="27"/>
      <c r="AC628" s="27"/>
      <c r="AD628" s="27"/>
      <c r="AF628" s="8"/>
      <c r="AG628" s="27"/>
      <c r="AH628" s="14">
        <f>+'Pegar ML'!Y624</f>
        <v>0</v>
      </c>
      <c r="AI628" s="13">
        <f t="shared" si="28"/>
        <v>1</v>
      </c>
      <c r="AJ628" s="7">
        <f>+'Pegar ML'!T624</f>
        <v>0</v>
      </c>
      <c r="AK628" s="27"/>
      <c r="AL628" s="27"/>
      <c r="AM628" s="27"/>
      <c r="AN628" s="27"/>
      <c r="AO628" s="27"/>
      <c r="AP628" s="27"/>
      <c r="AQ628" s="27"/>
      <c r="AR628" s="27"/>
      <c r="AS628" s="27">
        <v>17</v>
      </c>
    </row>
    <row r="629" spans="1:45" ht="15" customHeight="1" x14ac:dyDescent="0.25">
      <c r="A629" s="27">
        <f>IF('Pegar ML'!C624="Paquete de 2 productos",'Pegar ML'!A624,IF('Pegar ML'!C623="Paquete de 2 productos",'Pegar ML'!A623,'Pegar ML'!A625))</f>
        <v>0</v>
      </c>
      <c r="B629" s="27"/>
      <c r="C629" s="30" t="str">
        <f>IF(AjusteFecha!I625=0,"",AjusteFecha!I625)</f>
        <v/>
      </c>
      <c r="D629" s="27"/>
      <c r="E629" s="27"/>
      <c r="F629" s="27" t="str">
        <f>IF('Pegar ML'!C625="","",'Pegar ML'!C625)</f>
        <v/>
      </c>
      <c r="G629" s="27" t="str">
        <f>IF('Pegar ML'!G620="ARS","PS","PS")</f>
        <v>PS</v>
      </c>
      <c r="H629" s="14">
        <f>IF('Pegar ML'!C624="Paquete de 2 productos",IF('Pegar ML'!H624="",0,'Pegar ML'!H624),IF('Pegar ML'!H625="",0,'Pegar ML'!H625))</f>
        <v>0</v>
      </c>
      <c r="I629" s="14">
        <f>IF('Pegar ML'!C624="Paquete de 2 productos",IF('Pegar ML'!O624="",0,'Pegar ML'!O624),IF('Pegar ML'!O625="",0,'Pegar ML'!O625))</f>
        <v>0</v>
      </c>
      <c r="J629" s="14">
        <f>IF('Pegar ML'!C624="Paquete de 2 productos",IF('Pegar ML'!O624="",0,'Pegar ML'!O624),IF('Pegar ML'!O625="",0,'Pegar ML'!O625))</f>
        <v>0</v>
      </c>
      <c r="K629" s="14">
        <f t="shared" si="29"/>
        <v>0</v>
      </c>
      <c r="L629" s="27">
        <f>IF('Pegar ML'!AB625=" ",'Pegar ML'!AB624,'Pegar ML'!AB625)</f>
        <v>0</v>
      </c>
      <c r="M629" s="27" t="str">
        <f>IF('Pegar ML'!AC625=" ",RIGHT('Pegar ML'!AC624,8),RIGHT('Pegar ML'!AC625,8))</f>
        <v/>
      </c>
      <c r="N629" s="27" t="s">
        <v>80</v>
      </c>
      <c r="O629" s="27">
        <f t="shared" si="27"/>
        <v>0</v>
      </c>
      <c r="P629" s="27" t="s">
        <v>80</v>
      </c>
      <c r="Q629" s="55">
        <f>IF('Pegar ML'!AD625=" ",'Pegar ML'!AD624,'Pegar ML'!AD625)</f>
        <v>0</v>
      </c>
      <c r="R629" s="27" t="s">
        <v>80</v>
      </c>
      <c r="S629" s="27" t="s">
        <v>80</v>
      </c>
      <c r="T629" s="27" t="s">
        <v>80</v>
      </c>
      <c r="U629" s="55">
        <f>IF('Pegar ML'!AI625=" ",'Pegar ML'!AI624,'Pegar ML'!AI625)</f>
        <v>0</v>
      </c>
      <c r="V629" s="55">
        <f>IF('Pegar ML'!AK625=" ",'Pegar ML'!AK624,'Pegar ML'!AK625)</f>
        <v>0</v>
      </c>
      <c r="W629" s="55">
        <f>IF('Pegar ML'!AJ625=" ",'Pegar ML'!AJ624,'Pegar ML'!AJ625)</f>
        <v>0</v>
      </c>
      <c r="X629" s="55">
        <f>IF('Pegar ML'!AL625=" ",'Pegar ML'!AL624,'Pegar ML'!AL625)</f>
        <v>0</v>
      </c>
      <c r="Y629" s="27"/>
      <c r="Z629" s="27"/>
      <c r="AA629" s="27"/>
      <c r="AB629" s="27"/>
      <c r="AC629" s="27"/>
      <c r="AD629" s="27"/>
      <c r="AF629" s="8"/>
      <c r="AG629" s="27"/>
      <c r="AH629" s="14">
        <f>+'Pegar ML'!Y625</f>
        <v>0</v>
      </c>
      <c r="AI629" s="13">
        <f t="shared" si="28"/>
        <v>1</v>
      </c>
      <c r="AJ629" s="7">
        <f>+'Pegar ML'!T625</f>
        <v>0</v>
      </c>
      <c r="AK629" s="27"/>
      <c r="AL629" s="27"/>
      <c r="AM629" s="27"/>
      <c r="AN629" s="27"/>
      <c r="AO629" s="27"/>
      <c r="AP629" s="27"/>
      <c r="AQ629" s="27"/>
      <c r="AR629" s="27"/>
      <c r="AS629" s="27">
        <v>17</v>
      </c>
    </row>
    <row r="630" spans="1:45" ht="15" customHeight="1" x14ac:dyDescent="0.25">
      <c r="A630" s="27">
        <f>IF('Pegar ML'!C625="Paquete de 2 productos",'Pegar ML'!A625,IF('Pegar ML'!C624="Paquete de 2 productos",'Pegar ML'!A624,'Pegar ML'!A626))</f>
        <v>0</v>
      </c>
      <c r="B630" s="27"/>
      <c r="C630" s="30" t="str">
        <f>IF(AjusteFecha!I626=0,"",AjusteFecha!I626)</f>
        <v/>
      </c>
      <c r="D630" s="27"/>
      <c r="E630" s="27"/>
      <c r="F630" s="27" t="str">
        <f>IF('Pegar ML'!C626="","",'Pegar ML'!C626)</f>
        <v/>
      </c>
      <c r="G630" s="27" t="str">
        <f>IF('Pegar ML'!G621="ARS","PS","PS")</f>
        <v>PS</v>
      </c>
      <c r="H630" s="14">
        <f>IF('Pegar ML'!C625="Paquete de 2 productos",IF('Pegar ML'!H625="",0,'Pegar ML'!H625),IF('Pegar ML'!H626="",0,'Pegar ML'!H626))</f>
        <v>0</v>
      </c>
      <c r="I630" s="14">
        <f>IF('Pegar ML'!C625="Paquete de 2 productos",IF('Pegar ML'!O625="",0,'Pegar ML'!O625),IF('Pegar ML'!O626="",0,'Pegar ML'!O626))</f>
        <v>0</v>
      </c>
      <c r="J630" s="14">
        <f>IF('Pegar ML'!C625="Paquete de 2 productos",IF('Pegar ML'!O625="",0,'Pegar ML'!O625),IF('Pegar ML'!O626="",0,'Pegar ML'!O626))</f>
        <v>0</v>
      </c>
      <c r="K630" s="14">
        <f t="shared" si="29"/>
        <v>0</v>
      </c>
      <c r="L630" s="27">
        <f>IF('Pegar ML'!AB626=" ",'Pegar ML'!AB625,'Pegar ML'!AB626)</f>
        <v>0</v>
      </c>
      <c r="M630" s="27" t="str">
        <f>IF('Pegar ML'!AC626=" ",RIGHT('Pegar ML'!AC625,8),RIGHT('Pegar ML'!AC626,8))</f>
        <v/>
      </c>
      <c r="N630" s="27" t="s">
        <v>80</v>
      </c>
      <c r="O630" s="27">
        <f t="shared" si="27"/>
        <v>0</v>
      </c>
      <c r="P630" s="27" t="s">
        <v>80</v>
      </c>
      <c r="Q630" s="55">
        <f>IF('Pegar ML'!AD626=" ",'Pegar ML'!AD625,'Pegar ML'!AD626)</f>
        <v>0</v>
      </c>
      <c r="R630" s="27" t="s">
        <v>80</v>
      </c>
      <c r="S630" s="27" t="s">
        <v>80</v>
      </c>
      <c r="T630" s="27" t="s">
        <v>80</v>
      </c>
      <c r="U630" s="55">
        <f>IF('Pegar ML'!AI626=" ",'Pegar ML'!AI625,'Pegar ML'!AI626)</f>
        <v>0</v>
      </c>
      <c r="V630" s="55">
        <f>IF('Pegar ML'!AK626=" ",'Pegar ML'!AK625,'Pegar ML'!AK626)</f>
        <v>0</v>
      </c>
      <c r="W630" s="55">
        <f>IF('Pegar ML'!AJ626=" ",'Pegar ML'!AJ625,'Pegar ML'!AJ626)</f>
        <v>0</v>
      </c>
      <c r="X630" s="55">
        <f>IF('Pegar ML'!AL626=" ",'Pegar ML'!AL625,'Pegar ML'!AL626)</f>
        <v>0</v>
      </c>
      <c r="Y630" s="27"/>
      <c r="Z630" s="27"/>
      <c r="AA630" s="27"/>
      <c r="AB630" s="27"/>
      <c r="AC630" s="27"/>
      <c r="AD630" s="27"/>
      <c r="AF630" s="8"/>
      <c r="AG630" s="27"/>
      <c r="AH630" s="14">
        <f>+'Pegar ML'!Y626</f>
        <v>0</v>
      </c>
      <c r="AI630" s="13">
        <f t="shared" si="28"/>
        <v>1</v>
      </c>
      <c r="AJ630" s="7">
        <f>+'Pegar ML'!T626</f>
        <v>0</v>
      </c>
      <c r="AK630" s="27"/>
      <c r="AL630" s="27"/>
      <c r="AM630" s="27"/>
      <c r="AN630" s="27"/>
      <c r="AO630" s="27"/>
      <c r="AP630" s="27"/>
      <c r="AQ630" s="27"/>
      <c r="AR630" s="27"/>
      <c r="AS630" s="27">
        <v>17</v>
      </c>
    </row>
    <row r="631" spans="1:45" ht="15" customHeight="1" x14ac:dyDescent="0.25">
      <c r="A631" s="27">
        <f>IF('Pegar ML'!C626="Paquete de 2 productos",'Pegar ML'!A626,IF('Pegar ML'!C625="Paquete de 2 productos",'Pegar ML'!A625,'Pegar ML'!A627))</f>
        <v>0</v>
      </c>
      <c r="B631" s="27"/>
      <c r="C631" s="30" t="str">
        <f>IF(AjusteFecha!I627=0,"",AjusteFecha!I627)</f>
        <v/>
      </c>
      <c r="D631" s="27"/>
      <c r="E631" s="27"/>
      <c r="F631" s="27" t="str">
        <f>IF('Pegar ML'!C627="","",'Pegar ML'!C627)</f>
        <v/>
      </c>
      <c r="G631" s="27" t="str">
        <f>IF('Pegar ML'!G622="ARS","PS","PS")</f>
        <v>PS</v>
      </c>
      <c r="H631" s="14">
        <f>IF('Pegar ML'!C626="Paquete de 2 productos",IF('Pegar ML'!H626="",0,'Pegar ML'!H626),IF('Pegar ML'!H627="",0,'Pegar ML'!H627))</f>
        <v>0</v>
      </c>
      <c r="I631" s="14">
        <f>IF('Pegar ML'!C626="Paquete de 2 productos",IF('Pegar ML'!O626="",0,'Pegar ML'!O626),IF('Pegar ML'!O627="",0,'Pegar ML'!O627))</f>
        <v>0</v>
      </c>
      <c r="J631" s="14">
        <f>IF('Pegar ML'!C626="Paquete de 2 productos",IF('Pegar ML'!O626="",0,'Pegar ML'!O626),IF('Pegar ML'!O627="",0,'Pegar ML'!O627))</f>
        <v>0</v>
      </c>
      <c r="K631" s="14">
        <f t="shared" si="29"/>
        <v>0</v>
      </c>
      <c r="L631" s="27">
        <f>IF('Pegar ML'!AB627=" ",'Pegar ML'!AB626,'Pegar ML'!AB627)</f>
        <v>0</v>
      </c>
      <c r="M631" s="27" t="str">
        <f>IF('Pegar ML'!AC627=" ",RIGHT('Pegar ML'!AC626,8),RIGHT('Pegar ML'!AC627,8))</f>
        <v/>
      </c>
      <c r="N631" s="27" t="s">
        <v>80</v>
      </c>
      <c r="O631" s="27">
        <f t="shared" si="27"/>
        <v>0</v>
      </c>
      <c r="P631" s="27" t="s">
        <v>80</v>
      </c>
      <c r="Q631" s="55">
        <f>IF('Pegar ML'!AD627=" ",'Pegar ML'!AD626,'Pegar ML'!AD627)</f>
        <v>0</v>
      </c>
      <c r="R631" s="27" t="s">
        <v>80</v>
      </c>
      <c r="S631" s="27" t="s">
        <v>80</v>
      </c>
      <c r="T631" s="27" t="s">
        <v>80</v>
      </c>
      <c r="U631" s="55">
        <f>IF('Pegar ML'!AI627=" ",'Pegar ML'!AI626,'Pegar ML'!AI627)</f>
        <v>0</v>
      </c>
      <c r="V631" s="55">
        <f>IF('Pegar ML'!AK627=" ",'Pegar ML'!AK626,'Pegar ML'!AK627)</f>
        <v>0</v>
      </c>
      <c r="W631" s="55">
        <f>IF('Pegar ML'!AJ627=" ",'Pegar ML'!AJ626,'Pegar ML'!AJ627)</f>
        <v>0</v>
      </c>
      <c r="X631" s="55">
        <f>IF('Pegar ML'!AL627=" ",'Pegar ML'!AL626,'Pegar ML'!AL627)</f>
        <v>0</v>
      </c>
      <c r="Y631" s="27"/>
      <c r="Z631" s="27"/>
      <c r="AA631" s="27"/>
      <c r="AB631" s="27"/>
      <c r="AC631" s="27"/>
      <c r="AD631" s="27"/>
      <c r="AF631" s="8"/>
      <c r="AG631" s="27"/>
      <c r="AH631" s="14">
        <f>+'Pegar ML'!Y627</f>
        <v>0</v>
      </c>
      <c r="AI631" s="13">
        <f t="shared" si="28"/>
        <v>1</v>
      </c>
      <c r="AJ631" s="7">
        <f>+'Pegar ML'!T627</f>
        <v>0</v>
      </c>
      <c r="AK631" s="27"/>
      <c r="AL631" s="27"/>
      <c r="AM631" s="27"/>
      <c r="AN631" s="27"/>
      <c r="AO631" s="27"/>
      <c r="AP631" s="27"/>
      <c r="AQ631" s="27"/>
      <c r="AR631" s="27"/>
      <c r="AS631" s="27">
        <v>17</v>
      </c>
    </row>
    <row r="632" spans="1:45" ht="15" customHeight="1" x14ac:dyDescent="0.25">
      <c r="A632" s="27">
        <f>IF('Pegar ML'!C627="Paquete de 2 productos",'Pegar ML'!A627,IF('Pegar ML'!C626="Paquete de 2 productos",'Pegar ML'!A626,'Pegar ML'!A628))</f>
        <v>0</v>
      </c>
      <c r="B632" s="27"/>
      <c r="C632" s="30" t="str">
        <f>IF(AjusteFecha!I628=0,"",AjusteFecha!I628)</f>
        <v/>
      </c>
      <c r="D632" s="27"/>
      <c r="E632" s="27"/>
      <c r="F632" s="27" t="str">
        <f>IF('Pegar ML'!C628="","",'Pegar ML'!C628)</f>
        <v/>
      </c>
      <c r="G632" s="27" t="str">
        <f>IF('Pegar ML'!G623="ARS","PS","PS")</f>
        <v>PS</v>
      </c>
      <c r="H632" s="14">
        <f>IF('Pegar ML'!C627="Paquete de 2 productos",IF('Pegar ML'!H627="",0,'Pegar ML'!H627),IF('Pegar ML'!H628="",0,'Pegar ML'!H628))</f>
        <v>0</v>
      </c>
      <c r="I632" s="14">
        <f>IF('Pegar ML'!C627="Paquete de 2 productos",IF('Pegar ML'!O627="",0,'Pegar ML'!O627),IF('Pegar ML'!O628="",0,'Pegar ML'!O628))</f>
        <v>0</v>
      </c>
      <c r="J632" s="14">
        <f>IF('Pegar ML'!C627="Paquete de 2 productos",IF('Pegar ML'!O627="",0,'Pegar ML'!O627),IF('Pegar ML'!O628="",0,'Pegar ML'!O628))</f>
        <v>0</v>
      </c>
      <c r="K632" s="14">
        <f t="shared" si="29"/>
        <v>0</v>
      </c>
      <c r="L632" s="27">
        <f>IF('Pegar ML'!AB628=" ",'Pegar ML'!AB627,'Pegar ML'!AB628)</f>
        <v>0</v>
      </c>
      <c r="M632" s="27" t="str">
        <f>IF('Pegar ML'!AC628=" ",RIGHT('Pegar ML'!AC627,8),RIGHT('Pegar ML'!AC628,8))</f>
        <v/>
      </c>
      <c r="N632" s="27" t="s">
        <v>80</v>
      </c>
      <c r="O632" s="27">
        <f t="shared" si="27"/>
        <v>0</v>
      </c>
      <c r="P632" s="27" t="s">
        <v>80</v>
      </c>
      <c r="Q632" s="55">
        <f>IF('Pegar ML'!AD628=" ",'Pegar ML'!AD627,'Pegar ML'!AD628)</f>
        <v>0</v>
      </c>
      <c r="R632" s="27" t="s">
        <v>80</v>
      </c>
      <c r="S632" s="27" t="s">
        <v>80</v>
      </c>
      <c r="T632" s="27" t="s">
        <v>80</v>
      </c>
      <c r="U632" s="55">
        <f>IF('Pegar ML'!AI628=" ",'Pegar ML'!AI627,'Pegar ML'!AI628)</f>
        <v>0</v>
      </c>
      <c r="V632" s="55">
        <f>IF('Pegar ML'!AK628=" ",'Pegar ML'!AK627,'Pegar ML'!AK628)</f>
        <v>0</v>
      </c>
      <c r="W632" s="55">
        <f>IF('Pegar ML'!AJ628=" ",'Pegar ML'!AJ627,'Pegar ML'!AJ628)</f>
        <v>0</v>
      </c>
      <c r="X632" s="55">
        <f>IF('Pegar ML'!AL628=" ",'Pegar ML'!AL627,'Pegar ML'!AL628)</f>
        <v>0</v>
      </c>
      <c r="Y632" s="27"/>
      <c r="Z632" s="27"/>
      <c r="AA632" s="27"/>
      <c r="AB632" s="27"/>
      <c r="AC632" s="27"/>
      <c r="AD632" s="27"/>
      <c r="AF632" s="8"/>
      <c r="AG632" s="27"/>
      <c r="AH632" s="14">
        <f>+'Pegar ML'!Y628</f>
        <v>0</v>
      </c>
      <c r="AI632" s="13">
        <f t="shared" si="28"/>
        <v>1</v>
      </c>
      <c r="AJ632" s="7">
        <f>+'Pegar ML'!T628</f>
        <v>0</v>
      </c>
      <c r="AK632" s="27"/>
      <c r="AL632" s="27"/>
      <c r="AM632" s="27"/>
      <c r="AN632" s="27"/>
      <c r="AO632" s="27"/>
      <c r="AP632" s="27"/>
      <c r="AQ632" s="27"/>
      <c r="AR632" s="27"/>
      <c r="AS632" s="27">
        <v>17</v>
      </c>
    </row>
    <row r="633" spans="1:45" ht="15" customHeight="1" x14ac:dyDescent="0.25">
      <c r="A633" s="27">
        <f>IF('Pegar ML'!C628="Paquete de 2 productos",'Pegar ML'!A628,IF('Pegar ML'!C627="Paquete de 2 productos",'Pegar ML'!A627,'Pegar ML'!A629))</f>
        <v>0</v>
      </c>
      <c r="B633" s="27"/>
      <c r="C633" s="30" t="str">
        <f>IF(AjusteFecha!I629=0,"",AjusteFecha!I629)</f>
        <v/>
      </c>
      <c r="D633" s="27"/>
      <c r="E633" s="27"/>
      <c r="F633" s="27" t="str">
        <f>IF('Pegar ML'!C629="","",'Pegar ML'!C629)</f>
        <v/>
      </c>
      <c r="G633" s="27" t="str">
        <f>IF('Pegar ML'!G624="ARS","PS","PS")</f>
        <v>PS</v>
      </c>
      <c r="H633" s="14">
        <f>IF('Pegar ML'!C628="Paquete de 2 productos",IF('Pegar ML'!H628="",0,'Pegar ML'!H628),IF('Pegar ML'!H629="",0,'Pegar ML'!H629))</f>
        <v>0</v>
      </c>
      <c r="I633" s="14">
        <f>IF('Pegar ML'!C628="Paquete de 2 productos",IF('Pegar ML'!O628="",0,'Pegar ML'!O628),IF('Pegar ML'!O629="",0,'Pegar ML'!O629))</f>
        <v>0</v>
      </c>
      <c r="J633" s="14">
        <f>IF('Pegar ML'!C628="Paquete de 2 productos",IF('Pegar ML'!O628="",0,'Pegar ML'!O628),IF('Pegar ML'!O629="",0,'Pegar ML'!O629))</f>
        <v>0</v>
      </c>
      <c r="K633" s="14">
        <f t="shared" si="29"/>
        <v>0</v>
      </c>
      <c r="L633" s="27">
        <f>IF('Pegar ML'!AB629=" ",'Pegar ML'!AB628,'Pegar ML'!AB629)</f>
        <v>0</v>
      </c>
      <c r="M633" s="27" t="str">
        <f>IF('Pegar ML'!AC629=" ",RIGHT('Pegar ML'!AC628,8),RIGHT('Pegar ML'!AC629,8))</f>
        <v/>
      </c>
      <c r="N633" s="27" t="s">
        <v>80</v>
      </c>
      <c r="O633" s="27">
        <f t="shared" si="27"/>
        <v>0</v>
      </c>
      <c r="P633" s="27" t="s">
        <v>80</v>
      </c>
      <c r="Q633" s="55">
        <f>IF('Pegar ML'!AD629=" ",'Pegar ML'!AD628,'Pegar ML'!AD629)</f>
        <v>0</v>
      </c>
      <c r="R633" s="27" t="s">
        <v>80</v>
      </c>
      <c r="S633" s="27" t="s">
        <v>80</v>
      </c>
      <c r="T633" s="27" t="s">
        <v>80</v>
      </c>
      <c r="U633" s="55">
        <f>IF('Pegar ML'!AI629=" ",'Pegar ML'!AI628,'Pegar ML'!AI629)</f>
        <v>0</v>
      </c>
      <c r="V633" s="55">
        <f>IF('Pegar ML'!AK629=" ",'Pegar ML'!AK628,'Pegar ML'!AK629)</f>
        <v>0</v>
      </c>
      <c r="W633" s="55">
        <f>IF('Pegar ML'!AJ629=" ",'Pegar ML'!AJ628,'Pegar ML'!AJ629)</f>
        <v>0</v>
      </c>
      <c r="X633" s="55">
        <f>IF('Pegar ML'!AL629=" ",'Pegar ML'!AL628,'Pegar ML'!AL629)</f>
        <v>0</v>
      </c>
      <c r="Y633" s="27"/>
      <c r="Z633" s="27"/>
      <c r="AA633" s="27"/>
      <c r="AB633" s="27"/>
      <c r="AC633" s="27"/>
      <c r="AD633" s="27"/>
      <c r="AF633" s="8"/>
      <c r="AG633" s="27"/>
      <c r="AH633" s="14">
        <f>+'Pegar ML'!Y629</f>
        <v>0</v>
      </c>
      <c r="AI633" s="13">
        <f t="shared" si="28"/>
        <v>1</v>
      </c>
      <c r="AJ633" s="7">
        <f>+'Pegar ML'!T629</f>
        <v>0</v>
      </c>
      <c r="AK633" s="27"/>
      <c r="AL633" s="27"/>
      <c r="AM633" s="27"/>
      <c r="AN633" s="27"/>
      <c r="AO633" s="27"/>
      <c r="AP633" s="27"/>
      <c r="AQ633" s="27"/>
      <c r="AR633" s="27"/>
      <c r="AS633" s="27">
        <v>17</v>
      </c>
    </row>
    <row r="634" spans="1:45" ht="15" customHeight="1" x14ac:dyDescent="0.25">
      <c r="A634" s="27">
        <f>IF('Pegar ML'!C629="Paquete de 2 productos",'Pegar ML'!A629,IF('Pegar ML'!C628="Paquete de 2 productos",'Pegar ML'!A628,'Pegar ML'!A630))</f>
        <v>0</v>
      </c>
      <c r="B634" s="27"/>
      <c r="C634" s="30" t="str">
        <f>IF(AjusteFecha!I630=0,"",AjusteFecha!I630)</f>
        <v/>
      </c>
      <c r="D634" s="27"/>
      <c r="E634" s="27"/>
      <c r="F634" s="27" t="str">
        <f>IF('Pegar ML'!C630="","",'Pegar ML'!C630)</f>
        <v/>
      </c>
      <c r="G634" s="27" t="str">
        <f>IF('Pegar ML'!G625="ARS","PS","PS")</f>
        <v>PS</v>
      </c>
      <c r="H634" s="14">
        <f>IF('Pegar ML'!C629="Paquete de 2 productos",IF('Pegar ML'!H629="",0,'Pegar ML'!H629),IF('Pegar ML'!H630="",0,'Pegar ML'!H630))</f>
        <v>0</v>
      </c>
      <c r="I634" s="14">
        <f>IF('Pegar ML'!C629="Paquete de 2 productos",IF('Pegar ML'!O629="",0,'Pegar ML'!O629),IF('Pegar ML'!O630="",0,'Pegar ML'!O630))</f>
        <v>0</v>
      </c>
      <c r="J634" s="14">
        <f>IF('Pegar ML'!C629="Paquete de 2 productos",IF('Pegar ML'!O629="",0,'Pegar ML'!O629),IF('Pegar ML'!O630="",0,'Pegar ML'!O630))</f>
        <v>0</v>
      </c>
      <c r="K634" s="14">
        <f t="shared" si="29"/>
        <v>0</v>
      </c>
      <c r="L634" s="27">
        <f>IF('Pegar ML'!AB630=" ",'Pegar ML'!AB629,'Pegar ML'!AB630)</f>
        <v>0</v>
      </c>
      <c r="M634" s="27" t="str">
        <f>IF('Pegar ML'!AC630=" ",RIGHT('Pegar ML'!AC629,8),RIGHT('Pegar ML'!AC630,8))</f>
        <v/>
      </c>
      <c r="N634" s="27" t="s">
        <v>80</v>
      </c>
      <c r="O634" s="27">
        <f t="shared" si="27"/>
        <v>0</v>
      </c>
      <c r="P634" s="27" t="s">
        <v>80</v>
      </c>
      <c r="Q634" s="55">
        <f>IF('Pegar ML'!AD630=" ",'Pegar ML'!AD629,'Pegar ML'!AD630)</f>
        <v>0</v>
      </c>
      <c r="R634" s="27" t="s">
        <v>80</v>
      </c>
      <c r="S634" s="27" t="s">
        <v>80</v>
      </c>
      <c r="T634" s="27" t="s">
        <v>80</v>
      </c>
      <c r="U634" s="55">
        <f>IF('Pegar ML'!AI630=" ",'Pegar ML'!AI629,'Pegar ML'!AI630)</f>
        <v>0</v>
      </c>
      <c r="V634" s="55">
        <f>IF('Pegar ML'!AK630=" ",'Pegar ML'!AK629,'Pegar ML'!AK630)</f>
        <v>0</v>
      </c>
      <c r="W634" s="55">
        <f>IF('Pegar ML'!AJ630=" ",'Pegar ML'!AJ629,'Pegar ML'!AJ630)</f>
        <v>0</v>
      </c>
      <c r="X634" s="55">
        <f>IF('Pegar ML'!AL630=" ",'Pegar ML'!AL629,'Pegar ML'!AL630)</f>
        <v>0</v>
      </c>
      <c r="Y634" s="27"/>
      <c r="Z634" s="27"/>
      <c r="AA634" s="27"/>
      <c r="AB634" s="27"/>
      <c r="AC634" s="27"/>
      <c r="AD634" s="27"/>
      <c r="AF634" s="8"/>
      <c r="AG634" s="27"/>
      <c r="AH634" s="14">
        <f>+'Pegar ML'!Y630</f>
        <v>0</v>
      </c>
      <c r="AI634" s="13">
        <f t="shared" si="28"/>
        <v>1</v>
      </c>
      <c r="AJ634" s="7">
        <f>+'Pegar ML'!T630</f>
        <v>0</v>
      </c>
      <c r="AK634" s="27"/>
      <c r="AL634" s="27"/>
      <c r="AM634" s="27"/>
      <c r="AN634" s="27"/>
      <c r="AO634" s="27"/>
      <c r="AP634" s="27"/>
      <c r="AQ634" s="27"/>
      <c r="AR634" s="27"/>
      <c r="AS634" s="27">
        <v>17</v>
      </c>
    </row>
    <row r="635" spans="1:45" ht="15" customHeight="1" x14ac:dyDescent="0.25">
      <c r="A635" s="27">
        <f>IF('Pegar ML'!C630="Paquete de 2 productos",'Pegar ML'!A630,IF('Pegar ML'!C629="Paquete de 2 productos",'Pegar ML'!A629,'Pegar ML'!A631))</f>
        <v>0</v>
      </c>
      <c r="B635" s="27"/>
      <c r="C635" s="30" t="str">
        <f>IF(AjusteFecha!I631=0,"",AjusteFecha!I631)</f>
        <v/>
      </c>
      <c r="D635" s="27"/>
      <c r="E635" s="27"/>
      <c r="F635" s="27" t="str">
        <f>IF('Pegar ML'!C631="","",'Pegar ML'!C631)</f>
        <v/>
      </c>
      <c r="G635" s="27" t="str">
        <f>IF('Pegar ML'!G626="ARS","PS","PS")</f>
        <v>PS</v>
      </c>
      <c r="H635" s="14">
        <f>IF('Pegar ML'!C630="Paquete de 2 productos",IF('Pegar ML'!H630="",0,'Pegar ML'!H630),IF('Pegar ML'!H631="",0,'Pegar ML'!H631))</f>
        <v>0</v>
      </c>
      <c r="I635" s="14">
        <f>IF('Pegar ML'!C630="Paquete de 2 productos",IF('Pegar ML'!O630="",0,'Pegar ML'!O630),IF('Pegar ML'!O631="",0,'Pegar ML'!O631))</f>
        <v>0</v>
      </c>
      <c r="J635" s="14">
        <f>IF('Pegar ML'!C630="Paquete de 2 productos",IF('Pegar ML'!O630="",0,'Pegar ML'!O630),IF('Pegar ML'!O631="",0,'Pegar ML'!O631))</f>
        <v>0</v>
      </c>
      <c r="K635" s="14">
        <f t="shared" si="29"/>
        <v>0</v>
      </c>
      <c r="L635" s="27">
        <f>IF('Pegar ML'!AB631=" ",'Pegar ML'!AB630,'Pegar ML'!AB631)</f>
        <v>0</v>
      </c>
      <c r="M635" s="27" t="str">
        <f>IF('Pegar ML'!AC631=" ",RIGHT('Pegar ML'!AC630,8),RIGHT('Pegar ML'!AC631,8))</f>
        <v/>
      </c>
      <c r="N635" s="27" t="s">
        <v>80</v>
      </c>
      <c r="O635" s="27">
        <f t="shared" si="27"/>
        <v>0</v>
      </c>
      <c r="P635" s="27" t="s">
        <v>80</v>
      </c>
      <c r="Q635" s="55">
        <f>IF('Pegar ML'!AD631=" ",'Pegar ML'!AD630,'Pegar ML'!AD631)</f>
        <v>0</v>
      </c>
      <c r="R635" s="27" t="s">
        <v>80</v>
      </c>
      <c r="S635" s="27" t="s">
        <v>80</v>
      </c>
      <c r="T635" s="27" t="s">
        <v>80</v>
      </c>
      <c r="U635" s="55">
        <f>IF('Pegar ML'!AI631=" ",'Pegar ML'!AI630,'Pegar ML'!AI631)</f>
        <v>0</v>
      </c>
      <c r="V635" s="55">
        <f>IF('Pegar ML'!AK631=" ",'Pegar ML'!AK630,'Pegar ML'!AK631)</f>
        <v>0</v>
      </c>
      <c r="W635" s="55">
        <f>IF('Pegar ML'!AJ631=" ",'Pegar ML'!AJ630,'Pegar ML'!AJ631)</f>
        <v>0</v>
      </c>
      <c r="X635" s="55">
        <f>IF('Pegar ML'!AL631=" ",'Pegar ML'!AL630,'Pegar ML'!AL631)</f>
        <v>0</v>
      </c>
      <c r="Y635" s="27"/>
      <c r="Z635" s="27"/>
      <c r="AA635" s="27"/>
      <c r="AB635" s="27"/>
      <c r="AC635" s="27"/>
      <c r="AD635" s="27"/>
      <c r="AF635" s="8"/>
      <c r="AG635" s="27"/>
      <c r="AH635" s="14">
        <f>+'Pegar ML'!Y631</f>
        <v>0</v>
      </c>
      <c r="AI635" s="13">
        <f t="shared" si="28"/>
        <v>1</v>
      </c>
      <c r="AJ635" s="7">
        <f>+'Pegar ML'!T631</f>
        <v>0</v>
      </c>
      <c r="AK635" s="27"/>
      <c r="AL635" s="27"/>
      <c r="AM635" s="27"/>
      <c r="AN635" s="27"/>
      <c r="AO635" s="27"/>
      <c r="AP635" s="27"/>
      <c r="AQ635" s="27"/>
      <c r="AR635" s="27"/>
      <c r="AS635" s="27">
        <v>17</v>
      </c>
    </row>
    <row r="636" spans="1:45" ht="15" customHeight="1" x14ac:dyDescent="0.25">
      <c r="A636" s="27">
        <f>IF('Pegar ML'!C631="Paquete de 2 productos",'Pegar ML'!A631,IF('Pegar ML'!C630="Paquete de 2 productos",'Pegar ML'!A630,'Pegar ML'!A632))</f>
        <v>0</v>
      </c>
      <c r="B636" s="27"/>
      <c r="C636" s="30" t="str">
        <f>IF(AjusteFecha!I632=0,"",AjusteFecha!I632)</f>
        <v/>
      </c>
      <c r="D636" s="27"/>
      <c r="E636" s="27"/>
      <c r="F636" s="27" t="str">
        <f>IF('Pegar ML'!C632="","",'Pegar ML'!C632)</f>
        <v/>
      </c>
      <c r="G636" s="27" t="str">
        <f>IF('Pegar ML'!G627="ARS","PS","PS")</f>
        <v>PS</v>
      </c>
      <c r="H636" s="14">
        <f>IF('Pegar ML'!C631="Paquete de 2 productos",IF('Pegar ML'!H631="",0,'Pegar ML'!H631),IF('Pegar ML'!H632="",0,'Pegar ML'!H632))</f>
        <v>0</v>
      </c>
      <c r="I636" s="14">
        <f>IF('Pegar ML'!C631="Paquete de 2 productos",IF('Pegar ML'!O631="",0,'Pegar ML'!O631),IF('Pegar ML'!O632="",0,'Pegar ML'!O632))</f>
        <v>0</v>
      </c>
      <c r="J636" s="14">
        <f>IF('Pegar ML'!C631="Paquete de 2 productos",IF('Pegar ML'!O631="",0,'Pegar ML'!O631),IF('Pegar ML'!O632="",0,'Pegar ML'!O632))</f>
        <v>0</v>
      </c>
      <c r="K636" s="14">
        <f t="shared" si="29"/>
        <v>0</v>
      </c>
      <c r="L636" s="27">
        <f>IF('Pegar ML'!AB632=" ",'Pegar ML'!AB631,'Pegar ML'!AB632)</f>
        <v>0</v>
      </c>
      <c r="M636" s="27" t="str">
        <f>IF('Pegar ML'!AC632=" ",RIGHT('Pegar ML'!AC631,8),RIGHT('Pegar ML'!AC632,8))</f>
        <v/>
      </c>
      <c r="N636" s="27" t="s">
        <v>80</v>
      </c>
      <c r="O636" s="27">
        <f t="shared" si="27"/>
        <v>0</v>
      </c>
      <c r="P636" s="27" t="s">
        <v>80</v>
      </c>
      <c r="Q636" s="55">
        <f>IF('Pegar ML'!AD632=" ",'Pegar ML'!AD631,'Pegar ML'!AD632)</f>
        <v>0</v>
      </c>
      <c r="R636" s="27" t="s">
        <v>80</v>
      </c>
      <c r="S636" s="27" t="s">
        <v>80</v>
      </c>
      <c r="T636" s="27" t="s">
        <v>80</v>
      </c>
      <c r="U636" s="55">
        <f>IF('Pegar ML'!AI632=" ",'Pegar ML'!AI631,'Pegar ML'!AI632)</f>
        <v>0</v>
      </c>
      <c r="V636" s="55">
        <f>IF('Pegar ML'!AK632=" ",'Pegar ML'!AK631,'Pegar ML'!AK632)</f>
        <v>0</v>
      </c>
      <c r="W636" s="55">
        <f>IF('Pegar ML'!AJ632=" ",'Pegar ML'!AJ631,'Pegar ML'!AJ632)</f>
        <v>0</v>
      </c>
      <c r="X636" s="55">
        <f>IF('Pegar ML'!AL632=" ",'Pegar ML'!AL631,'Pegar ML'!AL632)</f>
        <v>0</v>
      </c>
      <c r="Y636" s="27"/>
      <c r="Z636" s="27"/>
      <c r="AA636" s="27"/>
      <c r="AB636" s="27"/>
      <c r="AC636" s="27"/>
      <c r="AD636" s="27"/>
      <c r="AF636" s="8"/>
      <c r="AG636" s="27"/>
      <c r="AH636" s="14">
        <f>+'Pegar ML'!Y632</f>
        <v>0</v>
      </c>
      <c r="AI636" s="13">
        <f t="shared" si="28"/>
        <v>1</v>
      </c>
      <c r="AJ636" s="7">
        <f>+'Pegar ML'!T632</f>
        <v>0</v>
      </c>
      <c r="AK636" s="27"/>
      <c r="AL636" s="27"/>
      <c r="AM636" s="27"/>
      <c r="AN636" s="27"/>
      <c r="AO636" s="27"/>
      <c r="AP636" s="27"/>
      <c r="AQ636" s="27"/>
      <c r="AR636" s="27"/>
      <c r="AS636" s="27">
        <v>17</v>
      </c>
    </row>
    <row r="637" spans="1:45" ht="15" customHeight="1" x14ac:dyDescent="0.25">
      <c r="A637" s="27">
        <f>IF('Pegar ML'!C632="Paquete de 2 productos",'Pegar ML'!A632,IF('Pegar ML'!C631="Paquete de 2 productos",'Pegar ML'!A631,'Pegar ML'!A633))</f>
        <v>0</v>
      </c>
      <c r="B637" s="27"/>
      <c r="C637" s="30" t="str">
        <f>IF(AjusteFecha!I633=0,"",AjusteFecha!I633)</f>
        <v/>
      </c>
      <c r="D637" s="27"/>
      <c r="E637" s="27"/>
      <c r="F637" s="27" t="str">
        <f>IF('Pegar ML'!C633="","",'Pegar ML'!C633)</f>
        <v/>
      </c>
      <c r="G637" s="27" t="str">
        <f>IF('Pegar ML'!G628="ARS","PS","PS")</f>
        <v>PS</v>
      </c>
      <c r="H637" s="14">
        <f>IF('Pegar ML'!C632="Paquete de 2 productos",IF('Pegar ML'!H632="",0,'Pegar ML'!H632),IF('Pegar ML'!H633="",0,'Pegar ML'!H633))</f>
        <v>0</v>
      </c>
      <c r="I637" s="14">
        <f>IF('Pegar ML'!C632="Paquete de 2 productos",IF('Pegar ML'!O632="",0,'Pegar ML'!O632),IF('Pegar ML'!O633="",0,'Pegar ML'!O633))</f>
        <v>0</v>
      </c>
      <c r="J637" s="14">
        <f>IF('Pegar ML'!C632="Paquete de 2 productos",IF('Pegar ML'!O632="",0,'Pegar ML'!O632),IF('Pegar ML'!O633="",0,'Pegar ML'!O633))</f>
        <v>0</v>
      </c>
      <c r="K637" s="14">
        <f t="shared" si="29"/>
        <v>0</v>
      </c>
      <c r="L637" s="27">
        <f>IF('Pegar ML'!AB633=" ",'Pegar ML'!AB632,'Pegar ML'!AB633)</f>
        <v>0</v>
      </c>
      <c r="M637" s="27" t="str">
        <f>IF('Pegar ML'!AC633=" ",RIGHT('Pegar ML'!AC632,8),RIGHT('Pegar ML'!AC633,8))</f>
        <v/>
      </c>
      <c r="N637" s="27" t="s">
        <v>80</v>
      </c>
      <c r="O637" s="27">
        <f t="shared" si="27"/>
        <v>0</v>
      </c>
      <c r="P637" s="27" t="s">
        <v>80</v>
      </c>
      <c r="Q637" s="55">
        <f>IF('Pegar ML'!AD633=" ",'Pegar ML'!AD632,'Pegar ML'!AD633)</f>
        <v>0</v>
      </c>
      <c r="R637" s="27" t="s">
        <v>80</v>
      </c>
      <c r="S637" s="27" t="s">
        <v>80</v>
      </c>
      <c r="T637" s="27" t="s">
        <v>80</v>
      </c>
      <c r="U637" s="55">
        <f>IF('Pegar ML'!AI633=" ",'Pegar ML'!AI632,'Pegar ML'!AI633)</f>
        <v>0</v>
      </c>
      <c r="V637" s="55">
        <f>IF('Pegar ML'!AK633=" ",'Pegar ML'!AK632,'Pegar ML'!AK633)</f>
        <v>0</v>
      </c>
      <c r="W637" s="55">
        <f>IF('Pegar ML'!AJ633=" ",'Pegar ML'!AJ632,'Pegar ML'!AJ633)</f>
        <v>0</v>
      </c>
      <c r="X637" s="55">
        <f>IF('Pegar ML'!AL633=" ",'Pegar ML'!AL632,'Pegar ML'!AL633)</f>
        <v>0</v>
      </c>
      <c r="Y637" s="27"/>
      <c r="Z637" s="27"/>
      <c r="AA637" s="27"/>
      <c r="AB637" s="27"/>
      <c r="AC637" s="27"/>
      <c r="AD637" s="27"/>
      <c r="AF637" s="8"/>
      <c r="AG637" s="27"/>
      <c r="AH637" s="14">
        <f>+'Pegar ML'!Y633</f>
        <v>0</v>
      </c>
      <c r="AI637" s="13">
        <f t="shared" si="28"/>
        <v>1</v>
      </c>
      <c r="AJ637" s="7">
        <f>+'Pegar ML'!T633</f>
        <v>0</v>
      </c>
      <c r="AK637" s="27"/>
      <c r="AL637" s="27"/>
      <c r="AM637" s="27"/>
      <c r="AN637" s="27"/>
      <c r="AO637" s="27"/>
      <c r="AP637" s="27"/>
      <c r="AQ637" s="27"/>
      <c r="AR637" s="27"/>
      <c r="AS637" s="27">
        <v>17</v>
      </c>
    </row>
    <row r="638" spans="1:45" ht="15" customHeight="1" x14ac:dyDescent="0.25">
      <c r="A638" s="27">
        <f>IF('Pegar ML'!C633="Paquete de 2 productos",'Pegar ML'!A633,IF('Pegar ML'!C632="Paquete de 2 productos",'Pegar ML'!A632,'Pegar ML'!A634))</f>
        <v>0</v>
      </c>
      <c r="B638" s="27"/>
      <c r="C638" s="30" t="str">
        <f>IF(AjusteFecha!I634=0,"",AjusteFecha!I634)</f>
        <v/>
      </c>
      <c r="D638" s="27"/>
      <c r="E638" s="27"/>
      <c r="F638" s="27" t="str">
        <f>IF('Pegar ML'!C634="","",'Pegar ML'!C634)</f>
        <v/>
      </c>
      <c r="G638" s="27" t="str">
        <f>IF('Pegar ML'!G629="ARS","PS","PS")</f>
        <v>PS</v>
      </c>
      <c r="H638" s="14">
        <f>IF('Pegar ML'!C633="Paquete de 2 productos",IF('Pegar ML'!H633="",0,'Pegar ML'!H633),IF('Pegar ML'!H634="",0,'Pegar ML'!H634))</f>
        <v>0</v>
      </c>
      <c r="I638" s="14">
        <f>IF('Pegar ML'!C633="Paquete de 2 productos",IF('Pegar ML'!O633="",0,'Pegar ML'!O633),IF('Pegar ML'!O634="",0,'Pegar ML'!O634))</f>
        <v>0</v>
      </c>
      <c r="J638" s="14">
        <f>IF('Pegar ML'!C633="Paquete de 2 productos",IF('Pegar ML'!O633="",0,'Pegar ML'!O633),IF('Pegar ML'!O634="",0,'Pegar ML'!O634))</f>
        <v>0</v>
      </c>
      <c r="K638" s="14">
        <f t="shared" si="29"/>
        <v>0</v>
      </c>
      <c r="L638" s="27">
        <f>IF('Pegar ML'!AB634=" ",'Pegar ML'!AB633,'Pegar ML'!AB634)</f>
        <v>0</v>
      </c>
      <c r="M638" s="27" t="str">
        <f>IF('Pegar ML'!AC634=" ",RIGHT('Pegar ML'!AC633,8),RIGHT('Pegar ML'!AC634,8))</f>
        <v/>
      </c>
      <c r="N638" s="27" t="s">
        <v>80</v>
      </c>
      <c r="O638" s="27">
        <f t="shared" si="27"/>
        <v>0</v>
      </c>
      <c r="P638" s="27" t="s">
        <v>80</v>
      </c>
      <c r="Q638" s="55">
        <f>IF('Pegar ML'!AD634=" ",'Pegar ML'!AD633,'Pegar ML'!AD634)</f>
        <v>0</v>
      </c>
      <c r="R638" s="27" t="s">
        <v>80</v>
      </c>
      <c r="S638" s="27" t="s">
        <v>80</v>
      </c>
      <c r="T638" s="27" t="s">
        <v>80</v>
      </c>
      <c r="U638" s="55">
        <f>IF('Pegar ML'!AI634=" ",'Pegar ML'!AI633,'Pegar ML'!AI634)</f>
        <v>0</v>
      </c>
      <c r="V638" s="55">
        <f>IF('Pegar ML'!AK634=" ",'Pegar ML'!AK633,'Pegar ML'!AK634)</f>
        <v>0</v>
      </c>
      <c r="W638" s="55">
        <f>IF('Pegar ML'!AJ634=" ",'Pegar ML'!AJ633,'Pegar ML'!AJ634)</f>
        <v>0</v>
      </c>
      <c r="X638" s="55">
        <f>IF('Pegar ML'!AL634=" ",'Pegar ML'!AL633,'Pegar ML'!AL634)</f>
        <v>0</v>
      </c>
      <c r="Y638" s="27"/>
      <c r="Z638" s="27"/>
      <c r="AA638" s="27"/>
      <c r="AB638" s="27"/>
      <c r="AC638" s="27"/>
      <c r="AD638" s="27"/>
      <c r="AF638" s="8"/>
      <c r="AG638" s="27"/>
      <c r="AH638" s="14">
        <f>+'Pegar ML'!Y634</f>
        <v>0</v>
      </c>
      <c r="AI638" s="13">
        <f t="shared" si="28"/>
        <v>1</v>
      </c>
      <c r="AJ638" s="7">
        <f>+'Pegar ML'!T634</f>
        <v>0</v>
      </c>
      <c r="AK638" s="27"/>
      <c r="AL638" s="27"/>
      <c r="AM638" s="27"/>
      <c r="AN638" s="27"/>
      <c r="AO638" s="27"/>
      <c r="AP638" s="27"/>
      <c r="AQ638" s="27"/>
      <c r="AR638" s="27"/>
      <c r="AS638" s="27">
        <v>17</v>
      </c>
    </row>
    <row r="639" spans="1:45" ht="15" customHeight="1" x14ac:dyDescent="0.25">
      <c r="A639" s="27">
        <f>IF('Pegar ML'!C634="Paquete de 2 productos",'Pegar ML'!A634,IF('Pegar ML'!C633="Paquete de 2 productos",'Pegar ML'!A633,'Pegar ML'!A635))</f>
        <v>0</v>
      </c>
      <c r="B639" s="27"/>
      <c r="C639" s="30" t="str">
        <f>IF(AjusteFecha!I635=0,"",AjusteFecha!I635)</f>
        <v/>
      </c>
      <c r="D639" s="27"/>
      <c r="E639" s="27"/>
      <c r="F639" s="27" t="str">
        <f>IF('Pegar ML'!C635="","",'Pegar ML'!C635)</f>
        <v/>
      </c>
      <c r="G639" s="27" t="str">
        <f>IF('Pegar ML'!G630="ARS","PS","PS")</f>
        <v>PS</v>
      </c>
      <c r="H639" s="14">
        <f>IF('Pegar ML'!C634="Paquete de 2 productos",IF('Pegar ML'!H634="",0,'Pegar ML'!H634),IF('Pegar ML'!H635="",0,'Pegar ML'!H635))</f>
        <v>0</v>
      </c>
      <c r="I639" s="14">
        <f>IF('Pegar ML'!C634="Paquete de 2 productos",IF('Pegar ML'!O634="",0,'Pegar ML'!O634),IF('Pegar ML'!O635="",0,'Pegar ML'!O635))</f>
        <v>0</v>
      </c>
      <c r="J639" s="14">
        <f>IF('Pegar ML'!C634="Paquete de 2 productos",IF('Pegar ML'!O634="",0,'Pegar ML'!O634),IF('Pegar ML'!O635="",0,'Pegar ML'!O635))</f>
        <v>0</v>
      </c>
      <c r="K639" s="14">
        <f t="shared" si="29"/>
        <v>0</v>
      </c>
      <c r="L639" s="27">
        <f>IF('Pegar ML'!AB635=" ",'Pegar ML'!AB634,'Pegar ML'!AB635)</f>
        <v>0</v>
      </c>
      <c r="M639" s="27" t="str">
        <f>IF('Pegar ML'!AC635=" ",RIGHT('Pegar ML'!AC634,8),RIGHT('Pegar ML'!AC635,8))</f>
        <v/>
      </c>
      <c r="N639" s="27" t="s">
        <v>80</v>
      </c>
      <c r="O639" s="27">
        <f t="shared" si="27"/>
        <v>0</v>
      </c>
      <c r="P639" s="27" t="s">
        <v>80</v>
      </c>
      <c r="Q639" s="55">
        <f>IF('Pegar ML'!AD635=" ",'Pegar ML'!AD634,'Pegar ML'!AD635)</f>
        <v>0</v>
      </c>
      <c r="R639" s="27" t="s">
        <v>80</v>
      </c>
      <c r="S639" s="27" t="s">
        <v>80</v>
      </c>
      <c r="T639" s="27" t="s">
        <v>80</v>
      </c>
      <c r="U639" s="55">
        <f>IF('Pegar ML'!AI635=" ",'Pegar ML'!AI634,'Pegar ML'!AI635)</f>
        <v>0</v>
      </c>
      <c r="V639" s="55">
        <f>IF('Pegar ML'!AK635=" ",'Pegar ML'!AK634,'Pegar ML'!AK635)</f>
        <v>0</v>
      </c>
      <c r="W639" s="55">
        <f>IF('Pegar ML'!AJ635=" ",'Pegar ML'!AJ634,'Pegar ML'!AJ635)</f>
        <v>0</v>
      </c>
      <c r="X639" s="55">
        <f>IF('Pegar ML'!AL635=" ",'Pegar ML'!AL634,'Pegar ML'!AL635)</f>
        <v>0</v>
      </c>
      <c r="Y639" s="27"/>
      <c r="Z639" s="27"/>
      <c r="AA639" s="27"/>
      <c r="AB639" s="27"/>
      <c r="AC639" s="27"/>
      <c r="AD639" s="27"/>
      <c r="AF639" s="8"/>
      <c r="AG639" s="27"/>
      <c r="AH639" s="14">
        <f>+'Pegar ML'!Y635</f>
        <v>0</v>
      </c>
      <c r="AI639" s="13">
        <f t="shared" si="28"/>
        <v>1</v>
      </c>
      <c r="AJ639" s="7">
        <f>+'Pegar ML'!T635</f>
        <v>0</v>
      </c>
      <c r="AK639" s="27"/>
      <c r="AL639" s="27"/>
      <c r="AM639" s="27"/>
      <c r="AN639" s="27"/>
      <c r="AO639" s="27"/>
      <c r="AP639" s="27"/>
      <c r="AQ639" s="27"/>
      <c r="AR639" s="27"/>
      <c r="AS639" s="27">
        <v>17</v>
      </c>
    </row>
    <row r="640" spans="1:45" ht="15" customHeight="1" x14ac:dyDescent="0.25">
      <c r="A640" s="27">
        <f>IF('Pegar ML'!C635="Paquete de 2 productos",'Pegar ML'!A635,IF('Pegar ML'!C634="Paquete de 2 productos",'Pegar ML'!A634,'Pegar ML'!A636))</f>
        <v>0</v>
      </c>
      <c r="B640" s="27"/>
      <c r="C640" s="30" t="str">
        <f>IF(AjusteFecha!I636=0,"",AjusteFecha!I636)</f>
        <v/>
      </c>
      <c r="D640" s="27"/>
      <c r="E640" s="27"/>
      <c r="F640" s="27" t="str">
        <f>IF('Pegar ML'!C636="","",'Pegar ML'!C636)</f>
        <v/>
      </c>
      <c r="G640" s="27" t="str">
        <f>IF('Pegar ML'!G631="ARS","PS","PS")</f>
        <v>PS</v>
      </c>
      <c r="H640" s="14">
        <f>IF('Pegar ML'!C635="Paquete de 2 productos",IF('Pegar ML'!H635="",0,'Pegar ML'!H635),IF('Pegar ML'!H636="",0,'Pegar ML'!H636))</f>
        <v>0</v>
      </c>
      <c r="I640" s="14">
        <f>IF('Pegar ML'!C635="Paquete de 2 productos",IF('Pegar ML'!O635="",0,'Pegar ML'!O635),IF('Pegar ML'!O636="",0,'Pegar ML'!O636))</f>
        <v>0</v>
      </c>
      <c r="J640" s="14">
        <f>IF('Pegar ML'!C635="Paquete de 2 productos",IF('Pegar ML'!O635="",0,'Pegar ML'!O635),IF('Pegar ML'!O636="",0,'Pegar ML'!O636))</f>
        <v>0</v>
      </c>
      <c r="K640" s="14">
        <f t="shared" si="29"/>
        <v>0</v>
      </c>
      <c r="L640" s="27">
        <f>IF('Pegar ML'!AB636=" ",'Pegar ML'!AB635,'Pegar ML'!AB636)</f>
        <v>0</v>
      </c>
      <c r="M640" s="27" t="str">
        <f>IF('Pegar ML'!AC636=" ",RIGHT('Pegar ML'!AC635,8),RIGHT('Pegar ML'!AC636,8))</f>
        <v/>
      </c>
      <c r="N640" s="27" t="s">
        <v>80</v>
      </c>
      <c r="O640" s="27">
        <f t="shared" si="27"/>
        <v>0</v>
      </c>
      <c r="P640" s="27" t="s">
        <v>80</v>
      </c>
      <c r="Q640" s="55">
        <f>IF('Pegar ML'!AD636=" ",'Pegar ML'!AD635,'Pegar ML'!AD636)</f>
        <v>0</v>
      </c>
      <c r="R640" s="27" t="s">
        <v>80</v>
      </c>
      <c r="S640" s="27" t="s">
        <v>80</v>
      </c>
      <c r="T640" s="27" t="s">
        <v>80</v>
      </c>
      <c r="U640" s="55">
        <f>IF('Pegar ML'!AI636=" ",'Pegar ML'!AI635,'Pegar ML'!AI636)</f>
        <v>0</v>
      </c>
      <c r="V640" s="55">
        <f>IF('Pegar ML'!AK636=" ",'Pegar ML'!AK635,'Pegar ML'!AK636)</f>
        <v>0</v>
      </c>
      <c r="W640" s="55">
        <f>IF('Pegar ML'!AJ636=" ",'Pegar ML'!AJ635,'Pegar ML'!AJ636)</f>
        <v>0</v>
      </c>
      <c r="X640" s="55">
        <f>IF('Pegar ML'!AL636=" ",'Pegar ML'!AL635,'Pegar ML'!AL636)</f>
        <v>0</v>
      </c>
      <c r="Y640" s="27"/>
      <c r="Z640" s="27"/>
      <c r="AA640" s="27"/>
      <c r="AB640" s="27"/>
      <c r="AC640" s="27"/>
      <c r="AD640" s="27"/>
      <c r="AF640" s="8"/>
      <c r="AG640" s="27"/>
      <c r="AH640" s="14">
        <f>+'Pegar ML'!Y636</f>
        <v>0</v>
      </c>
      <c r="AI640" s="13">
        <f t="shared" si="28"/>
        <v>1</v>
      </c>
      <c r="AJ640" s="7">
        <f>+'Pegar ML'!T636</f>
        <v>0</v>
      </c>
      <c r="AK640" s="27"/>
      <c r="AL640" s="27"/>
      <c r="AM640" s="27"/>
      <c r="AN640" s="27"/>
      <c r="AO640" s="27"/>
      <c r="AP640" s="27"/>
      <c r="AQ640" s="27"/>
      <c r="AR640" s="27"/>
      <c r="AS640" s="27">
        <v>17</v>
      </c>
    </row>
    <row r="641" spans="1:45" ht="15" customHeight="1" x14ac:dyDescent="0.25">
      <c r="A641" s="27">
        <f>IF('Pegar ML'!C636="Paquete de 2 productos",'Pegar ML'!A636,IF('Pegar ML'!C635="Paquete de 2 productos",'Pegar ML'!A635,'Pegar ML'!A637))</f>
        <v>0</v>
      </c>
      <c r="B641" s="27"/>
      <c r="C641" s="30" t="str">
        <f>IF(AjusteFecha!I637=0,"",AjusteFecha!I637)</f>
        <v/>
      </c>
      <c r="D641" s="27"/>
      <c r="E641" s="27"/>
      <c r="F641" s="27" t="str">
        <f>IF('Pegar ML'!C637="","",'Pegar ML'!C637)</f>
        <v/>
      </c>
      <c r="G641" s="27" t="str">
        <f>IF('Pegar ML'!G632="ARS","PS","PS")</f>
        <v>PS</v>
      </c>
      <c r="H641" s="14">
        <f>IF('Pegar ML'!C636="Paquete de 2 productos",IF('Pegar ML'!H636="",0,'Pegar ML'!H636),IF('Pegar ML'!H637="",0,'Pegar ML'!H637))</f>
        <v>0</v>
      </c>
      <c r="I641" s="14">
        <f>IF('Pegar ML'!C636="Paquete de 2 productos",IF('Pegar ML'!O636="",0,'Pegar ML'!O636),IF('Pegar ML'!O637="",0,'Pegar ML'!O637))</f>
        <v>0</v>
      </c>
      <c r="J641" s="14">
        <f>IF('Pegar ML'!C636="Paquete de 2 productos",IF('Pegar ML'!O636="",0,'Pegar ML'!O636),IF('Pegar ML'!O637="",0,'Pegar ML'!O637))</f>
        <v>0</v>
      </c>
      <c r="K641" s="14">
        <f t="shared" si="29"/>
        <v>0</v>
      </c>
      <c r="L641" s="27">
        <f>IF('Pegar ML'!AB637=" ",'Pegar ML'!AB636,'Pegar ML'!AB637)</f>
        <v>0</v>
      </c>
      <c r="M641" s="27" t="str">
        <f>IF('Pegar ML'!AC637=" ",RIGHT('Pegar ML'!AC636,8),RIGHT('Pegar ML'!AC637,8))</f>
        <v/>
      </c>
      <c r="N641" s="27" t="s">
        <v>80</v>
      </c>
      <c r="O641" s="27">
        <f t="shared" si="27"/>
        <v>0</v>
      </c>
      <c r="P641" s="27" t="s">
        <v>80</v>
      </c>
      <c r="Q641" s="55">
        <f>IF('Pegar ML'!AD637=" ",'Pegar ML'!AD636,'Pegar ML'!AD637)</f>
        <v>0</v>
      </c>
      <c r="R641" s="27" t="s">
        <v>80</v>
      </c>
      <c r="S641" s="27" t="s">
        <v>80</v>
      </c>
      <c r="T641" s="27" t="s">
        <v>80</v>
      </c>
      <c r="U641" s="55">
        <f>IF('Pegar ML'!AI637=" ",'Pegar ML'!AI636,'Pegar ML'!AI637)</f>
        <v>0</v>
      </c>
      <c r="V641" s="55">
        <f>IF('Pegar ML'!AK637=" ",'Pegar ML'!AK636,'Pegar ML'!AK637)</f>
        <v>0</v>
      </c>
      <c r="W641" s="55">
        <f>IF('Pegar ML'!AJ637=" ",'Pegar ML'!AJ636,'Pegar ML'!AJ637)</f>
        <v>0</v>
      </c>
      <c r="X641" s="55">
        <f>IF('Pegar ML'!AL637=" ",'Pegar ML'!AL636,'Pegar ML'!AL637)</f>
        <v>0</v>
      </c>
      <c r="Y641" s="27"/>
      <c r="Z641" s="27"/>
      <c r="AA641" s="27"/>
      <c r="AB641" s="27"/>
      <c r="AC641" s="27"/>
      <c r="AD641" s="27"/>
      <c r="AF641" s="8"/>
      <c r="AG641" s="27"/>
      <c r="AH641" s="14">
        <f>+'Pegar ML'!Y637</f>
        <v>0</v>
      </c>
      <c r="AI641" s="13">
        <f t="shared" si="28"/>
        <v>1</v>
      </c>
      <c r="AJ641" s="7">
        <f>+'Pegar ML'!T637</f>
        <v>0</v>
      </c>
      <c r="AK641" s="27"/>
      <c r="AL641" s="27"/>
      <c r="AM641" s="27"/>
      <c r="AN641" s="27"/>
      <c r="AO641" s="27"/>
      <c r="AP641" s="27"/>
      <c r="AQ641" s="27"/>
      <c r="AR641" s="27"/>
      <c r="AS641" s="27">
        <v>17</v>
      </c>
    </row>
    <row r="642" spans="1:45" ht="15" customHeight="1" x14ac:dyDescent="0.25">
      <c r="A642" s="27">
        <f>IF('Pegar ML'!C637="Paquete de 2 productos",'Pegar ML'!A637,IF('Pegar ML'!C636="Paquete de 2 productos",'Pegar ML'!A636,'Pegar ML'!A638))</f>
        <v>0</v>
      </c>
      <c r="B642" s="27"/>
      <c r="C642" s="30" t="str">
        <f>IF(AjusteFecha!I638=0,"",AjusteFecha!I638)</f>
        <v/>
      </c>
      <c r="D642" s="27"/>
      <c r="E642" s="27"/>
      <c r="F642" s="27" t="str">
        <f>IF('Pegar ML'!C638="","",'Pegar ML'!C638)</f>
        <v/>
      </c>
      <c r="G642" s="27" t="str">
        <f>IF('Pegar ML'!G633="ARS","PS","PS")</f>
        <v>PS</v>
      </c>
      <c r="H642" s="14">
        <f>IF('Pegar ML'!C637="Paquete de 2 productos",IF('Pegar ML'!H637="",0,'Pegar ML'!H637),IF('Pegar ML'!H638="",0,'Pegar ML'!H638))</f>
        <v>0</v>
      </c>
      <c r="I642" s="14">
        <f>IF('Pegar ML'!C637="Paquete de 2 productos",IF('Pegar ML'!O637="",0,'Pegar ML'!O637),IF('Pegar ML'!O638="",0,'Pegar ML'!O638))</f>
        <v>0</v>
      </c>
      <c r="J642" s="14">
        <f>IF('Pegar ML'!C637="Paquete de 2 productos",IF('Pegar ML'!O637="",0,'Pegar ML'!O637),IF('Pegar ML'!O638="",0,'Pegar ML'!O638))</f>
        <v>0</v>
      </c>
      <c r="K642" s="14">
        <f t="shared" si="29"/>
        <v>0</v>
      </c>
      <c r="L642" s="27">
        <f>IF('Pegar ML'!AB638=" ",'Pegar ML'!AB637,'Pegar ML'!AB638)</f>
        <v>0</v>
      </c>
      <c r="M642" s="27" t="str">
        <f>IF('Pegar ML'!AC638=" ",RIGHT('Pegar ML'!AC637,8),RIGHT('Pegar ML'!AC638,8))</f>
        <v/>
      </c>
      <c r="N642" s="27" t="s">
        <v>80</v>
      </c>
      <c r="O642" s="27">
        <f t="shared" si="27"/>
        <v>0</v>
      </c>
      <c r="P642" s="27" t="s">
        <v>80</v>
      </c>
      <c r="Q642" s="55">
        <f>IF('Pegar ML'!AD638=" ",'Pegar ML'!AD637,'Pegar ML'!AD638)</f>
        <v>0</v>
      </c>
      <c r="R642" s="27" t="s">
        <v>80</v>
      </c>
      <c r="S642" s="27" t="s">
        <v>80</v>
      </c>
      <c r="T642" s="27" t="s">
        <v>80</v>
      </c>
      <c r="U642" s="55">
        <f>IF('Pegar ML'!AI638=" ",'Pegar ML'!AI637,'Pegar ML'!AI638)</f>
        <v>0</v>
      </c>
      <c r="V642" s="55">
        <f>IF('Pegar ML'!AK638=" ",'Pegar ML'!AK637,'Pegar ML'!AK638)</f>
        <v>0</v>
      </c>
      <c r="W642" s="55">
        <f>IF('Pegar ML'!AJ638=" ",'Pegar ML'!AJ637,'Pegar ML'!AJ638)</f>
        <v>0</v>
      </c>
      <c r="X642" s="55">
        <f>IF('Pegar ML'!AL638=" ",'Pegar ML'!AL637,'Pegar ML'!AL638)</f>
        <v>0</v>
      </c>
      <c r="Y642" s="27"/>
      <c r="Z642" s="27"/>
      <c r="AA642" s="27"/>
      <c r="AB642" s="27"/>
      <c r="AC642" s="27"/>
      <c r="AD642" s="27"/>
      <c r="AF642" s="8"/>
      <c r="AG642" s="27"/>
      <c r="AH642" s="14">
        <f>+'Pegar ML'!Y638</f>
        <v>0</v>
      </c>
      <c r="AI642" s="13">
        <f t="shared" si="28"/>
        <v>1</v>
      </c>
      <c r="AJ642" s="7">
        <f>+'Pegar ML'!T638</f>
        <v>0</v>
      </c>
      <c r="AK642" s="27"/>
      <c r="AL642" s="27"/>
      <c r="AM642" s="27"/>
      <c r="AN642" s="27"/>
      <c r="AO642" s="27"/>
      <c r="AP642" s="27"/>
      <c r="AQ642" s="27"/>
      <c r="AR642" s="27"/>
      <c r="AS642" s="27">
        <v>17</v>
      </c>
    </row>
    <row r="643" spans="1:45" ht="15" customHeight="1" x14ac:dyDescent="0.25">
      <c r="A643" s="27">
        <f>IF('Pegar ML'!C638="Paquete de 2 productos",'Pegar ML'!A638,IF('Pegar ML'!C637="Paquete de 2 productos",'Pegar ML'!A637,'Pegar ML'!A639))</f>
        <v>0</v>
      </c>
      <c r="B643" s="27"/>
      <c r="C643" s="30" t="str">
        <f>IF(AjusteFecha!I639=0,"",AjusteFecha!I639)</f>
        <v/>
      </c>
      <c r="D643" s="27"/>
      <c r="E643" s="27"/>
      <c r="F643" s="27" t="str">
        <f>IF('Pegar ML'!C639="","",'Pegar ML'!C639)</f>
        <v/>
      </c>
      <c r="G643" s="27" t="str">
        <f>IF('Pegar ML'!G634="ARS","PS","PS")</f>
        <v>PS</v>
      </c>
      <c r="H643" s="14">
        <f>IF('Pegar ML'!C638="Paquete de 2 productos",IF('Pegar ML'!H638="",0,'Pegar ML'!H638),IF('Pegar ML'!H639="",0,'Pegar ML'!H639))</f>
        <v>0</v>
      </c>
      <c r="I643" s="14">
        <f>IF('Pegar ML'!C638="Paquete de 2 productos",IF('Pegar ML'!O638="",0,'Pegar ML'!O638),IF('Pegar ML'!O639="",0,'Pegar ML'!O639))</f>
        <v>0</v>
      </c>
      <c r="J643" s="14">
        <f>IF('Pegar ML'!C638="Paquete de 2 productos",IF('Pegar ML'!O638="",0,'Pegar ML'!O638),IF('Pegar ML'!O639="",0,'Pegar ML'!O639))</f>
        <v>0</v>
      </c>
      <c r="K643" s="14">
        <f t="shared" si="29"/>
        <v>0</v>
      </c>
      <c r="L643" s="27">
        <f>IF('Pegar ML'!AB639=" ",'Pegar ML'!AB638,'Pegar ML'!AB639)</f>
        <v>0</v>
      </c>
      <c r="M643" s="27" t="str">
        <f>IF('Pegar ML'!AC639=" ",RIGHT('Pegar ML'!AC638,8),RIGHT('Pegar ML'!AC639,8))</f>
        <v/>
      </c>
      <c r="N643" s="27" t="s">
        <v>80</v>
      </c>
      <c r="O643" s="27">
        <f t="shared" si="27"/>
        <v>0</v>
      </c>
      <c r="P643" s="27" t="s">
        <v>80</v>
      </c>
      <c r="Q643" s="55">
        <f>IF('Pegar ML'!AD639=" ",'Pegar ML'!AD638,'Pegar ML'!AD639)</f>
        <v>0</v>
      </c>
      <c r="R643" s="27" t="s">
        <v>80</v>
      </c>
      <c r="S643" s="27" t="s">
        <v>80</v>
      </c>
      <c r="T643" s="27" t="s">
        <v>80</v>
      </c>
      <c r="U643" s="55">
        <f>IF('Pegar ML'!AI639=" ",'Pegar ML'!AI638,'Pegar ML'!AI639)</f>
        <v>0</v>
      </c>
      <c r="V643" s="55">
        <f>IF('Pegar ML'!AK639=" ",'Pegar ML'!AK638,'Pegar ML'!AK639)</f>
        <v>0</v>
      </c>
      <c r="W643" s="55">
        <f>IF('Pegar ML'!AJ639=" ",'Pegar ML'!AJ638,'Pegar ML'!AJ639)</f>
        <v>0</v>
      </c>
      <c r="X643" s="55">
        <f>IF('Pegar ML'!AL639=" ",'Pegar ML'!AL638,'Pegar ML'!AL639)</f>
        <v>0</v>
      </c>
      <c r="Y643" s="27"/>
      <c r="Z643" s="27"/>
      <c r="AA643" s="27"/>
      <c r="AB643" s="27"/>
      <c r="AC643" s="27"/>
      <c r="AD643" s="27"/>
      <c r="AF643" s="8"/>
      <c r="AG643" s="27"/>
      <c r="AH643" s="14">
        <f>+'Pegar ML'!Y639</f>
        <v>0</v>
      </c>
      <c r="AI643" s="13">
        <f t="shared" si="28"/>
        <v>1</v>
      </c>
      <c r="AJ643" s="7">
        <f>+'Pegar ML'!T639</f>
        <v>0</v>
      </c>
      <c r="AK643" s="27"/>
      <c r="AL643" s="27"/>
      <c r="AM643" s="27"/>
      <c r="AN643" s="27"/>
      <c r="AO643" s="27"/>
      <c r="AP643" s="27"/>
      <c r="AQ643" s="27"/>
      <c r="AR643" s="27"/>
      <c r="AS643" s="27">
        <v>17</v>
      </c>
    </row>
    <row r="644" spans="1:45" ht="15" customHeight="1" x14ac:dyDescent="0.25">
      <c r="A644" s="27">
        <f>IF('Pegar ML'!C639="Paquete de 2 productos",'Pegar ML'!A639,IF('Pegar ML'!C638="Paquete de 2 productos",'Pegar ML'!A638,'Pegar ML'!A640))</f>
        <v>0</v>
      </c>
      <c r="B644" s="27"/>
      <c r="C644" s="30" t="str">
        <f>IF(AjusteFecha!I640=0,"",AjusteFecha!I640)</f>
        <v/>
      </c>
      <c r="D644" s="27"/>
      <c r="E644" s="27"/>
      <c r="F644" s="27" t="str">
        <f>IF('Pegar ML'!C640="","",'Pegar ML'!C640)</f>
        <v/>
      </c>
      <c r="G644" s="27" t="str">
        <f>IF('Pegar ML'!G635="ARS","PS","PS")</f>
        <v>PS</v>
      </c>
      <c r="H644" s="14">
        <f>IF('Pegar ML'!C639="Paquete de 2 productos",IF('Pegar ML'!H639="",0,'Pegar ML'!H639),IF('Pegar ML'!H640="",0,'Pegar ML'!H640))</f>
        <v>0</v>
      </c>
      <c r="I644" s="14">
        <f>IF('Pegar ML'!C639="Paquete de 2 productos",IF('Pegar ML'!O639="",0,'Pegar ML'!O639),IF('Pegar ML'!O640="",0,'Pegar ML'!O640))</f>
        <v>0</v>
      </c>
      <c r="J644" s="14">
        <f>IF('Pegar ML'!C639="Paquete de 2 productos",IF('Pegar ML'!O639="",0,'Pegar ML'!O639),IF('Pegar ML'!O640="",0,'Pegar ML'!O640))</f>
        <v>0</v>
      </c>
      <c r="K644" s="14">
        <f t="shared" si="29"/>
        <v>0</v>
      </c>
      <c r="L644" s="27">
        <f>IF('Pegar ML'!AB640=" ",'Pegar ML'!AB639,'Pegar ML'!AB640)</f>
        <v>0</v>
      </c>
      <c r="M644" s="27" t="str">
        <f>IF('Pegar ML'!AC640=" ",RIGHT('Pegar ML'!AC639,8),RIGHT('Pegar ML'!AC640,8))</f>
        <v/>
      </c>
      <c r="N644" s="27" t="s">
        <v>80</v>
      </c>
      <c r="O644" s="27">
        <f t="shared" si="27"/>
        <v>0</v>
      </c>
      <c r="P644" s="27" t="s">
        <v>80</v>
      </c>
      <c r="Q644" s="55">
        <f>IF('Pegar ML'!AD640=" ",'Pegar ML'!AD639,'Pegar ML'!AD640)</f>
        <v>0</v>
      </c>
      <c r="R644" s="27" t="s">
        <v>80</v>
      </c>
      <c r="S644" s="27" t="s">
        <v>80</v>
      </c>
      <c r="T644" s="27" t="s">
        <v>80</v>
      </c>
      <c r="U644" s="55">
        <f>IF('Pegar ML'!AI640=" ",'Pegar ML'!AI639,'Pegar ML'!AI640)</f>
        <v>0</v>
      </c>
      <c r="V644" s="55">
        <f>IF('Pegar ML'!AK640=" ",'Pegar ML'!AK639,'Pegar ML'!AK640)</f>
        <v>0</v>
      </c>
      <c r="W644" s="55">
        <f>IF('Pegar ML'!AJ640=" ",'Pegar ML'!AJ639,'Pegar ML'!AJ640)</f>
        <v>0</v>
      </c>
      <c r="X644" s="55">
        <f>IF('Pegar ML'!AL640=" ",'Pegar ML'!AL639,'Pegar ML'!AL640)</f>
        <v>0</v>
      </c>
      <c r="Y644" s="27"/>
      <c r="Z644" s="27"/>
      <c r="AA644" s="27"/>
      <c r="AB644" s="27"/>
      <c r="AC644" s="27"/>
      <c r="AD644" s="27"/>
      <c r="AF644" s="8"/>
      <c r="AG644" s="27"/>
      <c r="AH644" s="14">
        <f>+'Pegar ML'!Y640</f>
        <v>0</v>
      </c>
      <c r="AI644" s="13">
        <f t="shared" si="28"/>
        <v>1</v>
      </c>
      <c r="AJ644" s="7">
        <f>+'Pegar ML'!T640</f>
        <v>0</v>
      </c>
      <c r="AK644" s="27"/>
      <c r="AL644" s="27"/>
      <c r="AM644" s="27"/>
      <c r="AN644" s="27"/>
      <c r="AO644" s="27"/>
      <c r="AP644" s="27"/>
      <c r="AQ644" s="27"/>
      <c r="AR644" s="27"/>
      <c r="AS644" s="27">
        <v>17</v>
      </c>
    </row>
    <row r="645" spans="1:45" ht="15" customHeight="1" x14ac:dyDescent="0.25">
      <c r="A645" s="27">
        <f>IF('Pegar ML'!C640="Paquete de 2 productos",'Pegar ML'!A640,IF('Pegar ML'!C639="Paquete de 2 productos",'Pegar ML'!A639,'Pegar ML'!A641))</f>
        <v>0</v>
      </c>
      <c r="B645" s="27"/>
      <c r="C645" s="30" t="str">
        <f>IF(AjusteFecha!I641=0,"",AjusteFecha!I641)</f>
        <v/>
      </c>
      <c r="D645" s="27"/>
      <c r="E645" s="27"/>
      <c r="F645" s="27" t="str">
        <f>IF('Pegar ML'!C641="","",'Pegar ML'!C641)</f>
        <v/>
      </c>
      <c r="G645" s="27" t="str">
        <f>IF('Pegar ML'!G636="ARS","PS","PS")</f>
        <v>PS</v>
      </c>
      <c r="H645" s="14">
        <f>IF('Pegar ML'!C640="Paquete de 2 productos",IF('Pegar ML'!H640="",0,'Pegar ML'!H640),IF('Pegar ML'!H641="",0,'Pegar ML'!H641))</f>
        <v>0</v>
      </c>
      <c r="I645" s="14">
        <f>IF('Pegar ML'!C640="Paquete de 2 productos",IF('Pegar ML'!O640="",0,'Pegar ML'!O640),IF('Pegar ML'!O641="",0,'Pegar ML'!O641))</f>
        <v>0</v>
      </c>
      <c r="J645" s="14">
        <f>IF('Pegar ML'!C640="Paquete de 2 productos",IF('Pegar ML'!O640="",0,'Pegar ML'!O640),IF('Pegar ML'!O641="",0,'Pegar ML'!O641))</f>
        <v>0</v>
      </c>
      <c r="K645" s="14">
        <f t="shared" si="29"/>
        <v>0</v>
      </c>
      <c r="L645" s="27">
        <f>IF('Pegar ML'!AB641=" ",'Pegar ML'!AB640,'Pegar ML'!AB641)</f>
        <v>0</v>
      </c>
      <c r="M645" s="27" t="str">
        <f>IF('Pegar ML'!AC641=" ",RIGHT('Pegar ML'!AC640,8),RIGHT('Pegar ML'!AC641,8))</f>
        <v/>
      </c>
      <c r="N645" s="27" t="s">
        <v>80</v>
      </c>
      <c r="O645" s="27">
        <f t="shared" si="27"/>
        <v>0</v>
      </c>
      <c r="P645" s="27" t="s">
        <v>80</v>
      </c>
      <c r="Q645" s="55">
        <f>IF('Pegar ML'!AD641=" ",'Pegar ML'!AD640,'Pegar ML'!AD641)</f>
        <v>0</v>
      </c>
      <c r="R645" s="27" t="s">
        <v>80</v>
      </c>
      <c r="S645" s="27" t="s">
        <v>80</v>
      </c>
      <c r="T645" s="27" t="s">
        <v>80</v>
      </c>
      <c r="U645" s="55">
        <f>IF('Pegar ML'!AI641=" ",'Pegar ML'!AI640,'Pegar ML'!AI641)</f>
        <v>0</v>
      </c>
      <c r="V645" s="55">
        <f>IF('Pegar ML'!AK641=" ",'Pegar ML'!AK640,'Pegar ML'!AK641)</f>
        <v>0</v>
      </c>
      <c r="W645" s="55">
        <f>IF('Pegar ML'!AJ641=" ",'Pegar ML'!AJ640,'Pegar ML'!AJ641)</f>
        <v>0</v>
      </c>
      <c r="X645" s="55">
        <f>IF('Pegar ML'!AL641=" ",'Pegar ML'!AL640,'Pegar ML'!AL641)</f>
        <v>0</v>
      </c>
      <c r="Y645" s="27"/>
      <c r="Z645" s="27"/>
      <c r="AA645" s="27"/>
      <c r="AB645" s="27"/>
      <c r="AC645" s="27"/>
      <c r="AD645" s="27"/>
      <c r="AF645" s="8"/>
      <c r="AG645" s="27"/>
      <c r="AH645" s="14">
        <f>+'Pegar ML'!Y641</f>
        <v>0</v>
      </c>
      <c r="AI645" s="13">
        <f t="shared" si="28"/>
        <v>1</v>
      </c>
      <c r="AJ645" s="7">
        <f>+'Pegar ML'!T641</f>
        <v>0</v>
      </c>
      <c r="AK645" s="27"/>
      <c r="AL645" s="27"/>
      <c r="AM645" s="27"/>
      <c r="AN645" s="27"/>
      <c r="AO645" s="27"/>
      <c r="AP645" s="27"/>
      <c r="AQ645" s="27"/>
      <c r="AR645" s="27"/>
      <c r="AS645" s="27">
        <v>17</v>
      </c>
    </row>
    <row r="646" spans="1:45" ht="15" customHeight="1" x14ac:dyDescent="0.25">
      <c r="A646" s="27">
        <f>IF('Pegar ML'!C641="Paquete de 2 productos",'Pegar ML'!A641,IF('Pegar ML'!C640="Paquete de 2 productos",'Pegar ML'!A640,'Pegar ML'!A642))</f>
        <v>0</v>
      </c>
      <c r="B646" s="27"/>
      <c r="C646" s="30" t="str">
        <f>IF(AjusteFecha!I642=0,"",AjusteFecha!I642)</f>
        <v/>
      </c>
      <c r="D646" s="27"/>
      <c r="E646" s="27"/>
      <c r="F646" s="27" t="str">
        <f>IF('Pegar ML'!C642="","",'Pegar ML'!C642)</f>
        <v/>
      </c>
      <c r="G646" s="27" t="str">
        <f>IF('Pegar ML'!G637="ARS","PS","PS")</f>
        <v>PS</v>
      </c>
      <c r="H646" s="14">
        <f>IF('Pegar ML'!C641="Paquete de 2 productos",IF('Pegar ML'!H641="",0,'Pegar ML'!H641),IF('Pegar ML'!H642="",0,'Pegar ML'!H642))</f>
        <v>0</v>
      </c>
      <c r="I646" s="14">
        <f>IF('Pegar ML'!C641="Paquete de 2 productos",IF('Pegar ML'!O641="",0,'Pegar ML'!O641),IF('Pegar ML'!O642="",0,'Pegar ML'!O642))</f>
        <v>0</v>
      </c>
      <c r="J646" s="14">
        <f>IF('Pegar ML'!C641="Paquete de 2 productos",IF('Pegar ML'!O641="",0,'Pegar ML'!O641),IF('Pegar ML'!O642="",0,'Pegar ML'!O642))</f>
        <v>0</v>
      </c>
      <c r="K646" s="14">
        <f t="shared" si="29"/>
        <v>0</v>
      </c>
      <c r="L646" s="27">
        <f>IF('Pegar ML'!AB642=" ",'Pegar ML'!AB641,'Pegar ML'!AB642)</f>
        <v>0</v>
      </c>
      <c r="M646" s="27" t="str">
        <f>IF('Pegar ML'!AC642=" ",RIGHT('Pegar ML'!AC641,8),RIGHT('Pegar ML'!AC642,8))</f>
        <v/>
      </c>
      <c r="N646" s="27" t="s">
        <v>80</v>
      </c>
      <c r="O646" s="27">
        <f t="shared" si="27"/>
        <v>0</v>
      </c>
      <c r="P646" s="27" t="s">
        <v>80</v>
      </c>
      <c r="Q646" s="55">
        <f>IF('Pegar ML'!AD642=" ",'Pegar ML'!AD641,'Pegar ML'!AD642)</f>
        <v>0</v>
      </c>
      <c r="R646" s="27" t="s">
        <v>80</v>
      </c>
      <c r="S646" s="27" t="s">
        <v>80</v>
      </c>
      <c r="T646" s="27" t="s">
        <v>80</v>
      </c>
      <c r="U646" s="55">
        <f>IF('Pegar ML'!AI642=" ",'Pegar ML'!AI641,'Pegar ML'!AI642)</f>
        <v>0</v>
      </c>
      <c r="V646" s="55">
        <f>IF('Pegar ML'!AK642=" ",'Pegar ML'!AK641,'Pegar ML'!AK642)</f>
        <v>0</v>
      </c>
      <c r="W646" s="55">
        <f>IF('Pegar ML'!AJ642=" ",'Pegar ML'!AJ641,'Pegar ML'!AJ642)</f>
        <v>0</v>
      </c>
      <c r="X646" s="55">
        <f>IF('Pegar ML'!AL642=" ",'Pegar ML'!AL641,'Pegar ML'!AL642)</f>
        <v>0</v>
      </c>
      <c r="Y646" s="27"/>
      <c r="Z646" s="27"/>
      <c r="AA646" s="27"/>
      <c r="AB646" s="27"/>
      <c r="AC646" s="27"/>
      <c r="AD646" s="27"/>
      <c r="AF646" s="8"/>
      <c r="AG646" s="27"/>
      <c r="AH646" s="14">
        <f>+'Pegar ML'!Y642</f>
        <v>0</v>
      </c>
      <c r="AI646" s="13">
        <f t="shared" si="28"/>
        <v>1</v>
      </c>
      <c r="AJ646" s="7">
        <f>+'Pegar ML'!T642</f>
        <v>0</v>
      </c>
      <c r="AK646" s="27"/>
      <c r="AL646" s="27"/>
      <c r="AM646" s="27"/>
      <c r="AN646" s="27"/>
      <c r="AO646" s="27"/>
      <c r="AP646" s="27"/>
      <c r="AQ646" s="27"/>
      <c r="AR646" s="27"/>
      <c r="AS646" s="27">
        <v>17</v>
      </c>
    </row>
    <row r="647" spans="1:45" ht="15" customHeight="1" x14ac:dyDescent="0.25">
      <c r="A647" s="27">
        <f>IF('Pegar ML'!C642="Paquete de 2 productos",'Pegar ML'!A642,IF('Pegar ML'!C641="Paquete de 2 productos",'Pegar ML'!A641,'Pegar ML'!A643))</f>
        <v>0</v>
      </c>
      <c r="B647" s="27"/>
      <c r="C647" s="30" t="str">
        <f>IF(AjusteFecha!I643=0,"",AjusteFecha!I643)</f>
        <v/>
      </c>
      <c r="D647" s="27"/>
      <c r="E647" s="27"/>
      <c r="F647" s="27" t="str">
        <f>IF('Pegar ML'!C643="","",'Pegar ML'!C643)</f>
        <v/>
      </c>
      <c r="G647" s="27" t="str">
        <f>IF('Pegar ML'!G638="ARS","PS","PS")</f>
        <v>PS</v>
      </c>
      <c r="H647" s="14">
        <f>IF('Pegar ML'!C642="Paquete de 2 productos",IF('Pegar ML'!H642="",0,'Pegar ML'!H642),IF('Pegar ML'!H643="",0,'Pegar ML'!H643))</f>
        <v>0</v>
      </c>
      <c r="I647" s="14">
        <f>IF('Pegar ML'!C642="Paquete de 2 productos",IF('Pegar ML'!O642="",0,'Pegar ML'!O642),IF('Pegar ML'!O643="",0,'Pegar ML'!O643))</f>
        <v>0</v>
      </c>
      <c r="J647" s="14">
        <f>IF('Pegar ML'!C642="Paquete de 2 productos",IF('Pegar ML'!O642="",0,'Pegar ML'!O642),IF('Pegar ML'!O643="",0,'Pegar ML'!O643))</f>
        <v>0</v>
      </c>
      <c r="K647" s="14">
        <f t="shared" si="29"/>
        <v>0</v>
      </c>
      <c r="L647" s="27">
        <f>IF('Pegar ML'!AB643=" ",'Pegar ML'!AB642,'Pegar ML'!AB643)</f>
        <v>0</v>
      </c>
      <c r="M647" s="27" t="str">
        <f>IF('Pegar ML'!AC643=" ",RIGHT('Pegar ML'!AC642,8),RIGHT('Pegar ML'!AC643,8))</f>
        <v/>
      </c>
      <c r="N647" s="27" t="s">
        <v>80</v>
      </c>
      <c r="O647" s="27">
        <f t="shared" si="27"/>
        <v>0</v>
      </c>
      <c r="P647" s="27" t="s">
        <v>80</v>
      </c>
      <c r="Q647" s="55">
        <f>IF('Pegar ML'!AD643=" ",'Pegar ML'!AD642,'Pegar ML'!AD643)</f>
        <v>0</v>
      </c>
      <c r="R647" s="27" t="s">
        <v>80</v>
      </c>
      <c r="S647" s="27" t="s">
        <v>80</v>
      </c>
      <c r="T647" s="27" t="s">
        <v>80</v>
      </c>
      <c r="U647" s="55">
        <f>IF('Pegar ML'!AI643=" ",'Pegar ML'!AI642,'Pegar ML'!AI643)</f>
        <v>0</v>
      </c>
      <c r="V647" s="55">
        <f>IF('Pegar ML'!AK643=" ",'Pegar ML'!AK642,'Pegar ML'!AK643)</f>
        <v>0</v>
      </c>
      <c r="W647" s="55">
        <f>IF('Pegar ML'!AJ643=" ",'Pegar ML'!AJ642,'Pegar ML'!AJ643)</f>
        <v>0</v>
      </c>
      <c r="X647" s="55">
        <f>IF('Pegar ML'!AL643=" ",'Pegar ML'!AL642,'Pegar ML'!AL643)</f>
        <v>0</v>
      </c>
      <c r="Y647" s="27"/>
      <c r="Z647" s="27"/>
      <c r="AA647" s="27"/>
      <c r="AB647" s="27"/>
      <c r="AC647" s="27"/>
      <c r="AD647" s="27"/>
      <c r="AF647" s="8"/>
      <c r="AG647" s="27"/>
      <c r="AH647" s="14">
        <f>+'Pegar ML'!Y643</f>
        <v>0</v>
      </c>
      <c r="AI647" s="13">
        <f t="shared" si="28"/>
        <v>1</v>
      </c>
      <c r="AJ647" s="7">
        <f>+'Pegar ML'!T643</f>
        <v>0</v>
      </c>
      <c r="AK647" s="27"/>
      <c r="AL647" s="27"/>
      <c r="AM647" s="27"/>
      <c r="AN647" s="27"/>
      <c r="AO647" s="27"/>
      <c r="AP647" s="27"/>
      <c r="AQ647" s="27"/>
      <c r="AR647" s="27"/>
      <c r="AS647" s="27">
        <v>17</v>
      </c>
    </row>
    <row r="648" spans="1:45" ht="15" customHeight="1" x14ac:dyDescent="0.25">
      <c r="A648" s="27">
        <f>IF('Pegar ML'!C643="Paquete de 2 productos",'Pegar ML'!A643,IF('Pegar ML'!C642="Paquete de 2 productos",'Pegar ML'!A642,'Pegar ML'!A644))</f>
        <v>0</v>
      </c>
      <c r="B648" s="27"/>
      <c r="C648" s="30" t="str">
        <f>IF(AjusteFecha!I644=0,"",AjusteFecha!I644)</f>
        <v/>
      </c>
      <c r="D648" s="27"/>
      <c r="E648" s="27"/>
      <c r="F648" s="27" t="str">
        <f>IF('Pegar ML'!C644="","",'Pegar ML'!C644)</f>
        <v/>
      </c>
      <c r="G648" s="27" t="str">
        <f>IF('Pegar ML'!G639="ARS","PS","PS")</f>
        <v>PS</v>
      </c>
      <c r="H648" s="14">
        <f>IF('Pegar ML'!C643="Paquete de 2 productos",IF('Pegar ML'!H643="",0,'Pegar ML'!H643),IF('Pegar ML'!H644="",0,'Pegar ML'!H644))</f>
        <v>0</v>
      </c>
      <c r="I648" s="14">
        <f>IF('Pegar ML'!C643="Paquete de 2 productos",IF('Pegar ML'!O643="",0,'Pegar ML'!O643),IF('Pegar ML'!O644="",0,'Pegar ML'!O644))</f>
        <v>0</v>
      </c>
      <c r="J648" s="14">
        <f>IF('Pegar ML'!C643="Paquete de 2 productos",IF('Pegar ML'!O643="",0,'Pegar ML'!O643),IF('Pegar ML'!O644="",0,'Pegar ML'!O644))</f>
        <v>0</v>
      </c>
      <c r="K648" s="14">
        <f t="shared" si="29"/>
        <v>0</v>
      </c>
      <c r="L648" s="27">
        <f>IF('Pegar ML'!AB644=" ",'Pegar ML'!AB643,'Pegar ML'!AB644)</f>
        <v>0</v>
      </c>
      <c r="M648" s="27" t="str">
        <f>IF('Pegar ML'!AC644=" ",RIGHT('Pegar ML'!AC643,8),RIGHT('Pegar ML'!AC644,8))</f>
        <v/>
      </c>
      <c r="N648" s="27" t="s">
        <v>80</v>
      </c>
      <c r="O648" s="27">
        <f t="shared" si="27"/>
        <v>0</v>
      </c>
      <c r="P648" s="27" t="s">
        <v>80</v>
      </c>
      <c r="Q648" s="55">
        <f>IF('Pegar ML'!AD644=" ",'Pegar ML'!AD643,'Pegar ML'!AD644)</f>
        <v>0</v>
      </c>
      <c r="R648" s="27" t="s">
        <v>80</v>
      </c>
      <c r="S648" s="27" t="s">
        <v>80</v>
      </c>
      <c r="T648" s="27" t="s">
        <v>80</v>
      </c>
      <c r="U648" s="55">
        <f>IF('Pegar ML'!AI644=" ",'Pegar ML'!AI643,'Pegar ML'!AI644)</f>
        <v>0</v>
      </c>
      <c r="V648" s="55">
        <f>IF('Pegar ML'!AK644=" ",'Pegar ML'!AK643,'Pegar ML'!AK644)</f>
        <v>0</v>
      </c>
      <c r="W648" s="55">
        <f>IF('Pegar ML'!AJ644=" ",'Pegar ML'!AJ643,'Pegar ML'!AJ644)</f>
        <v>0</v>
      </c>
      <c r="X648" s="55">
        <f>IF('Pegar ML'!AL644=" ",'Pegar ML'!AL643,'Pegar ML'!AL644)</f>
        <v>0</v>
      </c>
      <c r="Y648" s="27"/>
      <c r="Z648" s="27"/>
      <c r="AA648" s="27"/>
      <c r="AB648" s="27"/>
      <c r="AC648" s="27"/>
      <c r="AD648" s="27"/>
      <c r="AF648" s="8"/>
      <c r="AG648" s="27"/>
      <c r="AH648" s="14">
        <f>+'Pegar ML'!Y644</f>
        <v>0</v>
      </c>
      <c r="AI648" s="13">
        <f t="shared" si="28"/>
        <v>1</v>
      </c>
      <c r="AJ648" s="7">
        <f>+'Pegar ML'!T644</f>
        <v>0</v>
      </c>
      <c r="AK648" s="27"/>
      <c r="AL648" s="27"/>
      <c r="AM648" s="27"/>
      <c r="AN648" s="27"/>
      <c r="AO648" s="27"/>
      <c r="AP648" s="27"/>
      <c r="AQ648" s="27"/>
      <c r="AR648" s="27"/>
      <c r="AS648" s="27">
        <v>17</v>
      </c>
    </row>
    <row r="649" spans="1:45" ht="15" customHeight="1" x14ac:dyDescent="0.25">
      <c r="A649" s="27">
        <f>IF('Pegar ML'!C644="Paquete de 2 productos",'Pegar ML'!A644,IF('Pegar ML'!C643="Paquete de 2 productos",'Pegar ML'!A643,'Pegar ML'!A645))</f>
        <v>0</v>
      </c>
      <c r="B649" s="27"/>
      <c r="C649" s="30" t="str">
        <f>IF(AjusteFecha!I645=0,"",AjusteFecha!I645)</f>
        <v/>
      </c>
      <c r="D649" s="27"/>
      <c r="E649" s="27"/>
      <c r="F649" s="27" t="str">
        <f>IF('Pegar ML'!C645="","",'Pegar ML'!C645)</f>
        <v/>
      </c>
      <c r="G649" s="27" t="str">
        <f>IF('Pegar ML'!G640="ARS","PS","PS")</f>
        <v>PS</v>
      </c>
      <c r="H649" s="14">
        <f>IF('Pegar ML'!C644="Paquete de 2 productos",IF('Pegar ML'!H644="",0,'Pegar ML'!H644),IF('Pegar ML'!H645="",0,'Pegar ML'!H645))</f>
        <v>0</v>
      </c>
      <c r="I649" s="14">
        <f>IF('Pegar ML'!C644="Paquete de 2 productos",IF('Pegar ML'!O644="",0,'Pegar ML'!O644),IF('Pegar ML'!O645="",0,'Pegar ML'!O645))</f>
        <v>0</v>
      </c>
      <c r="J649" s="14">
        <f>IF('Pegar ML'!C644="Paquete de 2 productos",IF('Pegar ML'!O644="",0,'Pegar ML'!O644),IF('Pegar ML'!O645="",0,'Pegar ML'!O645))</f>
        <v>0</v>
      </c>
      <c r="K649" s="14">
        <f t="shared" si="29"/>
        <v>0</v>
      </c>
      <c r="L649" s="27">
        <f>IF('Pegar ML'!AB645=" ",'Pegar ML'!AB644,'Pegar ML'!AB645)</f>
        <v>0</v>
      </c>
      <c r="M649" s="27" t="str">
        <f>IF('Pegar ML'!AC645=" ",RIGHT('Pegar ML'!AC644,8),RIGHT('Pegar ML'!AC645,8))</f>
        <v/>
      </c>
      <c r="N649" s="27" t="s">
        <v>80</v>
      </c>
      <c r="O649" s="27">
        <f t="shared" si="27"/>
        <v>0</v>
      </c>
      <c r="P649" s="27" t="s">
        <v>80</v>
      </c>
      <c r="Q649" s="55">
        <f>IF('Pegar ML'!AD645=" ",'Pegar ML'!AD644,'Pegar ML'!AD645)</f>
        <v>0</v>
      </c>
      <c r="R649" s="27" t="s">
        <v>80</v>
      </c>
      <c r="S649" s="27" t="s">
        <v>80</v>
      </c>
      <c r="T649" s="27" t="s">
        <v>80</v>
      </c>
      <c r="U649" s="55">
        <f>IF('Pegar ML'!AI645=" ",'Pegar ML'!AI644,'Pegar ML'!AI645)</f>
        <v>0</v>
      </c>
      <c r="V649" s="55">
        <f>IF('Pegar ML'!AK645=" ",'Pegar ML'!AK644,'Pegar ML'!AK645)</f>
        <v>0</v>
      </c>
      <c r="W649" s="55">
        <f>IF('Pegar ML'!AJ645=" ",'Pegar ML'!AJ644,'Pegar ML'!AJ645)</f>
        <v>0</v>
      </c>
      <c r="X649" s="55">
        <f>IF('Pegar ML'!AL645=" ",'Pegar ML'!AL644,'Pegar ML'!AL645)</f>
        <v>0</v>
      </c>
      <c r="Y649" s="27"/>
      <c r="Z649" s="27"/>
      <c r="AA649" s="27"/>
      <c r="AB649" s="27"/>
      <c r="AC649" s="27"/>
      <c r="AD649" s="27"/>
      <c r="AF649" s="8"/>
      <c r="AG649" s="27"/>
      <c r="AH649" s="14">
        <f>+'Pegar ML'!Y645</f>
        <v>0</v>
      </c>
      <c r="AI649" s="13">
        <f t="shared" si="28"/>
        <v>1</v>
      </c>
      <c r="AJ649" s="7">
        <f>+'Pegar ML'!T645</f>
        <v>0</v>
      </c>
      <c r="AK649" s="27"/>
      <c r="AL649" s="27"/>
      <c r="AM649" s="27"/>
      <c r="AN649" s="27"/>
      <c r="AO649" s="27"/>
      <c r="AP649" s="27"/>
      <c r="AQ649" s="27"/>
      <c r="AR649" s="27"/>
      <c r="AS649" s="27">
        <v>17</v>
      </c>
    </row>
    <row r="650" spans="1:45" ht="15" customHeight="1" x14ac:dyDescent="0.25">
      <c r="A650" s="27">
        <f>IF('Pegar ML'!C645="Paquete de 2 productos",'Pegar ML'!A645,IF('Pegar ML'!C644="Paquete de 2 productos",'Pegar ML'!A644,'Pegar ML'!A646))</f>
        <v>0</v>
      </c>
      <c r="B650" s="27"/>
      <c r="C650" s="30" t="str">
        <f>IF(AjusteFecha!I646=0,"",AjusteFecha!I646)</f>
        <v/>
      </c>
      <c r="D650" s="27"/>
      <c r="E650" s="27"/>
      <c r="F650" s="27" t="str">
        <f>IF('Pegar ML'!C646="","",'Pegar ML'!C646)</f>
        <v/>
      </c>
      <c r="G650" s="27" t="str">
        <f>IF('Pegar ML'!G641="ARS","PS","PS")</f>
        <v>PS</v>
      </c>
      <c r="H650" s="14">
        <f>IF('Pegar ML'!C645="Paquete de 2 productos",IF('Pegar ML'!H645="",0,'Pegar ML'!H645),IF('Pegar ML'!H646="",0,'Pegar ML'!H646))</f>
        <v>0</v>
      </c>
      <c r="I650" s="14">
        <f>IF('Pegar ML'!C645="Paquete de 2 productos",IF('Pegar ML'!O645="",0,'Pegar ML'!O645),IF('Pegar ML'!O646="",0,'Pegar ML'!O646))</f>
        <v>0</v>
      </c>
      <c r="J650" s="14">
        <f>IF('Pegar ML'!C645="Paquete de 2 productos",IF('Pegar ML'!O645="",0,'Pegar ML'!O645),IF('Pegar ML'!O646="",0,'Pegar ML'!O646))</f>
        <v>0</v>
      </c>
      <c r="K650" s="14">
        <f t="shared" si="29"/>
        <v>0</v>
      </c>
      <c r="L650" s="27">
        <f>IF('Pegar ML'!AB646=" ",'Pegar ML'!AB645,'Pegar ML'!AB646)</f>
        <v>0</v>
      </c>
      <c r="M650" s="27" t="str">
        <f>IF('Pegar ML'!AC646=" ",RIGHT('Pegar ML'!AC645,8),RIGHT('Pegar ML'!AC646,8))</f>
        <v/>
      </c>
      <c r="N650" s="27" t="s">
        <v>80</v>
      </c>
      <c r="O650" s="27">
        <f t="shared" si="27"/>
        <v>0</v>
      </c>
      <c r="P650" s="27" t="s">
        <v>80</v>
      </c>
      <c r="Q650" s="55">
        <f>IF('Pegar ML'!AD646=" ",'Pegar ML'!AD645,'Pegar ML'!AD646)</f>
        <v>0</v>
      </c>
      <c r="R650" s="27" t="s">
        <v>80</v>
      </c>
      <c r="S650" s="27" t="s">
        <v>80</v>
      </c>
      <c r="T650" s="27" t="s">
        <v>80</v>
      </c>
      <c r="U650" s="55">
        <f>IF('Pegar ML'!AI646=" ",'Pegar ML'!AI645,'Pegar ML'!AI646)</f>
        <v>0</v>
      </c>
      <c r="V650" s="55">
        <f>IF('Pegar ML'!AK646=" ",'Pegar ML'!AK645,'Pegar ML'!AK646)</f>
        <v>0</v>
      </c>
      <c r="W650" s="55">
        <f>IF('Pegar ML'!AJ646=" ",'Pegar ML'!AJ645,'Pegar ML'!AJ646)</f>
        <v>0</v>
      </c>
      <c r="X650" s="55">
        <f>IF('Pegar ML'!AL646=" ",'Pegar ML'!AL645,'Pegar ML'!AL646)</f>
        <v>0</v>
      </c>
      <c r="Y650" s="27"/>
      <c r="Z650" s="27"/>
      <c r="AA650" s="27"/>
      <c r="AB650" s="27"/>
      <c r="AC650" s="27"/>
      <c r="AD650" s="27"/>
      <c r="AF650" s="8"/>
      <c r="AG650" s="27"/>
      <c r="AH650" s="14">
        <f>+'Pegar ML'!Y646</f>
        <v>0</v>
      </c>
      <c r="AI650" s="13">
        <f t="shared" si="28"/>
        <v>1</v>
      </c>
      <c r="AJ650" s="7">
        <f>+'Pegar ML'!T646</f>
        <v>0</v>
      </c>
      <c r="AK650" s="27"/>
      <c r="AL650" s="27"/>
      <c r="AM650" s="27"/>
      <c r="AN650" s="27"/>
      <c r="AO650" s="27"/>
      <c r="AP650" s="27"/>
      <c r="AQ650" s="27"/>
      <c r="AR650" s="27"/>
      <c r="AS650" s="27">
        <v>17</v>
      </c>
    </row>
    <row r="651" spans="1:45" ht="15" customHeight="1" x14ac:dyDescent="0.25">
      <c r="A651" s="27">
        <f>IF('Pegar ML'!C646="Paquete de 2 productos",'Pegar ML'!A646,IF('Pegar ML'!C645="Paquete de 2 productos",'Pegar ML'!A645,'Pegar ML'!A647))</f>
        <v>0</v>
      </c>
      <c r="B651" s="27"/>
      <c r="C651" s="30" t="str">
        <f>IF(AjusteFecha!I647=0,"",AjusteFecha!I647)</f>
        <v/>
      </c>
      <c r="D651" s="27"/>
      <c r="E651" s="27"/>
      <c r="F651" s="27" t="str">
        <f>IF('Pegar ML'!C647="","",'Pegar ML'!C647)</f>
        <v/>
      </c>
      <c r="G651" s="27" t="str">
        <f>IF('Pegar ML'!G642="ARS","PS","PS")</f>
        <v>PS</v>
      </c>
      <c r="H651" s="14">
        <f>IF('Pegar ML'!C646="Paquete de 2 productos",IF('Pegar ML'!H646="",0,'Pegar ML'!H646),IF('Pegar ML'!H647="",0,'Pegar ML'!H647))</f>
        <v>0</v>
      </c>
      <c r="I651" s="14">
        <f>IF('Pegar ML'!C646="Paquete de 2 productos",IF('Pegar ML'!O646="",0,'Pegar ML'!O646),IF('Pegar ML'!O647="",0,'Pegar ML'!O647))</f>
        <v>0</v>
      </c>
      <c r="J651" s="14">
        <f>IF('Pegar ML'!C646="Paquete de 2 productos",IF('Pegar ML'!O646="",0,'Pegar ML'!O646),IF('Pegar ML'!O647="",0,'Pegar ML'!O647))</f>
        <v>0</v>
      </c>
      <c r="K651" s="14">
        <f t="shared" si="29"/>
        <v>0</v>
      </c>
      <c r="L651" s="27">
        <f>IF('Pegar ML'!AB647=" ",'Pegar ML'!AB646,'Pegar ML'!AB647)</f>
        <v>0</v>
      </c>
      <c r="M651" s="27" t="str">
        <f>IF('Pegar ML'!AC647=" ",RIGHT('Pegar ML'!AC646,8),RIGHT('Pegar ML'!AC647,8))</f>
        <v/>
      </c>
      <c r="N651" s="27" t="s">
        <v>80</v>
      </c>
      <c r="O651" s="27">
        <f t="shared" ref="O651:O714" si="30">+L651</f>
        <v>0</v>
      </c>
      <c r="P651" s="27" t="s">
        <v>80</v>
      </c>
      <c r="Q651" s="55">
        <f>IF('Pegar ML'!AD647=" ",'Pegar ML'!AD646,'Pegar ML'!AD647)</f>
        <v>0</v>
      </c>
      <c r="R651" s="27" t="s">
        <v>80</v>
      </c>
      <c r="S651" s="27" t="s">
        <v>80</v>
      </c>
      <c r="T651" s="27" t="s">
        <v>80</v>
      </c>
      <c r="U651" s="55">
        <f>IF('Pegar ML'!AI647=" ",'Pegar ML'!AI646,'Pegar ML'!AI647)</f>
        <v>0</v>
      </c>
      <c r="V651" s="55">
        <f>IF('Pegar ML'!AK647=" ",'Pegar ML'!AK646,'Pegar ML'!AK647)</f>
        <v>0</v>
      </c>
      <c r="W651" s="55">
        <f>IF('Pegar ML'!AJ647=" ",'Pegar ML'!AJ646,'Pegar ML'!AJ647)</f>
        <v>0</v>
      </c>
      <c r="X651" s="55">
        <f>IF('Pegar ML'!AL647=" ",'Pegar ML'!AL646,'Pegar ML'!AL647)</f>
        <v>0</v>
      </c>
      <c r="Y651" s="27"/>
      <c r="Z651" s="27"/>
      <c r="AA651" s="27"/>
      <c r="AB651" s="27"/>
      <c r="AC651" s="27"/>
      <c r="AD651" s="27"/>
      <c r="AF651" s="8"/>
      <c r="AG651" s="27"/>
      <c r="AH651" s="14">
        <f>+'Pegar ML'!Y647</f>
        <v>0</v>
      </c>
      <c r="AI651" s="13">
        <f t="shared" ref="AI651:AI714" si="31">IF(F651="Paquete de 2 productos","",1)</f>
        <v>1</v>
      </c>
      <c r="AJ651" s="7">
        <f>+'Pegar ML'!T647</f>
        <v>0</v>
      </c>
      <c r="AK651" s="27"/>
      <c r="AL651" s="27"/>
      <c r="AM651" s="27"/>
      <c r="AN651" s="27"/>
      <c r="AO651" s="27"/>
      <c r="AP651" s="27"/>
      <c r="AQ651" s="27"/>
      <c r="AR651" s="27"/>
      <c r="AS651" s="27">
        <v>17</v>
      </c>
    </row>
    <row r="652" spans="1:45" ht="15" customHeight="1" x14ac:dyDescent="0.25">
      <c r="A652" s="27">
        <f>IF('Pegar ML'!C647="Paquete de 2 productos",'Pegar ML'!A647,IF('Pegar ML'!C646="Paquete de 2 productos",'Pegar ML'!A646,'Pegar ML'!A648))</f>
        <v>0</v>
      </c>
      <c r="B652" s="27"/>
      <c r="C652" s="30" t="str">
        <f>IF(AjusteFecha!I648=0,"",AjusteFecha!I648)</f>
        <v/>
      </c>
      <c r="D652" s="27"/>
      <c r="E652" s="27"/>
      <c r="F652" s="27" t="str">
        <f>IF('Pegar ML'!C648="","",'Pegar ML'!C648)</f>
        <v/>
      </c>
      <c r="G652" s="27" t="str">
        <f>IF('Pegar ML'!G643="ARS","PS","PS")</f>
        <v>PS</v>
      </c>
      <c r="H652" s="14">
        <f>IF('Pegar ML'!C647="Paquete de 2 productos",IF('Pegar ML'!H647="",0,'Pegar ML'!H647),IF('Pegar ML'!H648="",0,'Pegar ML'!H648))</f>
        <v>0</v>
      </c>
      <c r="I652" s="14">
        <f>IF('Pegar ML'!C647="Paquete de 2 productos",IF('Pegar ML'!O647="",0,'Pegar ML'!O647),IF('Pegar ML'!O648="",0,'Pegar ML'!O648))</f>
        <v>0</v>
      </c>
      <c r="J652" s="14">
        <f>IF('Pegar ML'!C647="Paquete de 2 productos",IF('Pegar ML'!O647="",0,'Pegar ML'!O647),IF('Pegar ML'!O648="",0,'Pegar ML'!O648))</f>
        <v>0</v>
      </c>
      <c r="K652" s="14">
        <f t="shared" ref="K652:K715" si="32">+H652-I652+J652</f>
        <v>0</v>
      </c>
      <c r="L652" s="27">
        <f>IF('Pegar ML'!AB648=" ",'Pegar ML'!AB647,'Pegar ML'!AB648)</f>
        <v>0</v>
      </c>
      <c r="M652" s="27" t="str">
        <f>IF('Pegar ML'!AC648=" ",RIGHT('Pegar ML'!AC647,8),RIGHT('Pegar ML'!AC648,8))</f>
        <v/>
      </c>
      <c r="N652" s="27" t="s">
        <v>80</v>
      </c>
      <c r="O652" s="27">
        <f t="shared" si="30"/>
        <v>0</v>
      </c>
      <c r="P652" s="27" t="s">
        <v>80</v>
      </c>
      <c r="Q652" s="55">
        <f>IF('Pegar ML'!AD648=" ",'Pegar ML'!AD647,'Pegar ML'!AD648)</f>
        <v>0</v>
      </c>
      <c r="R652" s="27" t="s">
        <v>80</v>
      </c>
      <c r="S652" s="27" t="s">
        <v>80</v>
      </c>
      <c r="T652" s="27" t="s">
        <v>80</v>
      </c>
      <c r="U652" s="55">
        <f>IF('Pegar ML'!AI648=" ",'Pegar ML'!AI647,'Pegar ML'!AI648)</f>
        <v>0</v>
      </c>
      <c r="V652" s="55">
        <f>IF('Pegar ML'!AK648=" ",'Pegar ML'!AK647,'Pegar ML'!AK648)</f>
        <v>0</v>
      </c>
      <c r="W652" s="55">
        <f>IF('Pegar ML'!AJ648=" ",'Pegar ML'!AJ647,'Pegar ML'!AJ648)</f>
        <v>0</v>
      </c>
      <c r="X652" s="55">
        <f>IF('Pegar ML'!AL648=" ",'Pegar ML'!AL647,'Pegar ML'!AL648)</f>
        <v>0</v>
      </c>
      <c r="Y652" s="27"/>
      <c r="Z652" s="27"/>
      <c r="AA652" s="27"/>
      <c r="AB652" s="27"/>
      <c r="AC652" s="27"/>
      <c r="AD652" s="27"/>
      <c r="AF652" s="8"/>
      <c r="AG652" s="27"/>
      <c r="AH652" s="14">
        <f>+'Pegar ML'!Y648</f>
        <v>0</v>
      </c>
      <c r="AI652" s="13">
        <f t="shared" si="31"/>
        <v>1</v>
      </c>
      <c r="AJ652" s="7">
        <f>+'Pegar ML'!T648</f>
        <v>0</v>
      </c>
      <c r="AK652" s="27"/>
      <c r="AL652" s="27"/>
      <c r="AM652" s="27"/>
      <c r="AN652" s="27"/>
      <c r="AO652" s="27"/>
      <c r="AP652" s="27"/>
      <c r="AQ652" s="27"/>
      <c r="AR652" s="27"/>
      <c r="AS652" s="27">
        <v>17</v>
      </c>
    </row>
    <row r="653" spans="1:45" ht="15" customHeight="1" x14ac:dyDescent="0.25">
      <c r="A653" s="27">
        <f>IF('Pegar ML'!C648="Paquete de 2 productos",'Pegar ML'!A648,IF('Pegar ML'!C647="Paquete de 2 productos",'Pegar ML'!A647,'Pegar ML'!A649))</f>
        <v>0</v>
      </c>
      <c r="B653" s="27"/>
      <c r="C653" s="30" t="str">
        <f>IF(AjusteFecha!I649=0,"",AjusteFecha!I649)</f>
        <v/>
      </c>
      <c r="D653" s="27"/>
      <c r="E653" s="27"/>
      <c r="F653" s="27" t="str">
        <f>IF('Pegar ML'!C649="","",'Pegar ML'!C649)</f>
        <v/>
      </c>
      <c r="G653" s="27" t="str">
        <f>IF('Pegar ML'!G644="ARS","PS","PS")</f>
        <v>PS</v>
      </c>
      <c r="H653" s="14">
        <f>IF('Pegar ML'!C648="Paquete de 2 productos",IF('Pegar ML'!H648="",0,'Pegar ML'!H648),IF('Pegar ML'!H649="",0,'Pegar ML'!H649))</f>
        <v>0</v>
      </c>
      <c r="I653" s="14">
        <f>IF('Pegar ML'!C648="Paquete de 2 productos",IF('Pegar ML'!O648="",0,'Pegar ML'!O648),IF('Pegar ML'!O649="",0,'Pegar ML'!O649))</f>
        <v>0</v>
      </c>
      <c r="J653" s="14">
        <f>IF('Pegar ML'!C648="Paquete de 2 productos",IF('Pegar ML'!O648="",0,'Pegar ML'!O648),IF('Pegar ML'!O649="",0,'Pegar ML'!O649))</f>
        <v>0</v>
      </c>
      <c r="K653" s="14">
        <f t="shared" si="32"/>
        <v>0</v>
      </c>
      <c r="L653" s="27">
        <f>IF('Pegar ML'!AB649=" ",'Pegar ML'!AB648,'Pegar ML'!AB649)</f>
        <v>0</v>
      </c>
      <c r="M653" s="27" t="str">
        <f>IF('Pegar ML'!AC649=" ",RIGHT('Pegar ML'!AC648,8),RIGHT('Pegar ML'!AC649,8))</f>
        <v/>
      </c>
      <c r="N653" s="27" t="s">
        <v>80</v>
      </c>
      <c r="O653" s="27">
        <f t="shared" si="30"/>
        <v>0</v>
      </c>
      <c r="P653" s="27" t="s">
        <v>80</v>
      </c>
      <c r="Q653" s="55">
        <f>IF('Pegar ML'!AD649=" ",'Pegar ML'!AD648,'Pegar ML'!AD649)</f>
        <v>0</v>
      </c>
      <c r="R653" s="27" t="s">
        <v>80</v>
      </c>
      <c r="S653" s="27" t="s">
        <v>80</v>
      </c>
      <c r="T653" s="27" t="s">
        <v>80</v>
      </c>
      <c r="U653" s="55">
        <f>IF('Pegar ML'!AI649=" ",'Pegar ML'!AI648,'Pegar ML'!AI649)</f>
        <v>0</v>
      </c>
      <c r="V653" s="55">
        <f>IF('Pegar ML'!AK649=" ",'Pegar ML'!AK648,'Pegar ML'!AK649)</f>
        <v>0</v>
      </c>
      <c r="W653" s="55">
        <f>IF('Pegar ML'!AJ649=" ",'Pegar ML'!AJ648,'Pegar ML'!AJ649)</f>
        <v>0</v>
      </c>
      <c r="X653" s="55">
        <f>IF('Pegar ML'!AL649=" ",'Pegar ML'!AL648,'Pegar ML'!AL649)</f>
        <v>0</v>
      </c>
      <c r="Y653" s="27"/>
      <c r="Z653" s="27"/>
      <c r="AA653" s="27"/>
      <c r="AB653" s="27"/>
      <c r="AC653" s="27"/>
      <c r="AD653" s="27"/>
      <c r="AF653" s="8"/>
      <c r="AG653" s="27"/>
      <c r="AH653" s="14">
        <f>+'Pegar ML'!Y649</f>
        <v>0</v>
      </c>
      <c r="AI653" s="13">
        <f t="shared" si="31"/>
        <v>1</v>
      </c>
      <c r="AJ653" s="7">
        <f>+'Pegar ML'!T649</f>
        <v>0</v>
      </c>
      <c r="AK653" s="27"/>
      <c r="AL653" s="27"/>
      <c r="AM653" s="27"/>
      <c r="AN653" s="27"/>
      <c r="AO653" s="27"/>
      <c r="AP653" s="27"/>
      <c r="AQ653" s="27"/>
      <c r="AR653" s="27"/>
      <c r="AS653" s="27">
        <v>17</v>
      </c>
    </row>
    <row r="654" spans="1:45" ht="15" customHeight="1" x14ac:dyDescent="0.25">
      <c r="A654" s="27">
        <f>IF('Pegar ML'!C649="Paquete de 2 productos",'Pegar ML'!A649,IF('Pegar ML'!C648="Paquete de 2 productos",'Pegar ML'!A648,'Pegar ML'!A650))</f>
        <v>0</v>
      </c>
      <c r="B654" s="27"/>
      <c r="C654" s="30" t="str">
        <f>IF(AjusteFecha!I650=0,"",AjusteFecha!I650)</f>
        <v/>
      </c>
      <c r="D654" s="27"/>
      <c r="E654" s="27"/>
      <c r="F654" s="27" t="str">
        <f>IF('Pegar ML'!C650="","",'Pegar ML'!C650)</f>
        <v/>
      </c>
      <c r="G654" s="27" t="str">
        <f>IF('Pegar ML'!G645="ARS","PS","PS")</f>
        <v>PS</v>
      </c>
      <c r="H654" s="14">
        <f>IF('Pegar ML'!C649="Paquete de 2 productos",IF('Pegar ML'!H649="",0,'Pegar ML'!H649),IF('Pegar ML'!H650="",0,'Pegar ML'!H650))</f>
        <v>0</v>
      </c>
      <c r="I654" s="14">
        <f>IF('Pegar ML'!C649="Paquete de 2 productos",IF('Pegar ML'!O649="",0,'Pegar ML'!O649),IF('Pegar ML'!O650="",0,'Pegar ML'!O650))</f>
        <v>0</v>
      </c>
      <c r="J654" s="14">
        <f>IF('Pegar ML'!C649="Paquete de 2 productos",IF('Pegar ML'!O649="",0,'Pegar ML'!O649),IF('Pegar ML'!O650="",0,'Pegar ML'!O650))</f>
        <v>0</v>
      </c>
      <c r="K654" s="14">
        <f t="shared" si="32"/>
        <v>0</v>
      </c>
      <c r="L654" s="27">
        <f>IF('Pegar ML'!AB650=" ",'Pegar ML'!AB649,'Pegar ML'!AB650)</f>
        <v>0</v>
      </c>
      <c r="M654" s="27" t="str">
        <f>IF('Pegar ML'!AC650=" ",RIGHT('Pegar ML'!AC649,8),RIGHT('Pegar ML'!AC650,8))</f>
        <v/>
      </c>
      <c r="N654" s="27" t="s">
        <v>80</v>
      </c>
      <c r="O654" s="27">
        <f t="shared" si="30"/>
        <v>0</v>
      </c>
      <c r="P654" s="27" t="s">
        <v>80</v>
      </c>
      <c r="Q654" s="55">
        <f>IF('Pegar ML'!AD650=" ",'Pegar ML'!AD649,'Pegar ML'!AD650)</f>
        <v>0</v>
      </c>
      <c r="R654" s="27" t="s">
        <v>80</v>
      </c>
      <c r="S654" s="27" t="s">
        <v>80</v>
      </c>
      <c r="T654" s="27" t="s">
        <v>80</v>
      </c>
      <c r="U654" s="55">
        <f>IF('Pegar ML'!AI650=" ",'Pegar ML'!AI649,'Pegar ML'!AI650)</f>
        <v>0</v>
      </c>
      <c r="V654" s="55">
        <f>IF('Pegar ML'!AK650=" ",'Pegar ML'!AK649,'Pegar ML'!AK650)</f>
        <v>0</v>
      </c>
      <c r="W654" s="55">
        <f>IF('Pegar ML'!AJ650=" ",'Pegar ML'!AJ649,'Pegar ML'!AJ650)</f>
        <v>0</v>
      </c>
      <c r="X654" s="55">
        <f>IF('Pegar ML'!AL650=" ",'Pegar ML'!AL649,'Pegar ML'!AL650)</f>
        <v>0</v>
      </c>
      <c r="Y654" s="27"/>
      <c r="Z654" s="27"/>
      <c r="AA654" s="27"/>
      <c r="AB654" s="27"/>
      <c r="AC654" s="27"/>
      <c r="AD654" s="27"/>
      <c r="AF654" s="8"/>
      <c r="AG654" s="27"/>
      <c r="AH654" s="14">
        <f>+'Pegar ML'!Y650</f>
        <v>0</v>
      </c>
      <c r="AI654" s="13">
        <f t="shared" si="31"/>
        <v>1</v>
      </c>
      <c r="AJ654" s="7">
        <f>+'Pegar ML'!T650</f>
        <v>0</v>
      </c>
      <c r="AK654" s="27"/>
      <c r="AL654" s="27"/>
      <c r="AM654" s="27"/>
      <c r="AN654" s="27"/>
      <c r="AO654" s="27"/>
      <c r="AP654" s="27"/>
      <c r="AQ654" s="27"/>
      <c r="AR654" s="27"/>
      <c r="AS654" s="27">
        <v>17</v>
      </c>
    </row>
    <row r="655" spans="1:45" ht="15" customHeight="1" x14ac:dyDescent="0.25">
      <c r="A655" s="27">
        <f>IF('Pegar ML'!C650="Paquete de 2 productos",'Pegar ML'!A650,IF('Pegar ML'!C649="Paquete de 2 productos",'Pegar ML'!A649,'Pegar ML'!A651))</f>
        <v>0</v>
      </c>
      <c r="B655" s="27"/>
      <c r="C655" s="30" t="str">
        <f>IF(AjusteFecha!I651=0,"",AjusteFecha!I651)</f>
        <v/>
      </c>
      <c r="D655" s="27"/>
      <c r="E655" s="27"/>
      <c r="F655" s="27" t="str">
        <f>IF('Pegar ML'!C651="","",'Pegar ML'!C651)</f>
        <v/>
      </c>
      <c r="G655" s="27" t="str">
        <f>IF('Pegar ML'!G646="ARS","PS","PS")</f>
        <v>PS</v>
      </c>
      <c r="H655" s="14">
        <f>IF('Pegar ML'!C650="Paquete de 2 productos",IF('Pegar ML'!H650="",0,'Pegar ML'!H650),IF('Pegar ML'!H651="",0,'Pegar ML'!H651))</f>
        <v>0</v>
      </c>
      <c r="I655" s="14">
        <f>IF('Pegar ML'!C650="Paquete de 2 productos",IF('Pegar ML'!O650="",0,'Pegar ML'!O650),IF('Pegar ML'!O651="",0,'Pegar ML'!O651))</f>
        <v>0</v>
      </c>
      <c r="J655" s="14">
        <f>IF('Pegar ML'!C650="Paquete de 2 productos",IF('Pegar ML'!O650="",0,'Pegar ML'!O650),IF('Pegar ML'!O651="",0,'Pegar ML'!O651))</f>
        <v>0</v>
      </c>
      <c r="K655" s="14">
        <f t="shared" si="32"/>
        <v>0</v>
      </c>
      <c r="L655" s="27">
        <f>IF('Pegar ML'!AB651=" ",'Pegar ML'!AB650,'Pegar ML'!AB651)</f>
        <v>0</v>
      </c>
      <c r="M655" s="27" t="str">
        <f>IF('Pegar ML'!AC651=" ",RIGHT('Pegar ML'!AC650,8),RIGHT('Pegar ML'!AC651,8))</f>
        <v/>
      </c>
      <c r="N655" s="27" t="s">
        <v>80</v>
      </c>
      <c r="O655" s="27">
        <f t="shared" si="30"/>
        <v>0</v>
      </c>
      <c r="P655" s="27" t="s">
        <v>80</v>
      </c>
      <c r="Q655" s="55">
        <f>IF('Pegar ML'!AD651=" ",'Pegar ML'!AD650,'Pegar ML'!AD651)</f>
        <v>0</v>
      </c>
      <c r="R655" s="27" t="s">
        <v>80</v>
      </c>
      <c r="S655" s="27" t="s">
        <v>80</v>
      </c>
      <c r="T655" s="27" t="s">
        <v>80</v>
      </c>
      <c r="U655" s="55">
        <f>IF('Pegar ML'!AI651=" ",'Pegar ML'!AI650,'Pegar ML'!AI651)</f>
        <v>0</v>
      </c>
      <c r="V655" s="55">
        <f>IF('Pegar ML'!AK651=" ",'Pegar ML'!AK650,'Pegar ML'!AK651)</f>
        <v>0</v>
      </c>
      <c r="W655" s="55">
        <f>IF('Pegar ML'!AJ651=" ",'Pegar ML'!AJ650,'Pegar ML'!AJ651)</f>
        <v>0</v>
      </c>
      <c r="X655" s="55">
        <f>IF('Pegar ML'!AL651=" ",'Pegar ML'!AL650,'Pegar ML'!AL651)</f>
        <v>0</v>
      </c>
      <c r="Y655" s="27"/>
      <c r="Z655" s="27"/>
      <c r="AA655" s="27"/>
      <c r="AB655" s="27"/>
      <c r="AC655" s="27"/>
      <c r="AD655" s="27"/>
      <c r="AF655" s="8"/>
      <c r="AG655" s="27"/>
      <c r="AH655" s="14">
        <f>+'Pegar ML'!Y651</f>
        <v>0</v>
      </c>
      <c r="AI655" s="13">
        <f t="shared" si="31"/>
        <v>1</v>
      </c>
      <c r="AJ655" s="7">
        <f>+'Pegar ML'!T651</f>
        <v>0</v>
      </c>
      <c r="AK655" s="27"/>
      <c r="AL655" s="27"/>
      <c r="AM655" s="27"/>
      <c r="AN655" s="27"/>
      <c r="AO655" s="27"/>
      <c r="AP655" s="27"/>
      <c r="AQ655" s="27"/>
      <c r="AR655" s="27"/>
      <c r="AS655" s="27">
        <v>17</v>
      </c>
    </row>
    <row r="656" spans="1:45" ht="15" customHeight="1" x14ac:dyDescent="0.25">
      <c r="A656" s="27">
        <f>IF('Pegar ML'!C651="Paquete de 2 productos",'Pegar ML'!A651,IF('Pegar ML'!C650="Paquete de 2 productos",'Pegar ML'!A650,'Pegar ML'!A652))</f>
        <v>0</v>
      </c>
      <c r="B656" s="27"/>
      <c r="C656" s="30" t="str">
        <f>IF(AjusteFecha!I652=0,"",AjusteFecha!I652)</f>
        <v/>
      </c>
      <c r="D656" s="27"/>
      <c r="E656" s="27"/>
      <c r="F656" s="27" t="str">
        <f>IF('Pegar ML'!C652="","",'Pegar ML'!C652)</f>
        <v/>
      </c>
      <c r="G656" s="27" t="str">
        <f>IF('Pegar ML'!G647="ARS","PS","PS")</f>
        <v>PS</v>
      </c>
      <c r="H656" s="14">
        <f>IF('Pegar ML'!C651="Paquete de 2 productos",IF('Pegar ML'!H651="",0,'Pegar ML'!H651),IF('Pegar ML'!H652="",0,'Pegar ML'!H652))</f>
        <v>0</v>
      </c>
      <c r="I656" s="14">
        <f>IF('Pegar ML'!C651="Paquete de 2 productos",IF('Pegar ML'!O651="",0,'Pegar ML'!O651),IF('Pegar ML'!O652="",0,'Pegar ML'!O652))</f>
        <v>0</v>
      </c>
      <c r="J656" s="14">
        <f>IF('Pegar ML'!C651="Paquete de 2 productos",IF('Pegar ML'!O651="",0,'Pegar ML'!O651),IF('Pegar ML'!O652="",0,'Pegar ML'!O652))</f>
        <v>0</v>
      </c>
      <c r="K656" s="14">
        <f t="shared" si="32"/>
        <v>0</v>
      </c>
      <c r="L656" s="27">
        <f>IF('Pegar ML'!AB652=" ",'Pegar ML'!AB651,'Pegar ML'!AB652)</f>
        <v>0</v>
      </c>
      <c r="M656" s="27" t="str">
        <f>IF('Pegar ML'!AC652=" ",RIGHT('Pegar ML'!AC651,8),RIGHT('Pegar ML'!AC652,8))</f>
        <v/>
      </c>
      <c r="N656" s="27" t="s">
        <v>80</v>
      </c>
      <c r="O656" s="27">
        <f t="shared" si="30"/>
        <v>0</v>
      </c>
      <c r="P656" s="27" t="s">
        <v>80</v>
      </c>
      <c r="Q656" s="55">
        <f>IF('Pegar ML'!AD652=" ",'Pegar ML'!AD651,'Pegar ML'!AD652)</f>
        <v>0</v>
      </c>
      <c r="R656" s="27" t="s">
        <v>80</v>
      </c>
      <c r="S656" s="27" t="s">
        <v>80</v>
      </c>
      <c r="T656" s="27" t="s">
        <v>80</v>
      </c>
      <c r="U656" s="55">
        <f>IF('Pegar ML'!AI652=" ",'Pegar ML'!AI651,'Pegar ML'!AI652)</f>
        <v>0</v>
      </c>
      <c r="V656" s="55">
        <f>IF('Pegar ML'!AK652=" ",'Pegar ML'!AK651,'Pegar ML'!AK652)</f>
        <v>0</v>
      </c>
      <c r="W656" s="55">
        <f>IF('Pegar ML'!AJ652=" ",'Pegar ML'!AJ651,'Pegar ML'!AJ652)</f>
        <v>0</v>
      </c>
      <c r="X656" s="55">
        <f>IF('Pegar ML'!AL652=" ",'Pegar ML'!AL651,'Pegar ML'!AL652)</f>
        <v>0</v>
      </c>
      <c r="Y656" s="27"/>
      <c r="Z656" s="27"/>
      <c r="AA656" s="27"/>
      <c r="AB656" s="27"/>
      <c r="AC656" s="27"/>
      <c r="AD656" s="27"/>
      <c r="AF656" s="8"/>
      <c r="AG656" s="27"/>
      <c r="AH656" s="14">
        <f>+'Pegar ML'!Y652</f>
        <v>0</v>
      </c>
      <c r="AI656" s="13">
        <f t="shared" si="31"/>
        <v>1</v>
      </c>
      <c r="AJ656" s="7">
        <f>+'Pegar ML'!T652</f>
        <v>0</v>
      </c>
      <c r="AK656" s="27"/>
      <c r="AL656" s="27"/>
      <c r="AM656" s="27"/>
      <c r="AN656" s="27"/>
      <c r="AO656" s="27"/>
      <c r="AP656" s="27"/>
      <c r="AQ656" s="27"/>
      <c r="AR656" s="27"/>
      <c r="AS656" s="27">
        <v>17</v>
      </c>
    </row>
    <row r="657" spans="1:45" ht="15" customHeight="1" x14ac:dyDescent="0.25">
      <c r="A657" s="27">
        <f>IF('Pegar ML'!C652="Paquete de 2 productos",'Pegar ML'!A652,IF('Pegar ML'!C651="Paquete de 2 productos",'Pegar ML'!A651,'Pegar ML'!A653))</f>
        <v>0</v>
      </c>
      <c r="B657" s="27"/>
      <c r="C657" s="30" t="str">
        <f>IF(AjusteFecha!I653=0,"",AjusteFecha!I653)</f>
        <v/>
      </c>
      <c r="D657" s="27"/>
      <c r="E657" s="27"/>
      <c r="F657" s="27" t="str">
        <f>IF('Pegar ML'!C653="","",'Pegar ML'!C653)</f>
        <v/>
      </c>
      <c r="G657" s="27" t="str">
        <f>IF('Pegar ML'!G648="ARS","PS","PS")</f>
        <v>PS</v>
      </c>
      <c r="H657" s="14">
        <f>IF('Pegar ML'!C652="Paquete de 2 productos",IF('Pegar ML'!H652="",0,'Pegar ML'!H652),IF('Pegar ML'!H653="",0,'Pegar ML'!H653))</f>
        <v>0</v>
      </c>
      <c r="I657" s="14">
        <f>IF('Pegar ML'!C652="Paquete de 2 productos",IF('Pegar ML'!O652="",0,'Pegar ML'!O652),IF('Pegar ML'!O653="",0,'Pegar ML'!O653))</f>
        <v>0</v>
      </c>
      <c r="J657" s="14">
        <f>IF('Pegar ML'!C652="Paquete de 2 productos",IF('Pegar ML'!O652="",0,'Pegar ML'!O652),IF('Pegar ML'!O653="",0,'Pegar ML'!O653))</f>
        <v>0</v>
      </c>
      <c r="K657" s="14">
        <f t="shared" si="32"/>
        <v>0</v>
      </c>
      <c r="L657" s="27">
        <f>IF('Pegar ML'!AB653=" ",'Pegar ML'!AB652,'Pegar ML'!AB653)</f>
        <v>0</v>
      </c>
      <c r="M657" s="27" t="str">
        <f>IF('Pegar ML'!AC653=" ",RIGHT('Pegar ML'!AC652,8),RIGHT('Pegar ML'!AC653,8))</f>
        <v/>
      </c>
      <c r="N657" s="27" t="s">
        <v>80</v>
      </c>
      <c r="O657" s="27">
        <f t="shared" si="30"/>
        <v>0</v>
      </c>
      <c r="P657" s="27" t="s">
        <v>80</v>
      </c>
      <c r="Q657" s="55">
        <f>IF('Pegar ML'!AD653=" ",'Pegar ML'!AD652,'Pegar ML'!AD653)</f>
        <v>0</v>
      </c>
      <c r="R657" s="27" t="s">
        <v>80</v>
      </c>
      <c r="S657" s="27" t="s">
        <v>80</v>
      </c>
      <c r="T657" s="27" t="s">
        <v>80</v>
      </c>
      <c r="U657" s="55">
        <f>IF('Pegar ML'!AI653=" ",'Pegar ML'!AI652,'Pegar ML'!AI653)</f>
        <v>0</v>
      </c>
      <c r="V657" s="55">
        <f>IF('Pegar ML'!AK653=" ",'Pegar ML'!AK652,'Pegar ML'!AK653)</f>
        <v>0</v>
      </c>
      <c r="W657" s="55">
        <f>IF('Pegar ML'!AJ653=" ",'Pegar ML'!AJ652,'Pegar ML'!AJ653)</f>
        <v>0</v>
      </c>
      <c r="X657" s="55">
        <f>IF('Pegar ML'!AL653=" ",'Pegar ML'!AL652,'Pegar ML'!AL653)</f>
        <v>0</v>
      </c>
      <c r="Y657" s="27"/>
      <c r="Z657" s="27"/>
      <c r="AA657" s="27"/>
      <c r="AB657" s="27"/>
      <c r="AC657" s="27"/>
      <c r="AD657" s="27"/>
      <c r="AF657" s="8"/>
      <c r="AG657" s="27"/>
      <c r="AH657" s="14">
        <f>+'Pegar ML'!Y653</f>
        <v>0</v>
      </c>
      <c r="AI657" s="13">
        <f t="shared" si="31"/>
        <v>1</v>
      </c>
      <c r="AJ657" s="7">
        <f>+'Pegar ML'!T653</f>
        <v>0</v>
      </c>
      <c r="AK657" s="27"/>
      <c r="AL657" s="27"/>
      <c r="AM657" s="27"/>
      <c r="AN657" s="27"/>
      <c r="AO657" s="27"/>
      <c r="AP657" s="27"/>
      <c r="AQ657" s="27"/>
      <c r="AR657" s="27"/>
      <c r="AS657" s="27">
        <v>17</v>
      </c>
    </row>
    <row r="658" spans="1:45" ht="15" customHeight="1" x14ac:dyDescent="0.25">
      <c r="A658" s="27">
        <f>IF('Pegar ML'!C653="Paquete de 2 productos",'Pegar ML'!A653,IF('Pegar ML'!C652="Paquete de 2 productos",'Pegar ML'!A652,'Pegar ML'!A654))</f>
        <v>0</v>
      </c>
      <c r="B658" s="27"/>
      <c r="C658" s="30" t="str">
        <f>IF(AjusteFecha!I654=0,"",AjusteFecha!I654)</f>
        <v/>
      </c>
      <c r="D658" s="27"/>
      <c r="E658" s="27"/>
      <c r="F658" s="27" t="str">
        <f>IF('Pegar ML'!C654="","",'Pegar ML'!C654)</f>
        <v/>
      </c>
      <c r="G658" s="27" t="str">
        <f>IF('Pegar ML'!G649="ARS","PS","PS")</f>
        <v>PS</v>
      </c>
      <c r="H658" s="14">
        <f>IF('Pegar ML'!C653="Paquete de 2 productos",IF('Pegar ML'!H653="",0,'Pegar ML'!H653),IF('Pegar ML'!H654="",0,'Pegar ML'!H654))</f>
        <v>0</v>
      </c>
      <c r="I658" s="14">
        <f>IF('Pegar ML'!C653="Paquete de 2 productos",IF('Pegar ML'!O653="",0,'Pegar ML'!O653),IF('Pegar ML'!O654="",0,'Pegar ML'!O654))</f>
        <v>0</v>
      </c>
      <c r="J658" s="14">
        <f>IF('Pegar ML'!C653="Paquete de 2 productos",IF('Pegar ML'!O653="",0,'Pegar ML'!O653),IF('Pegar ML'!O654="",0,'Pegar ML'!O654))</f>
        <v>0</v>
      </c>
      <c r="K658" s="14">
        <f t="shared" si="32"/>
        <v>0</v>
      </c>
      <c r="L658" s="27">
        <f>IF('Pegar ML'!AB654=" ",'Pegar ML'!AB653,'Pegar ML'!AB654)</f>
        <v>0</v>
      </c>
      <c r="M658" s="27" t="str">
        <f>IF('Pegar ML'!AC654=" ",RIGHT('Pegar ML'!AC653,8),RIGHT('Pegar ML'!AC654,8))</f>
        <v/>
      </c>
      <c r="N658" s="27" t="s">
        <v>80</v>
      </c>
      <c r="O658" s="27">
        <f t="shared" si="30"/>
        <v>0</v>
      </c>
      <c r="P658" s="27" t="s">
        <v>80</v>
      </c>
      <c r="Q658" s="55">
        <f>IF('Pegar ML'!AD654=" ",'Pegar ML'!AD653,'Pegar ML'!AD654)</f>
        <v>0</v>
      </c>
      <c r="R658" s="27" t="s">
        <v>80</v>
      </c>
      <c r="S658" s="27" t="s">
        <v>80</v>
      </c>
      <c r="T658" s="27" t="s">
        <v>80</v>
      </c>
      <c r="U658" s="55">
        <f>IF('Pegar ML'!AI654=" ",'Pegar ML'!AI653,'Pegar ML'!AI654)</f>
        <v>0</v>
      </c>
      <c r="V658" s="55">
        <f>IF('Pegar ML'!AK654=" ",'Pegar ML'!AK653,'Pegar ML'!AK654)</f>
        <v>0</v>
      </c>
      <c r="W658" s="55">
        <f>IF('Pegar ML'!AJ654=" ",'Pegar ML'!AJ653,'Pegar ML'!AJ654)</f>
        <v>0</v>
      </c>
      <c r="X658" s="55">
        <f>IF('Pegar ML'!AL654=" ",'Pegar ML'!AL653,'Pegar ML'!AL654)</f>
        <v>0</v>
      </c>
      <c r="Y658" s="27"/>
      <c r="Z658" s="27"/>
      <c r="AA658" s="27"/>
      <c r="AB658" s="27"/>
      <c r="AC658" s="27"/>
      <c r="AD658" s="27"/>
      <c r="AF658" s="8"/>
      <c r="AG658" s="27"/>
      <c r="AH658" s="14">
        <f>+'Pegar ML'!Y654</f>
        <v>0</v>
      </c>
      <c r="AI658" s="13">
        <f t="shared" si="31"/>
        <v>1</v>
      </c>
      <c r="AJ658" s="7">
        <f>+'Pegar ML'!T654</f>
        <v>0</v>
      </c>
      <c r="AK658" s="27"/>
      <c r="AL658" s="27"/>
      <c r="AM658" s="27"/>
      <c r="AN658" s="27"/>
      <c r="AO658" s="27"/>
      <c r="AP658" s="27"/>
      <c r="AQ658" s="27"/>
      <c r="AR658" s="27"/>
      <c r="AS658" s="27">
        <v>17</v>
      </c>
    </row>
    <row r="659" spans="1:45" ht="15" customHeight="1" x14ac:dyDescent="0.25">
      <c r="A659" s="27">
        <f>IF('Pegar ML'!C654="Paquete de 2 productos",'Pegar ML'!A654,IF('Pegar ML'!C653="Paquete de 2 productos",'Pegar ML'!A653,'Pegar ML'!A655))</f>
        <v>0</v>
      </c>
      <c r="B659" s="27"/>
      <c r="C659" s="30" t="str">
        <f>IF(AjusteFecha!I655=0,"",AjusteFecha!I655)</f>
        <v/>
      </c>
      <c r="D659" s="27"/>
      <c r="E659" s="27"/>
      <c r="F659" s="27" t="str">
        <f>IF('Pegar ML'!C655="","",'Pegar ML'!C655)</f>
        <v/>
      </c>
      <c r="G659" s="27" t="str">
        <f>IF('Pegar ML'!G650="ARS","PS","PS")</f>
        <v>PS</v>
      </c>
      <c r="H659" s="14">
        <f>IF('Pegar ML'!C654="Paquete de 2 productos",IF('Pegar ML'!H654="",0,'Pegar ML'!H654),IF('Pegar ML'!H655="",0,'Pegar ML'!H655))</f>
        <v>0</v>
      </c>
      <c r="I659" s="14">
        <f>IF('Pegar ML'!C654="Paquete de 2 productos",IF('Pegar ML'!O654="",0,'Pegar ML'!O654),IF('Pegar ML'!O655="",0,'Pegar ML'!O655))</f>
        <v>0</v>
      </c>
      <c r="J659" s="14">
        <f>IF('Pegar ML'!C654="Paquete de 2 productos",IF('Pegar ML'!O654="",0,'Pegar ML'!O654),IF('Pegar ML'!O655="",0,'Pegar ML'!O655))</f>
        <v>0</v>
      </c>
      <c r="K659" s="14">
        <f t="shared" si="32"/>
        <v>0</v>
      </c>
      <c r="L659" s="27">
        <f>IF('Pegar ML'!AB655=" ",'Pegar ML'!AB654,'Pegar ML'!AB655)</f>
        <v>0</v>
      </c>
      <c r="M659" s="27" t="str">
        <f>IF('Pegar ML'!AC655=" ",RIGHT('Pegar ML'!AC654,8),RIGHT('Pegar ML'!AC655,8))</f>
        <v/>
      </c>
      <c r="N659" s="27" t="s">
        <v>80</v>
      </c>
      <c r="O659" s="27">
        <f t="shared" si="30"/>
        <v>0</v>
      </c>
      <c r="P659" s="27" t="s">
        <v>80</v>
      </c>
      <c r="Q659" s="55">
        <f>IF('Pegar ML'!AD655=" ",'Pegar ML'!AD654,'Pegar ML'!AD655)</f>
        <v>0</v>
      </c>
      <c r="R659" s="27" t="s">
        <v>80</v>
      </c>
      <c r="S659" s="27" t="s">
        <v>80</v>
      </c>
      <c r="T659" s="27" t="s">
        <v>80</v>
      </c>
      <c r="U659" s="55">
        <f>IF('Pegar ML'!AI655=" ",'Pegar ML'!AI654,'Pegar ML'!AI655)</f>
        <v>0</v>
      </c>
      <c r="V659" s="55">
        <f>IF('Pegar ML'!AK655=" ",'Pegar ML'!AK654,'Pegar ML'!AK655)</f>
        <v>0</v>
      </c>
      <c r="W659" s="55">
        <f>IF('Pegar ML'!AJ655=" ",'Pegar ML'!AJ654,'Pegar ML'!AJ655)</f>
        <v>0</v>
      </c>
      <c r="X659" s="55">
        <f>IF('Pegar ML'!AL655=" ",'Pegar ML'!AL654,'Pegar ML'!AL655)</f>
        <v>0</v>
      </c>
      <c r="Y659" s="27"/>
      <c r="Z659" s="27"/>
      <c r="AA659" s="27"/>
      <c r="AB659" s="27"/>
      <c r="AC659" s="27"/>
      <c r="AD659" s="27"/>
      <c r="AF659" s="8"/>
      <c r="AG659" s="27"/>
      <c r="AH659" s="14">
        <f>+'Pegar ML'!Y655</f>
        <v>0</v>
      </c>
      <c r="AI659" s="13">
        <f t="shared" si="31"/>
        <v>1</v>
      </c>
      <c r="AJ659" s="7">
        <f>+'Pegar ML'!T655</f>
        <v>0</v>
      </c>
      <c r="AK659" s="27"/>
      <c r="AL659" s="27"/>
      <c r="AM659" s="27"/>
      <c r="AN659" s="27"/>
      <c r="AO659" s="27"/>
      <c r="AP659" s="27"/>
      <c r="AQ659" s="27"/>
      <c r="AR659" s="27"/>
      <c r="AS659" s="27">
        <v>17</v>
      </c>
    </row>
    <row r="660" spans="1:45" ht="15" customHeight="1" x14ac:dyDescent="0.25">
      <c r="A660" s="27">
        <f>IF('Pegar ML'!C655="Paquete de 2 productos",'Pegar ML'!A655,IF('Pegar ML'!C654="Paquete de 2 productos",'Pegar ML'!A654,'Pegar ML'!A656))</f>
        <v>0</v>
      </c>
      <c r="B660" s="27"/>
      <c r="C660" s="30" t="str">
        <f>IF(AjusteFecha!I656=0,"",AjusteFecha!I656)</f>
        <v/>
      </c>
      <c r="D660" s="27"/>
      <c r="E660" s="27"/>
      <c r="F660" s="27" t="str">
        <f>IF('Pegar ML'!C656="","",'Pegar ML'!C656)</f>
        <v/>
      </c>
      <c r="G660" s="27" t="str">
        <f>IF('Pegar ML'!G651="ARS","PS","PS")</f>
        <v>PS</v>
      </c>
      <c r="H660" s="14">
        <f>IF('Pegar ML'!C655="Paquete de 2 productos",IF('Pegar ML'!H655="",0,'Pegar ML'!H655),IF('Pegar ML'!H656="",0,'Pegar ML'!H656))</f>
        <v>0</v>
      </c>
      <c r="I660" s="14">
        <f>IF('Pegar ML'!C655="Paquete de 2 productos",IF('Pegar ML'!O655="",0,'Pegar ML'!O655),IF('Pegar ML'!O656="",0,'Pegar ML'!O656))</f>
        <v>0</v>
      </c>
      <c r="J660" s="14">
        <f>IF('Pegar ML'!C655="Paquete de 2 productos",IF('Pegar ML'!O655="",0,'Pegar ML'!O655),IF('Pegar ML'!O656="",0,'Pegar ML'!O656))</f>
        <v>0</v>
      </c>
      <c r="K660" s="14">
        <f t="shared" si="32"/>
        <v>0</v>
      </c>
      <c r="L660" s="27">
        <f>IF('Pegar ML'!AB656=" ",'Pegar ML'!AB655,'Pegar ML'!AB656)</f>
        <v>0</v>
      </c>
      <c r="M660" s="27" t="str">
        <f>IF('Pegar ML'!AC656=" ",RIGHT('Pegar ML'!AC655,8),RIGHT('Pegar ML'!AC656,8))</f>
        <v/>
      </c>
      <c r="N660" s="27" t="s">
        <v>80</v>
      </c>
      <c r="O660" s="27">
        <f t="shared" si="30"/>
        <v>0</v>
      </c>
      <c r="P660" s="27" t="s">
        <v>80</v>
      </c>
      <c r="Q660" s="55">
        <f>IF('Pegar ML'!AD656=" ",'Pegar ML'!AD655,'Pegar ML'!AD656)</f>
        <v>0</v>
      </c>
      <c r="R660" s="27" t="s">
        <v>80</v>
      </c>
      <c r="S660" s="27" t="s">
        <v>80</v>
      </c>
      <c r="T660" s="27" t="s">
        <v>80</v>
      </c>
      <c r="U660" s="55">
        <f>IF('Pegar ML'!AI656=" ",'Pegar ML'!AI655,'Pegar ML'!AI656)</f>
        <v>0</v>
      </c>
      <c r="V660" s="55">
        <f>IF('Pegar ML'!AK656=" ",'Pegar ML'!AK655,'Pegar ML'!AK656)</f>
        <v>0</v>
      </c>
      <c r="W660" s="55">
        <f>IF('Pegar ML'!AJ656=" ",'Pegar ML'!AJ655,'Pegar ML'!AJ656)</f>
        <v>0</v>
      </c>
      <c r="X660" s="55">
        <f>IF('Pegar ML'!AL656=" ",'Pegar ML'!AL655,'Pegar ML'!AL656)</f>
        <v>0</v>
      </c>
      <c r="Y660" s="27"/>
      <c r="Z660" s="27"/>
      <c r="AA660" s="27"/>
      <c r="AB660" s="27"/>
      <c r="AC660" s="27"/>
      <c r="AD660" s="27"/>
      <c r="AF660" s="8"/>
      <c r="AG660" s="27"/>
      <c r="AH660" s="14">
        <f>+'Pegar ML'!Y656</f>
        <v>0</v>
      </c>
      <c r="AI660" s="13">
        <f t="shared" si="31"/>
        <v>1</v>
      </c>
      <c r="AJ660" s="7">
        <f>+'Pegar ML'!T656</f>
        <v>0</v>
      </c>
      <c r="AK660" s="27"/>
      <c r="AL660" s="27"/>
      <c r="AM660" s="27"/>
      <c r="AN660" s="27"/>
      <c r="AO660" s="27"/>
      <c r="AP660" s="27"/>
      <c r="AQ660" s="27"/>
      <c r="AR660" s="27"/>
      <c r="AS660" s="27">
        <v>17</v>
      </c>
    </row>
    <row r="661" spans="1:45" ht="15" customHeight="1" x14ac:dyDescent="0.25">
      <c r="A661" s="27">
        <f>IF('Pegar ML'!C656="Paquete de 2 productos",'Pegar ML'!A656,IF('Pegar ML'!C655="Paquete de 2 productos",'Pegar ML'!A655,'Pegar ML'!A657))</f>
        <v>0</v>
      </c>
      <c r="B661" s="27"/>
      <c r="C661" s="30" t="str">
        <f>IF(AjusteFecha!I657=0,"",AjusteFecha!I657)</f>
        <v/>
      </c>
      <c r="D661" s="27"/>
      <c r="E661" s="27"/>
      <c r="F661" s="27" t="str">
        <f>IF('Pegar ML'!C657="","",'Pegar ML'!C657)</f>
        <v/>
      </c>
      <c r="G661" s="27" t="str">
        <f>IF('Pegar ML'!G652="ARS","PS","PS")</f>
        <v>PS</v>
      </c>
      <c r="H661" s="14">
        <f>IF('Pegar ML'!C656="Paquete de 2 productos",IF('Pegar ML'!H656="",0,'Pegar ML'!H656),IF('Pegar ML'!H657="",0,'Pegar ML'!H657))</f>
        <v>0</v>
      </c>
      <c r="I661" s="14">
        <f>IF('Pegar ML'!C656="Paquete de 2 productos",IF('Pegar ML'!O656="",0,'Pegar ML'!O656),IF('Pegar ML'!O657="",0,'Pegar ML'!O657))</f>
        <v>0</v>
      </c>
      <c r="J661" s="14">
        <f>IF('Pegar ML'!C656="Paquete de 2 productos",IF('Pegar ML'!O656="",0,'Pegar ML'!O656),IF('Pegar ML'!O657="",0,'Pegar ML'!O657))</f>
        <v>0</v>
      </c>
      <c r="K661" s="14">
        <f t="shared" si="32"/>
        <v>0</v>
      </c>
      <c r="L661" s="27">
        <f>IF('Pegar ML'!AB657=" ",'Pegar ML'!AB656,'Pegar ML'!AB657)</f>
        <v>0</v>
      </c>
      <c r="M661" s="27" t="str">
        <f>IF('Pegar ML'!AC657=" ",RIGHT('Pegar ML'!AC656,8),RIGHT('Pegar ML'!AC657,8))</f>
        <v/>
      </c>
      <c r="N661" s="27" t="s">
        <v>80</v>
      </c>
      <c r="O661" s="27">
        <f t="shared" si="30"/>
        <v>0</v>
      </c>
      <c r="P661" s="27" t="s">
        <v>80</v>
      </c>
      <c r="Q661" s="55">
        <f>IF('Pegar ML'!AD657=" ",'Pegar ML'!AD656,'Pegar ML'!AD657)</f>
        <v>0</v>
      </c>
      <c r="R661" s="27" t="s">
        <v>80</v>
      </c>
      <c r="S661" s="27" t="s">
        <v>80</v>
      </c>
      <c r="T661" s="27" t="s">
        <v>80</v>
      </c>
      <c r="U661" s="55">
        <f>IF('Pegar ML'!AI657=" ",'Pegar ML'!AI656,'Pegar ML'!AI657)</f>
        <v>0</v>
      </c>
      <c r="V661" s="55">
        <f>IF('Pegar ML'!AK657=" ",'Pegar ML'!AK656,'Pegar ML'!AK657)</f>
        <v>0</v>
      </c>
      <c r="W661" s="55">
        <f>IF('Pegar ML'!AJ657=" ",'Pegar ML'!AJ656,'Pegar ML'!AJ657)</f>
        <v>0</v>
      </c>
      <c r="X661" s="55">
        <f>IF('Pegar ML'!AL657=" ",'Pegar ML'!AL656,'Pegar ML'!AL657)</f>
        <v>0</v>
      </c>
      <c r="Y661" s="27"/>
      <c r="Z661" s="27"/>
      <c r="AA661" s="27"/>
      <c r="AB661" s="27"/>
      <c r="AC661" s="27"/>
      <c r="AD661" s="27"/>
      <c r="AF661" s="8"/>
      <c r="AG661" s="27"/>
      <c r="AH661" s="14">
        <f>+'Pegar ML'!Y657</f>
        <v>0</v>
      </c>
      <c r="AI661" s="13">
        <f t="shared" si="31"/>
        <v>1</v>
      </c>
      <c r="AJ661" s="7">
        <f>+'Pegar ML'!T657</f>
        <v>0</v>
      </c>
      <c r="AK661" s="27"/>
      <c r="AL661" s="27"/>
      <c r="AM661" s="27"/>
      <c r="AN661" s="27"/>
      <c r="AO661" s="27"/>
      <c r="AP661" s="27"/>
      <c r="AQ661" s="27"/>
      <c r="AR661" s="27"/>
      <c r="AS661" s="27">
        <v>17</v>
      </c>
    </row>
    <row r="662" spans="1:45" ht="15" customHeight="1" x14ac:dyDescent="0.25">
      <c r="A662" s="27">
        <f>IF('Pegar ML'!C657="Paquete de 2 productos",'Pegar ML'!A657,IF('Pegar ML'!C656="Paquete de 2 productos",'Pegar ML'!A656,'Pegar ML'!A658))</f>
        <v>0</v>
      </c>
      <c r="B662" s="27"/>
      <c r="C662" s="30" t="str">
        <f>IF(AjusteFecha!I658=0,"",AjusteFecha!I658)</f>
        <v/>
      </c>
      <c r="D662" s="27"/>
      <c r="E662" s="27"/>
      <c r="F662" s="27" t="str">
        <f>IF('Pegar ML'!C658="","",'Pegar ML'!C658)</f>
        <v/>
      </c>
      <c r="G662" s="27" t="str">
        <f>IF('Pegar ML'!G653="ARS","PS","PS")</f>
        <v>PS</v>
      </c>
      <c r="H662" s="14">
        <f>IF('Pegar ML'!C657="Paquete de 2 productos",IF('Pegar ML'!H657="",0,'Pegar ML'!H657),IF('Pegar ML'!H658="",0,'Pegar ML'!H658))</f>
        <v>0</v>
      </c>
      <c r="I662" s="14">
        <f>IF('Pegar ML'!C657="Paquete de 2 productos",IF('Pegar ML'!O657="",0,'Pegar ML'!O657),IF('Pegar ML'!O658="",0,'Pegar ML'!O658))</f>
        <v>0</v>
      </c>
      <c r="J662" s="14">
        <f>IF('Pegar ML'!C657="Paquete de 2 productos",IF('Pegar ML'!O657="",0,'Pegar ML'!O657),IF('Pegar ML'!O658="",0,'Pegar ML'!O658))</f>
        <v>0</v>
      </c>
      <c r="K662" s="14">
        <f t="shared" si="32"/>
        <v>0</v>
      </c>
      <c r="L662" s="27">
        <f>IF('Pegar ML'!AB658=" ",'Pegar ML'!AB657,'Pegar ML'!AB658)</f>
        <v>0</v>
      </c>
      <c r="M662" s="27" t="str">
        <f>IF('Pegar ML'!AC658=" ",RIGHT('Pegar ML'!AC657,8),RIGHT('Pegar ML'!AC658,8))</f>
        <v/>
      </c>
      <c r="N662" s="27" t="s">
        <v>80</v>
      </c>
      <c r="O662" s="27">
        <f t="shared" si="30"/>
        <v>0</v>
      </c>
      <c r="P662" s="27" t="s">
        <v>80</v>
      </c>
      <c r="Q662" s="55">
        <f>IF('Pegar ML'!AD658=" ",'Pegar ML'!AD657,'Pegar ML'!AD658)</f>
        <v>0</v>
      </c>
      <c r="R662" s="27" t="s">
        <v>80</v>
      </c>
      <c r="S662" s="27" t="s">
        <v>80</v>
      </c>
      <c r="T662" s="27" t="s">
        <v>80</v>
      </c>
      <c r="U662" s="55">
        <f>IF('Pegar ML'!AI658=" ",'Pegar ML'!AI657,'Pegar ML'!AI658)</f>
        <v>0</v>
      </c>
      <c r="V662" s="55">
        <f>IF('Pegar ML'!AK658=" ",'Pegar ML'!AK657,'Pegar ML'!AK658)</f>
        <v>0</v>
      </c>
      <c r="W662" s="55">
        <f>IF('Pegar ML'!AJ658=" ",'Pegar ML'!AJ657,'Pegar ML'!AJ658)</f>
        <v>0</v>
      </c>
      <c r="X662" s="55">
        <f>IF('Pegar ML'!AL658=" ",'Pegar ML'!AL657,'Pegar ML'!AL658)</f>
        <v>0</v>
      </c>
      <c r="Y662" s="27"/>
      <c r="Z662" s="27"/>
      <c r="AA662" s="27"/>
      <c r="AB662" s="27"/>
      <c r="AC662" s="27"/>
      <c r="AD662" s="27"/>
      <c r="AF662" s="8"/>
      <c r="AG662" s="27"/>
      <c r="AH662" s="14">
        <f>+'Pegar ML'!Y658</f>
        <v>0</v>
      </c>
      <c r="AI662" s="13">
        <f t="shared" si="31"/>
        <v>1</v>
      </c>
      <c r="AJ662" s="7">
        <f>+'Pegar ML'!T658</f>
        <v>0</v>
      </c>
      <c r="AK662" s="27"/>
      <c r="AL662" s="27"/>
      <c r="AM662" s="27"/>
      <c r="AN662" s="27"/>
      <c r="AO662" s="27"/>
      <c r="AP662" s="27"/>
      <c r="AQ662" s="27"/>
      <c r="AR662" s="27"/>
      <c r="AS662" s="27">
        <v>17</v>
      </c>
    </row>
    <row r="663" spans="1:45" ht="15" customHeight="1" x14ac:dyDescent="0.25">
      <c r="A663" s="27">
        <f>IF('Pegar ML'!C658="Paquete de 2 productos",'Pegar ML'!A658,IF('Pegar ML'!C657="Paquete de 2 productos",'Pegar ML'!A657,'Pegar ML'!A659))</f>
        <v>0</v>
      </c>
      <c r="B663" s="27"/>
      <c r="C663" s="30" t="str">
        <f>IF(AjusteFecha!I659=0,"",AjusteFecha!I659)</f>
        <v/>
      </c>
      <c r="D663" s="27"/>
      <c r="E663" s="27"/>
      <c r="F663" s="27" t="str">
        <f>IF('Pegar ML'!C659="","",'Pegar ML'!C659)</f>
        <v/>
      </c>
      <c r="G663" s="27" t="str">
        <f>IF('Pegar ML'!G654="ARS","PS","PS")</f>
        <v>PS</v>
      </c>
      <c r="H663" s="14">
        <f>IF('Pegar ML'!C658="Paquete de 2 productos",IF('Pegar ML'!H658="",0,'Pegar ML'!H658),IF('Pegar ML'!H659="",0,'Pegar ML'!H659))</f>
        <v>0</v>
      </c>
      <c r="I663" s="14">
        <f>IF('Pegar ML'!C658="Paquete de 2 productos",IF('Pegar ML'!O658="",0,'Pegar ML'!O658),IF('Pegar ML'!O659="",0,'Pegar ML'!O659))</f>
        <v>0</v>
      </c>
      <c r="J663" s="14">
        <f>IF('Pegar ML'!C658="Paquete de 2 productos",IF('Pegar ML'!O658="",0,'Pegar ML'!O658),IF('Pegar ML'!O659="",0,'Pegar ML'!O659))</f>
        <v>0</v>
      </c>
      <c r="K663" s="14">
        <f t="shared" si="32"/>
        <v>0</v>
      </c>
      <c r="L663" s="27">
        <f>IF('Pegar ML'!AB659=" ",'Pegar ML'!AB658,'Pegar ML'!AB659)</f>
        <v>0</v>
      </c>
      <c r="M663" s="27" t="str">
        <f>IF('Pegar ML'!AC659=" ",RIGHT('Pegar ML'!AC658,8),RIGHT('Pegar ML'!AC659,8))</f>
        <v/>
      </c>
      <c r="N663" s="27" t="s">
        <v>80</v>
      </c>
      <c r="O663" s="27">
        <f t="shared" si="30"/>
        <v>0</v>
      </c>
      <c r="P663" s="27" t="s">
        <v>80</v>
      </c>
      <c r="Q663" s="55">
        <f>IF('Pegar ML'!AD659=" ",'Pegar ML'!AD658,'Pegar ML'!AD659)</f>
        <v>0</v>
      </c>
      <c r="R663" s="27" t="s">
        <v>80</v>
      </c>
      <c r="S663" s="27" t="s">
        <v>80</v>
      </c>
      <c r="T663" s="27" t="s">
        <v>80</v>
      </c>
      <c r="U663" s="55">
        <f>IF('Pegar ML'!AI659=" ",'Pegar ML'!AI658,'Pegar ML'!AI659)</f>
        <v>0</v>
      </c>
      <c r="V663" s="55">
        <f>IF('Pegar ML'!AK659=" ",'Pegar ML'!AK658,'Pegar ML'!AK659)</f>
        <v>0</v>
      </c>
      <c r="W663" s="55">
        <f>IF('Pegar ML'!AJ659=" ",'Pegar ML'!AJ658,'Pegar ML'!AJ659)</f>
        <v>0</v>
      </c>
      <c r="X663" s="55">
        <f>IF('Pegar ML'!AL659=" ",'Pegar ML'!AL658,'Pegar ML'!AL659)</f>
        <v>0</v>
      </c>
      <c r="Y663" s="27"/>
      <c r="Z663" s="27"/>
      <c r="AA663" s="27"/>
      <c r="AB663" s="27"/>
      <c r="AC663" s="27"/>
      <c r="AD663" s="27"/>
      <c r="AF663" s="8"/>
      <c r="AG663" s="27"/>
      <c r="AH663" s="14">
        <f>+'Pegar ML'!Y659</f>
        <v>0</v>
      </c>
      <c r="AI663" s="13">
        <f t="shared" si="31"/>
        <v>1</v>
      </c>
      <c r="AJ663" s="7">
        <f>+'Pegar ML'!T659</f>
        <v>0</v>
      </c>
      <c r="AK663" s="27"/>
      <c r="AL663" s="27"/>
      <c r="AM663" s="27"/>
      <c r="AN663" s="27"/>
      <c r="AO663" s="27"/>
      <c r="AP663" s="27"/>
      <c r="AQ663" s="27"/>
      <c r="AR663" s="27"/>
      <c r="AS663" s="27">
        <v>17</v>
      </c>
    </row>
    <row r="664" spans="1:45" ht="15" customHeight="1" x14ac:dyDescent="0.25">
      <c r="A664" s="27">
        <f>IF('Pegar ML'!C659="Paquete de 2 productos",'Pegar ML'!A659,IF('Pegar ML'!C658="Paquete de 2 productos",'Pegar ML'!A658,'Pegar ML'!A660))</f>
        <v>0</v>
      </c>
      <c r="B664" s="27"/>
      <c r="C664" s="30" t="str">
        <f>IF(AjusteFecha!I660=0,"",AjusteFecha!I660)</f>
        <v/>
      </c>
      <c r="D664" s="27"/>
      <c r="E664" s="27"/>
      <c r="F664" s="27" t="str">
        <f>IF('Pegar ML'!C660="","",'Pegar ML'!C660)</f>
        <v/>
      </c>
      <c r="G664" s="27" t="str">
        <f>IF('Pegar ML'!G655="ARS","PS","PS")</f>
        <v>PS</v>
      </c>
      <c r="H664" s="14">
        <f>IF('Pegar ML'!C659="Paquete de 2 productos",IF('Pegar ML'!H659="",0,'Pegar ML'!H659),IF('Pegar ML'!H660="",0,'Pegar ML'!H660))</f>
        <v>0</v>
      </c>
      <c r="I664" s="14">
        <f>IF('Pegar ML'!C659="Paquete de 2 productos",IF('Pegar ML'!O659="",0,'Pegar ML'!O659),IF('Pegar ML'!O660="",0,'Pegar ML'!O660))</f>
        <v>0</v>
      </c>
      <c r="J664" s="14">
        <f>IF('Pegar ML'!C659="Paquete de 2 productos",IF('Pegar ML'!O659="",0,'Pegar ML'!O659),IF('Pegar ML'!O660="",0,'Pegar ML'!O660))</f>
        <v>0</v>
      </c>
      <c r="K664" s="14">
        <f t="shared" si="32"/>
        <v>0</v>
      </c>
      <c r="L664" s="27">
        <f>IF('Pegar ML'!AB660=" ",'Pegar ML'!AB659,'Pegar ML'!AB660)</f>
        <v>0</v>
      </c>
      <c r="M664" s="27" t="str">
        <f>IF('Pegar ML'!AC660=" ",RIGHT('Pegar ML'!AC659,8),RIGHT('Pegar ML'!AC660,8))</f>
        <v/>
      </c>
      <c r="N664" s="27" t="s">
        <v>80</v>
      </c>
      <c r="O664" s="27">
        <f t="shared" si="30"/>
        <v>0</v>
      </c>
      <c r="P664" s="27" t="s">
        <v>80</v>
      </c>
      <c r="Q664" s="55">
        <f>IF('Pegar ML'!AD660=" ",'Pegar ML'!AD659,'Pegar ML'!AD660)</f>
        <v>0</v>
      </c>
      <c r="R664" s="27" t="s">
        <v>80</v>
      </c>
      <c r="S664" s="27" t="s">
        <v>80</v>
      </c>
      <c r="T664" s="27" t="s">
        <v>80</v>
      </c>
      <c r="U664" s="55">
        <f>IF('Pegar ML'!AI660=" ",'Pegar ML'!AI659,'Pegar ML'!AI660)</f>
        <v>0</v>
      </c>
      <c r="V664" s="55">
        <f>IF('Pegar ML'!AK660=" ",'Pegar ML'!AK659,'Pegar ML'!AK660)</f>
        <v>0</v>
      </c>
      <c r="W664" s="55">
        <f>IF('Pegar ML'!AJ660=" ",'Pegar ML'!AJ659,'Pegar ML'!AJ660)</f>
        <v>0</v>
      </c>
      <c r="X664" s="55">
        <f>IF('Pegar ML'!AL660=" ",'Pegar ML'!AL659,'Pegar ML'!AL660)</f>
        <v>0</v>
      </c>
      <c r="Y664" s="27"/>
      <c r="Z664" s="27"/>
      <c r="AA664" s="27"/>
      <c r="AB664" s="27"/>
      <c r="AC664" s="27"/>
      <c r="AD664" s="27"/>
      <c r="AF664" s="8"/>
      <c r="AG664" s="27"/>
      <c r="AH664" s="14">
        <f>+'Pegar ML'!Y660</f>
        <v>0</v>
      </c>
      <c r="AI664" s="13">
        <f t="shared" si="31"/>
        <v>1</v>
      </c>
      <c r="AJ664" s="7">
        <f>+'Pegar ML'!T660</f>
        <v>0</v>
      </c>
      <c r="AK664" s="27"/>
      <c r="AL664" s="27"/>
      <c r="AM664" s="27"/>
      <c r="AN664" s="27"/>
      <c r="AO664" s="27"/>
      <c r="AP664" s="27"/>
      <c r="AQ664" s="27"/>
      <c r="AR664" s="27"/>
      <c r="AS664" s="27">
        <v>17</v>
      </c>
    </row>
    <row r="665" spans="1:45" ht="15" customHeight="1" x14ac:dyDescent="0.25">
      <c r="A665" s="27">
        <f>IF('Pegar ML'!C660="Paquete de 2 productos",'Pegar ML'!A660,IF('Pegar ML'!C659="Paquete de 2 productos",'Pegar ML'!A659,'Pegar ML'!A661))</f>
        <v>0</v>
      </c>
      <c r="B665" s="27"/>
      <c r="C665" s="30" t="str">
        <f>IF(AjusteFecha!I661=0,"",AjusteFecha!I661)</f>
        <v/>
      </c>
      <c r="D665" s="27"/>
      <c r="E665" s="27"/>
      <c r="F665" s="27" t="str">
        <f>IF('Pegar ML'!C661="","",'Pegar ML'!C661)</f>
        <v/>
      </c>
      <c r="G665" s="27" t="str">
        <f>IF('Pegar ML'!G656="ARS","PS","PS")</f>
        <v>PS</v>
      </c>
      <c r="H665" s="14">
        <f>IF('Pegar ML'!C660="Paquete de 2 productos",IF('Pegar ML'!H660="",0,'Pegar ML'!H660),IF('Pegar ML'!H661="",0,'Pegar ML'!H661))</f>
        <v>0</v>
      </c>
      <c r="I665" s="14">
        <f>IF('Pegar ML'!C660="Paquete de 2 productos",IF('Pegar ML'!O660="",0,'Pegar ML'!O660),IF('Pegar ML'!O661="",0,'Pegar ML'!O661))</f>
        <v>0</v>
      </c>
      <c r="J665" s="14">
        <f>IF('Pegar ML'!C660="Paquete de 2 productos",IF('Pegar ML'!O660="",0,'Pegar ML'!O660),IF('Pegar ML'!O661="",0,'Pegar ML'!O661))</f>
        <v>0</v>
      </c>
      <c r="K665" s="14">
        <f t="shared" si="32"/>
        <v>0</v>
      </c>
      <c r="L665" s="27">
        <f>IF('Pegar ML'!AB661=" ",'Pegar ML'!AB660,'Pegar ML'!AB661)</f>
        <v>0</v>
      </c>
      <c r="M665" s="27" t="str">
        <f>IF('Pegar ML'!AC661=" ",RIGHT('Pegar ML'!AC660,8),RIGHT('Pegar ML'!AC661,8))</f>
        <v/>
      </c>
      <c r="N665" s="27" t="s">
        <v>80</v>
      </c>
      <c r="O665" s="27">
        <f t="shared" si="30"/>
        <v>0</v>
      </c>
      <c r="P665" s="27" t="s">
        <v>80</v>
      </c>
      <c r="Q665" s="55">
        <f>IF('Pegar ML'!AD661=" ",'Pegar ML'!AD660,'Pegar ML'!AD661)</f>
        <v>0</v>
      </c>
      <c r="R665" s="27" t="s">
        <v>80</v>
      </c>
      <c r="S665" s="27" t="s">
        <v>80</v>
      </c>
      <c r="T665" s="27" t="s">
        <v>80</v>
      </c>
      <c r="U665" s="55">
        <f>IF('Pegar ML'!AI661=" ",'Pegar ML'!AI660,'Pegar ML'!AI661)</f>
        <v>0</v>
      </c>
      <c r="V665" s="55">
        <f>IF('Pegar ML'!AK661=" ",'Pegar ML'!AK660,'Pegar ML'!AK661)</f>
        <v>0</v>
      </c>
      <c r="W665" s="55">
        <f>IF('Pegar ML'!AJ661=" ",'Pegar ML'!AJ660,'Pegar ML'!AJ661)</f>
        <v>0</v>
      </c>
      <c r="X665" s="55">
        <f>IF('Pegar ML'!AL661=" ",'Pegar ML'!AL660,'Pegar ML'!AL661)</f>
        <v>0</v>
      </c>
      <c r="Y665" s="27"/>
      <c r="Z665" s="27"/>
      <c r="AA665" s="27"/>
      <c r="AB665" s="27"/>
      <c r="AC665" s="27"/>
      <c r="AD665" s="27"/>
      <c r="AF665" s="8"/>
      <c r="AG665" s="27"/>
      <c r="AH665" s="14">
        <f>+'Pegar ML'!Y661</f>
        <v>0</v>
      </c>
      <c r="AI665" s="13">
        <f t="shared" si="31"/>
        <v>1</v>
      </c>
      <c r="AJ665" s="7">
        <f>+'Pegar ML'!T661</f>
        <v>0</v>
      </c>
      <c r="AK665" s="27"/>
      <c r="AL665" s="27"/>
      <c r="AM665" s="27"/>
      <c r="AN665" s="27"/>
      <c r="AO665" s="27"/>
      <c r="AP665" s="27"/>
      <c r="AQ665" s="27"/>
      <c r="AR665" s="27"/>
      <c r="AS665" s="27">
        <v>17</v>
      </c>
    </row>
    <row r="666" spans="1:45" ht="15" customHeight="1" x14ac:dyDescent="0.25">
      <c r="A666" s="27">
        <f>IF('Pegar ML'!C661="Paquete de 2 productos",'Pegar ML'!A661,IF('Pegar ML'!C660="Paquete de 2 productos",'Pegar ML'!A660,'Pegar ML'!A662))</f>
        <v>0</v>
      </c>
      <c r="B666" s="27"/>
      <c r="C666" s="30" t="str">
        <f>IF(AjusteFecha!I662=0,"",AjusteFecha!I662)</f>
        <v/>
      </c>
      <c r="D666" s="27"/>
      <c r="E666" s="27"/>
      <c r="F666" s="27" t="str">
        <f>IF('Pegar ML'!C662="","",'Pegar ML'!C662)</f>
        <v/>
      </c>
      <c r="G666" s="27" t="str">
        <f>IF('Pegar ML'!G657="ARS","PS","PS")</f>
        <v>PS</v>
      </c>
      <c r="H666" s="14">
        <f>IF('Pegar ML'!C661="Paquete de 2 productos",IF('Pegar ML'!H661="",0,'Pegar ML'!H661),IF('Pegar ML'!H662="",0,'Pegar ML'!H662))</f>
        <v>0</v>
      </c>
      <c r="I666" s="14">
        <f>IF('Pegar ML'!C661="Paquete de 2 productos",IF('Pegar ML'!O661="",0,'Pegar ML'!O661),IF('Pegar ML'!O662="",0,'Pegar ML'!O662))</f>
        <v>0</v>
      </c>
      <c r="J666" s="14">
        <f>IF('Pegar ML'!C661="Paquete de 2 productos",IF('Pegar ML'!O661="",0,'Pegar ML'!O661),IF('Pegar ML'!O662="",0,'Pegar ML'!O662))</f>
        <v>0</v>
      </c>
      <c r="K666" s="14">
        <f t="shared" si="32"/>
        <v>0</v>
      </c>
      <c r="L666" s="27">
        <f>IF('Pegar ML'!AB662=" ",'Pegar ML'!AB661,'Pegar ML'!AB662)</f>
        <v>0</v>
      </c>
      <c r="M666" s="27" t="str">
        <f>IF('Pegar ML'!AC662=" ",RIGHT('Pegar ML'!AC661,8),RIGHT('Pegar ML'!AC662,8))</f>
        <v/>
      </c>
      <c r="N666" s="27" t="s">
        <v>80</v>
      </c>
      <c r="O666" s="27">
        <f t="shared" si="30"/>
        <v>0</v>
      </c>
      <c r="P666" s="27" t="s">
        <v>80</v>
      </c>
      <c r="Q666" s="55">
        <f>IF('Pegar ML'!AD662=" ",'Pegar ML'!AD661,'Pegar ML'!AD662)</f>
        <v>0</v>
      </c>
      <c r="R666" s="27" t="s">
        <v>80</v>
      </c>
      <c r="S666" s="27" t="s">
        <v>80</v>
      </c>
      <c r="T666" s="27" t="s">
        <v>80</v>
      </c>
      <c r="U666" s="55">
        <f>IF('Pegar ML'!AI662=" ",'Pegar ML'!AI661,'Pegar ML'!AI662)</f>
        <v>0</v>
      </c>
      <c r="V666" s="55">
        <f>IF('Pegar ML'!AK662=" ",'Pegar ML'!AK661,'Pegar ML'!AK662)</f>
        <v>0</v>
      </c>
      <c r="W666" s="55">
        <f>IF('Pegar ML'!AJ662=" ",'Pegar ML'!AJ661,'Pegar ML'!AJ662)</f>
        <v>0</v>
      </c>
      <c r="X666" s="55">
        <f>IF('Pegar ML'!AL662=" ",'Pegar ML'!AL661,'Pegar ML'!AL662)</f>
        <v>0</v>
      </c>
      <c r="Y666" s="27"/>
      <c r="Z666" s="27"/>
      <c r="AA666" s="27"/>
      <c r="AB666" s="27"/>
      <c r="AC666" s="27"/>
      <c r="AD666" s="27"/>
      <c r="AF666" s="8"/>
      <c r="AG666" s="27"/>
      <c r="AH666" s="14">
        <f>+'Pegar ML'!Y662</f>
        <v>0</v>
      </c>
      <c r="AI666" s="13">
        <f t="shared" si="31"/>
        <v>1</v>
      </c>
      <c r="AJ666" s="7">
        <f>+'Pegar ML'!T662</f>
        <v>0</v>
      </c>
      <c r="AK666" s="27"/>
      <c r="AL666" s="27"/>
      <c r="AM666" s="27"/>
      <c r="AN666" s="27"/>
      <c r="AO666" s="27"/>
      <c r="AP666" s="27"/>
      <c r="AQ666" s="27"/>
      <c r="AR666" s="27"/>
      <c r="AS666" s="27">
        <v>17</v>
      </c>
    </row>
    <row r="667" spans="1:45" ht="15" customHeight="1" x14ac:dyDescent="0.25">
      <c r="A667" s="27">
        <f>IF('Pegar ML'!C662="Paquete de 2 productos",'Pegar ML'!A662,IF('Pegar ML'!C661="Paquete de 2 productos",'Pegar ML'!A661,'Pegar ML'!A663))</f>
        <v>0</v>
      </c>
      <c r="B667" s="27"/>
      <c r="C667" s="30" t="str">
        <f>IF(AjusteFecha!I663=0,"",AjusteFecha!I663)</f>
        <v/>
      </c>
      <c r="D667" s="27"/>
      <c r="E667" s="27"/>
      <c r="F667" s="27" t="str">
        <f>IF('Pegar ML'!C663="","",'Pegar ML'!C663)</f>
        <v/>
      </c>
      <c r="G667" s="27" t="str">
        <f>IF('Pegar ML'!G658="ARS","PS","PS")</f>
        <v>PS</v>
      </c>
      <c r="H667" s="14">
        <f>IF('Pegar ML'!C662="Paquete de 2 productos",IF('Pegar ML'!H662="",0,'Pegar ML'!H662),IF('Pegar ML'!H663="",0,'Pegar ML'!H663))</f>
        <v>0</v>
      </c>
      <c r="I667" s="14">
        <f>IF('Pegar ML'!C662="Paquete de 2 productos",IF('Pegar ML'!O662="",0,'Pegar ML'!O662),IF('Pegar ML'!O663="",0,'Pegar ML'!O663))</f>
        <v>0</v>
      </c>
      <c r="J667" s="14">
        <f>IF('Pegar ML'!C662="Paquete de 2 productos",IF('Pegar ML'!O662="",0,'Pegar ML'!O662),IF('Pegar ML'!O663="",0,'Pegar ML'!O663))</f>
        <v>0</v>
      </c>
      <c r="K667" s="14">
        <f t="shared" si="32"/>
        <v>0</v>
      </c>
      <c r="L667" s="27">
        <f>IF('Pegar ML'!AB663=" ",'Pegar ML'!AB662,'Pegar ML'!AB663)</f>
        <v>0</v>
      </c>
      <c r="M667" s="27" t="str">
        <f>IF('Pegar ML'!AC663=" ",RIGHT('Pegar ML'!AC662,8),RIGHT('Pegar ML'!AC663,8))</f>
        <v/>
      </c>
      <c r="N667" s="27" t="s">
        <v>80</v>
      </c>
      <c r="O667" s="27">
        <f t="shared" si="30"/>
        <v>0</v>
      </c>
      <c r="P667" s="27" t="s">
        <v>80</v>
      </c>
      <c r="Q667" s="55">
        <f>IF('Pegar ML'!AD663=" ",'Pegar ML'!AD662,'Pegar ML'!AD663)</f>
        <v>0</v>
      </c>
      <c r="R667" s="27" t="s">
        <v>80</v>
      </c>
      <c r="S667" s="27" t="s">
        <v>80</v>
      </c>
      <c r="T667" s="27" t="s">
        <v>80</v>
      </c>
      <c r="U667" s="55">
        <f>IF('Pegar ML'!AI663=" ",'Pegar ML'!AI662,'Pegar ML'!AI663)</f>
        <v>0</v>
      </c>
      <c r="V667" s="55">
        <f>IF('Pegar ML'!AK663=" ",'Pegar ML'!AK662,'Pegar ML'!AK663)</f>
        <v>0</v>
      </c>
      <c r="W667" s="55">
        <f>IF('Pegar ML'!AJ663=" ",'Pegar ML'!AJ662,'Pegar ML'!AJ663)</f>
        <v>0</v>
      </c>
      <c r="X667" s="55">
        <f>IF('Pegar ML'!AL663=" ",'Pegar ML'!AL662,'Pegar ML'!AL663)</f>
        <v>0</v>
      </c>
      <c r="Y667" s="27"/>
      <c r="Z667" s="27"/>
      <c r="AA667" s="27"/>
      <c r="AB667" s="27"/>
      <c r="AC667" s="27"/>
      <c r="AD667" s="27"/>
      <c r="AF667" s="8"/>
      <c r="AG667" s="27"/>
      <c r="AH667" s="14">
        <f>+'Pegar ML'!Y663</f>
        <v>0</v>
      </c>
      <c r="AI667" s="13">
        <f t="shared" si="31"/>
        <v>1</v>
      </c>
      <c r="AJ667" s="7">
        <f>+'Pegar ML'!T663</f>
        <v>0</v>
      </c>
      <c r="AK667" s="27"/>
      <c r="AL667" s="27"/>
      <c r="AM667" s="27"/>
      <c r="AN667" s="27"/>
      <c r="AO667" s="27"/>
      <c r="AP667" s="27"/>
      <c r="AQ667" s="27"/>
      <c r="AR667" s="27"/>
      <c r="AS667" s="27">
        <v>17</v>
      </c>
    </row>
    <row r="668" spans="1:45" ht="15" customHeight="1" x14ac:dyDescent="0.25">
      <c r="A668" s="27">
        <f>IF('Pegar ML'!C663="Paquete de 2 productos",'Pegar ML'!A663,IF('Pegar ML'!C662="Paquete de 2 productos",'Pegar ML'!A662,'Pegar ML'!A664))</f>
        <v>0</v>
      </c>
      <c r="B668" s="27"/>
      <c r="C668" s="30" t="str">
        <f>IF(AjusteFecha!I664=0,"",AjusteFecha!I664)</f>
        <v/>
      </c>
      <c r="D668" s="27"/>
      <c r="E668" s="27"/>
      <c r="F668" s="27" t="str">
        <f>IF('Pegar ML'!C664="","",'Pegar ML'!C664)</f>
        <v/>
      </c>
      <c r="G668" s="27" t="str">
        <f>IF('Pegar ML'!G659="ARS","PS","PS")</f>
        <v>PS</v>
      </c>
      <c r="H668" s="14">
        <f>IF('Pegar ML'!C663="Paquete de 2 productos",IF('Pegar ML'!H663="",0,'Pegar ML'!H663),IF('Pegar ML'!H664="",0,'Pegar ML'!H664))</f>
        <v>0</v>
      </c>
      <c r="I668" s="14">
        <f>IF('Pegar ML'!C663="Paquete de 2 productos",IF('Pegar ML'!O663="",0,'Pegar ML'!O663),IF('Pegar ML'!O664="",0,'Pegar ML'!O664))</f>
        <v>0</v>
      </c>
      <c r="J668" s="14">
        <f>IF('Pegar ML'!C663="Paquete de 2 productos",IF('Pegar ML'!O663="",0,'Pegar ML'!O663),IF('Pegar ML'!O664="",0,'Pegar ML'!O664))</f>
        <v>0</v>
      </c>
      <c r="K668" s="14">
        <f t="shared" si="32"/>
        <v>0</v>
      </c>
      <c r="L668" s="27">
        <f>IF('Pegar ML'!AB664=" ",'Pegar ML'!AB663,'Pegar ML'!AB664)</f>
        <v>0</v>
      </c>
      <c r="M668" s="27" t="str">
        <f>IF('Pegar ML'!AC664=" ",RIGHT('Pegar ML'!AC663,8),RIGHT('Pegar ML'!AC664,8))</f>
        <v/>
      </c>
      <c r="N668" s="27" t="s">
        <v>80</v>
      </c>
      <c r="O668" s="27">
        <f t="shared" si="30"/>
        <v>0</v>
      </c>
      <c r="P668" s="27" t="s">
        <v>80</v>
      </c>
      <c r="Q668" s="55">
        <f>IF('Pegar ML'!AD664=" ",'Pegar ML'!AD663,'Pegar ML'!AD664)</f>
        <v>0</v>
      </c>
      <c r="R668" s="27" t="s">
        <v>80</v>
      </c>
      <c r="S668" s="27" t="s">
        <v>80</v>
      </c>
      <c r="T668" s="27" t="s">
        <v>80</v>
      </c>
      <c r="U668" s="55">
        <f>IF('Pegar ML'!AI664=" ",'Pegar ML'!AI663,'Pegar ML'!AI664)</f>
        <v>0</v>
      </c>
      <c r="V668" s="55">
        <f>IF('Pegar ML'!AK664=" ",'Pegar ML'!AK663,'Pegar ML'!AK664)</f>
        <v>0</v>
      </c>
      <c r="W668" s="55">
        <f>IF('Pegar ML'!AJ664=" ",'Pegar ML'!AJ663,'Pegar ML'!AJ664)</f>
        <v>0</v>
      </c>
      <c r="X668" s="55">
        <f>IF('Pegar ML'!AL664=" ",'Pegar ML'!AL663,'Pegar ML'!AL664)</f>
        <v>0</v>
      </c>
      <c r="Y668" s="27"/>
      <c r="Z668" s="27"/>
      <c r="AA668" s="27"/>
      <c r="AB668" s="27"/>
      <c r="AC668" s="27"/>
      <c r="AD668" s="27"/>
      <c r="AF668" s="8"/>
      <c r="AG668" s="27"/>
      <c r="AH668" s="14">
        <f>+'Pegar ML'!Y664</f>
        <v>0</v>
      </c>
      <c r="AI668" s="13">
        <f t="shared" si="31"/>
        <v>1</v>
      </c>
      <c r="AJ668" s="7">
        <f>+'Pegar ML'!T664</f>
        <v>0</v>
      </c>
      <c r="AK668" s="27"/>
      <c r="AL668" s="27"/>
      <c r="AM668" s="27"/>
      <c r="AN668" s="27"/>
      <c r="AO668" s="27"/>
      <c r="AP668" s="27"/>
      <c r="AQ668" s="27"/>
      <c r="AR668" s="27"/>
      <c r="AS668" s="27">
        <v>17</v>
      </c>
    </row>
    <row r="669" spans="1:45" ht="15" customHeight="1" x14ac:dyDescent="0.25">
      <c r="A669" s="27">
        <f>IF('Pegar ML'!C664="Paquete de 2 productos",'Pegar ML'!A664,IF('Pegar ML'!C663="Paquete de 2 productos",'Pegar ML'!A663,'Pegar ML'!A665))</f>
        <v>0</v>
      </c>
      <c r="B669" s="27"/>
      <c r="C669" s="30" t="str">
        <f>IF(AjusteFecha!I665=0,"",AjusteFecha!I665)</f>
        <v/>
      </c>
      <c r="D669" s="27"/>
      <c r="E669" s="27"/>
      <c r="F669" s="27" t="str">
        <f>IF('Pegar ML'!C665="","",'Pegar ML'!C665)</f>
        <v/>
      </c>
      <c r="G669" s="27" t="str">
        <f>IF('Pegar ML'!G660="ARS","PS","PS")</f>
        <v>PS</v>
      </c>
      <c r="H669" s="14">
        <f>IF('Pegar ML'!C664="Paquete de 2 productos",IF('Pegar ML'!H664="",0,'Pegar ML'!H664),IF('Pegar ML'!H665="",0,'Pegar ML'!H665))</f>
        <v>0</v>
      </c>
      <c r="I669" s="14">
        <f>IF('Pegar ML'!C664="Paquete de 2 productos",IF('Pegar ML'!O664="",0,'Pegar ML'!O664),IF('Pegar ML'!O665="",0,'Pegar ML'!O665))</f>
        <v>0</v>
      </c>
      <c r="J669" s="14">
        <f>IF('Pegar ML'!C664="Paquete de 2 productos",IF('Pegar ML'!O664="",0,'Pegar ML'!O664),IF('Pegar ML'!O665="",0,'Pegar ML'!O665))</f>
        <v>0</v>
      </c>
      <c r="K669" s="14">
        <f t="shared" si="32"/>
        <v>0</v>
      </c>
      <c r="L669" s="27">
        <f>IF('Pegar ML'!AB665=" ",'Pegar ML'!AB664,'Pegar ML'!AB665)</f>
        <v>0</v>
      </c>
      <c r="M669" s="27" t="str">
        <f>IF('Pegar ML'!AC665=" ",RIGHT('Pegar ML'!AC664,8),RIGHT('Pegar ML'!AC665,8))</f>
        <v/>
      </c>
      <c r="N669" s="27" t="s">
        <v>80</v>
      </c>
      <c r="O669" s="27">
        <f t="shared" si="30"/>
        <v>0</v>
      </c>
      <c r="P669" s="27" t="s">
        <v>80</v>
      </c>
      <c r="Q669" s="55">
        <f>IF('Pegar ML'!AD665=" ",'Pegar ML'!AD664,'Pegar ML'!AD665)</f>
        <v>0</v>
      </c>
      <c r="R669" s="27" t="s">
        <v>80</v>
      </c>
      <c r="S669" s="27" t="s">
        <v>80</v>
      </c>
      <c r="T669" s="27" t="s">
        <v>80</v>
      </c>
      <c r="U669" s="55">
        <f>IF('Pegar ML'!AI665=" ",'Pegar ML'!AI664,'Pegar ML'!AI665)</f>
        <v>0</v>
      </c>
      <c r="V669" s="55">
        <f>IF('Pegar ML'!AK665=" ",'Pegar ML'!AK664,'Pegar ML'!AK665)</f>
        <v>0</v>
      </c>
      <c r="W669" s="55">
        <f>IF('Pegar ML'!AJ665=" ",'Pegar ML'!AJ664,'Pegar ML'!AJ665)</f>
        <v>0</v>
      </c>
      <c r="X669" s="55">
        <f>IF('Pegar ML'!AL665=" ",'Pegar ML'!AL664,'Pegar ML'!AL665)</f>
        <v>0</v>
      </c>
      <c r="Y669" s="27"/>
      <c r="Z669" s="27"/>
      <c r="AA669" s="27"/>
      <c r="AB669" s="27"/>
      <c r="AC669" s="27"/>
      <c r="AD669" s="27"/>
      <c r="AF669" s="8"/>
      <c r="AG669" s="27"/>
      <c r="AH669" s="14">
        <f>+'Pegar ML'!Y665</f>
        <v>0</v>
      </c>
      <c r="AI669" s="13">
        <f t="shared" si="31"/>
        <v>1</v>
      </c>
      <c r="AJ669" s="7">
        <f>+'Pegar ML'!T665</f>
        <v>0</v>
      </c>
      <c r="AK669" s="27"/>
      <c r="AL669" s="27"/>
      <c r="AM669" s="27"/>
      <c r="AN669" s="27"/>
      <c r="AO669" s="27"/>
      <c r="AP669" s="27"/>
      <c r="AQ669" s="27"/>
      <c r="AR669" s="27"/>
      <c r="AS669" s="27">
        <v>17</v>
      </c>
    </row>
    <row r="670" spans="1:45" ht="15" customHeight="1" x14ac:dyDescent="0.25">
      <c r="A670" s="27">
        <f>IF('Pegar ML'!C665="Paquete de 2 productos",'Pegar ML'!A665,IF('Pegar ML'!C664="Paquete de 2 productos",'Pegar ML'!A664,'Pegar ML'!A666))</f>
        <v>0</v>
      </c>
      <c r="B670" s="27"/>
      <c r="C670" s="30" t="str">
        <f>IF(AjusteFecha!I666=0,"",AjusteFecha!I666)</f>
        <v/>
      </c>
      <c r="D670" s="27"/>
      <c r="E670" s="27"/>
      <c r="F670" s="27" t="str">
        <f>IF('Pegar ML'!C666="","",'Pegar ML'!C666)</f>
        <v/>
      </c>
      <c r="G670" s="27" t="str">
        <f>IF('Pegar ML'!G661="ARS","PS","PS")</f>
        <v>PS</v>
      </c>
      <c r="H670" s="14">
        <f>IF('Pegar ML'!C665="Paquete de 2 productos",IF('Pegar ML'!H665="",0,'Pegar ML'!H665),IF('Pegar ML'!H666="",0,'Pegar ML'!H666))</f>
        <v>0</v>
      </c>
      <c r="I670" s="14">
        <f>IF('Pegar ML'!C665="Paquete de 2 productos",IF('Pegar ML'!O665="",0,'Pegar ML'!O665),IF('Pegar ML'!O666="",0,'Pegar ML'!O666))</f>
        <v>0</v>
      </c>
      <c r="J670" s="14">
        <f>IF('Pegar ML'!C665="Paquete de 2 productos",IF('Pegar ML'!O665="",0,'Pegar ML'!O665),IF('Pegar ML'!O666="",0,'Pegar ML'!O666))</f>
        <v>0</v>
      </c>
      <c r="K670" s="14">
        <f t="shared" si="32"/>
        <v>0</v>
      </c>
      <c r="L670" s="27">
        <f>IF('Pegar ML'!AB666=" ",'Pegar ML'!AB665,'Pegar ML'!AB666)</f>
        <v>0</v>
      </c>
      <c r="M670" s="27" t="str">
        <f>IF('Pegar ML'!AC666=" ",RIGHT('Pegar ML'!AC665,8),RIGHT('Pegar ML'!AC666,8))</f>
        <v/>
      </c>
      <c r="N670" s="27" t="s">
        <v>80</v>
      </c>
      <c r="O670" s="27">
        <f t="shared" si="30"/>
        <v>0</v>
      </c>
      <c r="P670" s="27" t="s">
        <v>80</v>
      </c>
      <c r="Q670" s="55">
        <f>IF('Pegar ML'!AD666=" ",'Pegar ML'!AD665,'Pegar ML'!AD666)</f>
        <v>0</v>
      </c>
      <c r="R670" s="27" t="s">
        <v>80</v>
      </c>
      <c r="S670" s="27" t="s">
        <v>80</v>
      </c>
      <c r="T670" s="27" t="s">
        <v>80</v>
      </c>
      <c r="U670" s="55">
        <f>IF('Pegar ML'!AI666=" ",'Pegar ML'!AI665,'Pegar ML'!AI666)</f>
        <v>0</v>
      </c>
      <c r="V670" s="55">
        <f>IF('Pegar ML'!AK666=" ",'Pegar ML'!AK665,'Pegar ML'!AK666)</f>
        <v>0</v>
      </c>
      <c r="W670" s="55">
        <f>IF('Pegar ML'!AJ666=" ",'Pegar ML'!AJ665,'Pegar ML'!AJ666)</f>
        <v>0</v>
      </c>
      <c r="X670" s="55">
        <f>IF('Pegar ML'!AL666=" ",'Pegar ML'!AL665,'Pegar ML'!AL666)</f>
        <v>0</v>
      </c>
      <c r="Y670" s="27"/>
      <c r="Z670" s="27"/>
      <c r="AA670" s="27"/>
      <c r="AB670" s="27"/>
      <c r="AC670" s="27"/>
      <c r="AD670" s="27"/>
      <c r="AF670" s="8"/>
      <c r="AG670" s="27"/>
      <c r="AH670" s="14">
        <f>+'Pegar ML'!Y666</f>
        <v>0</v>
      </c>
      <c r="AI670" s="13">
        <f t="shared" si="31"/>
        <v>1</v>
      </c>
      <c r="AJ670" s="7">
        <f>+'Pegar ML'!T666</f>
        <v>0</v>
      </c>
      <c r="AK670" s="27"/>
      <c r="AL670" s="27"/>
      <c r="AM670" s="27"/>
      <c r="AN670" s="27"/>
      <c r="AO670" s="27"/>
      <c r="AP670" s="27"/>
      <c r="AQ670" s="27"/>
      <c r="AR670" s="27"/>
      <c r="AS670" s="27">
        <v>17</v>
      </c>
    </row>
    <row r="671" spans="1:45" ht="15" customHeight="1" x14ac:dyDescent="0.25">
      <c r="A671" s="27">
        <f>IF('Pegar ML'!C666="Paquete de 2 productos",'Pegar ML'!A666,IF('Pegar ML'!C665="Paquete de 2 productos",'Pegar ML'!A665,'Pegar ML'!A667))</f>
        <v>0</v>
      </c>
      <c r="B671" s="27"/>
      <c r="C671" s="30" t="str">
        <f>IF(AjusteFecha!I667=0,"",AjusteFecha!I667)</f>
        <v/>
      </c>
      <c r="D671" s="27"/>
      <c r="E671" s="27"/>
      <c r="F671" s="27" t="str">
        <f>IF('Pegar ML'!C667="","",'Pegar ML'!C667)</f>
        <v/>
      </c>
      <c r="G671" s="27" t="str">
        <f>IF('Pegar ML'!G662="ARS","PS","PS")</f>
        <v>PS</v>
      </c>
      <c r="H671" s="14">
        <f>IF('Pegar ML'!C666="Paquete de 2 productos",IF('Pegar ML'!H666="",0,'Pegar ML'!H666),IF('Pegar ML'!H667="",0,'Pegar ML'!H667))</f>
        <v>0</v>
      </c>
      <c r="I671" s="14">
        <f>IF('Pegar ML'!C666="Paquete de 2 productos",IF('Pegar ML'!O666="",0,'Pegar ML'!O666),IF('Pegar ML'!O667="",0,'Pegar ML'!O667))</f>
        <v>0</v>
      </c>
      <c r="J671" s="14">
        <f>IF('Pegar ML'!C666="Paquete de 2 productos",IF('Pegar ML'!O666="",0,'Pegar ML'!O666),IF('Pegar ML'!O667="",0,'Pegar ML'!O667))</f>
        <v>0</v>
      </c>
      <c r="K671" s="14">
        <f t="shared" si="32"/>
        <v>0</v>
      </c>
      <c r="L671" s="27">
        <f>IF('Pegar ML'!AB667=" ",'Pegar ML'!AB666,'Pegar ML'!AB667)</f>
        <v>0</v>
      </c>
      <c r="M671" s="27" t="str">
        <f>IF('Pegar ML'!AC667=" ",RIGHT('Pegar ML'!AC666,8),RIGHT('Pegar ML'!AC667,8))</f>
        <v/>
      </c>
      <c r="N671" s="27" t="s">
        <v>80</v>
      </c>
      <c r="O671" s="27">
        <f t="shared" si="30"/>
        <v>0</v>
      </c>
      <c r="P671" s="27" t="s">
        <v>80</v>
      </c>
      <c r="Q671" s="55">
        <f>IF('Pegar ML'!AD667=" ",'Pegar ML'!AD666,'Pegar ML'!AD667)</f>
        <v>0</v>
      </c>
      <c r="R671" s="27" t="s">
        <v>80</v>
      </c>
      <c r="S671" s="27" t="s">
        <v>80</v>
      </c>
      <c r="T671" s="27" t="s">
        <v>80</v>
      </c>
      <c r="U671" s="55">
        <f>IF('Pegar ML'!AI667=" ",'Pegar ML'!AI666,'Pegar ML'!AI667)</f>
        <v>0</v>
      </c>
      <c r="V671" s="55">
        <f>IF('Pegar ML'!AK667=" ",'Pegar ML'!AK666,'Pegar ML'!AK667)</f>
        <v>0</v>
      </c>
      <c r="W671" s="55">
        <f>IF('Pegar ML'!AJ667=" ",'Pegar ML'!AJ666,'Pegar ML'!AJ667)</f>
        <v>0</v>
      </c>
      <c r="X671" s="55">
        <f>IF('Pegar ML'!AL667=" ",'Pegar ML'!AL666,'Pegar ML'!AL667)</f>
        <v>0</v>
      </c>
      <c r="Y671" s="27"/>
      <c r="Z671" s="27"/>
      <c r="AA671" s="27"/>
      <c r="AB671" s="27"/>
      <c r="AC671" s="27"/>
      <c r="AD671" s="27"/>
      <c r="AF671" s="8"/>
      <c r="AG671" s="27"/>
      <c r="AH671" s="14">
        <f>+'Pegar ML'!Y667</f>
        <v>0</v>
      </c>
      <c r="AI671" s="13">
        <f t="shared" si="31"/>
        <v>1</v>
      </c>
      <c r="AJ671" s="7">
        <f>+'Pegar ML'!T667</f>
        <v>0</v>
      </c>
      <c r="AK671" s="27"/>
      <c r="AL671" s="27"/>
      <c r="AM671" s="27"/>
      <c r="AN671" s="27"/>
      <c r="AO671" s="27"/>
      <c r="AP671" s="27"/>
      <c r="AQ671" s="27"/>
      <c r="AR671" s="27"/>
      <c r="AS671" s="27">
        <v>17</v>
      </c>
    </row>
    <row r="672" spans="1:45" ht="15" customHeight="1" x14ac:dyDescent="0.25">
      <c r="A672" s="27">
        <f>IF('Pegar ML'!C667="Paquete de 2 productos",'Pegar ML'!A667,IF('Pegar ML'!C666="Paquete de 2 productos",'Pegar ML'!A666,'Pegar ML'!A668))</f>
        <v>0</v>
      </c>
      <c r="B672" s="27"/>
      <c r="C672" s="30" t="str">
        <f>IF(AjusteFecha!I668=0,"",AjusteFecha!I668)</f>
        <v/>
      </c>
      <c r="D672" s="27"/>
      <c r="E672" s="27"/>
      <c r="F672" s="27" t="str">
        <f>IF('Pegar ML'!C668="","",'Pegar ML'!C668)</f>
        <v/>
      </c>
      <c r="G672" s="27" t="str">
        <f>IF('Pegar ML'!G663="ARS","PS","PS")</f>
        <v>PS</v>
      </c>
      <c r="H672" s="14">
        <f>IF('Pegar ML'!C667="Paquete de 2 productos",IF('Pegar ML'!H667="",0,'Pegar ML'!H667),IF('Pegar ML'!H668="",0,'Pegar ML'!H668))</f>
        <v>0</v>
      </c>
      <c r="I672" s="14">
        <f>IF('Pegar ML'!C667="Paquete de 2 productos",IF('Pegar ML'!O667="",0,'Pegar ML'!O667),IF('Pegar ML'!O668="",0,'Pegar ML'!O668))</f>
        <v>0</v>
      </c>
      <c r="J672" s="14">
        <f>IF('Pegar ML'!C667="Paquete de 2 productos",IF('Pegar ML'!O667="",0,'Pegar ML'!O667),IF('Pegar ML'!O668="",0,'Pegar ML'!O668))</f>
        <v>0</v>
      </c>
      <c r="K672" s="14">
        <f t="shared" si="32"/>
        <v>0</v>
      </c>
      <c r="L672" s="27">
        <f>IF('Pegar ML'!AB668=" ",'Pegar ML'!AB667,'Pegar ML'!AB668)</f>
        <v>0</v>
      </c>
      <c r="M672" s="27" t="str">
        <f>IF('Pegar ML'!AC668=" ",RIGHT('Pegar ML'!AC667,8),RIGHT('Pegar ML'!AC668,8))</f>
        <v/>
      </c>
      <c r="N672" s="27" t="s">
        <v>80</v>
      </c>
      <c r="O672" s="27">
        <f t="shared" si="30"/>
        <v>0</v>
      </c>
      <c r="P672" s="27" t="s">
        <v>80</v>
      </c>
      <c r="Q672" s="55">
        <f>IF('Pegar ML'!AD668=" ",'Pegar ML'!AD667,'Pegar ML'!AD668)</f>
        <v>0</v>
      </c>
      <c r="R672" s="27" t="s">
        <v>80</v>
      </c>
      <c r="S672" s="27" t="s">
        <v>80</v>
      </c>
      <c r="T672" s="27" t="s">
        <v>80</v>
      </c>
      <c r="U672" s="55">
        <f>IF('Pegar ML'!AI668=" ",'Pegar ML'!AI667,'Pegar ML'!AI668)</f>
        <v>0</v>
      </c>
      <c r="V672" s="55">
        <f>IF('Pegar ML'!AK668=" ",'Pegar ML'!AK667,'Pegar ML'!AK668)</f>
        <v>0</v>
      </c>
      <c r="W672" s="55">
        <f>IF('Pegar ML'!AJ668=" ",'Pegar ML'!AJ667,'Pegar ML'!AJ668)</f>
        <v>0</v>
      </c>
      <c r="X672" s="55">
        <f>IF('Pegar ML'!AL668=" ",'Pegar ML'!AL667,'Pegar ML'!AL668)</f>
        <v>0</v>
      </c>
      <c r="Y672" s="27"/>
      <c r="Z672" s="27"/>
      <c r="AA672" s="27"/>
      <c r="AB672" s="27"/>
      <c r="AC672" s="27"/>
      <c r="AD672" s="27"/>
      <c r="AF672" s="8"/>
      <c r="AG672" s="27"/>
      <c r="AH672" s="14">
        <f>+'Pegar ML'!Y668</f>
        <v>0</v>
      </c>
      <c r="AI672" s="13">
        <f t="shared" si="31"/>
        <v>1</v>
      </c>
      <c r="AJ672" s="7">
        <f>+'Pegar ML'!T668</f>
        <v>0</v>
      </c>
      <c r="AK672" s="27"/>
      <c r="AL672" s="27"/>
      <c r="AM672" s="27"/>
      <c r="AN672" s="27"/>
      <c r="AO672" s="27"/>
      <c r="AP672" s="27"/>
      <c r="AQ672" s="27"/>
      <c r="AR672" s="27"/>
      <c r="AS672" s="27">
        <v>17</v>
      </c>
    </row>
    <row r="673" spans="1:45" ht="15" customHeight="1" x14ac:dyDescent="0.25">
      <c r="A673" s="27">
        <f>IF('Pegar ML'!C668="Paquete de 2 productos",'Pegar ML'!A668,IF('Pegar ML'!C667="Paquete de 2 productos",'Pegar ML'!A667,'Pegar ML'!A669))</f>
        <v>0</v>
      </c>
      <c r="B673" s="27"/>
      <c r="C673" s="30" t="str">
        <f>IF(AjusteFecha!I669=0,"",AjusteFecha!I669)</f>
        <v/>
      </c>
      <c r="D673" s="27"/>
      <c r="E673" s="27"/>
      <c r="F673" s="27" t="str">
        <f>IF('Pegar ML'!C669="","",'Pegar ML'!C669)</f>
        <v/>
      </c>
      <c r="G673" s="27" t="str">
        <f>IF('Pegar ML'!G664="ARS","PS","PS")</f>
        <v>PS</v>
      </c>
      <c r="H673" s="14">
        <f>IF('Pegar ML'!C668="Paquete de 2 productos",IF('Pegar ML'!H668="",0,'Pegar ML'!H668),IF('Pegar ML'!H669="",0,'Pegar ML'!H669))</f>
        <v>0</v>
      </c>
      <c r="I673" s="14">
        <f>IF('Pegar ML'!C668="Paquete de 2 productos",IF('Pegar ML'!O668="",0,'Pegar ML'!O668),IF('Pegar ML'!O669="",0,'Pegar ML'!O669))</f>
        <v>0</v>
      </c>
      <c r="J673" s="14">
        <f>IF('Pegar ML'!C668="Paquete de 2 productos",IF('Pegar ML'!O668="",0,'Pegar ML'!O668),IF('Pegar ML'!O669="",0,'Pegar ML'!O669))</f>
        <v>0</v>
      </c>
      <c r="K673" s="14">
        <f t="shared" si="32"/>
        <v>0</v>
      </c>
      <c r="L673" s="27">
        <f>IF('Pegar ML'!AB669=" ",'Pegar ML'!AB668,'Pegar ML'!AB669)</f>
        <v>0</v>
      </c>
      <c r="M673" s="27" t="str">
        <f>IF('Pegar ML'!AC669=" ",RIGHT('Pegar ML'!AC668,8),RIGHT('Pegar ML'!AC669,8))</f>
        <v/>
      </c>
      <c r="N673" s="27" t="s">
        <v>80</v>
      </c>
      <c r="O673" s="27">
        <f t="shared" si="30"/>
        <v>0</v>
      </c>
      <c r="P673" s="27" t="s">
        <v>80</v>
      </c>
      <c r="Q673" s="55">
        <f>IF('Pegar ML'!AD669=" ",'Pegar ML'!AD668,'Pegar ML'!AD669)</f>
        <v>0</v>
      </c>
      <c r="R673" s="27" t="s">
        <v>80</v>
      </c>
      <c r="S673" s="27" t="s">
        <v>80</v>
      </c>
      <c r="T673" s="27" t="s">
        <v>80</v>
      </c>
      <c r="U673" s="55">
        <f>IF('Pegar ML'!AI669=" ",'Pegar ML'!AI668,'Pegar ML'!AI669)</f>
        <v>0</v>
      </c>
      <c r="V673" s="55">
        <f>IF('Pegar ML'!AK669=" ",'Pegar ML'!AK668,'Pegar ML'!AK669)</f>
        <v>0</v>
      </c>
      <c r="W673" s="55">
        <f>IF('Pegar ML'!AJ669=" ",'Pegar ML'!AJ668,'Pegar ML'!AJ669)</f>
        <v>0</v>
      </c>
      <c r="X673" s="55">
        <f>IF('Pegar ML'!AL669=" ",'Pegar ML'!AL668,'Pegar ML'!AL669)</f>
        <v>0</v>
      </c>
      <c r="Y673" s="27"/>
      <c r="Z673" s="27"/>
      <c r="AA673" s="27"/>
      <c r="AB673" s="27"/>
      <c r="AC673" s="27"/>
      <c r="AD673" s="27"/>
      <c r="AF673" s="8"/>
      <c r="AG673" s="27"/>
      <c r="AH673" s="14">
        <f>+'Pegar ML'!Y669</f>
        <v>0</v>
      </c>
      <c r="AI673" s="13">
        <f t="shared" si="31"/>
        <v>1</v>
      </c>
      <c r="AJ673" s="7">
        <f>+'Pegar ML'!T669</f>
        <v>0</v>
      </c>
      <c r="AK673" s="27"/>
      <c r="AL673" s="27"/>
      <c r="AM673" s="27"/>
      <c r="AN673" s="27"/>
      <c r="AO673" s="27"/>
      <c r="AP673" s="27"/>
      <c r="AQ673" s="27"/>
      <c r="AR673" s="27"/>
      <c r="AS673" s="27">
        <v>17</v>
      </c>
    </row>
    <row r="674" spans="1:45" ht="15" customHeight="1" x14ac:dyDescent="0.25">
      <c r="A674" s="27">
        <f>IF('Pegar ML'!C669="Paquete de 2 productos",'Pegar ML'!A669,IF('Pegar ML'!C668="Paquete de 2 productos",'Pegar ML'!A668,'Pegar ML'!A670))</f>
        <v>0</v>
      </c>
      <c r="B674" s="27"/>
      <c r="C674" s="30" t="str">
        <f>IF(AjusteFecha!I670=0,"",AjusteFecha!I670)</f>
        <v/>
      </c>
      <c r="D674" s="27"/>
      <c r="E674" s="27"/>
      <c r="F674" s="27" t="str">
        <f>IF('Pegar ML'!C670="","",'Pegar ML'!C670)</f>
        <v/>
      </c>
      <c r="G674" s="27" t="str">
        <f>IF('Pegar ML'!G665="ARS","PS","PS")</f>
        <v>PS</v>
      </c>
      <c r="H674" s="14">
        <f>IF('Pegar ML'!C669="Paquete de 2 productos",IF('Pegar ML'!H669="",0,'Pegar ML'!H669),IF('Pegar ML'!H670="",0,'Pegar ML'!H670))</f>
        <v>0</v>
      </c>
      <c r="I674" s="14">
        <f>IF('Pegar ML'!C669="Paquete de 2 productos",IF('Pegar ML'!O669="",0,'Pegar ML'!O669),IF('Pegar ML'!O670="",0,'Pegar ML'!O670))</f>
        <v>0</v>
      </c>
      <c r="J674" s="14">
        <f>IF('Pegar ML'!C669="Paquete de 2 productos",IF('Pegar ML'!O669="",0,'Pegar ML'!O669),IF('Pegar ML'!O670="",0,'Pegar ML'!O670))</f>
        <v>0</v>
      </c>
      <c r="K674" s="14">
        <f t="shared" si="32"/>
        <v>0</v>
      </c>
      <c r="L674" s="27">
        <f>IF('Pegar ML'!AB670=" ",'Pegar ML'!AB669,'Pegar ML'!AB670)</f>
        <v>0</v>
      </c>
      <c r="M674" s="27" t="str">
        <f>IF('Pegar ML'!AC670=" ",RIGHT('Pegar ML'!AC669,8),RIGHT('Pegar ML'!AC670,8))</f>
        <v/>
      </c>
      <c r="N674" s="27" t="s">
        <v>80</v>
      </c>
      <c r="O674" s="27">
        <f t="shared" si="30"/>
        <v>0</v>
      </c>
      <c r="P674" s="27" t="s">
        <v>80</v>
      </c>
      <c r="Q674" s="55">
        <f>IF('Pegar ML'!AD670=" ",'Pegar ML'!AD669,'Pegar ML'!AD670)</f>
        <v>0</v>
      </c>
      <c r="R674" s="27" t="s">
        <v>80</v>
      </c>
      <c r="S674" s="27" t="s">
        <v>80</v>
      </c>
      <c r="T674" s="27" t="s">
        <v>80</v>
      </c>
      <c r="U674" s="55">
        <f>IF('Pegar ML'!AI670=" ",'Pegar ML'!AI669,'Pegar ML'!AI670)</f>
        <v>0</v>
      </c>
      <c r="V674" s="55">
        <f>IF('Pegar ML'!AK670=" ",'Pegar ML'!AK669,'Pegar ML'!AK670)</f>
        <v>0</v>
      </c>
      <c r="W674" s="55">
        <f>IF('Pegar ML'!AJ670=" ",'Pegar ML'!AJ669,'Pegar ML'!AJ670)</f>
        <v>0</v>
      </c>
      <c r="X674" s="55">
        <f>IF('Pegar ML'!AL670=" ",'Pegar ML'!AL669,'Pegar ML'!AL670)</f>
        <v>0</v>
      </c>
      <c r="Y674" s="27"/>
      <c r="Z674" s="27"/>
      <c r="AA674" s="27"/>
      <c r="AB674" s="27"/>
      <c r="AC674" s="27"/>
      <c r="AD674" s="27"/>
      <c r="AF674" s="8"/>
      <c r="AG674" s="27"/>
      <c r="AH674" s="14">
        <f>+'Pegar ML'!Y670</f>
        <v>0</v>
      </c>
      <c r="AI674" s="13">
        <f t="shared" si="31"/>
        <v>1</v>
      </c>
      <c r="AJ674" s="7">
        <f>+'Pegar ML'!T670</f>
        <v>0</v>
      </c>
      <c r="AK674" s="27"/>
      <c r="AL674" s="27"/>
      <c r="AM674" s="27"/>
      <c r="AN674" s="27"/>
      <c r="AO674" s="27"/>
      <c r="AP674" s="27"/>
      <c r="AQ674" s="27"/>
      <c r="AR674" s="27"/>
      <c r="AS674" s="27">
        <v>17</v>
      </c>
    </row>
    <row r="675" spans="1:45" ht="15" customHeight="1" x14ac:dyDescent="0.25">
      <c r="A675" s="27">
        <f>IF('Pegar ML'!C670="Paquete de 2 productos",'Pegar ML'!A670,IF('Pegar ML'!C669="Paquete de 2 productos",'Pegar ML'!A669,'Pegar ML'!A671))</f>
        <v>0</v>
      </c>
      <c r="B675" s="27"/>
      <c r="C675" s="30" t="str">
        <f>IF(AjusteFecha!I671=0,"",AjusteFecha!I671)</f>
        <v/>
      </c>
      <c r="D675" s="27"/>
      <c r="E675" s="27"/>
      <c r="F675" s="27" t="str">
        <f>IF('Pegar ML'!C671="","",'Pegar ML'!C671)</f>
        <v/>
      </c>
      <c r="G675" s="27" t="str">
        <f>IF('Pegar ML'!G666="ARS","PS","PS")</f>
        <v>PS</v>
      </c>
      <c r="H675" s="14">
        <f>IF('Pegar ML'!C670="Paquete de 2 productos",IF('Pegar ML'!H670="",0,'Pegar ML'!H670),IF('Pegar ML'!H671="",0,'Pegar ML'!H671))</f>
        <v>0</v>
      </c>
      <c r="I675" s="14">
        <f>IF('Pegar ML'!C670="Paquete de 2 productos",IF('Pegar ML'!O670="",0,'Pegar ML'!O670),IF('Pegar ML'!O671="",0,'Pegar ML'!O671))</f>
        <v>0</v>
      </c>
      <c r="J675" s="14">
        <f>IF('Pegar ML'!C670="Paquete de 2 productos",IF('Pegar ML'!O670="",0,'Pegar ML'!O670),IF('Pegar ML'!O671="",0,'Pegar ML'!O671))</f>
        <v>0</v>
      </c>
      <c r="K675" s="14">
        <f t="shared" si="32"/>
        <v>0</v>
      </c>
      <c r="L675" s="27">
        <f>IF('Pegar ML'!AB671=" ",'Pegar ML'!AB670,'Pegar ML'!AB671)</f>
        <v>0</v>
      </c>
      <c r="M675" s="27" t="str">
        <f>IF('Pegar ML'!AC671=" ",RIGHT('Pegar ML'!AC670,8),RIGHT('Pegar ML'!AC671,8))</f>
        <v/>
      </c>
      <c r="N675" s="27" t="s">
        <v>80</v>
      </c>
      <c r="O675" s="27">
        <f t="shared" si="30"/>
        <v>0</v>
      </c>
      <c r="P675" s="27" t="s">
        <v>80</v>
      </c>
      <c r="Q675" s="55">
        <f>IF('Pegar ML'!AD671=" ",'Pegar ML'!AD670,'Pegar ML'!AD671)</f>
        <v>0</v>
      </c>
      <c r="R675" s="27" t="s">
        <v>80</v>
      </c>
      <c r="S675" s="27" t="s">
        <v>80</v>
      </c>
      <c r="T675" s="27" t="s">
        <v>80</v>
      </c>
      <c r="U675" s="55">
        <f>IF('Pegar ML'!AI671=" ",'Pegar ML'!AI670,'Pegar ML'!AI671)</f>
        <v>0</v>
      </c>
      <c r="V675" s="55">
        <f>IF('Pegar ML'!AK671=" ",'Pegar ML'!AK670,'Pegar ML'!AK671)</f>
        <v>0</v>
      </c>
      <c r="W675" s="55">
        <f>IF('Pegar ML'!AJ671=" ",'Pegar ML'!AJ670,'Pegar ML'!AJ671)</f>
        <v>0</v>
      </c>
      <c r="X675" s="55">
        <f>IF('Pegar ML'!AL671=" ",'Pegar ML'!AL670,'Pegar ML'!AL671)</f>
        <v>0</v>
      </c>
      <c r="Y675" s="27"/>
      <c r="Z675" s="27"/>
      <c r="AA675" s="27"/>
      <c r="AB675" s="27"/>
      <c r="AC675" s="27"/>
      <c r="AD675" s="27"/>
      <c r="AF675" s="8"/>
      <c r="AG675" s="27"/>
      <c r="AH675" s="14">
        <f>+'Pegar ML'!Y671</f>
        <v>0</v>
      </c>
      <c r="AI675" s="13">
        <f t="shared" si="31"/>
        <v>1</v>
      </c>
      <c r="AJ675" s="7">
        <f>+'Pegar ML'!T671</f>
        <v>0</v>
      </c>
      <c r="AK675" s="27"/>
      <c r="AL675" s="27"/>
      <c r="AM675" s="27"/>
      <c r="AN675" s="27"/>
      <c r="AO675" s="27"/>
      <c r="AP675" s="27"/>
      <c r="AQ675" s="27"/>
      <c r="AR675" s="27"/>
      <c r="AS675" s="27">
        <v>17</v>
      </c>
    </row>
    <row r="676" spans="1:45" ht="15" customHeight="1" x14ac:dyDescent="0.25">
      <c r="A676" s="27">
        <f>IF('Pegar ML'!C671="Paquete de 2 productos",'Pegar ML'!A671,IF('Pegar ML'!C670="Paquete de 2 productos",'Pegar ML'!A670,'Pegar ML'!A672))</f>
        <v>0</v>
      </c>
      <c r="B676" s="27"/>
      <c r="C676" s="30" t="str">
        <f>IF(AjusteFecha!I672=0,"",AjusteFecha!I672)</f>
        <v/>
      </c>
      <c r="D676" s="27"/>
      <c r="E676" s="27"/>
      <c r="F676" s="27" t="str">
        <f>IF('Pegar ML'!C672="","",'Pegar ML'!C672)</f>
        <v/>
      </c>
      <c r="G676" s="27" t="str">
        <f>IF('Pegar ML'!G667="ARS","PS","PS")</f>
        <v>PS</v>
      </c>
      <c r="H676" s="14">
        <f>IF('Pegar ML'!C671="Paquete de 2 productos",IF('Pegar ML'!H671="",0,'Pegar ML'!H671),IF('Pegar ML'!H672="",0,'Pegar ML'!H672))</f>
        <v>0</v>
      </c>
      <c r="I676" s="14">
        <f>IF('Pegar ML'!C671="Paquete de 2 productos",IF('Pegar ML'!O671="",0,'Pegar ML'!O671),IF('Pegar ML'!O672="",0,'Pegar ML'!O672))</f>
        <v>0</v>
      </c>
      <c r="J676" s="14">
        <f>IF('Pegar ML'!C671="Paquete de 2 productos",IF('Pegar ML'!O671="",0,'Pegar ML'!O671),IF('Pegar ML'!O672="",0,'Pegar ML'!O672))</f>
        <v>0</v>
      </c>
      <c r="K676" s="14">
        <f t="shared" si="32"/>
        <v>0</v>
      </c>
      <c r="L676" s="27">
        <f>IF('Pegar ML'!AB672=" ",'Pegar ML'!AB671,'Pegar ML'!AB672)</f>
        <v>0</v>
      </c>
      <c r="M676" s="27" t="str">
        <f>IF('Pegar ML'!AC672=" ",RIGHT('Pegar ML'!AC671,8),RIGHT('Pegar ML'!AC672,8))</f>
        <v/>
      </c>
      <c r="N676" s="27" t="s">
        <v>80</v>
      </c>
      <c r="O676" s="27">
        <f t="shared" si="30"/>
        <v>0</v>
      </c>
      <c r="P676" s="27" t="s">
        <v>80</v>
      </c>
      <c r="Q676" s="55">
        <f>IF('Pegar ML'!AD672=" ",'Pegar ML'!AD671,'Pegar ML'!AD672)</f>
        <v>0</v>
      </c>
      <c r="R676" s="27" t="s">
        <v>80</v>
      </c>
      <c r="S676" s="27" t="s">
        <v>80</v>
      </c>
      <c r="T676" s="27" t="s">
        <v>80</v>
      </c>
      <c r="U676" s="55">
        <f>IF('Pegar ML'!AI672=" ",'Pegar ML'!AI671,'Pegar ML'!AI672)</f>
        <v>0</v>
      </c>
      <c r="V676" s="55">
        <f>IF('Pegar ML'!AK672=" ",'Pegar ML'!AK671,'Pegar ML'!AK672)</f>
        <v>0</v>
      </c>
      <c r="W676" s="55">
        <f>IF('Pegar ML'!AJ672=" ",'Pegar ML'!AJ671,'Pegar ML'!AJ672)</f>
        <v>0</v>
      </c>
      <c r="X676" s="55">
        <f>IF('Pegar ML'!AL672=" ",'Pegar ML'!AL671,'Pegar ML'!AL672)</f>
        <v>0</v>
      </c>
      <c r="Y676" s="27"/>
      <c r="Z676" s="27"/>
      <c r="AA676" s="27"/>
      <c r="AB676" s="27"/>
      <c r="AC676" s="27"/>
      <c r="AD676" s="27"/>
      <c r="AF676" s="8"/>
      <c r="AG676" s="27"/>
      <c r="AH676" s="14">
        <f>+'Pegar ML'!Y672</f>
        <v>0</v>
      </c>
      <c r="AI676" s="13">
        <f t="shared" si="31"/>
        <v>1</v>
      </c>
      <c r="AJ676" s="7">
        <f>+'Pegar ML'!T672</f>
        <v>0</v>
      </c>
      <c r="AK676" s="27"/>
      <c r="AL676" s="27"/>
      <c r="AM676" s="27"/>
      <c r="AN676" s="27"/>
      <c r="AO676" s="27"/>
      <c r="AP676" s="27"/>
      <c r="AQ676" s="27"/>
      <c r="AR676" s="27"/>
      <c r="AS676" s="27">
        <v>17</v>
      </c>
    </row>
    <row r="677" spans="1:45" ht="15" customHeight="1" x14ac:dyDescent="0.25">
      <c r="A677" s="27">
        <f>IF('Pegar ML'!C672="Paquete de 2 productos",'Pegar ML'!A672,IF('Pegar ML'!C671="Paquete de 2 productos",'Pegar ML'!A671,'Pegar ML'!A673))</f>
        <v>0</v>
      </c>
      <c r="B677" s="27"/>
      <c r="C677" s="30" t="str">
        <f>IF(AjusteFecha!I673=0,"",AjusteFecha!I673)</f>
        <v/>
      </c>
      <c r="D677" s="27"/>
      <c r="E677" s="27"/>
      <c r="F677" s="27" t="str">
        <f>IF('Pegar ML'!C673="","",'Pegar ML'!C673)</f>
        <v/>
      </c>
      <c r="G677" s="27" t="str">
        <f>IF('Pegar ML'!G668="ARS","PS","PS")</f>
        <v>PS</v>
      </c>
      <c r="H677" s="14">
        <f>IF('Pegar ML'!C672="Paquete de 2 productos",IF('Pegar ML'!H672="",0,'Pegar ML'!H672),IF('Pegar ML'!H673="",0,'Pegar ML'!H673))</f>
        <v>0</v>
      </c>
      <c r="I677" s="14">
        <f>IF('Pegar ML'!C672="Paquete de 2 productos",IF('Pegar ML'!O672="",0,'Pegar ML'!O672),IF('Pegar ML'!O673="",0,'Pegar ML'!O673))</f>
        <v>0</v>
      </c>
      <c r="J677" s="14">
        <f>IF('Pegar ML'!C672="Paquete de 2 productos",IF('Pegar ML'!O672="",0,'Pegar ML'!O672),IF('Pegar ML'!O673="",0,'Pegar ML'!O673))</f>
        <v>0</v>
      </c>
      <c r="K677" s="14">
        <f t="shared" si="32"/>
        <v>0</v>
      </c>
      <c r="L677" s="27">
        <f>IF('Pegar ML'!AB673=" ",'Pegar ML'!AB672,'Pegar ML'!AB673)</f>
        <v>0</v>
      </c>
      <c r="M677" s="27" t="str">
        <f>IF('Pegar ML'!AC673=" ",RIGHT('Pegar ML'!AC672,8),RIGHT('Pegar ML'!AC673,8))</f>
        <v/>
      </c>
      <c r="N677" s="27" t="s">
        <v>80</v>
      </c>
      <c r="O677" s="27">
        <f t="shared" si="30"/>
        <v>0</v>
      </c>
      <c r="P677" s="27" t="s">
        <v>80</v>
      </c>
      <c r="Q677" s="55">
        <f>IF('Pegar ML'!AD673=" ",'Pegar ML'!AD672,'Pegar ML'!AD673)</f>
        <v>0</v>
      </c>
      <c r="R677" s="27" t="s">
        <v>80</v>
      </c>
      <c r="S677" s="27" t="s">
        <v>80</v>
      </c>
      <c r="T677" s="27" t="s">
        <v>80</v>
      </c>
      <c r="U677" s="55">
        <f>IF('Pegar ML'!AI673=" ",'Pegar ML'!AI672,'Pegar ML'!AI673)</f>
        <v>0</v>
      </c>
      <c r="V677" s="55">
        <f>IF('Pegar ML'!AK673=" ",'Pegar ML'!AK672,'Pegar ML'!AK673)</f>
        <v>0</v>
      </c>
      <c r="W677" s="55">
        <f>IF('Pegar ML'!AJ673=" ",'Pegar ML'!AJ672,'Pegar ML'!AJ673)</f>
        <v>0</v>
      </c>
      <c r="X677" s="55">
        <f>IF('Pegar ML'!AL673=" ",'Pegar ML'!AL672,'Pegar ML'!AL673)</f>
        <v>0</v>
      </c>
      <c r="Y677" s="27"/>
      <c r="Z677" s="27"/>
      <c r="AA677" s="27"/>
      <c r="AB677" s="27"/>
      <c r="AC677" s="27"/>
      <c r="AD677" s="27"/>
      <c r="AF677" s="8"/>
      <c r="AG677" s="27"/>
      <c r="AH677" s="14">
        <f>+'Pegar ML'!Y673</f>
        <v>0</v>
      </c>
      <c r="AI677" s="13">
        <f t="shared" si="31"/>
        <v>1</v>
      </c>
      <c r="AJ677" s="7">
        <f>+'Pegar ML'!T673</f>
        <v>0</v>
      </c>
      <c r="AK677" s="27"/>
      <c r="AL677" s="27"/>
      <c r="AM677" s="27"/>
      <c r="AN677" s="27"/>
      <c r="AO677" s="27"/>
      <c r="AP677" s="27"/>
      <c r="AQ677" s="27"/>
      <c r="AR677" s="27"/>
      <c r="AS677" s="27">
        <v>17</v>
      </c>
    </row>
    <row r="678" spans="1:45" ht="15" customHeight="1" x14ac:dyDescent="0.25">
      <c r="A678" s="27">
        <f>IF('Pegar ML'!C673="Paquete de 2 productos",'Pegar ML'!A673,IF('Pegar ML'!C672="Paquete de 2 productos",'Pegar ML'!A672,'Pegar ML'!A674))</f>
        <v>0</v>
      </c>
      <c r="B678" s="27"/>
      <c r="C678" s="30" t="str">
        <f>IF(AjusteFecha!I674=0,"",AjusteFecha!I674)</f>
        <v/>
      </c>
      <c r="D678" s="27"/>
      <c r="E678" s="27"/>
      <c r="F678" s="27" t="str">
        <f>IF('Pegar ML'!C674="","",'Pegar ML'!C674)</f>
        <v/>
      </c>
      <c r="G678" s="27" t="str">
        <f>IF('Pegar ML'!G669="ARS","PS","PS")</f>
        <v>PS</v>
      </c>
      <c r="H678" s="14">
        <f>IF('Pegar ML'!C673="Paquete de 2 productos",IF('Pegar ML'!H673="",0,'Pegar ML'!H673),IF('Pegar ML'!H674="",0,'Pegar ML'!H674))</f>
        <v>0</v>
      </c>
      <c r="I678" s="14">
        <f>IF('Pegar ML'!C673="Paquete de 2 productos",IF('Pegar ML'!O673="",0,'Pegar ML'!O673),IF('Pegar ML'!O674="",0,'Pegar ML'!O674))</f>
        <v>0</v>
      </c>
      <c r="J678" s="14">
        <f>IF('Pegar ML'!C673="Paquete de 2 productos",IF('Pegar ML'!O673="",0,'Pegar ML'!O673),IF('Pegar ML'!O674="",0,'Pegar ML'!O674))</f>
        <v>0</v>
      </c>
      <c r="K678" s="14">
        <f t="shared" si="32"/>
        <v>0</v>
      </c>
      <c r="L678" s="27">
        <f>IF('Pegar ML'!AB674=" ",'Pegar ML'!AB673,'Pegar ML'!AB674)</f>
        <v>0</v>
      </c>
      <c r="M678" s="27" t="str">
        <f>IF('Pegar ML'!AC674=" ",RIGHT('Pegar ML'!AC673,8),RIGHT('Pegar ML'!AC674,8))</f>
        <v/>
      </c>
      <c r="N678" s="27" t="s">
        <v>80</v>
      </c>
      <c r="O678" s="27">
        <f t="shared" si="30"/>
        <v>0</v>
      </c>
      <c r="P678" s="27" t="s">
        <v>80</v>
      </c>
      <c r="Q678" s="55">
        <f>IF('Pegar ML'!AD674=" ",'Pegar ML'!AD673,'Pegar ML'!AD674)</f>
        <v>0</v>
      </c>
      <c r="R678" s="27" t="s">
        <v>80</v>
      </c>
      <c r="S678" s="27" t="s">
        <v>80</v>
      </c>
      <c r="T678" s="27" t="s">
        <v>80</v>
      </c>
      <c r="U678" s="55">
        <f>IF('Pegar ML'!AI674=" ",'Pegar ML'!AI673,'Pegar ML'!AI674)</f>
        <v>0</v>
      </c>
      <c r="V678" s="55">
        <f>IF('Pegar ML'!AK674=" ",'Pegar ML'!AK673,'Pegar ML'!AK674)</f>
        <v>0</v>
      </c>
      <c r="W678" s="55">
        <f>IF('Pegar ML'!AJ674=" ",'Pegar ML'!AJ673,'Pegar ML'!AJ674)</f>
        <v>0</v>
      </c>
      <c r="X678" s="55">
        <f>IF('Pegar ML'!AL674=" ",'Pegar ML'!AL673,'Pegar ML'!AL674)</f>
        <v>0</v>
      </c>
      <c r="Y678" s="27"/>
      <c r="Z678" s="27"/>
      <c r="AA678" s="27"/>
      <c r="AB678" s="27"/>
      <c r="AC678" s="27"/>
      <c r="AD678" s="27"/>
      <c r="AF678" s="8"/>
      <c r="AG678" s="27"/>
      <c r="AH678" s="14">
        <f>+'Pegar ML'!Y674</f>
        <v>0</v>
      </c>
      <c r="AI678" s="13">
        <f t="shared" si="31"/>
        <v>1</v>
      </c>
      <c r="AJ678" s="7">
        <f>+'Pegar ML'!T674</f>
        <v>0</v>
      </c>
      <c r="AK678" s="27"/>
      <c r="AL678" s="27"/>
      <c r="AM678" s="27"/>
      <c r="AN678" s="27"/>
      <c r="AO678" s="27"/>
      <c r="AP678" s="27"/>
      <c r="AQ678" s="27"/>
      <c r="AR678" s="27"/>
      <c r="AS678" s="27">
        <v>17</v>
      </c>
    </row>
    <row r="679" spans="1:45" ht="15" customHeight="1" x14ac:dyDescent="0.25">
      <c r="A679" s="27">
        <f>IF('Pegar ML'!C674="Paquete de 2 productos",'Pegar ML'!A674,IF('Pegar ML'!C673="Paquete de 2 productos",'Pegar ML'!A673,'Pegar ML'!A675))</f>
        <v>0</v>
      </c>
      <c r="B679" s="27"/>
      <c r="C679" s="30" t="str">
        <f>IF(AjusteFecha!I675=0,"",AjusteFecha!I675)</f>
        <v/>
      </c>
      <c r="D679" s="27"/>
      <c r="E679" s="27"/>
      <c r="F679" s="27" t="str">
        <f>IF('Pegar ML'!C675="","",'Pegar ML'!C675)</f>
        <v/>
      </c>
      <c r="G679" s="27" t="str">
        <f>IF('Pegar ML'!G670="ARS","PS","PS")</f>
        <v>PS</v>
      </c>
      <c r="H679" s="14">
        <f>IF('Pegar ML'!C674="Paquete de 2 productos",IF('Pegar ML'!H674="",0,'Pegar ML'!H674),IF('Pegar ML'!H675="",0,'Pegar ML'!H675))</f>
        <v>0</v>
      </c>
      <c r="I679" s="14">
        <f>IF('Pegar ML'!C674="Paquete de 2 productos",IF('Pegar ML'!O674="",0,'Pegar ML'!O674),IF('Pegar ML'!O675="",0,'Pegar ML'!O675))</f>
        <v>0</v>
      </c>
      <c r="J679" s="14">
        <f>IF('Pegar ML'!C674="Paquete de 2 productos",IF('Pegar ML'!O674="",0,'Pegar ML'!O674),IF('Pegar ML'!O675="",0,'Pegar ML'!O675))</f>
        <v>0</v>
      </c>
      <c r="K679" s="14">
        <f t="shared" si="32"/>
        <v>0</v>
      </c>
      <c r="L679" s="27">
        <f>IF('Pegar ML'!AB675=" ",'Pegar ML'!AB674,'Pegar ML'!AB675)</f>
        <v>0</v>
      </c>
      <c r="M679" s="27" t="str">
        <f>IF('Pegar ML'!AC675=" ",RIGHT('Pegar ML'!AC674,8),RIGHT('Pegar ML'!AC675,8))</f>
        <v/>
      </c>
      <c r="N679" s="27" t="s">
        <v>80</v>
      </c>
      <c r="O679" s="27">
        <f t="shared" si="30"/>
        <v>0</v>
      </c>
      <c r="P679" s="27" t="s">
        <v>80</v>
      </c>
      <c r="Q679" s="55">
        <f>IF('Pegar ML'!AD675=" ",'Pegar ML'!AD674,'Pegar ML'!AD675)</f>
        <v>0</v>
      </c>
      <c r="R679" s="27" t="s">
        <v>80</v>
      </c>
      <c r="S679" s="27" t="s">
        <v>80</v>
      </c>
      <c r="T679" s="27" t="s">
        <v>80</v>
      </c>
      <c r="U679" s="55">
        <f>IF('Pegar ML'!AI675=" ",'Pegar ML'!AI674,'Pegar ML'!AI675)</f>
        <v>0</v>
      </c>
      <c r="V679" s="55">
        <f>IF('Pegar ML'!AK675=" ",'Pegar ML'!AK674,'Pegar ML'!AK675)</f>
        <v>0</v>
      </c>
      <c r="W679" s="55">
        <f>IF('Pegar ML'!AJ675=" ",'Pegar ML'!AJ674,'Pegar ML'!AJ675)</f>
        <v>0</v>
      </c>
      <c r="X679" s="55">
        <f>IF('Pegar ML'!AL675=" ",'Pegar ML'!AL674,'Pegar ML'!AL675)</f>
        <v>0</v>
      </c>
      <c r="Y679" s="27"/>
      <c r="Z679" s="27"/>
      <c r="AA679" s="27"/>
      <c r="AB679" s="27"/>
      <c r="AC679" s="27"/>
      <c r="AD679" s="27"/>
      <c r="AF679" s="8"/>
      <c r="AG679" s="27"/>
      <c r="AH679" s="14">
        <f>+'Pegar ML'!Y675</f>
        <v>0</v>
      </c>
      <c r="AI679" s="13">
        <f t="shared" si="31"/>
        <v>1</v>
      </c>
      <c r="AJ679" s="7">
        <f>+'Pegar ML'!T675</f>
        <v>0</v>
      </c>
      <c r="AK679" s="27"/>
      <c r="AL679" s="27"/>
      <c r="AM679" s="27"/>
      <c r="AN679" s="27"/>
      <c r="AO679" s="27"/>
      <c r="AP679" s="27"/>
      <c r="AQ679" s="27"/>
      <c r="AR679" s="27"/>
      <c r="AS679" s="27">
        <v>17</v>
      </c>
    </row>
    <row r="680" spans="1:45" ht="15" customHeight="1" x14ac:dyDescent="0.25">
      <c r="A680" s="27">
        <f>IF('Pegar ML'!C675="Paquete de 2 productos",'Pegar ML'!A675,IF('Pegar ML'!C674="Paquete de 2 productos",'Pegar ML'!A674,'Pegar ML'!A676))</f>
        <v>0</v>
      </c>
      <c r="B680" s="27"/>
      <c r="C680" s="30" t="str">
        <f>IF(AjusteFecha!I676=0,"",AjusteFecha!I676)</f>
        <v/>
      </c>
      <c r="D680" s="27"/>
      <c r="E680" s="27"/>
      <c r="F680" s="27" t="str">
        <f>IF('Pegar ML'!C676="","",'Pegar ML'!C676)</f>
        <v/>
      </c>
      <c r="G680" s="27" t="str">
        <f>IF('Pegar ML'!G671="ARS","PS","PS")</f>
        <v>PS</v>
      </c>
      <c r="H680" s="14">
        <f>IF('Pegar ML'!C675="Paquete de 2 productos",IF('Pegar ML'!H675="",0,'Pegar ML'!H675),IF('Pegar ML'!H676="",0,'Pegar ML'!H676))</f>
        <v>0</v>
      </c>
      <c r="I680" s="14">
        <f>IF('Pegar ML'!C675="Paquete de 2 productos",IF('Pegar ML'!O675="",0,'Pegar ML'!O675),IF('Pegar ML'!O676="",0,'Pegar ML'!O676))</f>
        <v>0</v>
      </c>
      <c r="J680" s="14">
        <f>IF('Pegar ML'!C675="Paquete de 2 productos",IF('Pegar ML'!O675="",0,'Pegar ML'!O675),IF('Pegar ML'!O676="",0,'Pegar ML'!O676))</f>
        <v>0</v>
      </c>
      <c r="K680" s="14">
        <f t="shared" si="32"/>
        <v>0</v>
      </c>
      <c r="L680" s="27">
        <f>IF('Pegar ML'!AB676=" ",'Pegar ML'!AB675,'Pegar ML'!AB676)</f>
        <v>0</v>
      </c>
      <c r="M680" s="27" t="str">
        <f>IF('Pegar ML'!AC676=" ",RIGHT('Pegar ML'!AC675,8),RIGHT('Pegar ML'!AC676,8))</f>
        <v/>
      </c>
      <c r="N680" s="27" t="s">
        <v>80</v>
      </c>
      <c r="O680" s="27">
        <f t="shared" si="30"/>
        <v>0</v>
      </c>
      <c r="P680" s="27" t="s">
        <v>80</v>
      </c>
      <c r="Q680" s="55">
        <f>IF('Pegar ML'!AD676=" ",'Pegar ML'!AD675,'Pegar ML'!AD676)</f>
        <v>0</v>
      </c>
      <c r="R680" s="27" t="s">
        <v>80</v>
      </c>
      <c r="S680" s="27" t="s">
        <v>80</v>
      </c>
      <c r="T680" s="27" t="s">
        <v>80</v>
      </c>
      <c r="U680" s="55">
        <f>IF('Pegar ML'!AI676=" ",'Pegar ML'!AI675,'Pegar ML'!AI676)</f>
        <v>0</v>
      </c>
      <c r="V680" s="55">
        <f>IF('Pegar ML'!AK676=" ",'Pegar ML'!AK675,'Pegar ML'!AK676)</f>
        <v>0</v>
      </c>
      <c r="W680" s="55">
        <f>IF('Pegar ML'!AJ676=" ",'Pegar ML'!AJ675,'Pegar ML'!AJ676)</f>
        <v>0</v>
      </c>
      <c r="X680" s="55">
        <f>IF('Pegar ML'!AL676=" ",'Pegar ML'!AL675,'Pegar ML'!AL676)</f>
        <v>0</v>
      </c>
      <c r="Y680" s="27"/>
      <c r="Z680" s="27"/>
      <c r="AA680" s="27"/>
      <c r="AB680" s="27"/>
      <c r="AC680" s="27"/>
      <c r="AD680" s="27"/>
      <c r="AF680" s="8"/>
      <c r="AG680" s="27"/>
      <c r="AH680" s="14">
        <f>+'Pegar ML'!Y676</f>
        <v>0</v>
      </c>
      <c r="AI680" s="13">
        <f t="shared" si="31"/>
        <v>1</v>
      </c>
      <c r="AJ680" s="7">
        <f>+'Pegar ML'!T676</f>
        <v>0</v>
      </c>
      <c r="AK680" s="27"/>
      <c r="AL680" s="27"/>
      <c r="AM680" s="27"/>
      <c r="AN680" s="27"/>
      <c r="AO680" s="27"/>
      <c r="AP680" s="27"/>
      <c r="AQ680" s="27"/>
      <c r="AR680" s="27"/>
      <c r="AS680" s="27">
        <v>17</v>
      </c>
    </row>
    <row r="681" spans="1:45" ht="15" customHeight="1" x14ac:dyDescent="0.25">
      <c r="A681" s="27">
        <f>IF('Pegar ML'!C676="Paquete de 2 productos",'Pegar ML'!A676,IF('Pegar ML'!C675="Paquete de 2 productos",'Pegar ML'!A675,'Pegar ML'!A677))</f>
        <v>0</v>
      </c>
      <c r="B681" s="27"/>
      <c r="C681" s="30" t="str">
        <f>IF(AjusteFecha!I677=0,"",AjusteFecha!I677)</f>
        <v/>
      </c>
      <c r="D681" s="27"/>
      <c r="E681" s="27"/>
      <c r="F681" s="27" t="str">
        <f>IF('Pegar ML'!C677="","",'Pegar ML'!C677)</f>
        <v/>
      </c>
      <c r="G681" s="27" t="str">
        <f>IF('Pegar ML'!G672="ARS","PS","PS")</f>
        <v>PS</v>
      </c>
      <c r="H681" s="14">
        <f>IF('Pegar ML'!C676="Paquete de 2 productos",IF('Pegar ML'!H676="",0,'Pegar ML'!H676),IF('Pegar ML'!H677="",0,'Pegar ML'!H677))</f>
        <v>0</v>
      </c>
      <c r="I681" s="14">
        <f>IF('Pegar ML'!C676="Paquete de 2 productos",IF('Pegar ML'!O676="",0,'Pegar ML'!O676),IF('Pegar ML'!O677="",0,'Pegar ML'!O677))</f>
        <v>0</v>
      </c>
      <c r="J681" s="14">
        <f>IF('Pegar ML'!C676="Paquete de 2 productos",IF('Pegar ML'!O676="",0,'Pegar ML'!O676),IF('Pegar ML'!O677="",0,'Pegar ML'!O677))</f>
        <v>0</v>
      </c>
      <c r="K681" s="14">
        <f t="shared" si="32"/>
        <v>0</v>
      </c>
      <c r="L681" s="27">
        <f>IF('Pegar ML'!AB677=" ",'Pegar ML'!AB676,'Pegar ML'!AB677)</f>
        <v>0</v>
      </c>
      <c r="M681" s="27" t="str">
        <f>IF('Pegar ML'!AC677=" ",RIGHT('Pegar ML'!AC676,8),RIGHT('Pegar ML'!AC677,8))</f>
        <v/>
      </c>
      <c r="N681" s="27" t="s">
        <v>80</v>
      </c>
      <c r="O681" s="27">
        <f t="shared" si="30"/>
        <v>0</v>
      </c>
      <c r="P681" s="27" t="s">
        <v>80</v>
      </c>
      <c r="Q681" s="55">
        <f>IF('Pegar ML'!AD677=" ",'Pegar ML'!AD676,'Pegar ML'!AD677)</f>
        <v>0</v>
      </c>
      <c r="R681" s="27" t="s">
        <v>80</v>
      </c>
      <c r="S681" s="27" t="s">
        <v>80</v>
      </c>
      <c r="T681" s="27" t="s">
        <v>80</v>
      </c>
      <c r="U681" s="55">
        <f>IF('Pegar ML'!AI677=" ",'Pegar ML'!AI676,'Pegar ML'!AI677)</f>
        <v>0</v>
      </c>
      <c r="V681" s="55">
        <f>IF('Pegar ML'!AK677=" ",'Pegar ML'!AK676,'Pegar ML'!AK677)</f>
        <v>0</v>
      </c>
      <c r="W681" s="55">
        <f>IF('Pegar ML'!AJ677=" ",'Pegar ML'!AJ676,'Pegar ML'!AJ677)</f>
        <v>0</v>
      </c>
      <c r="X681" s="55">
        <f>IF('Pegar ML'!AL677=" ",'Pegar ML'!AL676,'Pegar ML'!AL677)</f>
        <v>0</v>
      </c>
      <c r="Y681" s="27"/>
      <c r="Z681" s="27"/>
      <c r="AA681" s="27"/>
      <c r="AB681" s="27"/>
      <c r="AC681" s="27"/>
      <c r="AD681" s="27"/>
      <c r="AF681" s="8"/>
      <c r="AG681" s="27"/>
      <c r="AH681" s="14">
        <f>+'Pegar ML'!Y677</f>
        <v>0</v>
      </c>
      <c r="AI681" s="13">
        <f t="shared" si="31"/>
        <v>1</v>
      </c>
      <c r="AJ681" s="7">
        <f>+'Pegar ML'!T677</f>
        <v>0</v>
      </c>
      <c r="AK681" s="27"/>
      <c r="AL681" s="27"/>
      <c r="AM681" s="27"/>
      <c r="AN681" s="27"/>
      <c r="AO681" s="27"/>
      <c r="AP681" s="27"/>
      <c r="AQ681" s="27"/>
      <c r="AR681" s="27"/>
      <c r="AS681" s="27">
        <v>17</v>
      </c>
    </row>
    <row r="682" spans="1:45" ht="15" customHeight="1" x14ac:dyDescent="0.25">
      <c r="A682" s="27">
        <f>IF('Pegar ML'!C677="Paquete de 2 productos",'Pegar ML'!A677,IF('Pegar ML'!C676="Paquete de 2 productos",'Pegar ML'!A676,'Pegar ML'!A678))</f>
        <v>0</v>
      </c>
      <c r="B682" s="27"/>
      <c r="C682" s="30" t="str">
        <f>IF(AjusteFecha!I678=0,"",AjusteFecha!I678)</f>
        <v/>
      </c>
      <c r="D682" s="27"/>
      <c r="E682" s="27"/>
      <c r="F682" s="27" t="str">
        <f>IF('Pegar ML'!C678="","",'Pegar ML'!C678)</f>
        <v/>
      </c>
      <c r="G682" s="27" t="str">
        <f>IF('Pegar ML'!G673="ARS","PS","PS")</f>
        <v>PS</v>
      </c>
      <c r="H682" s="14">
        <f>IF('Pegar ML'!C677="Paquete de 2 productos",IF('Pegar ML'!H677="",0,'Pegar ML'!H677),IF('Pegar ML'!H678="",0,'Pegar ML'!H678))</f>
        <v>0</v>
      </c>
      <c r="I682" s="14">
        <f>IF('Pegar ML'!C677="Paquete de 2 productos",IF('Pegar ML'!O677="",0,'Pegar ML'!O677),IF('Pegar ML'!O678="",0,'Pegar ML'!O678))</f>
        <v>0</v>
      </c>
      <c r="J682" s="14">
        <f>IF('Pegar ML'!C677="Paquete de 2 productos",IF('Pegar ML'!O677="",0,'Pegar ML'!O677),IF('Pegar ML'!O678="",0,'Pegar ML'!O678))</f>
        <v>0</v>
      </c>
      <c r="K682" s="14">
        <f t="shared" si="32"/>
        <v>0</v>
      </c>
      <c r="L682" s="27">
        <f>IF('Pegar ML'!AB678=" ",'Pegar ML'!AB677,'Pegar ML'!AB678)</f>
        <v>0</v>
      </c>
      <c r="M682" s="27" t="str">
        <f>IF('Pegar ML'!AC678=" ",RIGHT('Pegar ML'!AC677,8),RIGHT('Pegar ML'!AC678,8))</f>
        <v/>
      </c>
      <c r="N682" s="27" t="s">
        <v>80</v>
      </c>
      <c r="O682" s="27">
        <f t="shared" si="30"/>
        <v>0</v>
      </c>
      <c r="P682" s="27" t="s">
        <v>80</v>
      </c>
      <c r="Q682" s="55">
        <f>IF('Pegar ML'!AD678=" ",'Pegar ML'!AD677,'Pegar ML'!AD678)</f>
        <v>0</v>
      </c>
      <c r="R682" s="27" t="s">
        <v>80</v>
      </c>
      <c r="S682" s="27" t="s">
        <v>80</v>
      </c>
      <c r="T682" s="27" t="s">
        <v>80</v>
      </c>
      <c r="U682" s="55">
        <f>IF('Pegar ML'!AI678=" ",'Pegar ML'!AI677,'Pegar ML'!AI678)</f>
        <v>0</v>
      </c>
      <c r="V682" s="55">
        <f>IF('Pegar ML'!AK678=" ",'Pegar ML'!AK677,'Pegar ML'!AK678)</f>
        <v>0</v>
      </c>
      <c r="W682" s="55">
        <f>IF('Pegar ML'!AJ678=" ",'Pegar ML'!AJ677,'Pegar ML'!AJ678)</f>
        <v>0</v>
      </c>
      <c r="X682" s="55">
        <f>IF('Pegar ML'!AL678=" ",'Pegar ML'!AL677,'Pegar ML'!AL678)</f>
        <v>0</v>
      </c>
      <c r="Y682" s="27"/>
      <c r="Z682" s="27"/>
      <c r="AA682" s="27"/>
      <c r="AB682" s="27"/>
      <c r="AC682" s="27"/>
      <c r="AD682" s="27"/>
      <c r="AF682" s="8"/>
      <c r="AG682" s="27"/>
      <c r="AH682" s="14">
        <f>+'Pegar ML'!Y678</f>
        <v>0</v>
      </c>
      <c r="AI682" s="13">
        <f t="shared" si="31"/>
        <v>1</v>
      </c>
      <c r="AJ682" s="7">
        <f>+'Pegar ML'!T678</f>
        <v>0</v>
      </c>
      <c r="AK682" s="27"/>
      <c r="AL682" s="27"/>
      <c r="AM682" s="27"/>
      <c r="AN682" s="27"/>
      <c r="AO682" s="27"/>
      <c r="AP682" s="27"/>
      <c r="AQ682" s="27"/>
      <c r="AR682" s="27"/>
      <c r="AS682" s="27">
        <v>17</v>
      </c>
    </row>
    <row r="683" spans="1:45" ht="15" customHeight="1" x14ac:dyDescent="0.25">
      <c r="A683" s="27">
        <f>IF('Pegar ML'!C678="Paquete de 2 productos",'Pegar ML'!A678,IF('Pegar ML'!C677="Paquete de 2 productos",'Pegar ML'!A677,'Pegar ML'!A679))</f>
        <v>0</v>
      </c>
      <c r="B683" s="27"/>
      <c r="C683" s="30" t="str">
        <f>IF(AjusteFecha!I679=0,"",AjusteFecha!I679)</f>
        <v/>
      </c>
      <c r="D683" s="27"/>
      <c r="E683" s="27"/>
      <c r="F683" s="27" t="str">
        <f>IF('Pegar ML'!C679="","",'Pegar ML'!C679)</f>
        <v/>
      </c>
      <c r="G683" s="27" t="str">
        <f>IF('Pegar ML'!G674="ARS","PS","PS")</f>
        <v>PS</v>
      </c>
      <c r="H683" s="14">
        <f>IF('Pegar ML'!C678="Paquete de 2 productos",IF('Pegar ML'!H678="",0,'Pegar ML'!H678),IF('Pegar ML'!H679="",0,'Pegar ML'!H679))</f>
        <v>0</v>
      </c>
      <c r="I683" s="14">
        <f>IF('Pegar ML'!C678="Paquete de 2 productos",IF('Pegar ML'!O678="",0,'Pegar ML'!O678),IF('Pegar ML'!O679="",0,'Pegar ML'!O679))</f>
        <v>0</v>
      </c>
      <c r="J683" s="14">
        <f>IF('Pegar ML'!C678="Paquete de 2 productos",IF('Pegar ML'!O678="",0,'Pegar ML'!O678),IF('Pegar ML'!O679="",0,'Pegar ML'!O679))</f>
        <v>0</v>
      </c>
      <c r="K683" s="14">
        <f t="shared" si="32"/>
        <v>0</v>
      </c>
      <c r="L683" s="27">
        <f>IF('Pegar ML'!AB679=" ",'Pegar ML'!AB678,'Pegar ML'!AB679)</f>
        <v>0</v>
      </c>
      <c r="M683" s="27" t="str">
        <f>IF('Pegar ML'!AC679=" ",RIGHT('Pegar ML'!AC678,8),RIGHT('Pegar ML'!AC679,8))</f>
        <v/>
      </c>
      <c r="N683" s="27" t="s">
        <v>80</v>
      </c>
      <c r="O683" s="27">
        <f t="shared" si="30"/>
        <v>0</v>
      </c>
      <c r="P683" s="27" t="s">
        <v>80</v>
      </c>
      <c r="Q683" s="55">
        <f>IF('Pegar ML'!AD679=" ",'Pegar ML'!AD678,'Pegar ML'!AD679)</f>
        <v>0</v>
      </c>
      <c r="R683" s="27" t="s">
        <v>80</v>
      </c>
      <c r="S683" s="27" t="s">
        <v>80</v>
      </c>
      <c r="T683" s="27" t="s">
        <v>80</v>
      </c>
      <c r="U683" s="55">
        <f>IF('Pegar ML'!AI679=" ",'Pegar ML'!AI678,'Pegar ML'!AI679)</f>
        <v>0</v>
      </c>
      <c r="V683" s="55">
        <f>IF('Pegar ML'!AK679=" ",'Pegar ML'!AK678,'Pegar ML'!AK679)</f>
        <v>0</v>
      </c>
      <c r="W683" s="55">
        <f>IF('Pegar ML'!AJ679=" ",'Pegar ML'!AJ678,'Pegar ML'!AJ679)</f>
        <v>0</v>
      </c>
      <c r="X683" s="55">
        <f>IF('Pegar ML'!AL679=" ",'Pegar ML'!AL678,'Pegar ML'!AL679)</f>
        <v>0</v>
      </c>
      <c r="Y683" s="27"/>
      <c r="Z683" s="27"/>
      <c r="AA683" s="27"/>
      <c r="AB683" s="27"/>
      <c r="AC683" s="27"/>
      <c r="AD683" s="27"/>
      <c r="AF683" s="8"/>
      <c r="AG683" s="27"/>
      <c r="AH683" s="14">
        <f>+'Pegar ML'!Y679</f>
        <v>0</v>
      </c>
      <c r="AI683" s="13">
        <f t="shared" si="31"/>
        <v>1</v>
      </c>
      <c r="AJ683" s="7">
        <f>+'Pegar ML'!T679</f>
        <v>0</v>
      </c>
      <c r="AK683" s="27"/>
      <c r="AL683" s="27"/>
      <c r="AM683" s="27"/>
      <c r="AN683" s="27"/>
      <c r="AO683" s="27"/>
      <c r="AP683" s="27"/>
      <c r="AQ683" s="27"/>
      <c r="AR683" s="27"/>
      <c r="AS683" s="27">
        <v>17</v>
      </c>
    </row>
    <row r="684" spans="1:45" ht="15" customHeight="1" x14ac:dyDescent="0.25">
      <c r="A684" s="27">
        <f>IF('Pegar ML'!C679="Paquete de 2 productos",'Pegar ML'!A679,IF('Pegar ML'!C678="Paquete de 2 productos",'Pegar ML'!A678,'Pegar ML'!A680))</f>
        <v>0</v>
      </c>
      <c r="B684" s="27"/>
      <c r="C684" s="30" t="str">
        <f>IF(AjusteFecha!I680=0,"",AjusteFecha!I680)</f>
        <v/>
      </c>
      <c r="D684" s="27"/>
      <c r="E684" s="27"/>
      <c r="F684" s="27" t="str">
        <f>IF('Pegar ML'!C680="","",'Pegar ML'!C680)</f>
        <v/>
      </c>
      <c r="G684" s="27" t="str">
        <f>IF('Pegar ML'!G675="ARS","PS","PS")</f>
        <v>PS</v>
      </c>
      <c r="H684" s="14">
        <f>IF('Pegar ML'!C679="Paquete de 2 productos",IF('Pegar ML'!H679="",0,'Pegar ML'!H679),IF('Pegar ML'!H680="",0,'Pegar ML'!H680))</f>
        <v>0</v>
      </c>
      <c r="I684" s="14">
        <f>IF('Pegar ML'!C679="Paquete de 2 productos",IF('Pegar ML'!O679="",0,'Pegar ML'!O679),IF('Pegar ML'!O680="",0,'Pegar ML'!O680))</f>
        <v>0</v>
      </c>
      <c r="J684" s="14">
        <f>IF('Pegar ML'!C679="Paquete de 2 productos",IF('Pegar ML'!O679="",0,'Pegar ML'!O679),IF('Pegar ML'!O680="",0,'Pegar ML'!O680))</f>
        <v>0</v>
      </c>
      <c r="K684" s="14">
        <f t="shared" si="32"/>
        <v>0</v>
      </c>
      <c r="L684" s="27">
        <f>IF('Pegar ML'!AB680=" ",'Pegar ML'!AB679,'Pegar ML'!AB680)</f>
        <v>0</v>
      </c>
      <c r="M684" s="27" t="str">
        <f>IF('Pegar ML'!AC680=" ",RIGHT('Pegar ML'!AC679,8),RIGHT('Pegar ML'!AC680,8))</f>
        <v/>
      </c>
      <c r="N684" s="27" t="s">
        <v>80</v>
      </c>
      <c r="O684" s="27">
        <f t="shared" si="30"/>
        <v>0</v>
      </c>
      <c r="P684" s="27" t="s">
        <v>80</v>
      </c>
      <c r="Q684" s="55">
        <f>IF('Pegar ML'!AD680=" ",'Pegar ML'!AD679,'Pegar ML'!AD680)</f>
        <v>0</v>
      </c>
      <c r="R684" s="27" t="s">
        <v>80</v>
      </c>
      <c r="S684" s="27" t="s">
        <v>80</v>
      </c>
      <c r="T684" s="27" t="s">
        <v>80</v>
      </c>
      <c r="U684" s="55">
        <f>IF('Pegar ML'!AI680=" ",'Pegar ML'!AI679,'Pegar ML'!AI680)</f>
        <v>0</v>
      </c>
      <c r="V684" s="55">
        <f>IF('Pegar ML'!AK680=" ",'Pegar ML'!AK679,'Pegar ML'!AK680)</f>
        <v>0</v>
      </c>
      <c r="W684" s="55">
        <f>IF('Pegar ML'!AJ680=" ",'Pegar ML'!AJ679,'Pegar ML'!AJ680)</f>
        <v>0</v>
      </c>
      <c r="X684" s="55">
        <f>IF('Pegar ML'!AL680=" ",'Pegar ML'!AL679,'Pegar ML'!AL680)</f>
        <v>0</v>
      </c>
      <c r="Y684" s="27"/>
      <c r="Z684" s="27"/>
      <c r="AA684" s="27"/>
      <c r="AB684" s="27"/>
      <c r="AC684" s="27"/>
      <c r="AD684" s="27"/>
      <c r="AF684" s="8"/>
      <c r="AG684" s="27"/>
      <c r="AH684" s="14">
        <f>+'Pegar ML'!Y680</f>
        <v>0</v>
      </c>
      <c r="AI684" s="13">
        <f t="shared" si="31"/>
        <v>1</v>
      </c>
      <c r="AJ684" s="7">
        <f>+'Pegar ML'!T680</f>
        <v>0</v>
      </c>
      <c r="AK684" s="27"/>
      <c r="AL684" s="27"/>
      <c r="AM684" s="27"/>
      <c r="AN684" s="27"/>
      <c r="AO684" s="27"/>
      <c r="AP684" s="27"/>
      <c r="AQ684" s="27"/>
      <c r="AR684" s="27"/>
      <c r="AS684" s="27">
        <v>17</v>
      </c>
    </row>
    <row r="685" spans="1:45" ht="15" customHeight="1" x14ac:dyDescent="0.25">
      <c r="A685" s="27">
        <f>IF('Pegar ML'!C680="Paquete de 2 productos",'Pegar ML'!A680,IF('Pegar ML'!C679="Paquete de 2 productos",'Pegar ML'!A679,'Pegar ML'!A681))</f>
        <v>0</v>
      </c>
      <c r="B685" s="27"/>
      <c r="C685" s="30" t="str">
        <f>IF(AjusteFecha!I681=0,"",AjusteFecha!I681)</f>
        <v/>
      </c>
      <c r="D685" s="27"/>
      <c r="E685" s="27"/>
      <c r="F685" s="27" t="str">
        <f>IF('Pegar ML'!C681="","",'Pegar ML'!C681)</f>
        <v/>
      </c>
      <c r="G685" s="27" t="str">
        <f>IF('Pegar ML'!G676="ARS","PS","PS")</f>
        <v>PS</v>
      </c>
      <c r="H685" s="14">
        <f>IF('Pegar ML'!C680="Paquete de 2 productos",IF('Pegar ML'!H680="",0,'Pegar ML'!H680),IF('Pegar ML'!H681="",0,'Pegar ML'!H681))</f>
        <v>0</v>
      </c>
      <c r="I685" s="14">
        <f>IF('Pegar ML'!C680="Paquete de 2 productos",IF('Pegar ML'!O680="",0,'Pegar ML'!O680),IF('Pegar ML'!O681="",0,'Pegar ML'!O681))</f>
        <v>0</v>
      </c>
      <c r="J685" s="14">
        <f>IF('Pegar ML'!C680="Paquete de 2 productos",IF('Pegar ML'!O680="",0,'Pegar ML'!O680),IF('Pegar ML'!O681="",0,'Pegar ML'!O681))</f>
        <v>0</v>
      </c>
      <c r="K685" s="14">
        <f t="shared" si="32"/>
        <v>0</v>
      </c>
      <c r="L685" s="27">
        <f>IF('Pegar ML'!AB681=" ",'Pegar ML'!AB680,'Pegar ML'!AB681)</f>
        <v>0</v>
      </c>
      <c r="M685" s="27" t="str">
        <f>IF('Pegar ML'!AC681=" ",RIGHT('Pegar ML'!AC680,8),RIGHT('Pegar ML'!AC681,8))</f>
        <v/>
      </c>
      <c r="N685" s="27" t="s">
        <v>80</v>
      </c>
      <c r="O685" s="27">
        <f t="shared" si="30"/>
        <v>0</v>
      </c>
      <c r="P685" s="27" t="s">
        <v>80</v>
      </c>
      <c r="Q685" s="55">
        <f>IF('Pegar ML'!AD681=" ",'Pegar ML'!AD680,'Pegar ML'!AD681)</f>
        <v>0</v>
      </c>
      <c r="R685" s="27" t="s">
        <v>80</v>
      </c>
      <c r="S685" s="27" t="s">
        <v>80</v>
      </c>
      <c r="T685" s="27" t="s">
        <v>80</v>
      </c>
      <c r="U685" s="55">
        <f>IF('Pegar ML'!AI681=" ",'Pegar ML'!AI680,'Pegar ML'!AI681)</f>
        <v>0</v>
      </c>
      <c r="V685" s="55">
        <f>IF('Pegar ML'!AK681=" ",'Pegar ML'!AK680,'Pegar ML'!AK681)</f>
        <v>0</v>
      </c>
      <c r="W685" s="55">
        <f>IF('Pegar ML'!AJ681=" ",'Pegar ML'!AJ680,'Pegar ML'!AJ681)</f>
        <v>0</v>
      </c>
      <c r="X685" s="55">
        <f>IF('Pegar ML'!AL681=" ",'Pegar ML'!AL680,'Pegar ML'!AL681)</f>
        <v>0</v>
      </c>
      <c r="Y685" s="27"/>
      <c r="Z685" s="27"/>
      <c r="AA685" s="27"/>
      <c r="AB685" s="27"/>
      <c r="AC685" s="27"/>
      <c r="AD685" s="27"/>
      <c r="AF685" s="8"/>
      <c r="AG685" s="27"/>
      <c r="AH685" s="14">
        <f>+'Pegar ML'!Y681</f>
        <v>0</v>
      </c>
      <c r="AI685" s="13">
        <f t="shared" si="31"/>
        <v>1</v>
      </c>
      <c r="AJ685" s="7">
        <f>+'Pegar ML'!T681</f>
        <v>0</v>
      </c>
      <c r="AK685" s="27"/>
      <c r="AL685" s="27"/>
      <c r="AM685" s="27"/>
      <c r="AN685" s="27"/>
      <c r="AO685" s="27"/>
      <c r="AP685" s="27"/>
      <c r="AQ685" s="27"/>
      <c r="AR685" s="27"/>
      <c r="AS685" s="27">
        <v>17</v>
      </c>
    </row>
    <row r="686" spans="1:45" ht="15" customHeight="1" x14ac:dyDescent="0.25">
      <c r="A686" s="27">
        <f>IF('Pegar ML'!C681="Paquete de 2 productos",'Pegar ML'!A681,IF('Pegar ML'!C680="Paquete de 2 productos",'Pegar ML'!A680,'Pegar ML'!A682))</f>
        <v>0</v>
      </c>
      <c r="B686" s="27"/>
      <c r="C686" s="30" t="str">
        <f>IF(AjusteFecha!I682=0,"",AjusteFecha!I682)</f>
        <v/>
      </c>
      <c r="D686" s="27"/>
      <c r="E686" s="27"/>
      <c r="F686" s="27" t="str">
        <f>IF('Pegar ML'!C682="","",'Pegar ML'!C682)</f>
        <v/>
      </c>
      <c r="G686" s="27" t="str">
        <f>IF('Pegar ML'!G677="ARS","PS","PS")</f>
        <v>PS</v>
      </c>
      <c r="H686" s="14">
        <f>IF('Pegar ML'!C681="Paquete de 2 productos",IF('Pegar ML'!H681="",0,'Pegar ML'!H681),IF('Pegar ML'!H682="",0,'Pegar ML'!H682))</f>
        <v>0</v>
      </c>
      <c r="I686" s="14">
        <f>IF('Pegar ML'!C681="Paquete de 2 productos",IF('Pegar ML'!O681="",0,'Pegar ML'!O681),IF('Pegar ML'!O682="",0,'Pegar ML'!O682))</f>
        <v>0</v>
      </c>
      <c r="J686" s="14">
        <f>IF('Pegar ML'!C681="Paquete de 2 productos",IF('Pegar ML'!O681="",0,'Pegar ML'!O681),IF('Pegar ML'!O682="",0,'Pegar ML'!O682))</f>
        <v>0</v>
      </c>
      <c r="K686" s="14">
        <f t="shared" si="32"/>
        <v>0</v>
      </c>
      <c r="L686" s="27">
        <f>IF('Pegar ML'!AB682=" ",'Pegar ML'!AB681,'Pegar ML'!AB682)</f>
        <v>0</v>
      </c>
      <c r="M686" s="27" t="str">
        <f>IF('Pegar ML'!AC682=" ",RIGHT('Pegar ML'!AC681,8),RIGHT('Pegar ML'!AC682,8))</f>
        <v/>
      </c>
      <c r="N686" s="27" t="s">
        <v>80</v>
      </c>
      <c r="O686" s="27">
        <f t="shared" si="30"/>
        <v>0</v>
      </c>
      <c r="P686" s="27" t="s">
        <v>80</v>
      </c>
      <c r="Q686" s="55">
        <f>IF('Pegar ML'!AD682=" ",'Pegar ML'!AD681,'Pegar ML'!AD682)</f>
        <v>0</v>
      </c>
      <c r="R686" s="27" t="s">
        <v>80</v>
      </c>
      <c r="S686" s="27" t="s">
        <v>80</v>
      </c>
      <c r="T686" s="27" t="s">
        <v>80</v>
      </c>
      <c r="U686" s="55">
        <f>IF('Pegar ML'!AI682=" ",'Pegar ML'!AI681,'Pegar ML'!AI682)</f>
        <v>0</v>
      </c>
      <c r="V686" s="55">
        <f>IF('Pegar ML'!AK682=" ",'Pegar ML'!AK681,'Pegar ML'!AK682)</f>
        <v>0</v>
      </c>
      <c r="W686" s="55">
        <f>IF('Pegar ML'!AJ682=" ",'Pegar ML'!AJ681,'Pegar ML'!AJ682)</f>
        <v>0</v>
      </c>
      <c r="X686" s="55">
        <f>IF('Pegar ML'!AL682=" ",'Pegar ML'!AL681,'Pegar ML'!AL682)</f>
        <v>0</v>
      </c>
      <c r="Y686" s="27"/>
      <c r="Z686" s="27"/>
      <c r="AA686" s="27"/>
      <c r="AB686" s="27"/>
      <c r="AC686" s="27"/>
      <c r="AD686" s="27"/>
      <c r="AF686" s="8"/>
      <c r="AG686" s="27"/>
      <c r="AH686" s="14">
        <f>+'Pegar ML'!Y682</f>
        <v>0</v>
      </c>
      <c r="AI686" s="13">
        <f t="shared" si="31"/>
        <v>1</v>
      </c>
      <c r="AJ686" s="7">
        <f>+'Pegar ML'!T682</f>
        <v>0</v>
      </c>
      <c r="AK686" s="27"/>
      <c r="AL686" s="27"/>
      <c r="AM686" s="27"/>
      <c r="AN686" s="27"/>
      <c r="AO686" s="27"/>
      <c r="AP686" s="27"/>
      <c r="AQ686" s="27"/>
      <c r="AR686" s="27"/>
      <c r="AS686" s="27">
        <v>17</v>
      </c>
    </row>
    <row r="687" spans="1:45" ht="15" customHeight="1" x14ac:dyDescent="0.25">
      <c r="A687" s="27">
        <f>IF('Pegar ML'!C682="Paquete de 2 productos",'Pegar ML'!A682,IF('Pegar ML'!C681="Paquete de 2 productos",'Pegar ML'!A681,'Pegar ML'!A683))</f>
        <v>0</v>
      </c>
      <c r="B687" s="27"/>
      <c r="C687" s="30" t="str">
        <f>IF(AjusteFecha!I683=0,"",AjusteFecha!I683)</f>
        <v/>
      </c>
      <c r="D687" s="27"/>
      <c r="E687" s="27"/>
      <c r="F687" s="27" t="str">
        <f>IF('Pegar ML'!C683="","",'Pegar ML'!C683)</f>
        <v/>
      </c>
      <c r="G687" s="27" t="str">
        <f>IF('Pegar ML'!G678="ARS","PS","PS")</f>
        <v>PS</v>
      </c>
      <c r="H687" s="14">
        <f>IF('Pegar ML'!C682="Paquete de 2 productos",IF('Pegar ML'!H682="",0,'Pegar ML'!H682),IF('Pegar ML'!H683="",0,'Pegar ML'!H683))</f>
        <v>0</v>
      </c>
      <c r="I687" s="14">
        <f>IF('Pegar ML'!C682="Paquete de 2 productos",IF('Pegar ML'!O682="",0,'Pegar ML'!O682),IF('Pegar ML'!O683="",0,'Pegar ML'!O683))</f>
        <v>0</v>
      </c>
      <c r="J687" s="14">
        <f>IF('Pegar ML'!C682="Paquete de 2 productos",IF('Pegar ML'!O682="",0,'Pegar ML'!O682),IF('Pegar ML'!O683="",0,'Pegar ML'!O683))</f>
        <v>0</v>
      </c>
      <c r="K687" s="14">
        <f t="shared" si="32"/>
        <v>0</v>
      </c>
      <c r="L687" s="27">
        <f>IF('Pegar ML'!AB683=" ",'Pegar ML'!AB682,'Pegar ML'!AB683)</f>
        <v>0</v>
      </c>
      <c r="M687" s="27" t="str">
        <f>IF('Pegar ML'!AC683=" ",RIGHT('Pegar ML'!AC682,8),RIGHT('Pegar ML'!AC683,8))</f>
        <v/>
      </c>
      <c r="N687" s="27" t="s">
        <v>80</v>
      </c>
      <c r="O687" s="27">
        <f t="shared" si="30"/>
        <v>0</v>
      </c>
      <c r="P687" s="27" t="s">
        <v>80</v>
      </c>
      <c r="Q687" s="55">
        <f>IF('Pegar ML'!AD683=" ",'Pegar ML'!AD682,'Pegar ML'!AD683)</f>
        <v>0</v>
      </c>
      <c r="R687" s="27" t="s">
        <v>80</v>
      </c>
      <c r="S687" s="27" t="s">
        <v>80</v>
      </c>
      <c r="T687" s="27" t="s">
        <v>80</v>
      </c>
      <c r="U687" s="55">
        <f>IF('Pegar ML'!AI683=" ",'Pegar ML'!AI682,'Pegar ML'!AI683)</f>
        <v>0</v>
      </c>
      <c r="V687" s="55">
        <f>IF('Pegar ML'!AK683=" ",'Pegar ML'!AK682,'Pegar ML'!AK683)</f>
        <v>0</v>
      </c>
      <c r="W687" s="55">
        <f>IF('Pegar ML'!AJ683=" ",'Pegar ML'!AJ682,'Pegar ML'!AJ683)</f>
        <v>0</v>
      </c>
      <c r="X687" s="55">
        <f>IF('Pegar ML'!AL683=" ",'Pegar ML'!AL682,'Pegar ML'!AL683)</f>
        <v>0</v>
      </c>
      <c r="Y687" s="27"/>
      <c r="Z687" s="27"/>
      <c r="AA687" s="27"/>
      <c r="AB687" s="27"/>
      <c r="AC687" s="27"/>
      <c r="AD687" s="27"/>
      <c r="AF687" s="8"/>
      <c r="AG687" s="27"/>
      <c r="AH687" s="14">
        <f>+'Pegar ML'!Y683</f>
        <v>0</v>
      </c>
      <c r="AI687" s="13">
        <f t="shared" si="31"/>
        <v>1</v>
      </c>
      <c r="AJ687" s="7">
        <f>+'Pegar ML'!T683</f>
        <v>0</v>
      </c>
      <c r="AK687" s="27"/>
      <c r="AL687" s="27"/>
      <c r="AM687" s="27"/>
      <c r="AN687" s="27"/>
      <c r="AO687" s="27"/>
      <c r="AP687" s="27"/>
      <c r="AQ687" s="27"/>
      <c r="AR687" s="27"/>
      <c r="AS687" s="27">
        <v>17</v>
      </c>
    </row>
    <row r="688" spans="1:45" ht="15" customHeight="1" x14ac:dyDescent="0.25">
      <c r="A688" s="27">
        <f>IF('Pegar ML'!C683="Paquete de 2 productos",'Pegar ML'!A683,IF('Pegar ML'!C682="Paquete de 2 productos",'Pegar ML'!A682,'Pegar ML'!A684))</f>
        <v>0</v>
      </c>
      <c r="B688" s="27"/>
      <c r="C688" s="30" t="str">
        <f>IF(AjusteFecha!I684=0,"",AjusteFecha!I684)</f>
        <v/>
      </c>
      <c r="D688" s="27"/>
      <c r="E688" s="27"/>
      <c r="F688" s="27" t="str">
        <f>IF('Pegar ML'!C684="","",'Pegar ML'!C684)</f>
        <v/>
      </c>
      <c r="G688" s="27" t="str">
        <f>IF('Pegar ML'!G679="ARS","PS","PS")</f>
        <v>PS</v>
      </c>
      <c r="H688" s="14">
        <f>IF('Pegar ML'!C683="Paquete de 2 productos",IF('Pegar ML'!H683="",0,'Pegar ML'!H683),IF('Pegar ML'!H684="",0,'Pegar ML'!H684))</f>
        <v>0</v>
      </c>
      <c r="I688" s="14">
        <f>IF('Pegar ML'!C683="Paquete de 2 productos",IF('Pegar ML'!O683="",0,'Pegar ML'!O683),IF('Pegar ML'!O684="",0,'Pegar ML'!O684))</f>
        <v>0</v>
      </c>
      <c r="J688" s="14">
        <f>IF('Pegar ML'!C683="Paquete de 2 productos",IF('Pegar ML'!O683="",0,'Pegar ML'!O683),IF('Pegar ML'!O684="",0,'Pegar ML'!O684))</f>
        <v>0</v>
      </c>
      <c r="K688" s="14">
        <f t="shared" si="32"/>
        <v>0</v>
      </c>
      <c r="L688" s="27">
        <f>IF('Pegar ML'!AB684=" ",'Pegar ML'!AB683,'Pegar ML'!AB684)</f>
        <v>0</v>
      </c>
      <c r="M688" s="27" t="str">
        <f>IF('Pegar ML'!AC684=" ",RIGHT('Pegar ML'!AC683,8),RIGHT('Pegar ML'!AC684,8))</f>
        <v/>
      </c>
      <c r="N688" s="27" t="s">
        <v>80</v>
      </c>
      <c r="O688" s="27">
        <f t="shared" si="30"/>
        <v>0</v>
      </c>
      <c r="P688" s="27" t="s">
        <v>80</v>
      </c>
      <c r="Q688" s="55">
        <f>IF('Pegar ML'!AD684=" ",'Pegar ML'!AD683,'Pegar ML'!AD684)</f>
        <v>0</v>
      </c>
      <c r="R688" s="27" t="s">
        <v>80</v>
      </c>
      <c r="S688" s="27" t="s">
        <v>80</v>
      </c>
      <c r="T688" s="27" t="s">
        <v>80</v>
      </c>
      <c r="U688" s="55">
        <f>IF('Pegar ML'!AI684=" ",'Pegar ML'!AI683,'Pegar ML'!AI684)</f>
        <v>0</v>
      </c>
      <c r="V688" s="55">
        <f>IF('Pegar ML'!AK684=" ",'Pegar ML'!AK683,'Pegar ML'!AK684)</f>
        <v>0</v>
      </c>
      <c r="W688" s="55">
        <f>IF('Pegar ML'!AJ684=" ",'Pegar ML'!AJ683,'Pegar ML'!AJ684)</f>
        <v>0</v>
      </c>
      <c r="X688" s="55">
        <f>IF('Pegar ML'!AL684=" ",'Pegar ML'!AL683,'Pegar ML'!AL684)</f>
        <v>0</v>
      </c>
      <c r="Y688" s="27"/>
      <c r="Z688" s="27"/>
      <c r="AA688" s="27"/>
      <c r="AB688" s="27"/>
      <c r="AC688" s="27"/>
      <c r="AD688" s="27"/>
      <c r="AF688" s="8"/>
      <c r="AG688" s="27"/>
      <c r="AH688" s="14">
        <f>+'Pegar ML'!Y684</f>
        <v>0</v>
      </c>
      <c r="AI688" s="13">
        <f t="shared" si="31"/>
        <v>1</v>
      </c>
      <c r="AJ688" s="7">
        <f>+'Pegar ML'!T684</f>
        <v>0</v>
      </c>
      <c r="AK688" s="27"/>
      <c r="AL688" s="27"/>
      <c r="AM688" s="27"/>
      <c r="AN688" s="27"/>
      <c r="AO688" s="27"/>
      <c r="AP688" s="27"/>
      <c r="AQ688" s="27"/>
      <c r="AR688" s="27"/>
      <c r="AS688" s="27">
        <v>17</v>
      </c>
    </row>
    <row r="689" spans="1:45" ht="15" customHeight="1" x14ac:dyDescent="0.25">
      <c r="A689" s="27">
        <f>IF('Pegar ML'!C684="Paquete de 2 productos",'Pegar ML'!A684,IF('Pegar ML'!C683="Paquete de 2 productos",'Pegar ML'!A683,'Pegar ML'!A685))</f>
        <v>0</v>
      </c>
      <c r="B689" s="27"/>
      <c r="C689" s="30" t="str">
        <f>IF(AjusteFecha!I685=0,"",AjusteFecha!I685)</f>
        <v/>
      </c>
      <c r="D689" s="27"/>
      <c r="E689" s="27"/>
      <c r="F689" s="27" t="str">
        <f>IF('Pegar ML'!C685="","",'Pegar ML'!C685)</f>
        <v/>
      </c>
      <c r="G689" s="27" t="str">
        <f>IF('Pegar ML'!G680="ARS","PS","PS")</f>
        <v>PS</v>
      </c>
      <c r="H689" s="14">
        <f>IF('Pegar ML'!C684="Paquete de 2 productos",IF('Pegar ML'!H684="",0,'Pegar ML'!H684),IF('Pegar ML'!H685="",0,'Pegar ML'!H685))</f>
        <v>0</v>
      </c>
      <c r="I689" s="14">
        <f>IF('Pegar ML'!C684="Paquete de 2 productos",IF('Pegar ML'!O684="",0,'Pegar ML'!O684),IF('Pegar ML'!O685="",0,'Pegar ML'!O685))</f>
        <v>0</v>
      </c>
      <c r="J689" s="14">
        <f>IF('Pegar ML'!C684="Paquete de 2 productos",IF('Pegar ML'!O684="",0,'Pegar ML'!O684),IF('Pegar ML'!O685="",0,'Pegar ML'!O685))</f>
        <v>0</v>
      </c>
      <c r="K689" s="14">
        <f t="shared" si="32"/>
        <v>0</v>
      </c>
      <c r="L689" s="27">
        <f>IF('Pegar ML'!AB685=" ",'Pegar ML'!AB684,'Pegar ML'!AB685)</f>
        <v>0</v>
      </c>
      <c r="M689" s="27" t="str">
        <f>IF('Pegar ML'!AC685=" ",RIGHT('Pegar ML'!AC684,8),RIGHT('Pegar ML'!AC685,8))</f>
        <v/>
      </c>
      <c r="N689" s="27" t="s">
        <v>80</v>
      </c>
      <c r="O689" s="27">
        <f t="shared" si="30"/>
        <v>0</v>
      </c>
      <c r="P689" s="27" t="s">
        <v>80</v>
      </c>
      <c r="Q689" s="55">
        <f>IF('Pegar ML'!AD685=" ",'Pegar ML'!AD684,'Pegar ML'!AD685)</f>
        <v>0</v>
      </c>
      <c r="R689" s="27" t="s">
        <v>80</v>
      </c>
      <c r="S689" s="27" t="s">
        <v>80</v>
      </c>
      <c r="T689" s="27" t="s">
        <v>80</v>
      </c>
      <c r="U689" s="55">
        <f>IF('Pegar ML'!AI685=" ",'Pegar ML'!AI684,'Pegar ML'!AI685)</f>
        <v>0</v>
      </c>
      <c r="V689" s="55">
        <f>IF('Pegar ML'!AK685=" ",'Pegar ML'!AK684,'Pegar ML'!AK685)</f>
        <v>0</v>
      </c>
      <c r="W689" s="55">
        <f>IF('Pegar ML'!AJ685=" ",'Pegar ML'!AJ684,'Pegar ML'!AJ685)</f>
        <v>0</v>
      </c>
      <c r="X689" s="55">
        <f>IF('Pegar ML'!AL685=" ",'Pegar ML'!AL684,'Pegar ML'!AL685)</f>
        <v>0</v>
      </c>
      <c r="Y689" s="27"/>
      <c r="Z689" s="27"/>
      <c r="AA689" s="27"/>
      <c r="AB689" s="27"/>
      <c r="AC689" s="27"/>
      <c r="AD689" s="27"/>
      <c r="AF689" s="8"/>
      <c r="AG689" s="27"/>
      <c r="AH689" s="14">
        <f>+'Pegar ML'!Y685</f>
        <v>0</v>
      </c>
      <c r="AI689" s="13">
        <f t="shared" si="31"/>
        <v>1</v>
      </c>
      <c r="AJ689" s="7">
        <f>+'Pegar ML'!T685</f>
        <v>0</v>
      </c>
      <c r="AK689" s="27"/>
      <c r="AL689" s="27"/>
      <c r="AM689" s="27"/>
      <c r="AN689" s="27"/>
      <c r="AO689" s="27"/>
      <c r="AP689" s="27"/>
      <c r="AQ689" s="27"/>
      <c r="AR689" s="27"/>
      <c r="AS689" s="27">
        <v>17</v>
      </c>
    </row>
    <row r="690" spans="1:45" ht="15" customHeight="1" x14ac:dyDescent="0.25">
      <c r="A690" s="27">
        <f>IF('Pegar ML'!C685="Paquete de 2 productos",'Pegar ML'!A685,IF('Pegar ML'!C684="Paquete de 2 productos",'Pegar ML'!A684,'Pegar ML'!A686))</f>
        <v>0</v>
      </c>
      <c r="B690" s="27"/>
      <c r="C690" s="30" t="str">
        <f>IF(AjusteFecha!I686=0,"",AjusteFecha!I686)</f>
        <v/>
      </c>
      <c r="D690" s="27"/>
      <c r="E690" s="27"/>
      <c r="F690" s="27" t="str">
        <f>IF('Pegar ML'!C686="","",'Pegar ML'!C686)</f>
        <v/>
      </c>
      <c r="G690" s="27" t="str">
        <f>IF('Pegar ML'!G681="ARS","PS","PS")</f>
        <v>PS</v>
      </c>
      <c r="H690" s="14">
        <f>IF('Pegar ML'!C685="Paquete de 2 productos",IF('Pegar ML'!H685="",0,'Pegar ML'!H685),IF('Pegar ML'!H686="",0,'Pegar ML'!H686))</f>
        <v>0</v>
      </c>
      <c r="I690" s="14">
        <f>IF('Pegar ML'!C685="Paquete de 2 productos",IF('Pegar ML'!O685="",0,'Pegar ML'!O685),IF('Pegar ML'!O686="",0,'Pegar ML'!O686))</f>
        <v>0</v>
      </c>
      <c r="J690" s="14">
        <f>IF('Pegar ML'!C685="Paquete de 2 productos",IF('Pegar ML'!O685="",0,'Pegar ML'!O685),IF('Pegar ML'!O686="",0,'Pegar ML'!O686))</f>
        <v>0</v>
      </c>
      <c r="K690" s="14">
        <f t="shared" si="32"/>
        <v>0</v>
      </c>
      <c r="L690" s="27">
        <f>IF('Pegar ML'!AB686=" ",'Pegar ML'!AB685,'Pegar ML'!AB686)</f>
        <v>0</v>
      </c>
      <c r="M690" s="27" t="str">
        <f>IF('Pegar ML'!AC686=" ",RIGHT('Pegar ML'!AC685,8),RIGHT('Pegar ML'!AC686,8))</f>
        <v/>
      </c>
      <c r="N690" s="27" t="s">
        <v>80</v>
      </c>
      <c r="O690" s="27">
        <f t="shared" si="30"/>
        <v>0</v>
      </c>
      <c r="P690" s="27" t="s">
        <v>80</v>
      </c>
      <c r="Q690" s="55">
        <f>IF('Pegar ML'!AD686=" ",'Pegar ML'!AD685,'Pegar ML'!AD686)</f>
        <v>0</v>
      </c>
      <c r="R690" s="27" t="s">
        <v>80</v>
      </c>
      <c r="S690" s="27" t="s">
        <v>80</v>
      </c>
      <c r="T690" s="27" t="s">
        <v>80</v>
      </c>
      <c r="U690" s="55">
        <f>IF('Pegar ML'!AI686=" ",'Pegar ML'!AI685,'Pegar ML'!AI686)</f>
        <v>0</v>
      </c>
      <c r="V690" s="55">
        <f>IF('Pegar ML'!AK686=" ",'Pegar ML'!AK685,'Pegar ML'!AK686)</f>
        <v>0</v>
      </c>
      <c r="W690" s="55">
        <f>IF('Pegar ML'!AJ686=" ",'Pegar ML'!AJ685,'Pegar ML'!AJ686)</f>
        <v>0</v>
      </c>
      <c r="X690" s="55">
        <f>IF('Pegar ML'!AL686=" ",'Pegar ML'!AL685,'Pegar ML'!AL686)</f>
        <v>0</v>
      </c>
      <c r="Y690" s="27"/>
      <c r="Z690" s="27"/>
      <c r="AA690" s="27"/>
      <c r="AB690" s="27"/>
      <c r="AC690" s="27"/>
      <c r="AD690" s="27"/>
      <c r="AF690" s="8"/>
      <c r="AG690" s="27"/>
      <c r="AH690" s="14">
        <f>+'Pegar ML'!Y686</f>
        <v>0</v>
      </c>
      <c r="AI690" s="13">
        <f t="shared" si="31"/>
        <v>1</v>
      </c>
      <c r="AJ690" s="7">
        <f>+'Pegar ML'!T686</f>
        <v>0</v>
      </c>
      <c r="AK690" s="27"/>
      <c r="AL690" s="27"/>
      <c r="AM690" s="27"/>
      <c r="AN690" s="27"/>
      <c r="AO690" s="27"/>
      <c r="AP690" s="27"/>
      <c r="AQ690" s="27"/>
      <c r="AR690" s="27"/>
      <c r="AS690" s="27">
        <v>17</v>
      </c>
    </row>
    <row r="691" spans="1:45" ht="15" customHeight="1" x14ac:dyDescent="0.25">
      <c r="A691" s="27">
        <f>IF('Pegar ML'!C686="Paquete de 2 productos",'Pegar ML'!A686,IF('Pegar ML'!C685="Paquete de 2 productos",'Pegar ML'!A685,'Pegar ML'!A687))</f>
        <v>0</v>
      </c>
      <c r="B691" s="27"/>
      <c r="C691" s="30" t="str">
        <f>IF(AjusteFecha!I687=0,"",AjusteFecha!I687)</f>
        <v/>
      </c>
      <c r="D691" s="27"/>
      <c r="E691" s="27"/>
      <c r="F691" s="27" t="str">
        <f>IF('Pegar ML'!C687="","",'Pegar ML'!C687)</f>
        <v/>
      </c>
      <c r="G691" s="27" t="str">
        <f>IF('Pegar ML'!G682="ARS","PS","PS")</f>
        <v>PS</v>
      </c>
      <c r="H691" s="14">
        <f>IF('Pegar ML'!C686="Paquete de 2 productos",IF('Pegar ML'!H686="",0,'Pegar ML'!H686),IF('Pegar ML'!H687="",0,'Pegar ML'!H687))</f>
        <v>0</v>
      </c>
      <c r="I691" s="14">
        <f>IF('Pegar ML'!C686="Paquete de 2 productos",IF('Pegar ML'!O686="",0,'Pegar ML'!O686),IF('Pegar ML'!O687="",0,'Pegar ML'!O687))</f>
        <v>0</v>
      </c>
      <c r="J691" s="14">
        <f>IF('Pegar ML'!C686="Paquete de 2 productos",IF('Pegar ML'!O686="",0,'Pegar ML'!O686),IF('Pegar ML'!O687="",0,'Pegar ML'!O687))</f>
        <v>0</v>
      </c>
      <c r="K691" s="14">
        <f t="shared" si="32"/>
        <v>0</v>
      </c>
      <c r="L691" s="27">
        <f>IF('Pegar ML'!AB687=" ",'Pegar ML'!AB686,'Pegar ML'!AB687)</f>
        <v>0</v>
      </c>
      <c r="M691" s="27" t="str">
        <f>IF('Pegar ML'!AC687=" ",RIGHT('Pegar ML'!AC686,8),RIGHT('Pegar ML'!AC687,8))</f>
        <v/>
      </c>
      <c r="N691" s="27" t="s">
        <v>80</v>
      </c>
      <c r="O691" s="27">
        <f t="shared" si="30"/>
        <v>0</v>
      </c>
      <c r="P691" s="27" t="s">
        <v>80</v>
      </c>
      <c r="Q691" s="55">
        <f>IF('Pegar ML'!AD687=" ",'Pegar ML'!AD686,'Pegar ML'!AD687)</f>
        <v>0</v>
      </c>
      <c r="R691" s="27" t="s">
        <v>80</v>
      </c>
      <c r="S691" s="27" t="s">
        <v>80</v>
      </c>
      <c r="T691" s="27" t="s">
        <v>80</v>
      </c>
      <c r="U691" s="55">
        <f>IF('Pegar ML'!AI687=" ",'Pegar ML'!AI686,'Pegar ML'!AI687)</f>
        <v>0</v>
      </c>
      <c r="V691" s="55">
        <f>IF('Pegar ML'!AK687=" ",'Pegar ML'!AK686,'Pegar ML'!AK687)</f>
        <v>0</v>
      </c>
      <c r="W691" s="55">
        <f>IF('Pegar ML'!AJ687=" ",'Pegar ML'!AJ686,'Pegar ML'!AJ687)</f>
        <v>0</v>
      </c>
      <c r="X691" s="55">
        <f>IF('Pegar ML'!AL687=" ",'Pegar ML'!AL686,'Pegar ML'!AL687)</f>
        <v>0</v>
      </c>
      <c r="Y691" s="27"/>
      <c r="Z691" s="27"/>
      <c r="AA691" s="27"/>
      <c r="AB691" s="27"/>
      <c r="AC691" s="27"/>
      <c r="AD691" s="27"/>
      <c r="AF691" s="8"/>
      <c r="AG691" s="27"/>
      <c r="AH691" s="14">
        <f>+'Pegar ML'!Y687</f>
        <v>0</v>
      </c>
      <c r="AI691" s="13">
        <f t="shared" si="31"/>
        <v>1</v>
      </c>
      <c r="AJ691" s="7">
        <f>+'Pegar ML'!T687</f>
        <v>0</v>
      </c>
      <c r="AK691" s="27"/>
      <c r="AL691" s="27"/>
      <c r="AM691" s="27"/>
      <c r="AN691" s="27"/>
      <c r="AO691" s="27"/>
      <c r="AP691" s="27"/>
      <c r="AQ691" s="27"/>
      <c r="AR691" s="27"/>
      <c r="AS691" s="27">
        <v>17</v>
      </c>
    </row>
    <row r="692" spans="1:45" ht="15" customHeight="1" x14ac:dyDescent="0.25">
      <c r="A692" s="27">
        <f>IF('Pegar ML'!C687="Paquete de 2 productos",'Pegar ML'!A687,IF('Pegar ML'!C686="Paquete de 2 productos",'Pegar ML'!A686,'Pegar ML'!A688))</f>
        <v>0</v>
      </c>
      <c r="B692" s="27"/>
      <c r="C692" s="30" t="str">
        <f>IF(AjusteFecha!I688=0,"",AjusteFecha!I688)</f>
        <v/>
      </c>
      <c r="D692" s="27"/>
      <c r="E692" s="27"/>
      <c r="F692" s="27" t="str">
        <f>IF('Pegar ML'!C688="","",'Pegar ML'!C688)</f>
        <v/>
      </c>
      <c r="G692" s="27" t="str">
        <f>IF('Pegar ML'!G683="ARS","PS","PS")</f>
        <v>PS</v>
      </c>
      <c r="H692" s="14">
        <f>IF('Pegar ML'!C687="Paquete de 2 productos",IF('Pegar ML'!H687="",0,'Pegar ML'!H687),IF('Pegar ML'!H688="",0,'Pegar ML'!H688))</f>
        <v>0</v>
      </c>
      <c r="I692" s="14">
        <f>IF('Pegar ML'!C687="Paquete de 2 productos",IF('Pegar ML'!O687="",0,'Pegar ML'!O687),IF('Pegar ML'!O688="",0,'Pegar ML'!O688))</f>
        <v>0</v>
      </c>
      <c r="J692" s="14">
        <f>IF('Pegar ML'!C687="Paquete de 2 productos",IF('Pegar ML'!O687="",0,'Pegar ML'!O687),IF('Pegar ML'!O688="",0,'Pegar ML'!O688))</f>
        <v>0</v>
      </c>
      <c r="K692" s="14">
        <f t="shared" si="32"/>
        <v>0</v>
      </c>
      <c r="L692" s="27">
        <f>IF('Pegar ML'!AB688=" ",'Pegar ML'!AB687,'Pegar ML'!AB688)</f>
        <v>0</v>
      </c>
      <c r="M692" s="27" t="str">
        <f>IF('Pegar ML'!AC688=" ",RIGHT('Pegar ML'!AC687,8),RIGHT('Pegar ML'!AC688,8))</f>
        <v/>
      </c>
      <c r="N692" s="27" t="s">
        <v>80</v>
      </c>
      <c r="O692" s="27">
        <f t="shared" si="30"/>
        <v>0</v>
      </c>
      <c r="P692" s="27" t="s">
        <v>80</v>
      </c>
      <c r="Q692" s="55">
        <f>IF('Pegar ML'!AD688=" ",'Pegar ML'!AD687,'Pegar ML'!AD688)</f>
        <v>0</v>
      </c>
      <c r="R692" s="27" t="s">
        <v>80</v>
      </c>
      <c r="S692" s="27" t="s">
        <v>80</v>
      </c>
      <c r="T692" s="27" t="s">
        <v>80</v>
      </c>
      <c r="U692" s="55">
        <f>IF('Pegar ML'!AI688=" ",'Pegar ML'!AI687,'Pegar ML'!AI688)</f>
        <v>0</v>
      </c>
      <c r="V692" s="55">
        <f>IF('Pegar ML'!AK688=" ",'Pegar ML'!AK687,'Pegar ML'!AK688)</f>
        <v>0</v>
      </c>
      <c r="W692" s="55">
        <f>IF('Pegar ML'!AJ688=" ",'Pegar ML'!AJ687,'Pegar ML'!AJ688)</f>
        <v>0</v>
      </c>
      <c r="X692" s="55">
        <f>IF('Pegar ML'!AL688=" ",'Pegar ML'!AL687,'Pegar ML'!AL688)</f>
        <v>0</v>
      </c>
      <c r="Y692" s="27"/>
      <c r="Z692" s="27"/>
      <c r="AA692" s="27"/>
      <c r="AB692" s="27"/>
      <c r="AC692" s="27"/>
      <c r="AD692" s="27"/>
      <c r="AF692" s="8"/>
      <c r="AG692" s="27"/>
      <c r="AH692" s="14">
        <f>+'Pegar ML'!Y688</f>
        <v>0</v>
      </c>
      <c r="AI692" s="13">
        <f t="shared" si="31"/>
        <v>1</v>
      </c>
      <c r="AJ692" s="7">
        <f>+'Pegar ML'!T688</f>
        <v>0</v>
      </c>
      <c r="AK692" s="27"/>
      <c r="AL692" s="27"/>
      <c r="AM692" s="27"/>
      <c r="AN692" s="27"/>
      <c r="AO692" s="27"/>
      <c r="AP692" s="27"/>
      <c r="AQ692" s="27"/>
      <c r="AR692" s="27"/>
      <c r="AS692" s="27">
        <v>17</v>
      </c>
    </row>
    <row r="693" spans="1:45" ht="15" customHeight="1" x14ac:dyDescent="0.25">
      <c r="A693" s="27">
        <f>IF('Pegar ML'!C688="Paquete de 2 productos",'Pegar ML'!A688,IF('Pegar ML'!C687="Paquete de 2 productos",'Pegar ML'!A687,'Pegar ML'!A689))</f>
        <v>0</v>
      </c>
      <c r="B693" s="27"/>
      <c r="C693" s="30" t="str">
        <f>IF(AjusteFecha!I689=0,"",AjusteFecha!I689)</f>
        <v/>
      </c>
      <c r="D693" s="27"/>
      <c r="E693" s="27"/>
      <c r="F693" s="27" t="str">
        <f>IF('Pegar ML'!C689="","",'Pegar ML'!C689)</f>
        <v/>
      </c>
      <c r="G693" s="27" t="str">
        <f>IF('Pegar ML'!G684="ARS","PS","PS")</f>
        <v>PS</v>
      </c>
      <c r="H693" s="14">
        <f>IF('Pegar ML'!C688="Paquete de 2 productos",IF('Pegar ML'!H688="",0,'Pegar ML'!H688),IF('Pegar ML'!H689="",0,'Pegar ML'!H689))</f>
        <v>0</v>
      </c>
      <c r="I693" s="14">
        <f>IF('Pegar ML'!C688="Paquete de 2 productos",IF('Pegar ML'!O688="",0,'Pegar ML'!O688),IF('Pegar ML'!O689="",0,'Pegar ML'!O689))</f>
        <v>0</v>
      </c>
      <c r="J693" s="14">
        <f>IF('Pegar ML'!C688="Paquete de 2 productos",IF('Pegar ML'!O688="",0,'Pegar ML'!O688),IF('Pegar ML'!O689="",0,'Pegar ML'!O689))</f>
        <v>0</v>
      </c>
      <c r="K693" s="14">
        <f t="shared" si="32"/>
        <v>0</v>
      </c>
      <c r="L693" s="27">
        <f>IF('Pegar ML'!AB689=" ",'Pegar ML'!AB688,'Pegar ML'!AB689)</f>
        <v>0</v>
      </c>
      <c r="M693" s="27" t="str">
        <f>IF('Pegar ML'!AC689=" ",RIGHT('Pegar ML'!AC688,8),RIGHT('Pegar ML'!AC689,8))</f>
        <v/>
      </c>
      <c r="N693" s="27" t="s">
        <v>80</v>
      </c>
      <c r="O693" s="27">
        <f t="shared" si="30"/>
        <v>0</v>
      </c>
      <c r="P693" s="27" t="s">
        <v>80</v>
      </c>
      <c r="Q693" s="55">
        <f>IF('Pegar ML'!AD689=" ",'Pegar ML'!AD688,'Pegar ML'!AD689)</f>
        <v>0</v>
      </c>
      <c r="R693" s="27" t="s">
        <v>80</v>
      </c>
      <c r="S693" s="27" t="s">
        <v>80</v>
      </c>
      <c r="T693" s="27" t="s">
        <v>80</v>
      </c>
      <c r="U693" s="55">
        <f>IF('Pegar ML'!AI689=" ",'Pegar ML'!AI688,'Pegar ML'!AI689)</f>
        <v>0</v>
      </c>
      <c r="V693" s="55">
        <f>IF('Pegar ML'!AK689=" ",'Pegar ML'!AK688,'Pegar ML'!AK689)</f>
        <v>0</v>
      </c>
      <c r="W693" s="55">
        <f>IF('Pegar ML'!AJ689=" ",'Pegar ML'!AJ688,'Pegar ML'!AJ689)</f>
        <v>0</v>
      </c>
      <c r="X693" s="55">
        <f>IF('Pegar ML'!AL689=" ",'Pegar ML'!AL688,'Pegar ML'!AL689)</f>
        <v>0</v>
      </c>
      <c r="Y693" s="27"/>
      <c r="Z693" s="27"/>
      <c r="AA693" s="27"/>
      <c r="AB693" s="27"/>
      <c r="AC693" s="27"/>
      <c r="AD693" s="27"/>
      <c r="AF693" s="8"/>
      <c r="AG693" s="27"/>
      <c r="AH693" s="14">
        <f>+'Pegar ML'!Y689</f>
        <v>0</v>
      </c>
      <c r="AI693" s="13">
        <f t="shared" si="31"/>
        <v>1</v>
      </c>
      <c r="AJ693" s="7">
        <f>+'Pegar ML'!T689</f>
        <v>0</v>
      </c>
      <c r="AK693" s="27"/>
      <c r="AL693" s="27"/>
      <c r="AM693" s="27"/>
      <c r="AN693" s="27"/>
      <c r="AO693" s="27"/>
      <c r="AP693" s="27"/>
      <c r="AQ693" s="27"/>
      <c r="AR693" s="27"/>
      <c r="AS693" s="27">
        <v>17</v>
      </c>
    </row>
    <row r="694" spans="1:45" ht="15" customHeight="1" x14ac:dyDescent="0.25">
      <c r="A694" s="27">
        <f>IF('Pegar ML'!C689="Paquete de 2 productos",'Pegar ML'!A689,IF('Pegar ML'!C688="Paquete de 2 productos",'Pegar ML'!A688,'Pegar ML'!A690))</f>
        <v>0</v>
      </c>
      <c r="B694" s="27"/>
      <c r="C694" s="30" t="str">
        <f>IF(AjusteFecha!I690=0,"",AjusteFecha!I690)</f>
        <v/>
      </c>
      <c r="D694" s="27"/>
      <c r="E694" s="27"/>
      <c r="F694" s="27" t="str">
        <f>IF('Pegar ML'!C690="","",'Pegar ML'!C690)</f>
        <v/>
      </c>
      <c r="G694" s="27" t="str">
        <f>IF('Pegar ML'!G685="ARS","PS","PS")</f>
        <v>PS</v>
      </c>
      <c r="H694" s="14">
        <f>IF('Pegar ML'!C689="Paquete de 2 productos",IF('Pegar ML'!H689="",0,'Pegar ML'!H689),IF('Pegar ML'!H690="",0,'Pegar ML'!H690))</f>
        <v>0</v>
      </c>
      <c r="I694" s="14">
        <f>IF('Pegar ML'!C689="Paquete de 2 productos",IF('Pegar ML'!O689="",0,'Pegar ML'!O689),IF('Pegar ML'!O690="",0,'Pegar ML'!O690))</f>
        <v>0</v>
      </c>
      <c r="J694" s="14">
        <f>IF('Pegar ML'!C689="Paquete de 2 productos",IF('Pegar ML'!O689="",0,'Pegar ML'!O689),IF('Pegar ML'!O690="",0,'Pegar ML'!O690))</f>
        <v>0</v>
      </c>
      <c r="K694" s="14">
        <f t="shared" si="32"/>
        <v>0</v>
      </c>
      <c r="L694" s="27">
        <f>IF('Pegar ML'!AB690=" ",'Pegar ML'!AB689,'Pegar ML'!AB690)</f>
        <v>0</v>
      </c>
      <c r="M694" s="27" t="str">
        <f>IF('Pegar ML'!AC690=" ",RIGHT('Pegar ML'!AC689,8),RIGHT('Pegar ML'!AC690,8))</f>
        <v/>
      </c>
      <c r="N694" s="27" t="s">
        <v>80</v>
      </c>
      <c r="O694" s="27">
        <f t="shared" si="30"/>
        <v>0</v>
      </c>
      <c r="P694" s="27" t="s">
        <v>80</v>
      </c>
      <c r="Q694" s="55">
        <f>IF('Pegar ML'!AD690=" ",'Pegar ML'!AD689,'Pegar ML'!AD690)</f>
        <v>0</v>
      </c>
      <c r="R694" s="27" t="s">
        <v>80</v>
      </c>
      <c r="S694" s="27" t="s">
        <v>80</v>
      </c>
      <c r="T694" s="27" t="s">
        <v>80</v>
      </c>
      <c r="U694" s="55">
        <f>IF('Pegar ML'!AI690=" ",'Pegar ML'!AI689,'Pegar ML'!AI690)</f>
        <v>0</v>
      </c>
      <c r="V694" s="55">
        <f>IF('Pegar ML'!AK690=" ",'Pegar ML'!AK689,'Pegar ML'!AK690)</f>
        <v>0</v>
      </c>
      <c r="W694" s="55">
        <f>IF('Pegar ML'!AJ690=" ",'Pegar ML'!AJ689,'Pegar ML'!AJ690)</f>
        <v>0</v>
      </c>
      <c r="X694" s="55">
        <f>IF('Pegar ML'!AL690=" ",'Pegar ML'!AL689,'Pegar ML'!AL690)</f>
        <v>0</v>
      </c>
      <c r="Y694" s="27"/>
      <c r="Z694" s="27"/>
      <c r="AA694" s="27"/>
      <c r="AB694" s="27"/>
      <c r="AC694" s="27"/>
      <c r="AD694" s="27"/>
      <c r="AF694" s="8"/>
      <c r="AG694" s="27"/>
      <c r="AH694" s="14">
        <f>+'Pegar ML'!Y690</f>
        <v>0</v>
      </c>
      <c r="AI694" s="13">
        <f t="shared" si="31"/>
        <v>1</v>
      </c>
      <c r="AJ694" s="7">
        <f>+'Pegar ML'!T690</f>
        <v>0</v>
      </c>
      <c r="AK694" s="27"/>
      <c r="AL694" s="27"/>
      <c r="AM694" s="27"/>
      <c r="AN694" s="27"/>
      <c r="AO694" s="27"/>
      <c r="AP694" s="27"/>
      <c r="AQ694" s="27"/>
      <c r="AR694" s="27"/>
      <c r="AS694" s="27">
        <v>17</v>
      </c>
    </row>
    <row r="695" spans="1:45" ht="15" customHeight="1" x14ac:dyDescent="0.25">
      <c r="A695" s="27">
        <f>IF('Pegar ML'!C690="Paquete de 2 productos",'Pegar ML'!A690,IF('Pegar ML'!C689="Paquete de 2 productos",'Pegar ML'!A689,'Pegar ML'!A691))</f>
        <v>0</v>
      </c>
      <c r="B695" s="27"/>
      <c r="C695" s="30" t="str">
        <f>IF(AjusteFecha!I691=0,"",AjusteFecha!I691)</f>
        <v/>
      </c>
      <c r="D695" s="27"/>
      <c r="E695" s="27"/>
      <c r="F695" s="27" t="str">
        <f>IF('Pegar ML'!C691="","",'Pegar ML'!C691)</f>
        <v/>
      </c>
      <c r="G695" s="27" t="str">
        <f>IF('Pegar ML'!G686="ARS","PS","PS")</f>
        <v>PS</v>
      </c>
      <c r="H695" s="14">
        <f>IF('Pegar ML'!C690="Paquete de 2 productos",IF('Pegar ML'!H690="",0,'Pegar ML'!H690),IF('Pegar ML'!H691="",0,'Pegar ML'!H691))</f>
        <v>0</v>
      </c>
      <c r="I695" s="14">
        <f>IF('Pegar ML'!C690="Paquete de 2 productos",IF('Pegar ML'!O690="",0,'Pegar ML'!O690),IF('Pegar ML'!O691="",0,'Pegar ML'!O691))</f>
        <v>0</v>
      </c>
      <c r="J695" s="14">
        <f>IF('Pegar ML'!C690="Paquete de 2 productos",IF('Pegar ML'!O690="",0,'Pegar ML'!O690),IF('Pegar ML'!O691="",0,'Pegar ML'!O691))</f>
        <v>0</v>
      </c>
      <c r="K695" s="14">
        <f t="shared" si="32"/>
        <v>0</v>
      </c>
      <c r="L695" s="27">
        <f>IF('Pegar ML'!AB691=" ",'Pegar ML'!AB690,'Pegar ML'!AB691)</f>
        <v>0</v>
      </c>
      <c r="M695" s="27" t="str">
        <f>IF('Pegar ML'!AC691=" ",RIGHT('Pegar ML'!AC690,8),RIGHT('Pegar ML'!AC691,8))</f>
        <v/>
      </c>
      <c r="N695" s="27" t="s">
        <v>80</v>
      </c>
      <c r="O695" s="27">
        <f t="shared" si="30"/>
        <v>0</v>
      </c>
      <c r="P695" s="27" t="s">
        <v>80</v>
      </c>
      <c r="Q695" s="55">
        <f>IF('Pegar ML'!AD691=" ",'Pegar ML'!AD690,'Pegar ML'!AD691)</f>
        <v>0</v>
      </c>
      <c r="R695" s="27" t="s">
        <v>80</v>
      </c>
      <c r="S695" s="27" t="s">
        <v>80</v>
      </c>
      <c r="T695" s="27" t="s">
        <v>80</v>
      </c>
      <c r="U695" s="55">
        <f>IF('Pegar ML'!AI691=" ",'Pegar ML'!AI690,'Pegar ML'!AI691)</f>
        <v>0</v>
      </c>
      <c r="V695" s="55">
        <f>IF('Pegar ML'!AK691=" ",'Pegar ML'!AK690,'Pegar ML'!AK691)</f>
        <v>0</v>
      </c>
      <c r="W695" s="55">
        <f>IF('Pegar ML'!AJ691=" ",'Pegar ML'!AJ690,'Pegar ML'!AJ691)</f>
        <v>0</v>
      </c>
      <c r="X695" s="55">
        <f>IF('Pegar ML'!AL691=" ",'Pegar ML'!AL690,'Pegar ML'!AL691)</f>
        <v>0</v>
      </c>
      <c r="Y695" s="27"/>
      <c r="Z695" s="27"/>
      <c r="AA695" s="27"/>
      <c r="AB695" s="27"/>
      <c r="AC695" s="27"/>
      <c r="AD695" s="27"/>
      <c r="AF695" s="8"/>
      <c r="AG695" s="27"/>
      <c r="AH695" s="14">
        <f>+'Pegar ML'!Y691</f>
        <v>0</v>
      </c>
      <c r="AI695" s="13">
        <f t="shared" si="31"/>
        <v>1</v>
      </c>
      <c r="AJ695" s="7">
        <f>+'Pegar ML'!T691</f>
        <v>0</v>
      </c>
      <c r="AK695" s="27"/>
      <c r="AL695" s="27"/>
      <c r="AM695" s="27"/>
      <c r="AN695" s="27"/>
      <c r="AO695" s="27"/>
      <c r="AP695" s="27"/>
      <c r="AQ695" s="27"/>
      <c r="AR695" s="27"/>
      <c r="AS695" s="27">
        <v>17</v>
      </c>
    </row>
    <row r="696" spans="1:45" ht="15" customHeight="1" x14ac:dyDescent="0.25">
      <c r="A696" s="27">
        <f>IF('Pegar ML'!C691="Paquete de 2 productos",'Pegar ML'!A691,IF('Pegar ML'!C690="Paquete de 2 productos",'Pegar ML'!A690,'Pegar ML'!A692))</f>
        <v>0</v>
      </c>
      <c r="B696" s="27"/>
      <c r="C696" s="30" t="str">
        <f>IF(AjusteFecha!I692=0,"",AjusteFecha!I692)</f>
        <v/>
      </c>
      <c r="D696" s="27"/>
      <c r="E696" s="27"/>
      <c r="F696" s="27" t="str">
        <f>IF('Pegar ML'!C692="","",'Pegar ML'!C692)</f>
        <v/>
      </c>
      <c r="G696" s="27" t="str">
        <f>IF('Pegar ML'!G687="ARS","PS","PS")</f>
        <v>PS</v>
      </c>
      <c r="H696" s="14">
        <f>IF('Pegar ML'!C691="Paquete de 2 productos",IF('Pegar ML'!H691="",0,'Pegar ML'!H691),IF('Pegar ML'!H692="",0,'Pegar ML'!H692))</f>
        <v>0</v>
      </c>
      <c r="I696" s="14">
        <f>IF('Pegar ML'!C691="Paquete de 2 productos",IF('Pegar ML'!O691="",0,'Pegar ML'!O691),IF('Pegar ML'!O692="",0,'Pegar ML'!O692))</f>
        <v>0</v>
      </c>
      <c r="J696" s="14">
        <f>IF('Pegar ML'!C691="Paquete de 2 productos",IF('Pegar ML'!O691="",0,'Pegar ML'!O691),IF('Pegar ML'!O692="",0,'Pegar ML'!O692))</f>
        <v>0</v>
      </c>
      <c r="K696" s="14">
        <f t="shared" si="32"/>
        <v>0</v>
      </c>
      <c r="L696" s="27">
        <f>IF('Pegar ML'!AB692=" ",'Pegar ML'!AB691,'Pegar ML'!AB692)</f>
        <v>0</v>
      </c>
      <c r="M696" s="27" t="str">
        <f>IF('Pegar ML'!AC692=" ",RIGHT('Pegar ML'!AC691,8),RIGHT('Pegar ML'!AC692,8))</f>
        <v/>
      </c>
      <c r="N696" s="27" t="s">
        <v>80</v>
      </c>
      <c r="O696" s="27">
        <f t="shared" si="30"/>
        <v>0</v>
      </c>
      <c r="P696" s="27" t="s">
        <v>80</v>
      </c>
      <c r="Q696" s="55">
        <f>IF('Pegar ML'!AD692=" ",'Pegar ML'!AD691,'Pegar ML'!AD692)</f>
        <v>0</v>
      </c>
      <c r="R696" s="27" t="s">
        <v>80</v>
      </c>
      <c r="S696" s="27" t="s">
        <v>80</v>
      </c>
      <c r="T696" s="27" t="s">
        <v>80</v>
      </c>
      <c r="U696" s="55">
        <f>IF('Pegar ML'!AI692=" ",'Pegar ML'!AI691,'Pegar ML'!AI692)</f>
        <v>0</v>
      </c>
      <c r="V696" s="55">
        <f>IF('Pegar ML'!AK692=" ",'Pegar ML'!AK691,'Pegar ML'!AK692)</f>
        <v>0</v>
      </c>
      <c r="W696" s="55">
        <f>IF('Pegar ML'!AJ692=" ",'Pegar ML'!AJ691,'Pegar ML'!AJ692)</f>
        <v>0</v>
      </c>
      <c r="X696" s="55">
        <f>IF('Pegar ML'!AL692=" ",'Pegar ML'!AL691,'Pegar ML'!AL692)</f>
        <v>0</v>
      </c>
      <c r="Y696" s="27"/>
      <c r="Z696" s="27"/>
      <c r="AA696" s="27"/>
      <c r="AB696" s="27"/>
      <c r="AC696" s="27"/>
      <c r="AD696" s="27"/>
      <c r="AF696" s="8"/>
      <c r="AG696" s="27"/>
      <c r="AH696" s="14">
        <f>+'Pegar ML'!Y692</f>
        <v>0</v>
      </c>
      <c r="AI696" s="13">
        <f t="shared" si="31"/>
        <v>1</v>
      </c>
      <c r="AJ696" s="7">
        <f>+'Pegar ML'!T692</f>
        <v>0</v>
      </c>
      <c r="AK696" s="27"/>
      <c r="AL696" s="27"/>
      <c r="AM696" s="27"/>
      <c r="AN696" s="27"/>
      <c r="AO696" s="27"/>
      <c r="AP696" s="27"/>
      <c r="AQ696" s="27"/>
      <c r="AR696" s="27"/>
      <c r="AS696" s="27">
        <v>17</v>
      </c>
    </row>
    <row r="697" spans="1:45" ht="15" customHeight="1" x14ac:dyDescent="0.25">
      <c r="A697" s="27">
        <f>IF('Pegar ML'!C692="Paquete de 2 productos",'Pegar ML'!A692,IF('Pegar ML'!C691="Paquete de 2 productos",'Pegar ML'!A691,'Pegar ML'!A693))</f>
        <v>0</v>
      </c>
      <c r="B697" s="27"/>
      <c r="C697" s="30" t="str">
        <f>IF(AjusteFecha!I693=0,"",AjusteFecha!I693)</f>
        <v/>
      </c>
      <c r="D697" s="27"/>
      <c r="E697" s="27"/>
      <c r="F697" s="27" t="str">
        <f>IF('Pegar ML'!C693="","",'Pegar ML'!C693)</f>
        <v/>
      </c>
      <c r="G697" s="27" t="str">
        <f>IF('Pegar ML'!G688="ARS","PS","PS")</f>
        <v>PS</v>
      </c>
      <c r="H697" s="14">
        <f>IF('Pegar ML'!C692="Paquete de 2 productos",IF('Pegar ML'!H692="",0,'Pegar ML'!H692),IF('Pegar ML'!H693="",0,'Pegar ML'!H693))</f>
        <v>0</v>
      </c>
      <c r="I697" s="14">
        <f>IF('Pegar ML'!C692="Paquete de 2 productos",IF('Pegar ML'!O692="",0,'Pegar ML'!O692),IF('Pegar ML'!O693="",0,'Pegar ML'!O693))</f>
        <v>0</v>
      </c>
      <c r="J697" s="14">
        <f>IF('Pegar ML'!C692="Paquete de 2 productos",IF('Pegar ML'!O692="",0,'Pegar ML'!O692),IF('Pegar ML'!O693="",0,'Pegar ML'!O693))</f>
        <v>0</v>
      </c>
      <c r="K697" s="14">
        <f t="shared" si="32"/>
        <v>0</v>
      </c>
      <c r="L697" s="27">
        <f>IF('Pegar ML'!AB693=" ",'Pegar ML'!AB692,'Pegar ML'!AB693)</f>
        <v>0</v>
      </c>
      <c r="M697" s="27" t="str">
        <f>IF('Pegar ML'!AC693=" ",RIGHT('Pegar ML'!AC692,8),RIGHT('Pegar ML'!AC693,8))</f>
        <v/>
      </c>
      <c r="N697" s="27" t="s">
        <v>80</v>
      </c>
      <c r="O697" s="27">
        <f t="shared" si="30"/>
        <v>0</v>
      </c>
      <c r="P697" s="27" t="s">
        <v>80</v>
      </c>
      <c r="Q697" s="55">
        <f>IF('Pegar ML'!AD693=" ",'Pegar ML'!AD692,'Pegar ML'!AD693)</f>
        <v>0</v>
      </c>
      <c r="R697" s="27" t="s">
        <v>80</v>
      </c>
      <c r="S697" s="27" t="s">
        <v>80</v>
      </c>
      <c r="T697" s="27" t="s">
        <v>80</v>
      </c>
      <c r="U697" s="55">
        <f>IF('Pegar ML'!AI693=" ",'Pegar ML'!AI692,'Pegar ML'!AI693)</f>
        <v>0</v>
      </c>
      <c r="V697" s="55">
        <f>IF('Pegar ML'!AK693=" ",'Pegar ML'!AK692,'Pegar ML'!AK693)</f>
        <v>0</v>
      </c>
      <c r="W697" s="55">
        <f>IF('Pegar ML'!AJ693=" ",'Pegar ML'!AJ692,'Pegar ML'!AJ693)</f>
        <v>0</v>
      </c>
      <c r="X697" s="55">
        <f>IF('Pegar ML'!AL693=" ",'Pegar ML'!AL692,'Pegar ML'!AL693)</f>
        <v>0</v>
      </c>
      <c r="Y697" s="27"/>
      <c r="Z697" s="27"/>
      <c r="AA697" s="27"/>
      <c r="AB697" s="27"/>
      <c r="AC697" s="27"/>
      <c r="AD697" s="27"/>
      <c r="AF697" s="8"/>
      <c r="AG697" s="27"/>
      <c r="AH697" s="14">
        <f>+'Pegar ML'!Y693</f>
        <v>0</v>
      </c>
      <c r="AI697" s="13">
        <f t="shared" si="31"/>
        <v>1</v>
      </c>
      <c r="AJ697" s="7">
        <f>+'Pegar ML'!T693</f>
        <v>0</v>
      </c>
      <c r="AK697" s="27"/>
      <c r="AL697" s="27"/>
      <c r="AM697" s="27"/>
      <c r="AN697" s="27"/>
      <c r="AO697" s="27"/>
      <c r="AP697" s="27"/>
      <c r="AQ697" s="27"/>
      <c r="AR697" s="27"/>
      <c r="AS697" s="27">
        <v>17</v>
      </c>
    </row>
    <row r="698" spans="1:45" ht="15" customHeight="1" x14ac:dyDescent="0.25">
      <c r="A698" s="27">
        <f>IF('Pegar ML'!C693="Paquete de 2 productos",'Pegar ML'!A693,IF('Pegar ML'!C692="Paquete de 2 productos",'Pegar ML'!A692,'Pegar ML'!A694))</f>
        <v>0</v>
      </c>
      <c r="B698" s="27"/>
      <c r="C698" s="30" t="str">
        <f>IF(AjusteFecha!I694=0,"",AjusteFecha!I694)</f>
        <v/>
      </c>
      <c r="D698" s="27"/>
      <c r="E698" s="27"/>
      <c r="F698" s="27" t="str">
        <f>IF('Pegar ML'!C694="","",'Pegar ML'!C694)</f>
        <v/>
      </c>
      <c r="G698" s="27" t="str">
        <f>IF('Pegar ML'!G689="ARS","PS","PS")</f>
        <v>PS</v>
      </c>
      <c r="H698" s="14">
        <f>IF('Pegar ML'!C693="Paquete de 2 productos",IF('Pegar ML'!H693="",0,'Pegar ML'!H693),IF('Pegar ML'!H694="",0,'Pegar ML'!H694))</f>
        <v>0</v>
      </c>
      <c r="I698" s="14">
        <f>IF('Pegar ML'!C693="Paquete de 2 productos",IF('Pegar ML'!O693="",0,'Pegar ML'!O693),IF('Pegar ML'!O694="",0,'Pegar ML'!O694))</f>
        <v>0</v>
      </c>
      <c r="J698" s="14">
        <f>IF('Pegar ML'!C693="Paquete de 2 productos",IF('Pegar ML'!O693="",0,'Pegar ML'!O693),IF('Pegar ML'!O694="",0,'Pegar ML'!O694))</f>
        <v>0</v>
      </c>
      <c r="K698" s="14">
        <f t="shared" si="32"/>
        <v>0</v>
      </c>
      <c r="L698" s="27">
        <f>IF('Pegar ML'!AB694=" ",'Pegar ML'!AB693,'Pegar ML'!AB694)</f>
        <v>0</v>
      </c>
      <c r="M698" s="27" t="str">
        <f>IF('Pegar ML'!AC694=" ",RIGHT('Pegar ML'!AC693,8),RIGHT('Pegar ML'!AC694,8))</f>
        <v/>
      </c>
      <c r="N698" s="27" t="s">
        <v>80</v>
      </c>
      <c r="O698" s="27">
        <f t="shared" si="30"/>
        <v>0</v>
      </c>
      <c r="P698" s="27" t="s">
        <v>80</v>
      </c>
      <c r="Q698" s="55">
        <f>IF('Pegar ML'!AD694=" ",'Pegar ML'!AD693,'Pegar ML'!AD694)</f>
        <v>0</v>
      </c>
      <c r="R698" s="27" t="s">
        <v>80</v>
      </c>
      <c r="S698" s="27" t="s">
        <v>80</v>
      </c>
      <c r="T698" s="27" t="s">
        <v>80</v>
      </c>
      <c r="U698" s="55">
        <f>IF('Pegar ML'!AI694=" ",'Pegar ML'!AI693,'Pegar ML'!AI694)</f>
        <v>0</v>
      </c>
      <c r="V698" s="55">
        <f>IF('Pegar ML'!AK694=" ",'Pegar ML'!AK693,'Pegar ML'!AK694)</f>
        <v>0</v>
      </c>
      <c r="W698" s="55">
        <f>IF('Pegar ML'!AJ694=" ",'Pegar ML'!AJ693,'Pegar ML'!AJ694)</f>
        <v>0</v>
      </c>
      <c r="X698" s="55">
        <f>IF('Pegar ML'!AL694=" ",'Pegar ML'!AL693,'Pegar ML'!AL694)</f>
        <v>0</v>
      </c>
      <c r="Y698" s="27"/>
      <c r="Z698" s="27"/>
      <c r="AA698" s="27"/>
      <c r="AB698" s="27"/>
      <c r="AC698" s="27"/>
      <c r="AD698" s="27"/>
      <c r="AF698" s="8"/>
      <c r="AG698" s="27"/>
      <c r="AH698" s="14">
        <f>+'Pegar ML'!Y694</f>
        <v>0</v>
      </c>
      <c r="AI698" s="13">
        <f t="shared" si="31"/>
        <v>1</v>
      </c>
      <c r="AJ698" s="7">
        <f>+'Pegar ML'!T694</f>
        <v>0</v>
      </c>
      <c r="AK698" s="27"/>
      <c r="AL698" s="27"/>
      <c r="AM698" s="27"/>
      <c r="AN698" s="27"/>
      <c r="AO698" s="27"/>
      <c r="AP698" s="27"/>
      <c r="AQ698" s="27"/>
      <c r="AR698" s="27"/>
      <c r="AS698" s="27">
        <v>17</v>
      </c>
    </row>
    <row r="699" spans="1:45" ht="15" customHeight="1" x14ac:dyDescent="0.25">
      <c r="A699" s="27">
        <f>IF('Pegar ML'!C694="Paquete de 2 productos",'Pegar ML'!A694,IF('Pegar ML'!C693="Paquete de 2 productos",'Pegar ML'!A693,'Pegar ML'!A695))</f>
        <v>0</v>
      </c>
      <c r="B699" s="27"/>
      <c r="C699" s="30" t="str">
        <f>IF(AjusteFecha!I695=0,"",AjusteFecha!I695)</f>
        <v/>
      </c>
      <c r="D699" s="27"/>
      <c r="E699" s="27"/>
      <c r="F699" s="27" t="str">
        <f>IF('Pegar ML'!C695="","",'Pegar ML'!C695)</f>
        <v/>
      </c>
      <c r="G699" s="27" t="str">
        <f>IF('Pegar ML'!G690="ARS","PS","PS")</f>
        <v>PS</v>
      </c>
      <c r="H699" s="14">
        <f>IF('Pegar ML'!C694="Paquete de 2 productos",IF('Pegar ML'!H694="",0,'Pegar ML'!H694),IF('Pegar ML'!H695="",0,'Pegar ML'!H695))</f>
        <v>0</v>
      </c>
      <c r="I699" s="14">
        <f>IF('Pegar ML'!C694="Paquete de 2 productos",IF('Pegar ML'!O694="",0,'Pegar ML'!O694),IF('Pegar ML'!O695="",0,'Pegar ML'!O695))</f>
        <v>0</v>
      </c>
      <c r="J699" s="14">
        <f>IF('Pegar ML'!C694="Paquete de 2 productos",IF('Pegar ML'!O694="",0,'Pegar ML'!O694),IF('Pegar ML'!O695="",0,'Pegar ML'!O695))</f>
        <v>0</v>
      </c>
      <c r="K699" s="14">
        <f t="shared" si="32"/>
        <v>0</v>
      </c>
      <c r="L699" s="27">
        <f>IF('Pegar ML'!AB695=" ",'Pegar ML'!AB694,'Pegar ML'!AB695)</f>
        <v>0</v>
      </c>
      <c r="M699" s="27" t="str">
        <f>IF('Pegar ML'!AC695=" ",RIGHT('Pegar ML'!AC694,8),RIGHT('Pegar ML'!AC695,8))</f>
        <v/>
      </c>
      <c r="N699" s="27" t="s">
        <v>80</v>
      </c>
      <c r="O699" s="27">
        <f t="shared" si="30"/>
        <v>0</v>
      </c>
      <c r="P699" s="27" t="s">
        <v>80</v>
      </c>
      <c r="Q699" s="55">
        <f>IF('Pegar ML'!AD695=" ",'Pegar ML'!AD694,'Pegar ML'!AD695)</f>
        <v>0</v>
      </c>
      <c r="R699" s="27" t="s">
        <v>80</v>
      </c>
      <c r="S699" s="27" t="s">
        <v>80</v>
      </c>
      <c r="T699" s="27" t="s">
        <v>80</v>
      </c>
      <c r="U699" s="55">
        <f>IF('Pegar ML'!AI695=" ",'Pegar ML'!AI694,'Pegar ML'!AI695)</f>
        <v>0</v>
      </c>
      <c r="V699" s="55">
        <f>IF('Pegar ML'!AK695=" ",'Pegar ML'!AK694,'Pegar ML'!AK695)</f>
        <v>0</v>
      </c>
      <c r="W699" s="55">
        <f>IF('Pegar ML'!AJ695=" ",'Pegar ML'!AJ694,'Pegar ML'!AJ695)</f>
        <v>0</v>
      </c>
      <c r="X699" s="55">
        <f>IF('Pegar ML'!AL695=" ",'Pegar ML'!AL694,'Pegar ML'!AL695)</f>
        <v>0</v>
      </c>
      <c r="Y699" s="27"/>
      <c r="Z699" s="27"/>
      <c r="AA699" s="27"/>
      <c r="AB699" s="27"/>
      <c r="AC699" s="27"/>
      <c r="AD699" s="27"/>
      <c r="AF699" s="8"/>
      <c r="AG699" s="27"/>
      <c r="AH699" s="14">
        <f>+'Pegar ML'!Y695</f>
        <v>0</v>
      </c>
      <c r="AI699" s="13">
        <f t="shared" si="31"/>
        <v>1</v>
      </c>
      <c r="AJ699" s="7">
        <f>+'Pegar ML'!T695</f>
        <v>0</v>
      </c>
      <c r="AK699" s="27"/>
      <c r="AL699" s="27"/>
      <c r="AM699" s="27"/>
      <c r="AN699" s="27"/>
      <c r="AO699" s="27"/>
      <c r="AP699" s="27"/>
      <c r="AQ699" s="27"/>
      <c r="AR699" s="27"/>
      <c r="AS699" s="27">
        <v>17</v>
      </c>
    </row>
    <row r="700" spans="1:45" ht="15" customHeight="1" x14ac:dyDescent="0.25">
      <c r="A700" s="27">
        <f>IF('Pegar ML'!C695="Paquete de 2 productos",'Pegar ML'!A695,IF('Pegar ML'!C694="Paquete de 2 productos",'Pegar ML'!A694,'Pegar ML'!A696))</f>
        <v>0</v>
      </c>
      <c r="B700" s="27"/>
      <c r="C700" s="30" t="str">
        <f>IF(AjusteFecha!I696=0,"",AjusteFecha!I696)</f>
        <v/>
      </c>
      <c r="D700" s="27"/>
      <c r="E700" s="27"/>
      <c r="F700" s="27" t="str">
        <f>IF('Pegar ML'!C696="","",'Pegar ML'!C696)</f>
        <v/>
      </c>
      <c r="G700" s="27" t="str">
        <f>IF('Pegar ML'!G691="ARS","PS","PS")</f>
        <v>PS</v>
      </c>
      <c r="H700" s="14">
        <f>IF('Pegar ML'!C695="Paquete de 2 productos",IF('Pegar ML'!H695="",0,'Pegar ML'!H695),IF('Pegar ML'!H696="",0,'Pegar ML'!H696))</f>
        <v>0</v>
      </c>
      <c r="I700" s="14">
        <f>IF('Pegar ML'!C695="Paquete de 2 productos",IF('Pegar ML'!O695="",0,'Pegar ML'!O695),IF('Pegar ML'!O696="",0,'Pegar ML'!O696))</f>
        <v>0</v>
      </c>
      <c r="J700" s="14">
        <f>IF('Pegar ML'!C695="Paquete de 2 productos",IF('Pegar ML'!O695="",0,'Pegar ML'!O695),IF('Pegar ML'!O696="",0,'Pegar ML'!O696))</f>
        <v>0</v>
      </c>
      <c r="K700" s="14">
        <f t="shared" si="32"/>
        <v>0</v>
      </c>
      <c r="L700" s="27">
        <f>IF('Pegar ML'!AB696=" ",'Pegar ML'!AB695,'Pegar ML'!AB696)</f>
        <v>0</v>
      </c>
      <c r="M700" s="27" t="str">
        <f>IF('Pegar ML'!AC696=" ",RIGHT('Pegar ML'!AC695,8),RIGHT('Pegar ML'!AC696,8))</f>
        <v/>
      </c>
      <c r="N700" s="27" t="s">
        <v>80</v>
      </c>
      <c r="O700" s="27">
        <f t="shared" si="30"/>
        <v>0</v>
      </c>
      <c r="P700" s="27" t="s">
        <v>80</v>
      </c>
      <c r="Q700" s="55">
        <f>IF('Pegar ML'!AD696=" ",'Pegar ML'!AD695,'Pegar ML'!AD696)</f>
        <v>0</v>
      </c>
      <c r="R700" s="27" t="s">
        <v>80</v>
      </c>
      <c r="S700" s="27" t="s">
        <v>80</v>
      </c>
      <c r="T700" s="27" t="s">
        <v>80</v>
      </c>
      <c r="U700" s="55">
        <f>IF('Pegar ML'!AI696=" ",'Pegar ML'!AI695,'Pegar ML'!AI696)</f>
        <v>0</v>
      </c>
      <c r="V700" s="55">
        <f>IF('Pegar ML'!AK696=" ",'Pegar ML'!AK695,'Pegar ML'!AK696)</f>
        <v>0</v>
      </c>
      <c r="W700" s="55">
        <f>IF('Pegar ML'!AJ696=" ",'Pegar ML'!AJ695,'Pegar ML'!AJ696)</f>
        <v>0</v>
      </c>
      <c r="X700" s="55">
        <f>IF('Pegar ML'!AL696=" ",'Pegar ML'!AL695,'Pegar ML'!AL696)</f>
        <v>0</v>
      </c>
      <c r="Y700" s="27"/>
      <c r="Z700" s="27"/>
      <c r="AA700" s="27"/>
      <c r="AB700" s="27"/>
      <c r="AC700" s="27"/>
      <c r="AD700" s="27"/>
      <c r="AF700" s="8"/>
      <c r="AG700" s="27"/>
      <c r="AH700" s="14">
        <f>+'Pegar ML'!Y696</f>
        <v>0</v>
      </c>
      <c r="AI700" s="13">
        <f t="shared" si="31"/>
        <v>1</v>
      </c>
      <c r="AJ700" s="7">
        <f>+'Pegar ML'!T696</f>
        <v>0</v>
      </c>
      <c r="AK700" s="27"/>
      <c r="AL700" s="27"/>
      <c r="AM700" s="27"/>
      <c r="AN700" s="27"/>
      <c r="AO700" s="27"/>
      <c r="AP700" s="27"/>
      <c r="AQ700" s="27"/>
      <c r="AR700" s="27"/>
      <c r="AS700" s="27">
        <v>17</v>
      </c>
    </row>
    <row r="701" spans="1:45" ht="15" customHeight="1" x14ac:dyDescent="0.25">
      <c r="A701" s="27">
        <f>IF('Pegar ML'!C696="Paquete de 2 productos",'Pegar ML'!A696,IF('Pegar ML'!C695="Paquete de 2 productos",'Pegar ML'!A695,'Pegar ML'!A697))</f>
        <v>0</v>
      </c>
      <c r="B701" s="27"/>
      <c r="C701" s="30" t="str">
        <f>IF(AjusteFecha!I697=0,"",AjusteFecha!I697)</f>
        <v/>
      </c>
      <c r="D701" s="27"/>
      <c r="E701" s="27"/>
      <c r="F701" s="27" t="str">
        <f>IF('Pegar ML'!C697="","",'Pegar ML'!C697)</f>
        <v/>
      </c>
      <c r="G701" s="27" t="str">
        <f>IF('Pegar ML'!G692="ARS","PS","PS")</f>
        <v>PS</v>
      </c>
      <c r="H701" s="14">
        <f>IF('Pegar ML'!C696="Paquete de 2 productos",IF('Pegar ML'!H696="",0,'Pegar ML'!H696),IF('Pegar ML'!H697="",0,'Pegar ML'!H697))</f>
        <v>0</v>
      </c>
      <c r="I701" s="14">
        <f>IF('Pegar ML'!C696="Paquete de 2 productos",IF('Pegar ML'!O696="",0,'Pegar ML'!O696),IF('Pegar ML'!O697="",0,'Pegar ML'!O697))</f>
        <v>0</v>
      </c>
      <c r="J701" s="14">
        <f>IF('Pegar ML'!C696="Paquete de 2 productos",IF('Pegar ML'!O696="",0,'Pegar ML'!O696),IF('Pegar ML'!O697="",0,'Pegar ML'!O697))</f>
        <v>0</v>
      </c>
      <c r="K701" s="14">
        <f t="shared" si="32"/>
        <v>0</v>
      </c>
      <c r="L701" s="27">
        <f>IF('Pegar ML'!AB697=" ",'Pegar ML'!AB696,'Pegar ML'!AB697)</f>
        <v>0</v>
      </c>
      <c r="M701" s="27" t="str">
        <f>IF('Pegar ML'!AC697=" ",RIGHT('Pegar ML'!AC696,8),RIGHT('Pegar ML'!AC697,8))</f>
        <v/>
      </c>
      <c r="N701" s="27" t="s">
        <v>80</v>
      </c>
      <c r="O701" s="27">
        <f t="shared" si="30"/>
        <v>0</v>
      </c>
      <c r="P701" s="27" t="s">
        <v>80</v>
      </c>
      <c r="Q701" s="55">
        <f>IF('Pegar ML'!AD697=" ",'Pegar ML'!AD696,'Pegar ML'!AD697)</f>
        <v>0</v>
      </c>
      <c r="R701" s="27" t="s">
        <v>80</v>
      </c>
      <c r="S701" s="27" t="s">
        <v>80</v>
      </c>
      <c r="T701" s="27" t="s">
        <v>80</v>
      </c>
      <c r="U701" s="55">
        <f>IF('Pegar ML'!AI697=" ",'Pegar ML'!AI696,'Pegar ML'!AI697)</f>
        <v>0</v>
      </c>
      <c r="V701" s="55">
        <f>IF('Pegar ML'!AK697=" ",'Pegar ML'!AK696,'Pegar ML'!AK697)</f>
        <v>0</v>
      </c>
      <c r="W701" s="55">
        <f>IF('Pegar ML'!AJ697=" ",'Pegar ML'!AJ696,'Pegar ML'!AJ697)</f>
        <v>0</v>
      </c>
      <c r="X701" s="55">
        <f>IF('Pegar ML'!AL697=" ",'Pegar ML'!AL696,'Pegar ML'!AL697)</f>
        <v>0</v>
      </c>
      <c r="Y701" s="27"/>
      <c r="Z701" s="27"/>
      <c r="AA701" s="27"/>
      <c r="AB701" s="27"/>
      <c r="AC701" s="27"/>
      <c r="AD701" s="27"/>
      <c r="AF701" s="8"/>
      <c r="AG701" s="27"/>
      <c r="AH701" s="14">
        <f>+'Pegar ML'!Y697</f>
        <v>0</v>
      </c>
      <c r="AI701" s="13">
        <f t="shared" si="31"/>
        <v>1</v>
      </c>
      <c r="AJ701" s="7">
        <f>+'Pegar ML'!T697</f>
        <v>0</v>
      </c>
      <c r="AK701" s="27"/>
      <c r="AL701" s="27"/>
      <c r="AM701" s="27"/>
      <c r="AN701" s="27"/>
      <c r="AO701" s="27"/>
      <c r="AP701" s="27"/>
      <c r="AQ701" s="27"/>
      <c r="AR701" s="27"/>
      <c r="AS701" s="27">
        <v>17</v>
      </c>
    </row>
    <row r="702" spans="1:45" ht="15" customHeight="1" x14ac:dyDescent="0.25">
      <c r="A702" s="27">
        <f>IF('Pegar ML'!C697="Paquete de 2 productos",'Pegar ML'!A697,IF('Pegar ML'!C696="Paquete de 2 productos",'Pegar ML'!A696,'Pegar ML'!A698))</f>
        <v>0</v>
      </c>
      <c r="B702" s="27"/>
      <c r="C702" s="30" t="str">
        <f>IF(AjusteFecha!I698=0,"",AjusteFecha!I698)</f>
        <v/>
      </c>
      <c r="D702" s="27"/>
      <c r="E702" s="27"/>
      <c r="F702" s="27" t="str">
        <f>IF('Pegar ML'!C698="","",'Pegar ML'!C698)</f>
        <v/>
      </c>
      <c r="G702" s="27" t="str">
        <f>IF('Pegar ML'!G693="ARS","PS","PS")</f>
        <v>PS</v>
      </c>
      <c r="H702" s="14">
        <f>IF('Pegar ML'!C697="Paquete de 2 productos",IF('Pegar ML'!H697="",0,'Pegar ML'!H697),IF('Pegar ML'!H698="",0,'Pegar ML'!H698))</f>
        <v>0</v>
      </c>
      <c r="I702" s="14">
        <f>IF('Pegar ML'!C697="Paquete de 2 productos",IF('Pegar ML'!O697="",0,'Pegar ML'!O697),IF('Pegar ML'!O698="",0,'Pegar ML'!O698))</f>
        <v>0</v>
      </c>
      <c r="J702" s="14">
        <f>IF('Pegar ML'!C697="Paquete de 2 productos",IF('Pegar ML'!O697="",0,'Pegar ML'!O697),IF('Pegar ML'!O698="",0,'Pegar ML'!O698))</f>
        <v>0</v>
      </c>
      <c r="K702" s="14">
        <f t="shared" si="32"/>
        <v>0</v>
      </c>
      <c r="L702" s="27">
        <f>IF('Pegar ML'!AB698=" ",'Pegar ML'!AB697,'Pegar ML'!AB698)</f>
        <v>0</v>
      </c>
      <c r="M702" s="27" t="str">
        <f>IF('Pegar ML'!AC698=" ",RIGHT('Pegar ML'!AC697,8),RIGHT('Pegar ML'!AC698,8))</f>
        <v/>
      </c>
      <c r="N702" s="27" t="s">
        <v>80</v>
      </c>
      <c r="O702" s="27">
        <f t="shared" si="30"/>
        <v>0</v>
      </c>
      <c r="P702" s="27" t="s">
        <v>80</v>
      </c>
      <c r="Q702" s="55">
        <f>IF('Pegar ML'!AD698=" ",'Pegar ML'!AD697,'Pegar ML'!AD698)</f>
        <v>0</v>
      </c>
      <c r="R702" s="27" t="s">
        <v>80</v>
      </c>
      <c r="S702" s="27" t="s">
        <v>80</v>
      </c>
      <c r="T702" s="27" t="s">
        <v>80</v>
      </c>
      <c r="U702" s="55">
        <f>IF('Pegar ML'!AI698=" ",'Pegar ML'!AI697,'Pegar ML'!AI698)</f>
        <v>0</v>
      </c>
      <c r="V702" s="55">
        <f>IF('Pegar ML'!AK698=" ",'Pegar ML'!AK697,'Pegar ML'!AK698)</f>
        <v>0</v>
      </c>
      <c r="W702" s="55">
        <f>IF('Pegar ML'!AJ698=" ",'Pegar ML'!AJ697,'Pegar ML'!AJ698)</f>
        <v>0</v>
      </c>
      <c r="X702" s="55">
        <f>IF('Pegar ML'!AL698=" ",'Pegar ML'!AL697,'Pegar ML'!AL698)</f>
        <v>0</v>
      </c>
      <c r="Y702" s="27"/>
      <c r="Z702" s="27"/>
      <c r="AA702" s="27"/>
      <c r="AB702" s="27"/>
      <c r="AC702" s="27"/>
      <c r="AD702" s="27"/>
      <c r="AF702" s="8"/>
      <c r="AG702" s="27"/>
      <c r="AH702" s="14">
        <f>+'Pegar ML'!Y698</f>
        <v>0</v>
      </c>
      <c r="AI702" s="13">
        <f t="shared" si="31"/>
        <v>1</v>
      </c>
      <c r="AJ702" s="7">
        <f>+'Pegar ML'!T698</f>
        <v>0</v>
      </c>
      <c r="AK702" s="27"/>
      <c r="AL702" s="27"/>
      <c r="AM702" s="27"/>
      <c r="AN702" s="27"/>
      <c r="AO702" s="27"/>
      <c r="AP702" s="27"/>
      <c r="AQ702" s="27"/>
      <c r="AR702" s="27"/>
      <c r="AS702" s="27">
        <v>17</v>
      </c>
    </row>
    <row r="703" spans="1:45" ht="15" customHeight="1" x14ac:dyDescent="0.25">
      <c r="A703" s="27">
        <f>IF('Pegar ML'!C698="Paquete de 2 productos",'Pegar ML'!A698,IF('Pegar ML'!C697="Paquete de 2 productos",'Pegar ML'!A697,'Pegar ML'!A699))</f>
        <v>0</v>
      </c>
      <c r="B703" s="27"/>
      <c r="C703" s="30" t="str">
        <f>IF(AjusteFecha!I699=0,"",AjusteFecha!I699)</f>
        <v/>
      </c>
      <c r="D703" s="27"/>
      <c r="E703" s="27"/>
      <c r="F703" s="27" t="str">
        <f>IF('Pegar ML'!C699="","",'Pegar ML'!C699)</f>
        <v/>
      </c>
      <c r="G703" s="27" t="str">
        <f>IF('Pegar ML'!G694="ARS","PS","PS")</f>
        <v>PS</v>
      </c>
      <c r="H703" s="14">
        <f>IF('Pegar ML'!C698="Paquete de 2 productos",IF('Pegar ML'!H698="",0,'Pegar ML'!H698),IF('Pegar ML'!H699="",0,'Pegar ML'!H699))</f>
        <v>0</v>
      </c>
      <c r="I703" s="14">
        <f>IF('Pegar ML'!C698="Paquete de 2 productos",IF('Pegar ML'!O698="",0,'Pegar ML'!O698),IF('Pegar ML'!O699="",0,'Pegar ML'!O699))</f>
        <v>0</v>
      </c>
      <c r="J703" s="14">
        <f>IF('Pegar ML'!C698="Paquete de 2 productos",IF('Pegar ML'!O698="",0,'Pegar ML'!O698),IF('Pegar ML'!O699="",0,'Pegar ML'!O699))</f>
        <v>0</v>
      </c>
      <c r="K703" s="14">
        <f t="shared" si="32"/>
        <v>0</v>
      </c>
      <c r="L703" s="27">
        <f>IF('Pegar ML'!AB699=" ",'Pegar ML'!AB698,'Pegar ML'!AB699)</f>
        <v>0</v>
      </c>
      <c r="M703" s="27" t="str">
        <f>IF('Pegar ML'!AC699=" ",RIGHT('Pegar ML'!AC698,8),RIGHT('Pegar ML'!AC699,8))</f>
        <v/>
      </c>
      <c r="N703" s="27" t="s">
        <v>80</v>
      </c>
      <c r="O703" s="27">
        <f t="shared" si="30"/>
        <v>0</v>
      </c>
      <c r="P703" s="27" t="s">
        <v>80</v>
      </c>
      <c r="Q703" s="55">
        <f>IF('Pegar ML'!AD699=" ",'Pegar ML'!AD698,'Pegar ML'!AD699)</f>
        <v>0</v>
      </c>
      <c r="R703" s="27" t="s">
        <v>80</v>
      </c>
      <c r="S703" s="27" t="s">
        <v>80</v>
      </c>
      <c r="T703" s="27" t="s">
        <v>80</v>
      </c>
      <c r="U703" s="55">
        <f>IF('Pegar ML'!AI699=" ",'Pegar ML'!AI698,'Pegar ML'!AI699)</f>
        <v>0</v>
      </c>
      <c r="V703" s="55">
        <f>IF('Pegar ML'!AK699=" ",'Pegar ML'!AK698,'Pegar ML'!AK699)</f>
        <v>0</v>
      </c>
      <c r="W703" s="55">
        <f>IF('Pegar ML'!AJ699=" ",'Pegar ML'!AJ698,'Pegar ML'!AJ699)</f>
        <v>0</v>
      </c>
      <c r="X703" s="55">
        <f>IF('Pegar ML'!AL699=" ",'Pegar ML'!AL698,'Pegar ML'!AL699)</f>
        <v>0</v>
      </c>
      <c r="Y703" s="27"/>
      <c r="Z703" s="27"/>
      <c r="AA703" s="27"/>
      <c r="AB703" s="27"/>
      <c r="AC703" s="27"/>
      <c r="AD703" s="27"/>
      <c r="AF703" s="8"/>
      <c r="AG703" s="27"/>
      <c r="AH703" s="14">
        <f>+'Pegar ML'!Y699</f>
        <v>0</v>
      </c>
      <c r="AI703" s="13">
        <f t="shared" si="31"/>
        <v>1</v>
      </c>
      <c r="AJ703" s="7">
        <f>+'Pegar ML'!T699</f>
        <v>0</v>
      </c>
      <c r="AK703" s="27"/>
      <c r="AL703" s="27"/>
      <c r="AM703" s="27"/>
      <c r="AN703" s="27"/>
      <c r="AO703" s="27"/>
      <c r="AP703" s="27"/>
      <c r="AQ703" s="27"/>
      <c r="AR703" s="27"/>
      <c r="AS703" s="27">
        <v>17</v>
      </c>
    </row>
    <row r="704" spans="1:45" ht="15" customHeight="1" x14ac:dyDescent="0.25">
      <c r="A704" s="27">
        <f>IF('Pegar ML'!C699="Paquete de 2 productos",'Pegar ML'!A699,IF('Pegar ML'!C698="Paquete de 2 productos",'Pegar ML'!A698,'Pegar ML'!A700))</f>
        <v>0</v>
      </c>
      <c r="B704" s="27"/>
      <c r="C704" s="30" t="str">
        <f>IF(AjusteFecha!I700=0,"",AjusteFecha!I700)</f>
        <v/>
      </c>
      <c r="D704" s="27"/>
      <c r="E704" s="27"/>
      <c r="F704" s="27" t="str">
        <f>IF('Pegar ML'!C700="","",'Pegar ML'!C700)</f>
        <v/>
      </c>
      <c r="G704" s="27" t="str">
        <f>IF('Pegar ML'!G695="ARS","PS","PS")</f>
        <v>PS</v>
      </c>
      <c r="H704" s="14">
        <f>IF('Pegar ML'!C699="Paquete de 2 productos",IF('Pegar ML'!H699="",0,'Pegar ML'!H699),IF('Pegar ML'!H700="",0,'Pegar ML'!H700))</f>
        <v>0</v>
      </c>
      <c r="I704" s="14">
        <f>IF('Pegar ML'!C699="Paquete de 2 productos",IF('Pegar ML'!O699="",0,'Pegar ML'!O699),IF('Pegar ML'!O700="",0,'Pegar ML'!O700))</f>
        <v>0</v>
      </c>
      <c r="J704" s="14">
        <f>IF('Pegar ML'!C699="Paquete de 2 productos",IF('Pegar ML'!O699="",0,'Pegar ML'!O699),IF('Pegar ML'!O700="",0,'Pegar ML'!O700))</f>
        <v>0</v>
      </c>
      <c r="K704" s="14">
        <f t="shared" si="32"/>
        <v>0</v>
      </c>
      <c r="L704" s="27">
        <f>IF('Pegar ML'!AB700=" ",'Pegar ML'!AB699,'Pegar ML'!AB700)</f>
        <v>0</v>
      </c>
      <c r="M704" s="27" t="str">
        <f>IF('Pegar ML'!AC700=" ",RIGHT('Pegar ML'!AC699,8),RIGHT('Pegar ML'!AC700,8))</f>
        <v/>
      </c>
      <c r="N704" s="27" t="s">
        <v>80</v>
      </c>
      <c r="O704" s="27">
        <f t="shared" si="30"/>
        <v>0</v>
      </c>
      <c r="P704" s="27" t="s">
        <v>80</v>
      </c>
      <c r="Q704" s="55">
        <f>IF('Pegar ML'!AD700=" ",'Pegar ML'!AD699,'Pegar ML'!AD700)</f>
        <v>0</v>
      </c>
      <c r="R704" s="27" t="s">
        <v>80</v>
      </c>
      <c r="S704" s="27" t="s">
        <v>80</v>
      </c>
      <c r="T704" s="27" t="s">
        <v>80</v>
      </c>
      <c r="U704" s="55">
        <f>IF('Pegar ML'!AI700=" ",'Pegar ML'!AI699,'Pegar ML'!AI700)</f>
        <v>0</v>
      </c>
      <c r="V704" s="55">
        <f>IF('Pegar ML'!AK700=" ",'Pegar ML'!AK699,'Pegar ML'!AK700)</f>
        <v>0</v>
      </c>
      <c r="W704" s="55">
        <f>IF('Pegar ML'!AJ700=" ",'Pegar ML'!AJ699,'Pegar ML'!AJ700)</f>
        <v>0</v>
      </c>
      <c r="X704" s="55">
        <f>IF('Pegar ML'!AL700=" ",'Pegar ML'!AL699,'Pegar ML'!AL700)</f>
        <v>0</v>
      </c>
      <c r="Y704" s="27"/>
      <c r="Z704" s="27"/>
      <c r="AA704" s="27"/>
      <c r="AB704" s="27"/>
      <c r="AC704" s="27"/>
      <c r="AD704" s="27"/>
      <c r="AF704" s="8"/>
      <c r="AG704" s="27"/>
      <c r="AH704" s="14">
        <f>+'Pegar ML'!Y700</f>
        <v>0</v>
      </c>
      <c r="AI704" s="13">
        <f t="shared" si="31"/>
        <v>1</v>
      </c>
      <c r="AJ704" s="7">
        <f>+'Pegar ML'!T700</f>
        <v>0</v>
      </c>
      <c r="AK704" s="27"/>
      <c r="AL704" s="27"/>
      <c r="AM704" s="27"/>
      <c r="AN704" s="27"/>
      <c r="AO704" s="27"/>
      <c r="AP704" s="27"/>
      <c r="AQ704" s="27"/>
      <c r="AR704" s="27"/>
      <c r="AS704" s="27">
        <v>17</v>
      </c>
    </row>
    <row r="705" spans="1:45" ht="15" customHeight="1" x14ac:dyDescent="0.25">
      <c r="A705" s="27">
        <f>IF('Pegar ML'!C700="Paquete de 2 productos",'Pegar ML'!A700,IF('Pegar ML'!C699="Paquete de 2 productos",'Pegar ML'!A699,'Pegar ML'!A701))</f>
        <v>0</v>
      </c>
      <c r="B705" s="27"/>
      <c r="C705" s="30" t="str">
        <f>IF(AjusteFecha!I701=0,"",AjusteFecha!I701)</f>
        <v/>
      </c>
      <c r="D705" s="27"/>
      <c r="E705" s="27"/>
      <c r="F705" s="27" t="str">
        <f>IF('Pegar ML'!C701="","",'Pegar ML'!C701)</f>
        <v/>
      </c>
      <c r="G705" s="27" t="str">
        <f>IF('Pegar ML'!G696="ARS","PS","PS")</f>
        <v>PS</v>
      </c>
      <c r="H705" s="14">
        <f>IF('Pegar ML'!C700="Paquete de 2 productos",IF('Pegar ML'!H700="",0,'Pegar ML'!H700),IF('Pegar ML'!H701="",0,'Pegar ML'!H701))</f>
        <v>0</v>
      </c>
      <c r="I705" s="14">
        <f>IF('Pegar ML'!C700="Paquete de 2 productos",IF('Pegar ML'!O700="",0,'Pegar ML'!O700),IF('Pegar ML'!O701="",0,'Pegar ML'!O701))</f>
        <v>0</v>
      </c>
      <c r="J705" s="14">
        <f>IF('Pegar ML'!C700="Paquete de 2 productos",IF('Pegar ML'!O700="",0,'Pegar ML'!O700),IF('Pegar ML'!O701="",0,'Pegar ML'!O701))</f>
        <v>0</v>
      </c>
      <c r="K705" s="14">
        <f t="shared" si="32"/>
        <v>0</v>
      </c>
      <c r="L705" s="27">
        <f>IF('Pegar ML'!AB701=" ",'Pegar ML'!AB700,'Pegar ML'!AB701)</f>
        <v>0</v>
      </c>
      <c r="M705" s="27" t="str">
        <f>IF('Pegar ML'!AC701=" ",RIGHT('Pegar ML'!AC700,8),RIGHT('Pegar ML'!AC701,8))</f>
        <v/>
      </c>
      <c r="N705" s="27" t="s">
        <v>80</v>
      </c>
      <c r="O705" s="27">
        <f t="shared" si="30"/>
        <v>0</v>
      </c>
      <c r="P705" s="27" t="s">
        <v>80</v>
      </c>
      <c r="Q705" s="55">
        <f>IF('Pegar ML'!AD701=" ",'Pegar ML'!AD700,'Pegar ML'!AD701)</f>
        <v>0</v>
      </c>
      <c r="R705" s="27" t="s">
        <v>80</v>
      </c>
      <c r="S705" s="27" t="s">
        <v>80</v>
      </c>
      <c r="T705" s="27" t="s">
        <v>80</v>
      </c>
      <c r="U705" s="55">
        <f>IF('Pegar ML'!AI701=" ",'Pegar ML'!AI700,'Pegar ML'!AI701)</f>
        <v>0</v>
      </c>
      <c r="V705" s="55">
        <f>IF('Pegar ML'!AK701=" ",'Pegar ML'!AK700,'Pegar ML'!AK701)</f>
        <v>0</v>
      </c>
      <c r="W705" s="55">
        <f>IF('Pegar ML'!AJ701=" ",'Pegar ML'!AJ700,'Pegar ML'!AJ701)</f>
        <v>0</v>
      </c>
      <c r="X705" s="55">
        <f>IF('Pegar ML'!AL701=" ",'Pegar ML'!AL700,'Pegar ML'!AL701)</f>
        <v>0</v>
      </c>
      <c r="Y705" s="27"/>
      <c r="Z705" s="27"/>
      <c r="AA705" s="27"/>
      <c r="AB705" s="27"/>
      <c r="AC705" s="27"/>
      <c r="AD705" s="27"/>
      <c r="AF705" s="8"/>
      <c r="AG705" s="27"/>
      <c r="AH705" s="14">
        <f>+'Pegar ML'!Y701</f>
        <v>0</v>
      </c>
      <c r="AI705" s="13">
        <f t="shared" si="31"/>
        <v>1</v>
      </c>
      <c r="AJ705" s="7">
        <f>+'Pegar ML'!T701</f>
        <v>0</v>
      </c>
      <c r="AK705" s="27"/>
      <c r="AL705" s="27"/>
      <c r="AM705" s="27"/>
      <c r="AN705" s="27"/>
      <c r="AO705" s="27"/>
      <c r="AP705" s="27"/>
      <c r="AQ705" s="27"/>
      <c r="AR705" s="27"/>
      <c r="AS705" s="27">
        <v>17</v>
      </c>
    </row>
    <row r="706" spans="1:45" ht="15" customHeight="1" x14ac:dyDescent="0.25">
      <c r="A706" s="27">
        <f>IF('Pegar ML'!C701="Paquete de 2 productos",'Pegar ML'!A701,IF('Pegar ML'!C700="Paquete de 2 productos",'Pegar ML'!A700,'Pegar ML'!A702))</f>
        <v>0</v>
      </c>
      <c r="B706" s="27"/>
      <c r="C706" s="30" t="str">
        <f>IF(AjusteFecha!I702=0,"",AjusteFecha!I702)</f>
        <v/>
      </c>
      <c r="D706" s="27"/>
      <c r="E706" s="27"/>
      <c r="F706" s="27" t="str">
        <f>IF('Pegar ML'!C702="","",'Pegar ML'!C702)</f>
        <v/>
      </c>
      <c r="G706" s="27" t="str">
        <f>IF('Pegar ML'!G697="ARS","PS","PS")</f>
        <v>PS</v>
      </c>
      <c r="H706" s="14">
        <f>IF('Pegar ML'!C701="Paquete de 2 productos",IF('Pegar ML'!H701="",0,'Pegar ML'!H701),IF('Pegar ML'!H702="",0,'Pegar ML'!H702))</f>
        <v>0</v>
      </c>
      <c r="I706" s="14">
        <f>IF('Pegar ML'!C701="Paquete de 2 productos",IF('Pegar ML'!O701="",0,'Pegar ML'!O701),IF('Pegar ML'!O702="",0,'Pegar ML'!O702))</f>
        <v>0</v>
      </c>
      <c r="J706" s="14">
        <f>IF('Pegar ML'!C701="Paquete de 2 productos",IF('Pegar ML'!O701="",0,'Pegar ML'!O701),IF('Pegar ML'!O702="",0,'Pegar ML'!O702))</f>
        <v>0</v>
      </c>
      <c r="K706" s="14">
        <f t="shared" si="32"/>
        <v>0</v>
      </c>
      <c r="L706" s="27">
        <f>IF('Pegar ML'!AB702=" ",'Pegar ML'!AB701,'Pegar ML'!AB702)</f>
        <v>0</v>
      </c>
      <c r="M706" s="27" t="str">
        <f>IF('Pegar ML'!AC702=" ",RIGHT('Pegar ML'!AC701,8),RIGHT('Pegar ML'!AC702,8))</f>
        <v/>
      </c>
      <c r="N706" s="27" t="s">
        <v>80</v>
      </c>
      <c r="O706" s="27">
        <f t="shared" si="30"/>
        <v>0</v>
      </c>
      <c r="P706" s="27" t="s">
        <v>80</v>
      </c>
      <c r="Q706" s="55">
        <f>IF('Pegar ML'!AD702=" ",'Pegar ML'!AD701,'Pegar ML'!AD702)</f>
        <v>0</v>
      </c>
      <c r="R706" s="27" t="s">
        <v>80</v>
      </c>
      <c r="S706" s="27" t="s">
        <v>80</v>
      </c>
      <c r="T706" s="27" t="s">
        <v>80</v>
      </c>
      <c r="U706" s="55">
        <f>IF('Pegar ML'!AI702=" ",'Pegar ML'!AI701,'Pegar ML'!AI702)</f>
        <v>0</v>
      </c>
      <c r="V706" s="55">
        <f>IF('Pegar ML'!AK702=" ",'Pegar ML'!AK701,'Pegar ML'!AK702)</f>
        <v>0</v>
      </c>
      <c r="W706" s="55">
        <f>IF('Pegar ML'!AJ702=" ",'Pegar ML'!AJ701,'Pegar ML'!AJ702)</f>
        <v>0</v>
      </c>
      <c r="X706" s="55">
        <f>IF('Pegar ML'!AL702=" ",'Pegar ML'!AL701,'Pegar ML'!AL702)</f>
        <v>0</v>
      </c>
      <c r="Y706" s="27"/>
      <c r="Z706" s="27"/>
      <c r="AA706" s="27"/>
      <c r="AB706" s="27"/>
      <c r="AC706" s="27"/>
      <c r="AD706" s="27"/>
      <c r="AF706" s="8"/>
      <c r="AG706" s="27"/>
      <c r="AH706" s="14">
        <f>+'Pegar ML'!Y702</f>
        <v>0</v>
      </c>
      <c r="AI706" s="13">
        <f t="shared" si="31"/>
        <v>1</v>
      </c>
      <c r="AJ706" s="7">
        <f>+'Pegar ML'!T702</f>
        <v>0</v>
      </c>
      <c r="AK706" s="27"/>
      <c r="AL706" s="27"/>
      <c r="AM706" s="27"/>
      <c r="AN706" s="27"/>
      <c r="AO706" s="27"/>
      <c r="AP706" s="27"/>
      <c r="AQ706" s="27"/>
      <c r="AR706" s="27"/>
      <c r="AS706" s="27">
        <v>17</v>
      </c>
    </row>
    <row r="707" spans="1:45" ht="15" customHeight="1" x14ac:dyDescent="0.25">
      <c r="A707" s="27">
        <f>IF('Pegar ML'!C702="Paquete de 2 productos",'Pegar ML'!A702,IF('Pegar ML'!C701="Paquete de 2 productos",'Pegar ML'!A701,'Pegar ML'!A703))</f>
        <v>0</v>
      </c>
      <c r="B707" s="27"/>
      <c r="C707" s="30" t="str">
        <f>IF(AjusteFecha!I703=0,"",AjusteFecha!I703)</f>
        <v/>
      </c>
      <c r="D707" s="27"/>
      <c r="E707" s="27"/>
      <c r="F707" s="27" t="str">
        <f>IF('Pegar ML'!C703="","",'Pegar ML'!C703)</f>
        <v/>
      </c>
      <c r="G707" s="27" t="str">
        <f>IF('Pegar ML'!G698="ARS","PS","PS")</f>
        <v>PS</v>
      </c>
      <c r="H707" s="14">
        <f>IF('Pegar ML'!C702="Paquete de 2 productos",IF('Pegar ML'!H702="",0,'Pegar ML'!H702),IF('Pegar ML'!H703="",0,'Pegar ML'!H703))</f>
        <v>0</v>
      </c>
      <c r="I707" s="14">
        <f>IF('Pegar ML'!C702="Paquete de 2 productos",IF('Pegar ML'!O702="",0,'Pegar ML'!O702),IF('Pegar ML'!O703="",0,'Pegar ML'!O703))</f>
        <v>0</v>
      </c>
      <c r="J707" s="14">
        <f>IF('Pegar ML'!C702="Paquete de 2 productos",IF('Pegar ML'!O702="",0,'Pegar ML'!O702),IF('Pegar ML'!O703="",0,'Pegar ML'!O703))</f>
        <v>0</v>
      </c>
      <c r="K707" s="14">
        <f t="shared" si="32"/>
        <v>0</v>
      </c>
      <c r="L707" s="27">
        <f>IF('Pegar ML'!AB703=" ",'Pegar ML'!AB702,'Pegar ML'!AB703)</f>
        <v>0</v>
      </c>
      <c r="M707" s="27" t="str">
        <f>IF('Pegar ML'!AC703=" ",RIGHT('Pegar ML'!AC702,8),RIGHT('Pegar ML'!AC703,8))</f>
        <v/>
      </c>
      <c r="N707" s="27" t="s">
        <v>80</v>
      </c>
      <c r="O707" s="27">
        <f t="shared" si="30"/>
        <v>0</v>
      </c>
      <c r="P707" s="27" t="s">
        <v>80</v>
      </c>
      <c r="Q707" s="55">
        <f>IF('Pegar ML'!AD703=" ",'Pegar ML'!AD702,'Pegar ML'!AD703)</f>
        <v>0</v>
      </c>
      <c r="R707" s="27" t="s">
        <v>80</v>
      </c>
      <c r="S707" s="27" t="s">
        <v>80</v>
      </c>
      <c r="T707" s="27" t="s">
        <v>80</v>
      </c>
      <c r="U707" s="55">
        <f>IF('Pegar ML'!AI703=" ",'Pegar ML'!AI702,'Pegar ML'!AI703)</f>
        <v>0</v>
      </c>
      <c r="V707" s="55">
        <f>IF('Pegar ML'!AK703=" ",'Pegar ML'!AK702,'Pegar ML'!AK703)</f>
        <v>0</v>
      </c>
      <c r="W707" s="55">
        <f>IF('Pegar ML'!AJ703=" ",'Pegar ML'!AJ702,'Pegar ML'!AJ703)</f>
        <v>0</v>
      </c>
      <c r="X707" s="55">
        <f>IF('Pegar ML'!AL703=" ",'Pegar ML'!AL702,'Pegar ML'!AL703)</f>
        <v>0</v>
      </c>
      <c r="Y707" s="27"/>
      <c r="Z707" s="27"/>
      <c r="AA707" s="27"/>
      <c r="AB707" s="27"/>
      <c r="AC707" s="27"/>
      <c r="AD707" s="27"/>
      <c r="AF707" s="8"/>
      <c r="AG707" s="27"/>
      <c r="AH707" s="14">
        <f>+'Pegar ML'!Y703</f>
        <v>0</v>
      </c>
      <c r="AI707" s="13">
        <f t="shared" si="31"/>
        <v>1</v>
      </c>
      <c r="AJ707" s="7">
        <f>+'Pegar ML'!T703</f>
        <v>0</v>
      </c>
      <c r="AK707" s="27"/>
      <c r="AL707" s="27"/>
      <c r="AM707" s="27"/>
      <c r="AN707" s="27"/>
      <c r="AO707" s="27"/>
      <c r="AP707" s="27"/>
      <c r="AQ707" s="27"/>
      <c r="AR707" s="27"/>
      <c r="AS707" s="27">
        <v>17</v>
      </c>
    </row>
    <row r="708" spans="1:45" ht="15" customHeight="1" x14ac:dyDescent="0.25">
      <c r="A708" s="27">
        <f>IF('Pegar ML'!C703="Paquete de 2 productos",'Pegar ML'!A703,IF('Pegar ML'!C702="Paquete de 2 productos",'Pegar ML'!A702,'Pegar ML'!A704))</f>
        <v>0</v>
      </c>
      <c r="B708" s="27"/>
      <c r="C708" s="30" t="str">
        <f>IF(AjusteFecha!I704=0,"",AjusteFecha!I704)</f>
        <v/>
      </c>
      <c r="D708" s="27"/>
      <c r="E708" s="27"/>
      <c r="F708" s="27" t="str">
        <f>IF('Pegar ML'!C704="","",'Pegar ML'!C704)</f>
        <v/>
      </c>
      <c r="G708" s="27" t="str">
        <f>IF('Pegar ML'!G699="ARS","PS","PS")</f>
        <v>PS</v>
      </c>
      <c r="H708" s="14">
        <f>IF('Pegar ML'!C703="Paquete de 2 productos",IF('Pegar ML'!H703="",0,'Pegar ML'!H703),IF('Pegar ML'!H704="",0,'Pegar ML'!H704))</f>
        <v>0</v>
      </c>
      <c r="I708" s="14">
        <f>IF('Pegar ML'!C703="Paquete de 2 productos",IF('Pegar ML'!O703="",0,'Pegar ML'!O703),IF('Pegar ML'!O704="",0,'Pegar ML'!O704))</f>
        <v>0</v>
      </c>
      <c r="J708" s="14">
        <f>IF('Pegar ML'!C703="Paquete de 2 productos",IF('Pegar ML'!O703="",0,'Pegar ML'!O703),IF('Pegar ML'!O704="",0,'Pegar ML'!O704))</f>
        <v>0</v>
      </c>
      <c r="K708" s="14">
        <f t="shared" si="32"/>
        <v>0</v>
      </c>
      <c r="L708" s="27">
        <f>IF('Pegar ML'!AB704=" ",'Pegar ML'!AB703,'Pegar ML'!AB704)</f>
        <v>0</v>
      </c>
      <c r="M708" s="27" t="str">
        <f>IF('Pegar ML'!AC704=" ",RIGHT('Pegar ML'!AC703,8),RIGHT('Pegar ML'!AC704,8))</f>
        <v/>
      </c>
      <c r="N708" s="27" t="s">
        <v>80</v>
      </c>
      <c r="O708" s="27">
        <f t="shared" si="30"/>
        <v>0</v>
      </c>
      <c r="P708" s="27" t="s">
        <v>80</v>
      </c>
      <c r="Q708" s="55">
        <f>IF('Pegar ML'!AD704=" ",'Pegar ML'!AD703,'Pegar ML'!AD704)</f>
        <v>0</v>
      </c>
      <c r="R708" s="27" t="s">
        <v>80</v>
      </c>
      <c r="S708" s="27" t="s">
        <v>80</v>
      </c>
      <c r="T708" s="27" t="s">
        <v>80</v>
      </c>
      <c r="U708" s="55">
        <f>IF('Pegar ML'!AI704=" ",'Pegar ML'!AI703,'Pegar ML'!AI704)</f>
        <v>0</v>
      </c>
      <c r="V708" s="55">
        <f>IF('Pegar ML'!AK704=" ",'Pegar ML'!AK703,'Pegar ML'!AK704)</f>
        <v>0</v>
      </c>
      <c r="W708" s="55">
        <f>IF('Pegar ML'!AJ704=" ",'Pegar ML'!AJ703,'Pegar ML'!AJ704)</f>
        <v>0</v>
      </c>
      <c r="X708" s="55">
        <f>IF('Pegar ML'!AL704=" ",'Pegar ML'!AL703,'Pegar ML'!AL704)</f>
        <v>0</v>
      </c>
      <c r="Y708" s="27"/>
      <c r="Z708" s="27"/>
      <c r="AA708" s="27"/>
      <c r="AB708" s="27"/>
      <c r="AC708" s="27"/>
      <c r="AD708" s="27"/>
      <c r="AF708" s="8"/>
      <c r="AG708" s="27"/>
      <c r="AH708" s="14">
        <f>+'Pegar ML'!Y704</f>
        <v>0</v>
      </c>
      <c r="AI708" s="13">
        <f t="shared" si="31"/>
        <v>1</v>
      </c>
      <c r="AJ708" s="7">
        <f>+'Pegar ML'!T704</f>
        <v>0</v>
      </c>
      <c r="AK708" s="27"/>
      <c r="AL708" s="27"/>
      <c r="AM708" s="27"/>
      <c r="AN708" s="27"/>
      <c r="AO708" s="27"/>
      <c r="AP708" s="27"/>
      <c r="AQ708" s="27"/>
      <c r="AR708" s="27"/>
      <c r="AS708" s="27">
        <v>17</v>
      </c>
    </row>
    <row r="709" spans="1:45" ht="15" customHeight="1" x14ac:dyDescent="0.25">
      <c r="A709" s="27">
        <f>IF('Pegar ML'!C704="Paquete de 2 productos",'Pegar ML'!A704,IF('Pegar ML'!C703="Paquete de 2 productos",'Pegar ML'!A703,'Pegar ML'!A705))</f>
        <v>0</v>
      </c>
      <c r="B709" s="27"/>
      <c r="C709" s="30" t="str">
        <f>IF(AjusteFecha!I705=0,"",AjusteFecha!I705)</f>
        <v/>
      </c>
      <c r="D709" s="27"/>
      <c r="E709" s="27"/>
      <c r="F709" s="27" t="str">
        <f>IF('Pegar ML'!C705="","",'Pegar ML'!C705)</f>
        <v/>
      </c>
      <c r="G709" s="27" t="str">
        <f>IF('Pegar ML'!G700="ARS","PS","PS")</f>
        <v>PS</v>
      </c>
      <c r="H709" s="14">
        <f>IF('Pegar ML'!C704="Paquete de 2 productos",IF('Pegar ML'!H704="",0,'Pegar ML'!H704),IF('Pegar ML'!H705="",0,'Pegar ML'!H705))</f>
        <v>0</v>
      </c>
      <c r="I709" s="14">
        <f>IF('Pegar ML'!C704="Paquete de 2 productos",IF('Pegar ML'!O704="",0,'Pegar ML'!O704),IF('Pegar ML'!O705="",0,'Pegar ML'!O705))</f>
        <v>0</v>
      </c>
      <c r="J709" s="14">
        <f>IF('Pegar ML'!C704="Paquete de 2 productos",IF('Pegar ML'!O704="",0,'Pegar ML'!O704),IF('Pegar ML'!O705="",0,'Pegar ML'!O705))</f>
        <v>0</v>
      </c>
      <c r="K709" s="14">
        <f t="shared" si="32"/>
        <v>0</v>
      </c>
      <c r="L709" s="27">
        <f>IF('Pegar ML'!AB705=" ",'Pegar ML'!AB704,'Pegar ML'!AB705)</f>
        <v>0</v>
      </c>
      <c r="M709" s="27" t="str">
        <f>IF('Pegar ML'!AC705=" ",RIGHT('Pegar ML'!AC704,8),RIGHT('Pegar ML'!AC705,8))</f>
        <v/>
      </c>
      <c r="N709" s="27" t="s">
        <v>80</v>
      </c>
      <c r="O709" s="27">
        <f t="shared" si="30"/>
        <v>0</v>
      </c>
      <c r="P709" s="27" t="s">
        <v>80</v>
      </c>
      <c r="Q709" s="55">
        <f>IF('Pegar ML'!AD705=" ",'Pegar ML'!AD704,'Pegar ML'!AD705)</f>
        <v>0</v>
      </c>
      <c r="R709" s="27" t="s">
        <v>80</v>
      </c>
      <c r="S709" s="27" t="s">
        <v>80</v>
      </c>
      <c r="T709" s="27" t="s">
        <v>80</v>
      </c>
      <c r="U709" s="55">
        <f>IF('Pegar ML'!AI705=" ",'Pegar ML'!AI704,'Pegar ML'!AI705)</f>
        <v>0</v>
      </c>
      <c r="V709" s="55">
        <f>IF('Pegar ML'!AK705=" ",'Pegar ML'!AK704,'Pegar ML'!AK705)</f>
        <v>0</v>
      </c>
      <c r="W709" s="55">
        <f>IF('Pegar ML'!AJ705=" ",'Pegar ML'!AJ704,'Pegar ML'!AJ705)</f>
        <v>0</v>
      </c>
      <c r="X709" s="55">
        <f>IF('Pegar ML'!AL705=" ",'Pegar ML'!AL704,'Pegar ML'!AL705)</f>
        <v>0</v>
      </c>
      <c r="Y709" s="27"/>
      <c r="Z709" s="27"/>
      <c r="AA709" s="27"/>
      <c r="AB709" s="27"/>
      <c r="AC709" s="27"/>
      <c r="AD709" s="27"/>
      <c r="AF709" s="8"/>
      <c r="AG709" s="27"/>
      <c r="AH709" s="14">
        <f>+'Pegar ML'!Y705</f>
        <v>0</v>
      </c>
      <c r="AI709" s="13">
        <f t="shared" si="31"/>
        <v>1</v>
      </c>
      <c r="AJ709" s="7">
        <f>+'Pegar ML'!T705</f>
        <v>0</v>
      </c>
      <c r="AK709" s="27"/>
      <c r="AL709" s="27"/>
      <c r="AM709" s="27"/>
      <c r="AN709" s="27"/>
      <c r="AO709" s="27"/>
      <c r="AP709" s="27"/>
      <c r="AQ709" s="27"/>
      <c r="AR709" s="27"/>
      <c r="AS709" s="27">
        <v>17</v>
      </c>
    </row>
    <row r="710" spans="1:45" ht="15" customHeight="1" x14ac:dyDescent="0.25">
      <c r="A710" s="27">
        <f>IF('Pegar ML'!C705="Paquete de 2 productos",'Pegar ML'!A705,IF('Pegar ML'!C704="Paquete de 2 productos",'Pegar ML'!A704,'Pegar ML'!A706))</f>
        <v>0</v>
      </c>
      <c r="B710" s="27"/>
      <c r="C710" s="30" t="str">
        <f>IF(AjusteFecha!I706=0,"",AjusteFecha!I706)</f>
        <v/>
      </c>
      <c r="D710" s="27"/>
      <c r="E710" s="27"/>
      <c r="F710" s="27" t="str">
        <f>IF('Pegar ML'!C706="","",'Pegar ML'!C706)</f>
        <v/>
      </c>
      <c r="G710" s="27" t="str">
        <f>IF('Pegar ML'!G701="ARS","PS","PS")</f>
        <v>PS</v>
      </c>
      <c r="H710" s="14">
        <f>IF('Pegar ML'!C705="Paquete de 2 productos",IF('Pegar ML'!H705="",0,'Pegar ML'!H705),IF('Pegar ML'!H706="",0,'Pegar ML'!H706))</f>
        <v>0</v>
      </c>
      <c r="I710" s="14">
        <f>IF('Pegar ML'!C705="Paquete de 2 productos",IF('Pegar ML'!O705="",0,'Pegar ML'!O705),IF('Pegar ML'!O706="",0,'Pegar ML'!O706))</f>
        <v>0</v>
      </c>
      <c r="J710" s="14">
        <f>IF('Pegar ML'!C705="Paquete de 2 productos",IF('Pegar ML'!O705="",0,'Pegar ML'!O705),IF('Pegar ML'!O706="",0,'Pegar ML'!O706))</f>
        <v>0</v>
      </c>
      <c r="K710" s="14">
        <f t="shared" si="32"/>
        <v>0</v>
      </c>
      <c r="L710" s="27">
        <f>IF('Pegar ML'!AB706=" ",'Pegar ML'!AB705,'Pegar ML'!AB706)</f>
        <v>0</v>
      </c>
      <c r="M710" s="27" t="str">
        <f>IF('Pegar ML'!AC706=" ",RIGHT('Pegar ML'!AC705,8),RIGHT('Pegar ML'!AC706,8))</f>
        <v/>
      </c>
      <c r="N710" s="27" t="s">
        <v>80</v>
      </c>
      <c r="O710" s="27">
        <f t="shared" si="30"/>
        <v>0</v>
      </c>
      <c r="P710" s="27" t="s">
        <v>80</v>
      </c>
      <c r="Q710" s="55">
        <f>IF('Pegar ML'!AD706=" ",'Pegar ML'!AD705,'Pegar ML'!AD706)</f>
        <v>0</v>
      </c>
      <c r="R710" s="27" t="s">
        <v>80</v>
      </c>
      <c r="S710" s="27" t="s">
        <v>80</v>
      </c>
      <c r="T710" s="27" t="s">
        <v>80</v>
      </c>
      <c r="U710" s="55">
        <f>IF('Pegar ML'!AI706=" ",'Pegar ML'!AI705,'Pegar ML'!AI706)</f>
        <v>0</v>
      </c>
      <c r="V710" s="55">
        <f>IF('Pegar ML'!AK706=" ",'Pegar ML'!AK705,'Pegar ML'!AK706)</f>
        <v>0</v>
      </c>
      <c r="W710" s="55">
        <f>IF('Pegar ML'!AJ706=" ",'Pegar ML'!AJ705,'Pegar ML'!AJ706)</f>
        <v>0</v>
      </c>
      <c r="X710" s="55">
        <f>IF('Pegar ML'!AL706=" ",'Pegar ML'!AL705,'Pegar ML'!AL706)</f>
        <v>0</v>
      </c>
      <c r="Y710" s="27"/>
      <c r="Z710" s="27"/>
      <c r="AA710" s="27"/>
      <c r="AB710" s="27"/>
      <c r="AC710" s="27"/>
      <c r="AD710" s="27"/>
      <c r="AF710" s="8"/>
      <c r="AG710" s="27"/>
      <c r="AH710" s="14">
        <f>+'Pegar ML'!Y706</f>
        <v>0</v>
      </c>
      <c r="AI710" s="13">
        <f t="shared" si="31"/>
        <v>1</v>
      </c>
      <c r="AJ710" s="7">
        <f>+'Pegar ML'!T706</f>
        <v>0</v>
      </c>
      <c r="AK710" s="27"/>
      <c r="AL710" s="27"/>
      <c r="AM710" s="27"/>
      <c r="AN710" s="27"/>
      <c r="AO710" s="27"/>
      <c r="AP710" s="27"/>
      <c r="AQ710" s="27"/>
      <c r="AR710" s="27"/>
      <c r="AS710" s="27">
        <v>17</v>
      </c>
    </row>
    <row r="711" spans="1:45" ht="15" customHeight="1" x14ac:dyDescent="0.25">
      <c r="A711" s="27">
        <f>IF('Pegar ML'!C706="Paquete de 2 productos",'Pegar ML'!A706,IF('Pegar ML'!C705="Paquete de 2 productos",'Pegar ML'!A705,'Pegar ML'!A707))</f>
        <v>0</v>
      </c>
      <c r="B711" s="27"/>
      <c r="C711" s="30" t="str">
        <f>IF(AjusteFecha!I707=0,"",AjusteFecha!I707)</f>
        <v/>
      </c>
      <c r="D711" s="27"/>
      <c r="E711" s="27"/>
      <c r="F711" s="27" t="str">
        <f>IF('Pegar ML'!C707="","",'Pegar ML'!C707)</f>
        <v/>
      </c>
      <c r="G711" s="27" t="str">
        <f>IF('Pegar ML'!G702="ARS","PS","PS")</f>
        <v>PS</v>
      </c>
      <c r="H711" s="14">
        <f>IF('Pegar ML'!C706="Paquete de 2 productos",IF('Pegar ML'!H706="",0,'Pegar ML'!H706),IF('Pegar ML'!H707="",0,'Pegar ML'!H707))</f>
        <v>0</v>
      </c>
      <c r="I711" s="14">
        <f>IF('Pegar ML'!C706="Paquete de 2 productos",IF('Pegar ML'!O706="",0,'Pegar ML'!O706),IF('Pegar ML'!O707="",0,'Pegar ML'!O707))</f>
        <v>0</v>
      </c>
      <c r="J711" s="14">
        <f>IF('Pegar ML'!C706="Paquete de 2 productos",IF('Pegar ML'!O706="",0,'Pegar ML'!O706),IF('Pegar ML'!O707="",0,'Pegar ML'!O707))</f>
        <v>0</v>
      </c>
      <c r="K711" s="14">
        <f t="shared" si="32"/>
        <v>0</v>
      </c>
      <c r="L711" s="27">
        <f>IF('Pegar ML'!AB707=" ",'Pegar ML'!AB706,'Pegar ML'!AB707)</f>
        <v>0</v>
      </c>
      <c r="M711" s="27" t="str">
        <f>IF('Pegar ML'!AC707=" ",RIGHT('Pegar ML'!AC706,8),RIGHT('Pegar ML'!AC707,8))</f>
        <v/>
      </c>
      <c r="N711" s="27" t="s">
        <v>80</v>
      </c>
      <c r="O711" s="27">
        <f t="shared" si="30"/>
        <v>0</v>
      </c>
      <c r="P711" s="27" t="s">
        <v>80</v>
      </c>
      <c r="Q711" s="55">
        <f>IF('Pegar ML'!AD707=" ",'Pegar ML'!AD706,'Pegar ML'!AD707)</f>
        <v>0</v>
      </c>
      <c r="R711" s="27" t="s">
        <v>80</v>
      </c>
      <c r="S711" s="27" t="s">
        <v>80</v>
      </c>
      <c r="T711" s="27" t="s">
        <v>80</v>
      </c>
      <c r="U711" s="55">
        <f>IF('Pegar ML'!AI707=" ",'Pegar ML'!AI706,'Pegar ML'!AI707)</f>
        <v>0</v>
      </c>
      <c r="V711" s="55">
        <f>IF('Pegar ML'!AK707=" ",'Pegar ML'!AK706,'Pegar ML'!AK707)</f>
        <v>0</v>
      </c>
      <c r="W711" s="55">
        <f>IF('Pegar ML'!AJ707=" ",'Pegar ML'!AJ706,'Pegar ML'!AJ707)</f>
        <v>0</v>
      </c>
      <c r="X711" s="55">
        <f>IF('Pegar ML'!AL707=" ",'Pegar ML'!AL706,'Pegar ML'!AL707)</f>
        <v>0</v>
      </c>
      <c r="Y711" s="27"/>
      <c r="Z711" s="27"/>
      <c r="AA711" s="27"/>
      <c r="AB711" s="27"/>
      <c r="AC711" s="27"/>
      <c r="AD711" s="27"/>
      <c r="AF711" s="8"/>
      <c r="AG711" s="27"/>
      <c r="AH711" s="14">
        <f>+'Pegar ML'!Y707</f>
        <v>0</v>
      </c>
      <c r="AI711" s="13">
        <f t="shared" si="31"/>
        <v>1</v>
      </c>
      <c r="AJ711" s="7">
        <f>+'Pegar ML'!T707</f>
        <v>0</v>
      </c>
      <c r="AK711" s="27"/>
      <c r="AL711" s="27"/>
      <c r="AM711" s="27"/>
      <c r="AN711" s="27"/>
      <c r="AO711" s="27"/>
      <c r="AP711" s="27"/>
      <c r="AQ711" s="27"/>
      <c r="AR711" s="27"/>
      <c r="AS711" s="27">
        <v>17</v>
      </c>
    </row>
    <row r="712" spans="1:45" ht="15" customHeight="1" x14ac:dyDescent="0.25">
      <c r="A712" s="27">
        <f>IF('Pegar ML'!C707="Paquete de 2 productos",'Pegar ML'!A707,IF('Pegar ML'!C706="Paquete de 2 productos",'Pegar ML'!A706,'Pegar ML'!A708))</f>
        <v>0</v>
      </c>
      <c r="B712" s="27"/>
      <c r="C712" s="30" t="str">
        <f>IF(AjusteFecha!I708=0,"",AjusteFecha!I708)</f>
        <v/>
      </c>
      <c r="D712" s="27"/>
      <c r="E712" s="27"/>
      <c r="F712" s="27" t="str">
        <f>IF('Pegar ML'!C708="","",'Pegar ML'!C708)</f>
        <v/>
      </c>
      <c r="G712" s="27" t="str">
        <f>IF('Pegar ML'!G703="ARS","PS","PS")</f>
        <v>PS</v>
      </c>
      <c r="H712" s="14">
        <f>IF('Pegar ML'!C707="Paquete de 2 productos",IF('Pegar ML'!H707="",0,'Pegar ML'!H707),IF('Pegar ML'!H708="",0,'Pegar ML'!H708))</f>
        <v>0</v>
      </c>
      <c r="I712" s="14">
        <f>IF('Pegar ML'!C707="Paquete de 2 productos",IF('Pegar ML'!O707="",0,'Pegar ML'!O707),IF('Pegar ML'!O708="",0,'Pegar ML'!O708))</f>
        <v>0</v>
      </c>
      <c r="J712" s="14">
        <f>IF('Pegar ML'!C707="Paquete de 2 productos",IF('Pegar ML'!O707="",0,'Pegar ML'!O707),IF('Pegar ML'!O708="",0,'Pegar ML'!O708))</f>
        <v>0</v>
      </c>
      <c r="K712" s="14">
        <f t="shared" si="32"/>
        <v>0</v>
      </c>
      <c r="L712" s="27">
        <f>IF('Pegar ML'!AB708=" ",'Pegar ML'!AB707,'Pegar ML'!AB708)</f>
        <v>0</v>
      </c>
      <c r="M712" s="27" t="str">
        <f>IF('Pegar ML'!AC708=" ",RIGHT('Pegar ML'!AC707,8),RIGHT('Pegar ML'!AC708,8))</f>
        <v/>
      </c>
      <c r="N712" s="27" t="s">
        <v>80</v>
      </c>
      <c r="O712" s="27">
        <f t="shared" si="30"/>
        <v>0</v>
      </c>
      <c r="P712" s="27" t="s">
        <v>80</v>
      </c>
      <c r="Q712" s="55">
        <f>IF('Pegar ML'!AD708=" ",'Pegar ML'!AD707,'Pegar ML'!AD708)</f>
        <v>0</v>
      </c>
      <c r="R712" s="27" t="s">
        <v>80</v>
      </c>
      <c r="S712" s="27" t="s">
        <v>80</v>
      </c>
      <c r="T712" s="27" t="s">
        <v>80</v>
      </c>
      <c r="U712" s="55">
        <f>IF('Pegar ML'!AI708=" ",'Pegar ML'!AI707,'Pegar ML'!AI708)</f>
        <v>0</v>
      </c>
      <c r="V712" s="55">
        <f>IF('Pegar ML'!AK708=" ",'Pegar ML'!AK707,'Pegar ML'!AK708)</f>
        <v>0</v>
      </c>
      <c r="W712" s="55">
        <f>IF('Pegar ML'!AJ708=" ",'Pegar ML'!AJ707,'Pegar ML'!AJ708)</f>
        <v>0</v>
      </c>
      <c r="X712" s="55">
        <f>IF('Pegar ML'!AL708=" ",'Pegar ML'!AL707,'Pegar ML'!AL708)</f>
        <v>0</v>
      </c>
      <c r="Y712" s="27"/>
      <c r="Z712" s="27"/>
      <c r="AA712" s="27"/>
      <c r="AB712" s="27"/>
      <c r="AC712" s="27"/>
      <c r="AD712" s="27"/>
      <c r="AF712" s="8"/>
      <c r="AG712" s="27"/>
      <c r="AH712" s="14">
        <f>+'Pegar ML'!Y708</f>
        <v>0</v>
      </c>
      <c r="AI712" s="13">
        <f t="shared" si="31"/>
        <v>1</v>
      </c>
      <c r="AJ712" s="7">
        <f>+'Pegar ML'!T708</f>
        <v>0</v>
      </c>
      <c r="AK712" s="27"/>
      <c r="AL712" s="27"/>
      <c r="AM712" s="27"/>
      <c r="AN712" s="27"/>
      <c r="AO712" s="27"/>
      <c r="AP712" s="27"/>
      <c r="AQ712" s="27"/>
      <c r="AR712" s="27"/>
      <c r="AS712" s="27">
        <v>17</v>
      </c>
    </row>
    <row r="713" spans="1:45" ht="15" customHeight="1" x14ac:dyDescent="0.25">
      <c r="A713" s="27">
        <f>IF('Pegar ML'!C708="Paquete de 2 productos",'Pegar ML'!A708,IF('Pegar ML'!C707="Paquete de 2 productos",'Pegar ML'!A707,'Pegar ML'!A709))</f>
        <v>0</v>
      </c>
      <c r="B713" s="27"/>
      <c r="C713" s="30" t="str">
        <f>IF(AjusteFecha!I709=0,"",AjusteFecha!I709)</f>
        <v/>
      </c>
      <c r="D713" s="27"/>
      <c r="E713" s="27"/>
      <c r="F713" s="27" t="str">
        <f>IF('Pegar ML'!C709="","",'Pegar ML'!C709)</f>
        <v/>
      </c>
      <c r="G713" s="27" t="str">
        <f>IF('Pegar ML'!G704="ARS","PS","PS")</f>
        <v>PS</v>
      </c>
      <c r="H713" s="14">
        <f>IF('Pegar ML'!C708="Paquete de 2 productos",IF('Pegar ML'!H708="",0,'Pegar ML'!H708),IF('Pegar ML'!H709="",0,'Pegar ML'!H709))</f>
        <v>0</v>
      </c>
      <c r="I713" s="14">
        <f>IF('Pegar ML'!C708="Paquete de 2 productos",IF('Pegar ML'!O708="",0,'Pegar ML'!O708),IF('Pegar ML'!O709="",0,'Pegar ML'!O709))</f>
        <v>0</v>
      </c>
      <c r="J713" s="14">
        <f>IF('Pegar ML'!C708="Paquete de 2 productos",IF('Pegar ML'!O708="",0,'Pegar ML'!O708),IF('Pegar ML'!O709="",0,'Pegar ML'!O709))</f>
        <v>0</v>
      </c>
      <c r="K713" s="14">
        <f t="shared" si="32"/>
        <v>0</v>
      </c>
      <c r="L713" s="27">
        <f>IF('Pegar ML'!AB709=" ",'Pegar ML'!AB708,'Pegar ML'!AB709)</f>
        <v>0</v>
      </c>
      <c r="M713" s="27" t="str">
        <f>IF('Pegar ML'!AC709=" ",RIGHT('Pegar ML'!AC708,8),RIGHT('Pegar ML'!AC709,8))</f>
        <v/>
      </c>
      <c r="N713" s="27" t="s">
        <v>80</v>
      </c>
      <c r="O713" s="27">
        <f t="shared" si="30"/>
        <v>0</v>
      </c>
      <c r="P713" s="27" t="s">
        <v>80</v>
      </c>
      <c r="Q713" s="55">
        <f>IF('Pegar ML'!AD709=" ",'Pegar ML'!AD708,'Pegar ML'!AD709)</f>
        <v>0</v>
      </c>
      <c r="R713" s="27" t="s">
        <v>80</v>
      </c>
      <c r="S713" s="27" t="s">
        <v>80</v>
      </c>
      <c r="T713" s="27" t="s">
        <v>80</v>
      </c>
      <c r="U713" s="55">
        <f>IF('Pegar ML'!AI709=" ",'Pegar ML'!AI708,'Pegar ML'!AI709)</f>
        <v>0</v>
      </c>
      <c r="V713" s="55">
        <f>IF('Pegar ML'!AK709=" ",'Pegar ML'!AK708,'Pegar ML'!AK709)</f>
        <v>0</v>
      </c>
      <c r="W713" s="55">
        <f>IF('Pegar ML'!AJ709=" ",'Pegar ML'!AJ708,'Pegar ML'!AJ709)</f>
        <v>0</v>
      </c>
      <c r="X713" s="55">
        <f>IF('Pegar ML'!AL709=" ",'Pegar ML'!AL708,'Pegar ML'!AL709)</f>
        <v>0</v>
      </c>
      <c r="Y713" s="27"/>
      <c r="Z713" s="27"/>
      <c r="AA713" s="27"/>
      <c r="AB713" s="27"/>
      <c r="AC713" s="27"/>
      <c r="AD713" s="27"/>
      <c r="AF713" s="8"/>
      <c r="AG713" s="27"/>
      <c r="AH713" s="14">
        <f>+'Pegar ML'!Y709</f>
        <v>0</v>
      </c>
      <c r="AI713" s="13">
        <f t="shared" si="31"/>
        <v>1</v>
      </c>
      <c r="AJ713" s="7">
        <f>+'Pegar ML'!T709</f>
        <v>0</v>
      </c>
      <c r="AK713" s="27"/>
      <c r="AL713" s="27"/>
      <c r="AM713" s="27"/>
      <c r="AN713" s="27"/>
      <c r="AO713" s="27"/>
      <c r="AP713" s="27"/>
      <c r="AQ713" s="27"/>
      <c r="AR713" s="27"/>
      <c r="AS713" s="27">
        <v>17</v>
      </c>
    </row>
    <row r="714" spans="1:45" ht="15" customHeight="1" x14ac:dyDescent="0.25">
      <c r="A714" s="27">
        <f>IF('Pegar ML'!C709="Paquete de 2 productos",'Pegar ML'!A709,IF('Pegar ML'!C708="Paquete de 2 productos",'Pegar ML'!A708,'Pegar ML'!A710))</f>
        <v>0</v>
      </c>
      <c r="B714" s="27"/>
      <c r="C714" s="30" t="str">
        <f>IF(AjusteFecha!I710=0,"",AjusteFecha!I710)</f>
        <v/>
      </c>
      <c r="D714" s="27"/>
      <c r="E714" s="27"/>
      <c r="F714" s="27" t="str">
        <f>IF('Pegar ML'!C710="","",'Pegar ML'!C710)</f>
        <v/>
      </c>
      <c r="G714" s="27" t="str">
        <f>IF('Pegar ML'!G705="ARS","PS","PS")</f>
        <v>PS</v>
      </c>
      <c r="H714" s="14">
        <f>IF('Pegar ML'!C709="Paquete de 2 productos",IF('Pegar ML'!H709="",0,'Pegar ML'!H709),IF('Pegar ML'!H710="",0,'Pegar ML'!H710))</f>
        <v>0</v>
      </c>
      <c r="I714" s="14">
        <f>IF('Pegar ML'!C709="Paquete de 2 productos",IF('Pegar ML'!O709="",0,'Pegar ML'!O709),IF('Pegar ML'!O710="",0,'Pegar ML'!O710))</f>
        <v>0</v>
      </c>
      <c r="J714" s="14">
        <f>IF('Pegar ML'!C709="Paquete de 2 productos",IF('Pegar ML'!O709="",0,'Pegar ML'!O709),IF('Pegar ML'!O710="",0,'Pegar ML'!O710))</f>
        <v>0</v>
      </c>
      <c r="K714" s="14">
        <f t="shared" si="32"/>
        <v>0</v>
      </c>
      <c r="L714" s="27">
        <f>IF('Pegar ML'!AB710=" ",'Pegar ML'!AB709,'Pegar ML'!AB710)</f>
        <v>0</v>
      </c>
      <c r="M714" s="27" t="str">
        <f>IF('Pegar ML'!AC710=" ",RIGHT('Pegar ML'!AC709,8),RIGHT('Pegar ML'!AC710,8))</f>
        <v/>
      </c>
      <c r="N714" s="27" t="s">
        <v>80</v>
      </c>
      <c r="O714" s="27">
        <f t="shared" si="30"/>
        <v>0</v>
      </c>
      <c r="P714" s="27" t="s">
        <v>80</v>
      </c>
      <c r="Q714" s="55">
        <f>IF('Pegar ML'!AD710=" ",'Pegar ML'!AD709,'Pegar ML'!AD710)</f>
        <v>0</v>
      </c>
      <c r="R714" s="27" t="s">
        <v>80</v>
      </c>
      <c r="S714" s="27" t="s">
        <v>80</v>
      </c>
      <c r="T714" s="27" t="s">
        <v>80</v>
      </c>
      <c r="U714" s="55">
        <f>IF('Pegar ML'!AI710=" ",'Pegar ML'!AI709,'Pegar ML'!AI710)</f>
        <v>0</v>
      </c>
      <c r="V714" s="55">
        <f>IF('Pegar ML'!AK710=" ",'Pegar ML'!AK709,'Pegar ML'!AK710)</f>
        <v>0</v>
      </c>
      <c r="W714" s="55">
        <f>IF('Pegar ML'!AJ710=" ",'Pegar ML'!AJ709,'Pegar ML'!AJ710)</f>
        <v>0</v>
      </c>
      <c r="X714" s="55">
        <f>IF('Pegar ML'!AL710=" ",'Pegar ML'!AL709,'Pegar ML'!AL710)</f>
        <v>0</v>
      </c>
      <c r="Y714" s="27"/>
      <c r="Z714" s="27"/>
      <c r="AA714" s="27"/>
      <c r="AB714" s="27"/>
      <c r="AC714" s="27"/>
      <c r="AD714" s="27"/>
      <c r="AF714" s="8"/>
      <c r="AG714" s="27"/>
      <c r="AH714" s="14">
        <f>+'Pegar ML'!Y710</f>
        <v>0</v>
      </c>
      <c r="AI714" s="13">
        <f t="shared" si="31"/>
        <v>1</v>
      </c>
      <c r="AJ714" s="7">
        <f>+'Pegar ML'!T710</f>
        <v>0</v>
      </c>
      <c r="AK714" s="27"/>
      <c r="AL714" s="27"/>
      <c r="AM714" s="27"/>
      <c r="AN714" s="27"/>
      <c r="AO714" s="27"/>
      <c r="AP714" s="27"/>
      <c r="AQ714" s="27"/>
      <c r="AR714" s="27"/>
      <c r="AS714" s="27">
        <v>17</v>
      </c>
    </row>
    <row r="715" spans="1:45" ht="15" customHeight="1" x14ac:dyDescent="0.25">
      <c r="A715" s="27">
        <f>IF('Pegar ML'!C710="Paquete de 2 productos",'Pegar ML'!A710,IF('Pegar ML'!C709="Paquete de 2 productos",'Pegar ML'!A709,'Pegar ML'!A711))</f>
        <v>0</v>
      </c>
      <c r="B715" s="27"/>
      <c r="C715" s="30" t="str">
        <f>IF(AjusteFecha!I711=0,"",AjusteFecha!I711)</f>
        <v/>
      </c>
      <c r="D715" s="27"/>
      <c r="E715" s="27"/>
      <c r="F715" s="27" t="str">
        <f>IF('Pegar ML'!C711="","",'Pegar ML'!C711)</f>
        <v/>
      </c>
      <c r="G715" s="27" t="str">
        <f>IF('Pegar ML'!G706="ARS","PS","PS")</f>
        <v>PS</v>
      </c>
      <c r="H715" s="14">
        <f>IF('Pegar ML'!C710="Paquete de 2 productos",IF('Pegar ML'!H710="",0,'Pegar ML'!H710),IF('Pegar ML'!H711="",0,'Pegar ML'!H711))</f>
        <v>0</v>
      </c>
      <c r="I715" s="14">
        <f>IF('Pegar ML'!C710="Paquete de 2 productos",IF('Pegar ML'!O710="",0,'Pegar ML'!O710),IF('Pegar ML'!O711="",0,'Pegar ML'!O711))</f>
        <v>0</v>
      </c>
      <c r="J715" s="14">
        <f>IF('Pegar ML'!C710="Paquete de 2 productos",IF('Pegar ML'!O710="",0,'Pegar ML'!O710),IF('Pegar ML'!O711="",0,'Pegar ML'!O711))</f>
        <v>0</v>
      </c>
      <c r="K715" s="14">
        <f t="shared" si="32"/>
        <v>0</v>
      </c>
      <c r="L715" s="27">
        <f>IF('Pegar ML'!AB711=" ",'Pegar ML'!AB710,'Pegar ML'!AB711)</f>
        <v>0</v>
      </c>
      <c r="M715" s="27" t="str">
        <f>IF('Pegar ML'!AC711=" ",RIGHT('Pegar ML'!AC710,8),RIGHT('Pegar ML'!AC711,8))</f>
        <v/>
      </c>
      <c r="N715" s="27" t="s">
        <v>80</v>
      </c>
      <c r="O715" s="27">
        <f t="shared" ref="O715:O778" si="33">+L715</f>
        <v>0</v>
      </c>
      <c r="P715" s="27" t="s">
        <v>80</v>
      </c>
      <c r="Q715" s="55">
        <f>IF('Pegar ML'!AD711=" ",'Pegar ML'!AD710,'Pegar ML'!AD711)</f>
        <v>0</v>
      </c>
      <c r="R715" s="27" t="s">
        <v>80</v>
      </c>
      <c r="S715" s="27" t="s">
        <v>80</v>
      </c>
      <c r="T715" s="27" t="s">
        <v>80</v>
      </c>
      <c r="U715" s="55">
        <f>IF('Pegar ML'!AI711=" ",'Pegar ML'!AI710,'Pegar ML'!AI711)</f>
        <v>0</v>
      </c>
      <c r="V715" s="55">
        <f>IF('Pegar ML'!AK711=" ",'Pegar ML'!AK710,'Pegar ML'!AK711)</f>
        <v>0</v>
      </c>
      <c r="W715" s="55">
        <f>IF('Pegar ML'!AJ711=" ",'Pegar ML'!AJ710,'Pegar ML'!AJ711)</f>
        <v>0</v>
      </c>
      <c r="X715" s="55">
        <f>IF('Pegar ML'!AL711=" ",'Pegar ML'!AL710,'Pegar ML'!AL711)</f>
        <v>0</v>
      </c>
      <c r="Y715" s="27"/>
      <c r="Z715" s="27"/>
      <c r="AA715" s="27"/>
      <c r="AB715" s="27"/>
      <c r="AC715" s="27"/>
      <c r="AD715" s="27"/>
      <c r="AF715" s="8"/>
      <c r="AG715" s="27"/>
      <c r="AH715" s="14">
        <f>+'Pegar ML'!Y711</f>
        <v>0</v>
      </c>
      <c r="AI715" s="13">
        <f t="shared" ref="AI715:AI778" si="34">IF(F715="Paquete de 2 productos","",1)</f>
        <v>1</v>
      </c>
      <c r="AJ715" s="7">
        <f>+'Pegar ML'!T711</f>
        <v>0</v>
      </c>
      <c r="AK715" s="27"/>
      <c r="AL715" s="27"/>
      <c r="AM715" s="27"/>
      <c r="AN715" s="27"/>
      <c r="AO715" s="27"/>
      <c r="AP715" s="27"/>
      <c r="AQ715" s="27"/>
      <c r="AR715" s="27"/>
      <c r="AS715" s="27">
        <v>17</v>
      </c>
    </row>
    <row r="716" spans="1:45" ht="15" customHeight="1" x14ac:dyDescent="0.25">
      <c r="A716" s="27">
        <f>IF('Pegar ML'!C711="Paquete de 2 productos",'Pegar ML'!A711,IF('Pegar ML'!C710="Paquete de 2 productos",'Pegar ML'!A710,'Pegar ML'!A712))</f>
        <v>0</v>
      </c>
      <c r="B716" s="27"/>
      <c r="C716" s="30" t="str">
        <f>IF(AjusteFecha!I712=0,"",AjusteFecha!I712)</f>
        <v/>
      </c>
      <c r="D716" s="27"/>
      <c r="E716" s="27"/>
      <c r="F716" s="27" t="str">
        <f>IF('Pegar ML'!C712="","",'Pegar ML'!C712)</f>
        <v/>
      </c>
      <c r="G716" s="27" t="str">
        <f>IF('Pegar ML'!G707="ARS","PS","PS")</f>
        <v>PS</v>
      </c>
      <c r="H716" s="14">
        <f>IF('Pegar ML'!C711="Paquete de 2 productos",IF('Pegar ML'!H711="",0,'Pegar ML'!H711),IF('Pegar ML'!H712="",0,'Pegar ML'!H712))</f>
        <v>0</v>
      </c>
      <c r="I716" s="14">
        <f>IF('Pegar ML'!C711="Paquete de 2 productos",IF('Pegar ML'!O711="",0,'Pegar ML'!O711),IF('Pegar ML'!O712="",0,'Pegar ML'!O712))</f>
        <v>0</v>
      </c>
      <c r="J716" s="14">
        <f>IF('Pegar ML'!C711="Paquete de 2 productos",IF('Pegar ML'!O711="",0,'Pegar ML'!O711),IF('Pegar ML'!O712="",0,'Pegar ML'!O712))</f>
        <v>0</v>
      </c>
      <c r="K716" s="14">
        <f t="shared" ref="K716:K779" si="35">+H716-I716+J716</f>
        <v>0</v>
      </c>
      <c r="L716" s="27">
        <f>IF('Pegar ML'!AB712=" ",'Pegar ML'!AB711,'Pegar ML'!AB712)</f>
        <v>0</v>
      </c>
      <c r="M716" s="27" t="str">
        <f>IF('Pegar ML'!AC712=" ",RIGHT('Pegar ML'!AC711,8),RIGHT('Pegar ML'!AC712,8))</f>
        <v/>
      </c>
      <c r="N716" s="27" t="s">
        <v>80</v>
      </c>
      <c r="O716" s="27">
        <f t="shared" si="33"/>
        <v>0</v>
      </c>
      <c r="P716" s="27" t="s">
        <v>80</v>
      </c>
      <c r="Q716" s="55">
        <f>IF('Pegar ML'!AD712=" ",'Pegar ML'!AD711,'Pegar ML'!AD712)</f>
        <v>0</v>
      </c>
      <c r="R716" s="27" t="s">
        <v>80</v>
      </c>
      <c r="S716" s="27" t="s">
        <v>80</v>
      </c>
      <c r="T716" s="27" t="s">
        <v>80</v>
      </c>
      <c r="U716" s="55">
        <f>IF('Pegar ML'!AI712=" ",'Pegar ML'!AI711,'Pegar ML'!AI712)</f>
        <v>0</v>
      </c>
      <c r="V716" s="55">
        <f>IF('Pegar ML'!AK712=" ",'Pegar ML'!AK711,'Pegar ML'!AK712)</f>
        <v>0</v>
      </c>
      <c r="W716" s="55">
        <f>IF('Pegar ML'!AJ712=" ",'Pegar ML'!AJ711,'Pegar ML'!AJ712)</f>
        <v>0</v>
      </c>
      <c r="X716" s="55">
        <f>IF('Pegar ML'!AL712=" ",'Pegar ML'!AL711,'Pegar ML'!AL712)</f>
        <v>0</v>
      </c>
      <c r="Y716" s="27"/>
      <c r="Z716" s="27"/>
      <c r="AA716" s="27"/>
      <c r="AB716" s="27"/>
      <c r="AC716" s="27"/>
      <c r="AD716" s="27"/>
      <c r="AF716" s="8"/>
      <c r="AG716" s="27"/>
      <c r="AH716" s="14">
        <f>+'Pegar ML'!Y712</f>
        <v>0</v>
      </c>
      <c r="AI716" s="13">
        <f t="shared" si="34"/>
        <v>1</v>
      </c>
      <c r="AJ716" s="7">
        <f>+'Pegar ML'!T712</f>
        <v>0</v>
      </c>
      <c r="AK716" s="27"/>
      <c r="AL716" s="27"/>
      <c r="AM716" s="27"/>
      <c r="AN716" s="27"/>
      <c r="AO716" s="27"/>
      <c r="AP716" s="27"/>
      <c r="AQ716" s="27"/>
      <c r="AR716" s="27"/>
      <c r="AS716" s="27">
        <v>17</v>
      </c>
    </row>
    <row r="717" spans="1:45" ht="15" customHeight="1" x14ac:dyDescent="0.25">
      <c r="A717" s="27">
        <f>IF('Pegar ML'!C712="Paquete de 2 productos",'Pegar ML'!A712,IF('Pegar ML'!C711="Paquete de 2 productos",'Pegar ML'!A711,'Pegar ML'!A713))</f>
        <v>0</v>
      </c>
      <c r="B717" s="27"/>
      <c r="C717" s="30" t="str">
        <f>IF(AjusteFecha!I713=0,"",AjusteFecha!I713)</f>
        <v/>
      </c>
      <c r="D717" s="27"/>
      <c r="E717" s="27"/>
      <c r="F717" s="27" t="str">
        <f>IF('Pegar ML'!C713="","",'Pegar ML'!C713)</f>
        <v/>
      </c>
      <c r="G717" s="27" t="str">
        <f>IF('Pegar ML'!G708="ARS","PS","PS")</f>
        <v>PS</v>
      </c>
      <c r="H717" s="14">
        <f>IF('Pegar ML'!C712="Paquete de 2 productos",IF('Pegar ML'!H712="",0,'Pegar ML'!H712),IF('Pegar ML'!H713="",0,'Pegar ML'!H713))</f>
        <v>0</v>
      </c>
      <c r="I717" s="14">
        <f>IF('Pegar ML'!C712="Paquete de 2 productos",IF('Pegar ML'!O712="",0,'Pegar ML'!O712),IF('Pegar ML'!O713="",0,'Pegar ML'!O713))</f>
        <v>0</v>
      </c>
      <c r="J717" s="14">
        <f>IF('Pegar ML'!C712="Paquete de 2 productos",IF('Pegar ML'!O712="",0,'Pegar ML'!O712),IF('Pegar ML'!O713="",0,'Pegar ML'!O713))</f>
        <v>0</v>
      </c>
      <c r="K717" s="14">
        <f t="shared" si="35"/>
        <v>0</v>
      </c>
      <c r="L717" s="27">
        <f>IF('Pegar ML'!AB713=" ",'Pegar ML'!AB712,'Pegar ML'!AB713)</f>
        <v>0</v>
      </c>
      <c r="M717" s="27" t="str">
        <f>IF('Pegar ML'!AC713=" ",RIGHT('Pegar ML'!AC712,8),RIGHT('Pegar ML'!AC713,8))</f>
        <v/>
      </c>
      <c r="N717" s="27" t="s">
        <v>80</v>
      </c>
      <c r="O717" s="27">
        <f t="shared" si="33"/>
        <v>0</v>
      </c>
      <c r="P717" s="27" t="s">
        <v>80</v>
      </c>
      <c r="Q717" s="55">
        <f>IF('Pegar ML'!AD713=" ",'Pegar ML'!AD712,'Pegar ML'!AD713)</f>
        <v>0</v>
      </c>
      <c r="R717" s="27" t="s">
        <v>80</v>
      </c>
      <c r="S717" s="27" t="s">
        <v>80</v>
      </c>
      <c r="T717" s="27" t="s">
        <v>80</v>
      </c>
      <c r="U717" s="55">
        <f>IF('Pegar ML'!AI713=" ",'Pegar ML'!AI712,'Pegar ML'!AI713)</f>
        <v>0</v>
      </c>
      <c r="V717" s="55">
        <f>IF('Pegar ML'!AK713=" ",'Pegar ML'!AK712,'Pegar ML'!AK713)</f>
        <v>0</v>
      </c>
      <c r="W717" s="55">
        <f>IF('Pegar ML'!AJ713=" ",'Pegar ML'!AJ712,'Pegar ML'!AJ713)</f>
        <v>0</v>
      </c>
      <c r="X717" s="55">
        <f>IF('Pegar ML'!AL713=" ",'Pegar ML'!AL712,'Pegar ML'!AL713)</f>
        <v>0</v>
      </c>
      <c r="Y717" s="27"/>
      <c r="Z717" s="27"/>
      <c r="AA717" s="27"/>
      <c r="AB717" s="27"/>
      <c r="AC717" s="27"/>
      <c r="AD717" s="27"/>
      <c r="AF717" s="8"/>
      <c r="AG717" s="27"/>
      <c r="AH717" s="14">
        <f>+'Pegar ML'!Y713</f>
        <v>0</v>
      </c>
      <c r="AI717" s="13">
        <f t="shared" si="34"/>
        <v>1</v>
      </c>
      <c r="AJ717" s="7">
        <f>+'Pegar ML'!T713</f>
        <v>0</v>
      </c>
      <c r="AK717" s="27"/>
      <c r="AL717" s="27"/>
      <c r="AM717" s="27"/>
      <c r="AN717" s="27"/>
      <c r="AO717" s="27"/>
      <c r="AP717" s="27"/>
      <c r="AQ717" s="27"/>
      <c r="AR717" s="27"/>
      <c r="AS717" s="27">
        <v>17</v>
      </c>
    </row>
    <row r="718" spans="1:45" ht="15" customHeight="1" x14ac:dyDescent="0.25">
      <c r="A718" s="27">
        <f>IF('Pegar ML'!C713="Paquete de 2 productos",'Pegar ML'!A713,IF('Pegar ML'!C712="Paquete de 2 productos",'Pegar ML'!A712,'Pegar ML'!A714))</f>
        <v>0</v>
      </c>
      <c r="B718" s="27"/>
      <c r="C718" s="30" t="str">
        <f>IF(AjusteFecha!I714=0,"",AjusteFecha!I714)</f>
        <v/>
      </c>
      <c r="D718" s="27"/>
      <c r="E718" s="27"/>
      <c r="F718" s="27" t="str">
        <f>IF('Pegar ML'!C714="","",'Pegar ML'!C714)</f>
        <v/>
      </c>
      <c r="G718" s="27" t="str">
        <f>IF('Pegar ML'!G709="ARS","PS","PS")</f>
        <v>PS</v>
      </c>
      <c r="H718" s="14">
        <f>IF('Pegar ML'!C713="Paquete de 2 productos",IF('Pegar ML'!H713="",0,'Pegar ML'!H713),IF('Pegar ML'!H714="",0,'Pegar ML'!H714))</f>
        <v>0</v>
      </c>
      <c r="I718" s="14">
        <f>IF('Pegar ML'!C713="Paquete de 2 productos",IF('Pegar ML'!O713="",0,'Pegar ML'!O713),IF('Pegar ML'!O714="",0,'Pegar ML'!O714))</f>
        <v>0</v>
      </c>
      <c r="J718" s="14">
        <f>IF('Pegar ML'!C713="Paquete de 2 productos",IF('Pegar ML'!O713="",0,'Pegar ML'!O713),IF('Pegar ML'!O714="",0,'Pegar ML'!O714))</f>
        <v>0</v>
      </c>
      <c r="K718" s="14">
        <f t="shared" si="35"/>
        <v>0</v>
      </c>
      <c r="L718" s="27">
        <f>IF('Pegar ML'!AB714=" ",'Pegar ML'!AB713,'Pegar ML'!AB714)</f>
        <v>0</v>
      </c>
      <c r="M718" s="27" t="str">
        <f>IF('Pegar ML'!AC714=" ",RIGHT('Pegar ML'!AC713,8),RIGHT('Pegar ML'!AC714,8))</f>
        <v/>
      </c>
      <c r="N718" s="27" t="s">
        <v>80</v>
      </c>
      <c r="O718" s="27">
        <f t="shared" si="33"/>
        <v>0</v>
      </c>
      <c r="P718" s="27" t="s">
        <v>80</v>
      </c>
      <c r="Q718" s="55">
        <f>IF('Pegar ML'!AD714=" ",'Pegar ML'!AD713,'Pegar ML'!AD714)</f>
        <v>0</v>
      </c>
      <c r="R718" s="27" t="s">
        <v>80</v>
      </c>
      <c r="S718" s="27" t="s">
        <v>80</v>
      </c>
      <c r="T718" s="27" t="s">
        <v>80</v>
      </c>
      <c r="U718" s="55">
        <f>IF('Pegar ML'!AI714=" ",'Pegar ML'!AI713,'Pegar ML'!AI714)</f>
        <v>0</v>
      </c>
      <c r="V718" s="55">
        <f>IF('Pegar ML'!AK714=" ",'Pegar ML'!AK713,'Pegar ML'!AK714)</f>
        <v>0</v>
      </c>
      <c r="W718" s="55">
        <f>IF('Pegar ML'!AJ714=" ",'Pegar ML'!AJ713,'Pegar ML'!AJ714)</f>
        <v>0</v>
      </c>
      <c r="X718" s="55">
        <f>IF('Pegar ML'!AL714=" ",'Pegar ML'!AL713,'Pegar ML'!AL714)</f>
        <v>0</v>
      </c>
      <c r="Y718" s="27"/>
      <c r="Z718" s="27"/>
      <c r="AA718" s="27"/>
      <c r="AB718" s="27"/>
      <c r="AC718" s="27"/>
      <c r="AD718" s="27"/>
      <c r="AF718" s="8"/>
      <c r="AG718" s="27"/>
      <c r="AH718" s="14">
        <f>+'Pegar ML'!Y714</f>
        <v>0</v>
      </c>
      <c r="AI718" s="13">
        <f t="shared" si="34"/>
        <v>1</v>
      </c>
      <c r="AJ718" s="7">
        <f>+'Pegar ML'!T714</f>
        <v>0</v>
      </c>
      <c r="AK718" s="27"/>
      <c r="AL718" s="27"/>
      <c r="AM718" s="27"/>
      <c r="AN718" s="27"/>
      <c r="AO718" s="27"/>
      <c r="AP718" s="27"/>
      <c r="AQ718" s="27"/>
      <c r="AR718" s="27"/>
      <c r="AS718" s="27">
        <v>17</v>
      </c>
    </row>
    <row r="719" spans="1:45" ht="15" customHeight="1" x14ac:dyDescent="0.25">
      <c r="A719" s="27">
        <f>IF('Pegar ML'!C714="Paquete de 2 productos",'Pegar ML'!A714,IF('Pegar ML'!C713="Paquete de 2 productos",'Pegar ML'!A713,'Pegar ML'!A715))</f>
        <v>0</v>
      </c>
      <c r="B719" s="27"/>
      <c r="C719" s="30" t="str">
        <f>IF(AjusteFecha!I715=0,"",AjusteFecha!I715)</f>
        <v/>
      </c>
      <c r="D719" s="27"/>
      <c r="E719" s="27"/>
      <c r="F719" s="27" t="str">
        <f>IF('Pegar ML'!C715="","",'Pegar ML'!C715)</f>
        <v/>
      </c>
      <c r="G719" s="27" t="str">
        <f>IF('Pegar ML'!G710="ARS","PS","PS")</f>
        <v>PS</v>
      </c>
      <c r="H719" s="14">
        <f>IF('Pegar ML'!C714="Paquete de 2 productos",IF('Pegar ML'!H714="",0,'Pegar ML'!H714),IF('Pegar ML'!H715="",0,'Pegar ML'!H715))</f>
        <v>0</v>
      </c>
      <c r="I719" s="14">
        <f>IF('Pegar ML'!C714="Paquete de 2 productos",IF('Pegar ML'!O714="",0,'Pegar ML'!O714),IF('Pegar ML'!O715="",0,'Pegar ML'!O715))</f>
        <v>0</v>
      </c>
      <c r="J719" s="14">
        <f>IF('Pegar ML'!C714="Paquete de 2 productos",IF('Pegar ML'!O714="",0,'Pegar ML'!O714),IF('Pegar ML'!O715="",0,'Pegar ML'!O715))</f>
        <v>0</v>
      </c>
      <c r="K719" s="14">
        <f t="shared" si="35"/>
        <v>0</v>
      </c>
      <c r="L719" s="27">
        <f>IF('Pegar ML'!AB715=" ",'Pegar ML'!AB714,'Pegar ML'!AB715)</f>
        <v>0</v>
      </c>
      <c r="M719" s="27" t="str">
        <f>IF('Pegar ML'!AC715=" ",RIGHT('Pegar ML'!AC714,8),RIGHT('Pegar ML'!AC715,8))</f>
        <v/>
      </c>
      <c r="N719" s="27" t="s">
        <v>80</v>
      </c>
      <c r="O719" s="27">
        <f t="shared" si="33"/>
        <v>0</v>
      </c>
      <c r="P719" s="27" t="s">
        <v>80</v>
      </c>
      <c r="Q719" s="55">
        <f>IF('Pegar ML'!AD715=" ",'Pegar ML'!AD714,'Pegar ML'!AD715)</f>
        <v>0</v>
      </c>
      <c r="R719" s="27" t="s">
        <v>80</v>
      </c>
      <c r="S719" s="27" t="s">
        <v>80</v>
      </c>
      <c r="T719" s="27" t="s">
        <v>80</v>
      </c>
      <c r="U719" s="55">
        <f>IF('Pegar ML'!AI715=" ",'Pegar ML'!AI714,'Pegar ML'!AI715)</f>
        <v>0</v>
      </c>
      <c r="V719" s="55">
        <f>IF('Pegar ML'!AK715=" ",'Pegar ML'!AK714,'Pegar ML'!AK715)</f>
        <v>0</v>
      </c>
      <c r="W719" s="55">
        <f>IF('Pegar ML'!AJ715=" ",'Pegar ML'!AJ714,'Pegar ML'!AJ715)</f>
        <v>0</v>
      </c>
      <c r="X719" s="55">
        <f>IF('Pegar ML'!AL715=" ",'Pegar ML'!AL714,'Pegar ML'!AL715)</f>
        <v>0</v>
      </c>
      <c r="Y719" s="27"/>
      <c r="Z719" s="27"/>
      <c r="AA719" s="27"/>
      <c r="AB719" s="27"/>
      <c r="AC719" s="27"/>
      <c r="AD719" s="27"/>
      <c r="AF719" s="8"/>
      <c r="AG719" s="27"/>
      <c r="AH719" s="14">
        <f>+'Pegar ML'!Y715</f>
        <v>0</v>
      </c>
      <c r="AI719" s="13">
        <f t="shared" si="34"/>
        <v>1</v>
      </c>
      <c r="AJ719" s="7">
        <f>+'Pegar ML'!T715</f>
        <v>0</v>
      </c>
      <c r="AK719" s="27"/>
      <c r="AL719" s="27"/>
      <c r="AM719" s="27"/>
      <c r="AN719" s="27"/>
      <c r="AO719" s="27"/>
      <c r="AP719" s="27"/>
      <c r="AQ719" s="27"/>
      <c r="AR719" s="27"/>
      <c r="AS719" s="27">
        <v>17</v>
      </c>
    </row>
    <row r="720" spans="1:45" ht="15" customHeight="1" x14ac:dyDescent="0.25">
      <c r="A720" s="27">
        <f>IF('Pegar ML'!C715="Paquete de 2 productos",'Pegar ML'!A715,IF('Pegar ML'!C714="Paquete de 2 productos",'Pegar ML'!A714,'Pegar ML'!A716))</f>
        <v>0</v>
      </c>
      <c r="B720" s="27"/>
      <c r="C720" s="30" t="str">
        <f>IF(AjusteFecha!I716=0,"",AjusteFecha!I716)</f>
        <v/>
      </c>
      <c r="D720" s="27"/>
      <c r="E720" s="27"/>
      <c r="F720" s="27" t="str">
        <f>IF('Pegar ML'!C716="","",'Pegar ML'!C716)</f>
        <v/>
      </c>
      <c r="G720" s="27" t="str">
        <f>IF('Pegar ML'!G711="ARS","PS","PS")</f>
        <v>PS</v>
      </c>
      <c r="H720" s="14">
        <f>IF('Pegar ML'!C715="Paquete de 2 productos",IF('Pegar ML'!H715="",0,'Pegar ML'!H715),IF('Pegar ML'!H716="",0,'Pegar ML'!H716))</f>
        <v>0</v>
      </c>
      <c r="I720" s="14">
        <f>IF('Pegar ML'!C715="Paquete de 2 productos",IF('Pegar ML'!O715="",0,'Pegar ML'!O715),IF('Pegar ML'!O716="",0,'Pegar ML'!O716))</f>
        <v>0</v>
      </c>
      <c r="J720" s="14">
        <f>IF('Pegar ML'!C715="Paquete de 2 productos",IF('Pegar ML'!O715="",0,'Pegar ML'!O715),IF('Pegar ML'!O716="",0,'Pegar ML'!O716))</f>
        <v>0</v>
      </c>
      <c r="K720" s="14">
        <f t="shared" si="35"/>
        <v>0</v>
      </c>
      <c r="L720" s="27">
        <f>IF('Pegar ML'!AB716=" ",'Pegar ML'!AB715,'Pegar ML'!AB716)</f>
        <v>0</v>
      </c>
      <c r="M720" s="27" t="str">
        <f>IF('Pegar ML'!AC716=" ",RIGHT('Pegar ML'!AC715,8),RIGHT('Pegar ML'!AC716,8))</f>
        <v/>
      </c>
      <c r="N720" s="27" t="s">
        <v>80</v>
      </c>
      <c r="O720" s="27">
        <f t="shared" si="33"/>
        <v>0</v>
      </c>
      <c r="P720" s="27" t="s">
        <v>80</v>
      </c>
      <c r="Q720" s="55">
        <f>IF('Pegar ML'!AD716=" ",'Pegar ML'!AD715,'Pegar ML'!AD716)</f>
        <v>0</v>
      </c>
      <c r="R720" s="27" t="s">
        <v>80</v>
      </c>
      <c r="S720" s="27" t="s">
        <v>80</v>
      </c>
      <c r="T720" s="27" t="s">
        <v>80</v>
      </c>
      <c r="U720" s="55">
        <f>IF('Pegar ML'!AI716=" ",'Pegar ML'!AI715,'Pegar ML'!AI716)</f>
        <v>0</v>
      </c>
      <c r="V720" s="55">
        <f>IF('Pegar ML'!AK716=" ",'Pegar ML'!AK715,'Pegar ML'!AK716)</f>
        <v>0</v>
      </c>
      <c r="W720" s="55">
        <f>IF('Pegar ML'!AJ716=" ",'Pegar ML'!AJ715,'Pegar ML'!AJ716)</f>
        <v>0</v>
      </c>
      <c r="X720" s="55">
        <f>IF('Pegar ML'!AL716=" ",'Pegar ML'!AL715,'Pegar ML'!AL716)</f>
        <v>0</v>
      </c>
      <c r="Y720" s="27"/>
      <c r="Z720" s="27"/>
      <c r="AA720" s="27"/>
      <c r="AB720" s="27"/>
      <c r="AC720" s="27"/>
      <c r="AD720" s="27"/>
      <c r="AF720" s="8"/>
      <c r="AG720" s="27"/>
      <c r="AH720" s="14">
        <f>+'Pegar ML'!Y716</f>
        <v>0</v>
      </c>
      <c r="AI720" s="13">
        <f t="shared" si="34"/>
        <v>1</v>
      </c>
      <c r="AJ720" s="7">
        <f>+'Pegar ML'!T716</f>
        <v>0</v>
      </c>
      <c r="AK720" s="27"/>
      <c r="AL720" s="27"/>
      <c r="AM720" s="27"/>
      <c r="AN720" s="27"/>
      <c r="AO720" s="27"/>
      <c r="AP720" s="27"/>
      <c r="AQ720" s="27"/>
      <c r="AR720" s="27"/>
      <c r="AS720" s="27">
        <v>17</v>
      </c>
    </row>
    <row r="721" spans="1:45" ht="15" customHeight="1" x14ac:dyDescent="0.25">
      <c r="A721" s="27">
        <f>IF('Pegar ML'!C716="Paquete de 2 productos",'Pegar ML'!A716,IF('Pegar ML'!C715="Paquete de 2 productos",'Pegar ML'!A715,'Pegar ML'!A717))</f>
        <v>0</v>
      </c>
      <c r="B721" s="27"/>
      <c r="C721" s="30" t="str">
        <f>IF(AjusteFecha!I717=0,"",AjusteFecha!I717)</f>
        <v/>
      </c>
      <c r="D721" s="27"/>
      <c r="E721" s="27"/>
      <c r="F721" s="27" t="str">
        <f>IF('Pegar ML'!C717="","",'Pegar ML'!C717)</f>
        <v/>
      </c>
      <c r="G721" s="27" t="str">
        <f>IF('Pegar ML'!G712="ARS","PS","PS")</f>
        <v>PS</v>
      </c>
      <c r="H721" s="14">
        <f>IF('Pegar ML'!C716="Paquete de 2 productos",IF('Pegar ML'!H716="",0,'Pegar ML'!H716),IF('Pegar ML'!H717="",0,'Pegar ML'!H717))</f>
        <v>0</v>
      </c>
      <c r="I721" s="14">
        <f>IF('Pegar ML'!C716="Paquete de 2 productos",IF('Pegar ML'!O716="",0,'Pegar ML'!O716),IF('Pegar ML'!O717="",0,'Pegar ML'!O717))</f>
        <v>0</v>
      </c>
      <c r="J721" s="14">
        <f>IF('Pegar ML'!C716="Paquete de 2 productos",IF('Pegar ML'!O716="",0,'Pegar ML'!O716),IF('Pegar ML'!O717="",0,'Pegar ML'!O717))</f>
        <v>0</v>
      </c>
      <c r="K721" s="14">
        <f t="shared" si="35"/>
        <v>0</v>
      </c>
      <c r="L721" s="27">
        <f>IF('Pegar ML'!AB717=" ",'Pegar ML'!AB716,'Pegar ML'!AB717)</f>
        <v>0</v>
      </c>
      <c r="M721" s="27" t="str">
        <f>IF('Pegar ML'!AC717=" ",RIGHT('Pegar ML'!AC716,8),RIGHT('Pegar ML'!AC717,8))</f>
        <v/>
      </c>
      <c r="N721" s="27" t="s">
        <v>80</v>
      </c>
      <c r="O721" s="27">
        <f t="shared" si="33"/>
        <v>0</v>
      </c>
      <c r="P721" s="27" t="s">
        <v>80</v>
      </c>
      <c r="Q721" s="55">
        <f>IF('Pegar ML'!AD717=" ",'Pegar ML'!AD716,'Pegar ML'!AD717)</f>
        <v>0</v>
      </c>
      <c r="R721" s="27" t="s">
        <v>80</v>
      </c>
      <c r="S721" s="27" t="s">
        <v>80</v>
      </c>
      <c r="T721" s="27" t="s">
        <v>80</v>
      </c>
      <c r="U721" s="55">
        <f>IF('Pegar ML'!AI717=" ",'Pegar ML'!AI716,'Pegar ML'!AI717)</f>
        <v>0</v>
      </c>
      <c r="V721" s="55">
        <f>IF('Pegar ML'!AK717=" ",'Pegar ML'!AK716,'Pegar ML'!AK717)</f>
        <v>0</v>
      </c>
      <c r="W721" s="55">
        <f>IF('Pegar ML'!AJ717=" ",'Pegar ML'!AJ716,'Pegar ML'!AJ717)</f>
        <v>0</v>
      </c>
      <c r="X721" s="55">
        <f>IF('Pegar ML'!AL717=" ",'Pegar ML'!AL716,'Pegar ML'!AL717)</f>
        <v>0</v>
      </c>
      <c r="Y721" s="27"/>
      <c r="Z721" s="27"/>
      <c r="AA721" s="27"/>
      <c r="AB721" s="27"/>
      <c r="AC721" s="27"/>
      <c r="AD721" s="27"/>
      <c r="AF721" s="8"/>
      <c r="AG721" s="27"/>
      <c r="AH721" s="14">
        <f>+'Pegar ML'!Y717</f>
        <v>0</v>
      </c>
      <c r="AI721" s="13">
        <f t="shared" si="34"/>
        <v>1</v>
      </c>
      <c r="AJ721" s="7">
        <f>+'Pegar ML'!T717</f>
        <v>0</v>
      </c>
      <c r="AK721" s="27"/>
      <c r="AL721" s="27"/>
      <c r="AM721" s="27"/>
      <c r="AN721" s="27"/>
      <c r="AO721" s="27"/>
      <c r="AP721" s="27"/>
      <c r="AQ721" s="27"/>
      <c r="AR721" s="27"/>
      <c r="AS721" s="27">
        <v>17</v>
      </c>
    </row>
    <row r="722" spans="1:45" ht="15" customHeight="1" x14ac:dyDescent="0.25">
      <c r="A722" s="27">
        <f>IF('Pegar ML'!C717="Paquete de 2 productos",'Pegar ML'!A717,IF('Pegar ML'!C716="Paquete de 2 productos",'Pegar ML'!A716,'Pegar ML'!A718))</f>
        <v>0</v>
      </c>
      <c r="B722" s="27"/>
      <c r="C722" s="30" t="str">
        <f>IF(AjusteFecha!I718=0,"",AjusteFecha!I718)</f>
        <v/>
      </c>
      <c r="D722" s="27"/>
      <c r="E722" s="27"/>
      <c r="F722" s="27" t="str">
        <f>IF('Pegar ML'!C718="","",'Pegar ML'!C718)</f>
        <v/>
      </c>
      <c r="G722" s="27" t="str">
        <f>IF('Pegar ML'!G713="ARS","PS","PS")</f>
        <v>PS</v>
      </c>
      <c r="H722" s="14">
        <f>IF('Pegar ML'!C717="Paquete de 2 productos",IF('Pegar ML'!H717="",0,'Pegar ML'!H717),IF('Pegar ML'!H718="",0,'Pegar ML'!H718))</f>
        <v>0</v>
      </c>
      <c r="I722" s="14">
        <f>IF('Pegar ML'!C717="Paquete de 2 productos",IF('Pegar ML'!O717="",0,'Pegar ML'!O717),IF('Pegar ML'!O718="",0,'Pegar ML'!O718))</f>
        <v>0</v>
      </c>
      <c r="J722" s="14">
        <f>IF('Pegar ML'!C717="Paquete de 2 productos",IF('Pegar ML'!O717="",0,'Pegar ML'!O717),IF('Pegar ML'!O718="",0,'Pegar ML'!O718))</f>
        <v>0</v>
      </c>
      <c r="K722" s="14">
        <f t="shared" si="35"/>
        <v>0</v>
      </c>
      <c r="L722" s="27">
        <f>IF('Pegar ML'!AB718=" ",'Pegar ML'!AB717,'Pegar ML'!AB718)</f>
        <v>0</v>
      </c>
      <c r="M722" s="27" t="str">
        <f>IF('Pegar ML'!AC718=" ",RIGHT('Pegar ML'!AC717,8),RIGHT('Pegar ML'!AC718,8))</f>
        <v/>
      </c>
      <c r="N722" s="27" t="s">
        <v>80</v>
      </c>
      <c r="O722" s="27">
        <f t="shared" si="33"/>
        <v>0</v>
      </c>
      <c r="P722" s="27" t="s">
        <v>80</v>
      </c>
      <c r="Q722" s="55">
        <f>IF('Pegar ML'!AD718=" ",'Pegar ML'!AD717,'Pegar ML'!AD718)</f>
        <v>0</v>
      </c>
      <c r="R722" s="27" t="s">
        <v>80</v>
      </c>
      <c r="S722" s="27" t="s">
        <v>80</v>
      </c>
      <c r="T722" s="27" t="s">
        <v>80</v>
      </c>
      <c r="U722" s="55">
        <f>IF('Pegar ML'!AI718=" ",'Pegar ML'!AI717,'Pegar ML'!AI718)</f>
        <v>0</v>
      </c>
      <c r="V722" s="55">
        <f>IF('Pegar ML'!AK718=" ",'Pegar ML'!AK717,'Pegar ML'!AK718)</f>
        <v>0</v>
      </c>
      <c r="W722" s="55">
        <f>IF('Pegar ML'!AJ718=" ",'Pegar ML'!AJ717,'Pegar ML'!AJ718)</f>
        <v>0</v>
      </c>
      <c r="X722" s="55">
        <f>IF('Pegar ML'!AL718=" ",'Pegar ML'!AL717,'Pegar ML'!AL718)</f>
        <v>0</v>
      </c>
      <c r="Y722" s="27"/>
      <c r="Z722" s="27"/>
      <c r="AA722" s="27"/>
      <c r="AB722" s="27"/>
      <c r="AC722" s="27"/>
      <c r="AD722" s="27"/>
      <c r="AF722" s="8"/>
      <c r="AG722" s="27"/>
      <c r="AH722" s="14">
        <f>+'Pegar ML'!Y718</f>
        <v>0</v>
      </c>
      <c r="AI722" s="13">
        <f t="shared" si="34"/>
        <v>1</v>
      </c>
      <c r="AJ722" s="7">
        <f>+'Pegar ML'!T718</f>
        <v>0</v>
      </c>
      <c r="AK722" s="27"/>
      <c r="AL722" s="27"/>
      <c r="AM722" s="27"/>
      <c r="AN722" s="27"/>
      <c r="AO722" s="27"/>
      <c r="AP722" s="27"/>
      <c r="AQ722" s="27"/>
      <c r="AR722" s="27"/>
      <c r="AS722" s="27">
        <v>17</v>
      </c>
    </row>
    <row r="723" spans="1:45" ht="15" customHeight="1" x14ac:dyDescent="0.25">
      <c r="A723" s="27">
        <f>IF('Pegar ML'!C718="Paquete de 2 productos",'Pegar ML'!A718,IF('Pegar ML'!C717="Paquete de 2 productos",'Pegar ML'!A717,'Pegar ML'!A719))</f>
        <v>0</v>
      </c>
      <c r="B723" s="27"/>
      <c r="C723" s="30" t="str">
        <f>IF(AjusteFecha!I719=0,"",AjusteFecha!I719)</f>
        <v/>
      </c>
      <c r="D723" s="27"/>
      <c r="E723" s="27"/>
      <c r="F723" s="27" t="str">
        <f>IF('Pegar ML'!C719="","",'Pegar ML'!C719)</f>
        <v/>
      </c>
      <c r="G723" s="27" t="str">
        <f>IF('Pegar ML'!G714="ARS","PS","PS")</f>
        <v>PS</v>
      </c>
      <c r="H723" s="14">
        <f>IF('Pegar ML'!C718="Paquete de 2 productos",IF('Pegar ML'!H718="",0,'Pegar ML'!H718),IF('Pegar ML'!H719="",0,'Pegar ML'!H719))</f>
        <v>0</v>
      </c>
      <c r="I723" s="14">
        <f>IF('Pegar ML'!C718="Paquete de 2 productos",IF('Pegar ML'!O718="",0,'Pegar ML'!O718),IF('Pegar ML'!O719="",0,'Pegar ML'!O719))</f>
        <v>0</v>
      </c>
      <c r="J723" s="14">
        <f>IF('Pegar ML'!C718="Paquete de 2 productos",IF('Pegar ML'!O718="",0,'Pegar ML'!O718),IF('Pegar ML'!O719="",0,'Pegar ML'!O719))</f>
        <v>0</v>
      </c>
      <c r="K723" s="14">
        <f t="shared" si="35"/>
        <v>0</v>
      </c>
      <c r="L723" s="27">
        <f>IF('Pegar ML'!AB719=" ",'Pegar ML'!AB718,'Pegar ML'!AB719)</f>
        <v>0</v>
      </c>
      <c r="M723" s="27" t="str">
        <f>IF('Pegar ML'!AC719=" ",RIGHT('Pegar ML'!AC718,8),RIGHT('Pegar ML'!AC719,8))</f>
        <v/>
      </c>
      <c r="N723" s="27" t="s">
        <v>80</v>
      </c>
      <c r="O723" s="27">
        <f t="shared" si="33"/>
        <v>0</v>
      </c>
      <c r="P723" s="27" t="s">
        <v>80</v>
      </c>
      <c r="Q723" s="55">
        <f>IF('Pegar ML'!AD719=" ",'Pegar ML'!AD718,'Pegar ML'!AD719)</f>
        <v>0</v>
      </c>
      <c r="R723" s="27" t="s">
        <v>80</v>
      </c>
      <c r="S723" s="27" t="s">
        <v>80</v>
      </c>
      <c r="T723" s="27" t="s">
        <v>80</v>
      </c>
      <c r="U723" s="55">
        <f>IF('Pegar ML'!AI719=" ",'Pegar ML'!AI718,'Pegar ML'!AI719)</f>
        <v>0</v>
      </c>
      <c r="V723" s="55">
        <f>IF('Pegar ML'!AK719=" ",'Pegar ML'!AK718,'Pegar ML'!AK719)</f>
        <v>0</v>
      </c>
      <c r="W723" s="55">
        <f>IF('Pegar ML'!AJ719=" ",'Pegar ML'!AJ718,'Pegar ML'!AJ719)</f>
        <v>0</v>
      </c>
      <c r="X723" s="55">
        <f>IF('Pegar ML'!AL719=" ",'Pegar ML'!AL718,'Pegar ML'!AL719)</f>
        <v>0</v>
      </c>
      <c r="Y723" s="27"/>
      <c r="Z723" s="27"/>
      <c r="AA723" s="27"/>
      <c r="AB723" s="27"/>
      <c r="AC723" s="27"/>
      <c r="AD723" s="27"/>
      <c r="AF723" s="8"/>
      <c r="AG723" s="27"/>
      <c r="AH723" s="14">
        <f>+'Pegar ML'!Y719</f>
        <v>0</v>
      </c>
      <c r="AI723" s="13">
        <f t="shared" si="34"/>
        <v>1</v>
      </c>
      <c r="AJ723" s="7">
        <f>+'Pegar ML'!T719</f>
        <v>0</v>
      </c>
      <c r="AK723" s="27"/>
      <c r="AL723" s="27"/>
      <c r="AM723" s="27"/>
      <c r="AN723" s="27"/>
      <c r="AO723" s="27"/>
      <c r="AP723" s="27"/>
      <c r="AQ723" s="27"/>
      <c r="AR723" s="27"/>
      <c r="AS723" s="27">
        <v>17</v>
      </c>
    </row>
    <row r="724" spans="1:45" ht="15" customHeight="1" x14ac:dyDescent="0.25">
      <c r="A724" s="27">
        <f>IF('Pegar ML'!C719="Paquete de 2 productos",'Pegar ML'!A719,IF('Pegar ML'!C718="Paquete de 2 productos",'Pegar ML'!A718,'Pegar ML'!A720))</f>
        <v>0</v>
      </c>
      <c r="B724" s="27"/>
      <c r="C724" s="30" t="str">
        <f>IF(AjusteFecha!I720=0,"",AjusteFecha!I720)</f>
        <v/>
      </c>
      <c r="D724" s="27"/>
      <c r="E724" s="27"/>
      <c r="F724" s="27" t="str">
        <f>IF('Pegar ML'!C720="","",'Pegar ML'!C720)</f>
        <v/>
      </c>
      <c r="G724" s="27" t="str">
        <f>IF('Pegar ML'!G715="ARS","PS","PS")</f>
        <v>PS</v>
      </c>
      <c r="H724" s="14">
        <f>IF('Pegar ML'!C719="Paquete de 2 productos",IF('Pegar ML'!H719="",0,'Pegar ML'!H719),IF('Pegar ML'!H720="",0,'Pegar ML'!H720))</f>
        <v>0</v>
      </c>
      <c r="I724" s="14">
        <f>IF('Pegar ML'!C719="Paquete de 2 productos",IF('Pegar ML'!O719="",0,'Pegar ML'!O719),IF('Pegar ML'!O720="",0,'Pegar ML'!O720))</f>
        <v>0</v>
      </c>
      <c r="J724" s="14">
        <f>IF('Pegar ML'!C719="Paquete de 2 productos",IF('Pegar ML'!O719="",0,'Pegar ML'!O719),IF('Pegar ML'!O720="",0,'Pegar ML'!O720))</f>
        <v>0</v>
      </c>
      <c r="K724" s="14">
        <f t="shared" si="35"/>
        <v>0</v>
      </c>
      <c r="L724" s="27">
        <f>IF('Pegar ML'!AB720=" ",'Pegar ML'!AB719,'Pegar ML'!AB720)</f>
        <v>0</v>
      </c>
      <c r="M724" s="27" t="str">
        <f>IF('Pegar ML'!AC720=" ",RIGHT('Pegar ML'!AC719,8),RIGHT('Pegar ML'!AC720,8))</f>
        <v/>
      </c>
      <c r="N724" s="27" t="s">
        <v>80</v>
      </c>
      <c r="O724" s="27">
        <f t="shared" si="33"/>
        <v>0</v>
      </c>
      <c r="P724" s="27" t="s">
        <v>80</v>
      </c>
      <c r="Q724" s="55">
        <f>IF('Pegar ML'!AD720=" ",'Pegar ML'!AD719,'Pegar ML'!AD720)</f>
        <v>0</v>
      </c>
      <c r="R724" s="27" t="s">
        <v>80</v>
      </c>
      <c r="S724" s="27" t="s">
        <v>80</v>
      </c>
      <c r="T724" s="27" t="s">
        <v>80</v>
      </c>
      <c r="U724" s="55">
        <f>IF('Pegar ML'!AI720=" ",'Pegar ML'!AI719,'Pegar ML'!AI720)</f>
        <v>0</v>
      </c>
      <c r="V724" s="55">
        <f>IF('Pegar ML'!AK720=" ",'Pegar ML'!AK719,'Pegar ML'!AK720)</f>
        <v>0</v>
      </c>
      <c r="W724" s="55">
        <f>IF('Pegar ML'!AJ720=" ",'Pegar ML'!AJ719,'Pegar ML'!AJ720)</f>
        <v>0</v>
      </c>
      <c r="X724" s="55">
        <f>IF('Pegar ML'!AL720=" ",'Pegar ML'!AL719,'Pegar ML'!AL720)</f>
        <v>0</v>
      </c>
      <c r="Y724" s="27"/>
      <c r="Z724" s="27"/>
      <c r="AA724" s="27"/>
      <c r="AB724" s="27"/>
      <c r="AC724" s="27"/>
      <c r="AD724" s="27"/>
      <c r="AF724" s="8"/>
      <c r="AG724" s="27"/>
      <c r="AH724" s="14">
        <f>+'Pegar ML'!Y720</f>
        <v>0</v>
      </c>
      <c r="AI724" s="13">
        <f t="shared" si="34"/>
        <v>1</v>
      </c>
      <c r="AJ724" s="7">
        <f>+'Pegar ML'!T720</f>
        <v>0</v>
      </c>
      <c r="AK724" s="27"/>
      <c r="AL724" s="27"/>
      <c r="AM724" s="27"/>
      <c r="AN724" s="27"/>
      <c r="AO724" s="27"/>
      <c r="AP724" s="27"/>
      <c r="AQ724" s="27"/>
      <c r="AR724" s="27"/>
      <c r="AS724" s="27">
        <v>17</v>
      </c>
    </row>
    <row r="725" spans="1:45" ht="15" customHeight="1" x14ac:dyDescent="0.25">
      <c r="A725" s="27">
        <f>IF('Pegar ML'!C720="Paquete de 2 productos",'Pegar ML'!A720,IF('Pegar ML'!C719="Paquete de 2 productos",'Pegar ML'!A719,'Pegar ML'!A721))</f>
        <v>0</v>
      </c>
      <c r="B725" s="27"/>
      <c r="C725" s="30" t="str">
        <f>IF(AjusteFecha!I721=0,"",AjusteFecha!I721)</f>
        <v/>
      </c>
      <c r="D725" s="27"/>
      <c r="E725" s="27"/>
      <c r="F725" s="27" t="str">
        <f>IF('Pegar ML'!C721="","",'Pegar ML'!C721)</f>
        <v/>
      </c>
      <c r="G725" s="27" t="str">
        <f>IF('Pegar ML'!G716="ARS","PS","PS")</f>
        <v>PS</v>
      </c>
      <c r="H725" s="14">
        <f>IF('Pegar ML'!C720="Paquete de 2 productos",IF('Pegar ML'!H720="",0,'Pegar ML'!H720),IF('Pegar ML'!H721="",0,'Pegar ML'!H721))</f>
        <v>0</v>
      </c>
      <c r="I725" s="14">
        <f>IF('Pegar ML'!C720="Paquete de 2 productos",IF('Pegar ML'!O720="",0,'Pegar ML'!O720),IF('Pegar ML'!O721="",0,'Pegar ML'!O721))</f>
        <v>0</v>
      </c>
      <c r="J725" s="14">
        <f>IF('Pegar ML'!C720="Paquete de 2 productos",IF('Pegar ML'!O720="",0,'Pegar ML'!O720),IF('Pegar ML'!O721="",0,'Pegar ML'!O721))</f>
        <v>0</v>
      </c>
      <c r="K725" s="14">
        <f t="shared" si="35"/>
        <v>0</v>
      </c>
      <c r="L725" s="27">
        <f>IF('Pegar ML'!AB721=" ",'Pegar ML'!AB720,'Pegar ML'!AB721)</f>
        <v>0</v>
      </c>
      <c r="M725" s="27" t="str">
        <f>IF('Pegar ML'!AC721=" ",RIGHT('Pegar ML'!AC720,8),RIGHT('Pegar ML'!AC721,8))</f>
        <v/>
      </c>
      <c r="N725" s="27" t="s">
        <v>80</v>
      </c>
      <c r="O725" s="27">
        <f t="shared" si="33"/>
        <v>0</v>
      </c>
      <c r="P725" s="27" t="s">
        <v>80</v>
      </c>
      <c r="Q725" s="55">
        <f>IF('Pegar ML'!AD721=" ",'Pegar ML'!AD720,'Pegar ML'!AD721)</f>
        <v>0</v>
      </c>
      <c r="R725" s="27" t="s">
        <v>80</v>
      </c>
      <c r="S725" s="27" t="s">
        <v>80</v>
      </c>
      <c r="T725" s="27" t="s">
        <v>80</v>
      </c>
      <c r="U725" s="55">
        <f>IF('Pegar ML'!AI721=" ",'Pegar ML'!AI720,'Pegar ML'!AI721)</f>
        <v>0</v>
      </c>
      <c r="V725" s="55">
        <f>IF('Pegar ML'!AK721=" ",'Pegar ML'!AK720,'Pegar ML'!AK721)</f>
        <v>0</v>
      </c>
      <c r="W725" s="55">
        <f>IF('Pegar ML'!AJ721=" ",'Pegar ML'!AJ720,'Pegar ML'!AJ721)</f>
        <v>0</v>
      </c>
      <c r="X725" s="55">
        <f>IF('Pegar ML'!AL721=" ",'Pegar ML'!AL720,'Pegar ML'!AL721)</f>
        <v>0</v>
      </c>
      <c r="Y725" s="27"/>
      <c r="Z725" s="27"/>
      <c r="AA725" s="27"/>
      <c r="AB725" s="27"/>
      <c r="AC725" s="27"/>
      <c r="AD725" s="27"/>
      <c r="AF725" s="8"/>
      <c r="AG725" s="27"/>
      <c r="AH725" s="14">
        <f>+'Pegar ML'!Y721</f>
        <v>0</v>
      </c>
      <c r="AI725" s="13">
        <f t="shared" si="34"/>
        <v>1</v>
      </c>
      <c r="AJ725" s="7">
        <f>+'Pegar ML'!T721</f>
        <v>0</v>
      </c>
      <c r="AK725" s="27"/>
      <c r="AL725" s="27"/>
      <c r="AM725" s="27"/>
      <c r="AN725" s="27"/>
      <c r="AO725" s="27"/>
      <c r="AP725" s="27"/>
      <c r="AQ725" s="27"/>
      <c r="AR725" s="27"/>
      <c r="AS725" s="27">
        <v>17</v>
      </c>
    </row>
    <row r="726" spans="1:45" ht="15" customHeight="1" x14ac:dyDescent="0.25">
      <c r="A726" s="27">
        <f>IF('Pegar ML'!C721="Paquete de 2 productos",'Pegar ML'!A721,IF('Pegar ML'!C720="Paquete de 2 productos",'Pegar ML'!A720,'Pegar ML'!A722))</f>
        <v>0</v>
      </c>
      <c r="B726" s="27"/>
      <c r="C726" s="30" t="str">
        <f>IF(AjusteFecha!I722=0,"",AjusteFecha!I722)</f>
        <v/>
      </c>
      <c r="D726" s="27"/>
      <c r="E726" s="27"/>
      <c r="F726" s="27" t="str">
        <f>IF('Pegar ML'!C722="","",'Pegar ML'!C722)</f>
        <v/>
      </c>
      <c r="G726" s="27" t="str">
        <f>IF('Pegar ML'!G717="ARS","PS","PS")</f>
        <v>PS</v>
      </c>
      <c r="H726" s="14">
        <f>IF('Pegar ML'!C721="Paquete de 2 productos",IF('Pegar ML'!H721="",0,'Pegar ML'!H721),IF('Pegar ML'!H722="",0,'Pegar ML'!H722))</f>
        <v>0</v>
      </c>
      <c r="I726" s="14">
        <f>IF('Pegar ML'!C721="Paquete de 2 productos",IF('Pegar ML'!O721="",0,'Pegar ML'!O721),IF('Pegar ML'!O722="",0,'Pegar ML'!O722))</f>
        <v>0</v>
      </c>
      <c r="J726" s="14">
        <f>IF('Pegar ML'!C721="Paquete de 2 productos",IF('Pegar ML'!O721="",0,'Pegar ML'!O721),IF('Pegar ML'!O722="",0,'Pegar ML'!O722))</f>
        <v>0</v>
      </c>
      <c r="K726" s="14">
        <f t="shared" si="35"/>
        <v>0</v>
      </c>
      <c r="L726" s="27">
        <f>IF('Pegar ML'!AB722=" ",'Pegar ML'!AB721,'Pegar ML'!AB722)</f>
        <v>0</v>
      </c>
      <c r="M726" s="27" t="str">
        <f>IF('Pegar ML'!AC722=" ",RIGHT('Pegar ML'!AC721,8),RIGHT('Pegar ML'!AC722,8))</f>
        <v/>
      </c>
      <c r="N726" s="27" t="s">
        <v>80</v>
      </c>
      <c r="O726" s="27">
        <f t="shared" si="33"/>
        <v>0</v>
      </c>
      <c r="P726" s="27" t="s">
        <v>80</v>
      </c>
      <c r="Q726" s="55">
        <f>IF('Pegar ML'!AD722=" ",'Pegar ML'!AD721,'Pegar ML'!AD722)</f>
        <v>0</v>
      </c>
      <c r="R726" s="27" t="s">
        <v>80</v>
      </c>
      <c r="S726" s="27" t="s">
        <v>80</v>
      </c>
      <c r="T726" s="27" t="s">
        <v>80</v>
      </c>
      <c r="U726" s="55">
        <f>IF('Pegar ML'!AI722=" ",'Pegar ML'!AI721,'Pegar ML'!AI722)</f>
        <v>0</v>
      </c>
      <c r="V726" s="55">
        <f>IF('Pegar ML'!AK722=" ",'Pegar ML'!AK721,'Pegar ML'!AK722)</f>
        <v>0</v>
      </c>
      <c r="W726" s="55">
        <f>IF('Pegar ML'!AJ722=" ",'Pegar ML'!AJ721,'Pegar ML'!AJ722)</f>
        <v>0</v>
      </c>
      <c r="X726" s="55">
        <f>IF('Pegar ML'!AL722=" ",'Pegar ML'!AL721,'Pegar ML'!AL722)</f>
        <v>0</v>
      </c>
      <c r="Y726" s="27"/>
      <c r="Z726" s="27"/>
      <c r="AA726" s="27"/>
      <c r="AB726" s="27"/>
      <c r="AC726" s="27"/>
      <c r="AD726" s="27"/>
      <c r="AF726" s="8"/>
      <c r="AG726" s="27"/>
      <c r="AH726" s="14">
        <f>+'Pegar ML'!Y722</f>
        <v>0</v>
      </c>
      <c r="AI726" s="13">
        <f t="shared" si="34"/>
        <v>1</v>
      </c>
      <c r="AJ726" s="7">
        <f>+'Pegar ML'!T722</f>
        <v>0</v>
      </c>
      <c r="AK726" s="27"/>
      <c r="AL726" s="27"/>
      <c r="AM726" s="27"/>
      <c r="AN726" s="27"/>
      <c r="AO726" s="27"/>
      <c r="AP726" s="27"/>
      <c r="AQ726" s="27"/>
      <c r="AR726" s="27"/>
      <c r="AS726" s="27">
        <v>17</v>
      </c>
    </row>
    <row r="727" spans="1:45" ht="15" customHeight="1" x14ac:dyDescent="0.25">
      <c r="A727" s="27">
        <f>IF('Pegar ML'!C722="Paquete de 2 productos",'Pegar ML'!A722,IF('Pegar ML'!C721="Paquete de 2 productos",'Pegar ML'!A721,'Pegar ML'!A723))</f>
        <v>0</v>
      </c>
      <c r="B727" s="27"/>
      <c r="C727" s="30" t="str">
        <f>IF(AjusteFecha!I723=0,"",AjusteFecha!I723)</f>
        <v/>
      </c>
      <c r="D727" s="27"/>
      <c r="E727" s="27"/>
      <c r="F727" s="27" t="str">
        <f>IF('Pegar ML'!C723="","",'Pegar ML'!C723)</f>
        <v/>
      </c>
      <c r="G727" s="27" t="str">
        <f>IF('Pegar ML'!G718="ARS","PS","PS")</f>
        <v>PS</v>
      </c>
      <c r="H727" s="14">
        <f>IF('Pegar ML'!C722="Paquete de 2 productos",IF('Pegar ML'!H722="",0,'Pegar ML'!H722),IF('Pegar ML'!H723="",0,'Pegar ML'!H723))</f>
        <v>0</v>
      </c>
      <c r="I727" s="14">
        <f>IF('Pegar ML'!C722="Paquete de 2 productos",IF('Pegar ML'!O722="",0,'Pegar ML'!O722),IF('Pegar ML'!O723="",0,'Pegar ML'!O723))</f>
        <v>0</v>
      </c>
      <c r="J727" s="14">
        <f>IF('Pegar ML'!C722="Paquete de 2 productos",IF('Pegar ML'!O722="",0,'Pegar ML'!O722),IF('Pegar ML'!O723="",0,'Pegar ML'!O723))</f>
        <v>0</v>
      </c>
      <c r="K727" s="14">
        <f t="shared" si="35"/>
        <v>0</v>
      </c>
      <c r="L727" s="27">
        <f>IF('Pegar ML'!AB723=" ",'Pegar ML'!AB722,'Pegar ML'!AB723)</f>
        <v>0</v>
      </c>
      <c r="M727" s="27" t="str">
        <f>IF('Pegar ML'!AC723=" ",RIGHT('Pegar ML'!AC722,8),RIGHT('Pegar ML'!AC723,8))</f>
        <v/>
      </c>
      <c r="N727" s="27" t="s">
        <v>80</v>
      </c>
      <c r="O727" s="27">
        <f t="shared" si="33"/>
        <v>0</v>
      </c>
      <c r="P727" s="27" t="s">
        <v>80</v>
      </c>
      <c r="Q727" s="55">
        <f>IF('Pegar ML'!AD723=" ",'Pegar ML'!AD722,'Pegar ML'!AD723)</f>
        <v>0</v>
      </c>
      <c r="R727" s="27" t="s">
        <v>80</v>
      </c>
      <c r="S727" s="27" t="s">
        <v>80</v>
      </c>
      <c r="T727" s="27" t="s">
        <v>80</v>
      </c>
      <c r="U727" s="55">
        <f>IF('Pegar ML'!AI723=" ",'Pegar ML'!AI722,'Pegar ML'!AI723)</f>
        <v>0</v>
      </c>
      <c r="V727" s="55">
        <f>IF('Pegar ML'!AK723=" ",'Pegar ML'!AK722,'Pegar ML'!AK723)</f>
        <v>0</v>
      </c>
      <c r="W727" s="55">
        <f>IF('Pegar ML'!AJ723=" ",'Pegar ML'!AJ722,'Pegar ML'!AJ723)</f>
        <v>0</v>
      </c>
      <c r="X727" s="55">
        <f>IF('Pegar ML'!AL723=" ",'Pegar ML'!AL722,'Pegar ML'!AL723)</f>
        <v>0</v>
      </c>
      <c r="Y727" s="27"/>
      <c r="Z727" s="27"/>
      <c r="AA727" s="27"/>
      <c r="AB727" s="27"/>
      <c r="AC727" s="27"/>
      <c r="AD727" s="27"/>
      <c r="AF727" s="8"/>
      <c r="AG727" s="27"/>
      <c r="AH727" s="14">
        <f>+'Pegar ML'!Y723</f>
        <v>0</v>
      </c>
      <c r="AI727" s="13">
        <f t="shared" si="34"/>
        <v>1</v>
      </c>
      <c r="AJ727" s="7">
        <f>+'Pegar ML'!T723</f>
        <v>0</v>
      </c>
      <c r="AK727" s="27"/>
      <c r="AL727" s="27"/>
      <c r="AM727" s="27"/>
      <c r="AN727" s="27"/>
      <c r="AO727" s="27"/>
      <c r="AP727" s="27"/>
      <c r="AQ727" s="27"/>
      <c r="AR727" s="27"/>
      <c r="AS727" s="27">
        <v>17</v>
      </c>
    </row>
    <row r="728" spans="1:45" ht="15" customHeight="1" x14ac:dyDescent="0.25">
      <c r="A728" s="27">
        <f>IF('Pegar ML'!C723="Paquete de 2 productos",'Pegar ML'!A723,IF('Pegar ML'!C722="Paquete de 2 productos",'Pegar ML'!A722,'Pegar ML'!A724))</f>
        <v>0</v>
      </c>
      <c r="B728" s="27"/>
      <c r="C728" s="30" t="str">
        <f>IF(AjusteFecha!I724=0,"",AjusteFecha!I724)</f>
        <v/>
      </c>
      <c r="D728" s="27"/>
      <c r="E728" s="27"/>
      <c r="F728" s="27" t="str">
        <f>IF('Pegar ML'!C724="","",'Pegar ML'!C724)</f>
        <v/>
      </c>
      <c r="G728" s="27" t="str">
        <f>IF('Pegar ML'!G719="ARS","PS","PS")</f>
        <v>PS</v>
      </c>
      <c r="H728" s="14">
        <f>IF('Pegar ML'!C723="Paquete de 2 productos",IF('Pegar ML'!H723="",0,'Pegar ML'!H723),IF('Pegar ML'!H724="",0,'Pegar ML'!H724))</f>
        <v>0</v>
      </c>
      <c r="I728" s="14">
        <f>IF('Pegar ML'!C723="Paquete de 2 productos",IF('Pegar ML'!O723="",0,'Pegar ML'!O723),IF('Pegar ML'!O724="",0,'Pegar ML'!O724))</f>
        <v>0</v>
      </c>
      <c r="J728" s="14">
        <f>IF('Pegar ML'!C723="Paquete de 2 productos",IF('Pegar ML'!O723="",0,'Pegar ML'!O723),IF('Pegar ML'!O724="",0,'Pegar ML'!O724))</f>
        <v>0</v>
      </c>
      <c r="K728" s="14">
        <f t="shared" si="35"/>
        <v>0</v>
      </c>
      <c r="L728" s="27">
        <f>IF('Pegar ML'!AB724=" ",'Pegar ML'!AB723,'Pegar ML'!AB724)</f>
        <v>0</v>
      </c>
      <c r="M728" s="27" t="str">
        <f>IF('Pegar ML'!AC724=" ",RIGHT('Pegar ML'!AC723,8),RIGHT('Pegar ML'!AC724,8))</f>
        <v/>
      </c>
      <c r="N728" s="27" t="s">
        <v>80</v>
      </c>
      <c r="O728" s="27">
        <f t="shared" si="33"/>
        <v>0</v>
      </c>
      <c r="P728" s="27" t="s">
        <v>80</v>
      </c>
      <c r="Q728" s="55">
        <f>IF('Pegar ML'!AD724=" ",'Pegar ML'!AD723,'Pegar ML'!AD724)</f>
        <v>0</v>
      </c>
      <c r="R728" s="27" t="s">
        <v>80</v>
      </c>
      <c r="S728" s="27" t="s">
        <v>80</v>
      </c>
      <c r="T728" s="27" t="s">
        <v>80</v>
      </c>
      <c r="U728" s="55">
        <f>IF('Pegar ML'!AI724=" ",'Pegar ML'!AI723,'Pegar ML'!AI724)</f>
        <v>0</v>
      </c>
      <c r="V728" s="55">
        <f>IF('Pegar ML'!AK724=" ",'Pegar ML'!AK723,'Pegar ML'!AK724)</f>
        <v>0</v>
      </c>
      <c r="W728" s="55">
        <f>IF('Pegar ML'!AJ724=" ",'Pegar ML'!AJ723,'Pegar ML'!AJ724)</f>
        <v>0</v>
      </c>
      <c r="X728" s="55">
        <f>IF('Pegar ML'!AL724=" ",'Pegar ML'!AL723,'Pegar ML'!AL724)</f>
        <v>0</v>
      </c>
      <c r="Y728" s="27"/>
      <c r="Z728" s="27"/>
      <c r="AA728" s="27"/>
      <c r="AB728" s="27"/>
      <c r="AC728" s="27"/>
      <c r="AD728" s="27"/>
      <c r="AF728" s="8"/>
      <c r="AG728" s="27"/>
      <c r="AH728" s="14">
        <f>+'Pegar ML'!Y724</f>
        <v>0</v>
      </c>
      <c r="AI728" s="13">
        <f t="shared" si="34"/>
        <v>1</v>
      </c>
      <c r="AJ728" s="7">
        <f>+'Pegar ML'!T724</f>
        <v>0</v>
      </c>
      <c r="AK728" s="27"/>
      <c r="AL728" s="27"/>
      <c r="AM728" s="27"/>
      <c r="AN728" s="27"/>
      <c r="AO728" s="27"/>
      <c r="AP728" s="27"/>
      <c r="AQ728" s="27"/>
      <c r="AR728" s="27"/>
      <c r="AS728" s="27">
        <v>17</v>
      </c>
    </row>
    <row r="729" spans="1:45" ht="15" customHeight="1" x14ac:dyDescent="0.25">
      <c r="A729" s="27">
        <f>IF('Pegar ML'!C724="Paquete de 2 productos",'Pegar ML'!A724,IF('Pegar ML'!C723="Paquete de 2 productos",'Pegar ML'!A723,'Pegar ML'!A725))</f>
        <v>0</v>
      </c>
      <c r="B729" s="27"/>
      <c r="C729" s="30" t="str">
        <f>IF(AjusteFecha!I725=0,"",AjusteFecha!I725)</f>
        <v/>
      </c>
      <c r="D729" s="27"/>
      <c r="E729" s="27"/>
      <c r="F729" s="27" t="str">
        <f>IF('Pegar ML'!C725="","",'Pegar ML'!C725)</f>
        <v/>
      </c>
      <c r="G729" s="27" t="str">
        <f>IF('Pegar ML'!G720="ARS","PS","PS")</f>
        <v>PS</v>
      </c>
      <c r="H729" s="14">
        <f>IF('Pegar ML'!C724="Paquete de 2 productos",IF('Pegar ML'!H724="",0,'Pegar ML'!H724),IF('Pegar ML'!H725="",0,'Pegar ML'!H725))</f>
        <v>0</v>
      </c>
      <c r="I729" s="14">
        <f>IF('Pegar ML'!C724="Paquete de 2 productos",IF('Pegar ML'!O724="",0,'Pegar ML'!O724),IF('Pegar ML'!O725="",0,'Pegar ML'!O725))</f>
        <v>0</v>
      </c>
      <c r="J729" s="14">
        <f>IF('Pegar ML'!C724="Paquete de 2 productos",IF('Pegar ML'!O724="",0,'Pegar ML'!O724),IF('Pegar ML'!O725="",0,'Pegar ML'!O725))</f>
        <v>0</v>
      </c>
      <c r="K729" s="14">
        <f t="shared" si="35"/>
        <v>0</v>
      </c>
      <c r="L729" s="27">
        <f>IF('Pegar ML'!AB725=" ",'Pegar ML'!AB724,'Pegar ML'!AB725)</f>
        <v>0</v>
      </c>
      <c r="M729" s="27" t="str">
        <f>IF('Pegar ML'!AC725=" ",RIGHT('Pegar ML'!AC724,8),RIGHT('Pegar ML'!AC725,8))</f>
        <v/>
      </c>
      <c r="N729" s="27" t="s">
        <v>80</v>
      </c>
      <c r="O729" s="27">
        <f t="shared" si="33"/>
        <v>0</v>
      </c>
      <c r="P729" s="27" t="s">
        <v>80</v>
      </c>
      <c r="Q729" s="55">
        <f>IF('Pegar ML'!AD725=" ",'Pegar ML'!AD724,'Pegar ML'!AD725)</f>
        <v>0</v>
      </c>
      <c r="R729" s="27" t="s">
        <v>80</v>
      </c>
      <c r="S729" s="27" t="s">
        <v>80</v>
      </c>
      <c r="T729" s="27" t="s">
        <v>80</v>
      </c>
      <c r="U729" s="55">
        <f>IF('Pegar ML'!AI725=" ",'Pegar ML'!AI724,'Pegar ML'!AI725)</f>
        <v>0</v>
      </c>
      <c r="V729" s="55">
        <f>IF('Pegar ML'!AK725=" ",'Pegar ML'!AK724,'Pegar ML'!AK725)</f>
        <v>0</v>
      </c>
      <c r="W729" s="55">
        <f>IF('Pegar ML'!AJ725=" ",'Pegar ML'!AJ724,'Pegar ML'!AJ725)</f>
        <v>0</v>
      </c>
      <c r="X729" s="55">
        <f>IF('Pegar ML'!AL725=" ",'Pegar ML'!AL724,'Pegar ML'!AL725)</f>
        <v>0</v>
      </c>
      <c r="Y729" s="27"/>
      <c r="Z729" s="27"/>
      <c r="AA729" s="27"/>
      <c r="AB729" s="27"/>
      <c r="AC729" s="27"/>
      <c r="AD729" s="27"/>
      <c r="AF729" s="8"/>
      <c r="AG729" s="27"/>
      <c r="AH729" s="14">
        <f>+'Pegar ML'!Y725</f>
        <v>0</v>
      </c>
      <c r="AI729" s="13">
        <f t="shared" si="34"/>
        <v>1</v>
      </c>
      <c r="AJ729" s="7">
        <f>+'Pegar ML'!T725</f>
        <v>0</v>
      </c>
      <c r="AK729" s="27"/>
      <c r="AL729" s="27"/>
      <c r="AM729" s="27"/>
      <c r="AN729" s="27"/>
      <c r="AO729" s="27"/>
      <c r="AP729" s="27"/>
      <c r="AQ729" s="27"/>
      <c r="AR729" s="27"/>
      <c r="AS729" s="27">
        <v>17</v>
      </c>
    </row>
    <row r="730" spans="1:45" ht="15" customHeight="1" x14ac:dyDescent="0.25">
      <c r="A730" s="27">
        <f>IF('Pegar ML'!C725="Paquete de 2 productos",'Pegar ML'!A725,IF('Pegar ML'!C724="Paquete de 2 productos",'Pegar ML'!A724,'Pegar ML'!A726))</f>
        <v>0</v>
      </c>
      <c r="B730" s="27"/>
      <c r="C730" s="30" t="str">
        <f>IF(AjusteFecha!I726=0,"",AjusteFecha!I726)</f>
        <v/>
      </c>
      <c r="D730" s="27"/>
      <c r="E730" s="27"/>
      <c r="F730" s="27" t="str">
        <f>IF('Pegar ML'!C726="","",'Pegar ML'!C726)</f>
        <v/>
      </c>
      <c r="G730" s="27" t="str">
        <f>IF('Pegar ML'!G721="ARS","PS","PS")</f>
        <v>PS</v>
      </c>
      <c r="H730" s="14">
        <f>IF('Pegar ML'!C725="Paquete de 2 productos",IF('Pegar ML'!H725="",0,'Pegar ML'!H725),IF('Pegar ML'!H726="",0,'Pegar ML'!H726))</f>
        <v>0</v>
      </c>
      <c r="I730" s="14">
        <f>IF('Pegar ML'!C725="Paquete de 2 productos",IF('Pegar ML'!O725="",0,'Pegar ML'!O725),IF('Pegar ML'!O726="",0,'Pegar ML'!O726))</f>
        <v>0</v>
      </c>
      <c r="J730" s="14">
        <f>IF('Pegar ML'!C725="Paquete de 2 productos",IF('Pegar ML'!O725="",0,'Pegar ML'!O725),IF('Pegar ML'!O726="",0,'Pegar ML'!O726))</f>
        <v>0</v>
      </c>
      <c r="K730" s="14">
        <f t="shared" si="35"/>
        <v>0</v>
      </c>
      <c r="L730" s="27">
        <f>IF('Pegar ML'!AB726=" ",'Pegar ML'!AB725,'Pegar ML'!AB726)</f>
        <v>0</v>
      </c>
      <c r="M730" s="27" t="str">
        <f>IF('Pegar ML'!AC726=" ",RIGHT('Pegar ML'!AC725,8),RIGHT('Pegar ML'!AC726,8))</f>
        <v/>
      </c>
      <c r="N730" s="27" t="s">
        <v>80</v>
      </c>
      <c r="O730" s="27">
        <f t="shared" si="33"/>
        <v>0</v>
      </c>
      <c r="P730" s="27" t="s">
        <v>80</v>
      </c>
      <c r="Q730" s="55">
        <f>IF('Pegar ML'!AD726=" ",'Pegar ML'!AD725,'Pegar ML'!AD726)</f>
        <v>0</v>
      </c>
      <c r="R730" s="27" t="s">
        <v>80</v>
      </c>
      <c r="S730" s="27" t="s">
        <v>80</v>
      </c>
      <c r="T730" s="27" t="s">
        <v>80</v>
      </c>
      <c r="U730" s="55">
        <f>IF('Pegar ML'!AI726=" ",'Pegar ML'!AI725,'Pegar ML'!AI726)</f>
        <v>0</v>
      </c>
      <c r="V730" s="55">
        <f>IF('Pegar ML'!AK726=" ",'Pegar ML'!AK725,'Pegar ML'!AK726)</f>
        <v>0</v>
      </c>
      <c r="W730" s="55">
        <f>IF('Pegar ML'!AJ726=" ",'Pegar ML'!AJ725,'Pegar ML'!AJ726)</f>
        <v>0</v>
      </c>
      <c r="X730" s="55">
        <f>IF('Pegar ML'!AL726=" ",'Pegar ML'!AL725,'Pegar ML'!AL726)</f>
        <v>0</v>
      </c>
      <c r="Y730" s="27"/>
      <c r="Z730" s="27"/>
      <c r="AA730" s="27"/>
      <c r="AB730" s="27"/>
      <c r="AC730" s="27"/>
      <c r="AD730" s="27"/>
      <c r="AF730" s="8"/>
      <c r="AG730" s="27"/>
      <c r="AH730" s="14">
        <f>+'Pegar ML'!Y726</f>
        <v>0</v>
      </c>
      <c r="AI730" s="13">
        <f t="shared" si="34"/>
        <v>1</v>
      </c>
      <c r="AJ730" s="7">
        <f>+'Pegar ML'!T726</f>
        <v>0</v>
      </c>
      <c r="AK730" s="27"/>
      <c r="AL730" s="27"/>
      <c r="AM730" s="27"/>
      <c r="AN730" s="27"/>
      <c r="AO730" s="27"/>
      <c r="AP730" s="27"/>
      <c r="AQ730" s="27"/>
      <c r="AR730" s="27"/>
      <c r="AS730" s="27">
        <v>17</v>
      </c>
    </row>
    <row r="731" spans="1:45" ht="15" customHeight="1" x14ac:dyDescent="0.25">
      <c r="A731" s="27">
        <f>IF('Pegar ML'!C726="Paquete de 2 productos",'Pegar ML'!A726,IF('Pegar ML'!C725="Paquete de 2 productos",'Pegar ML'!A725,'Pegar ML'!A727))</f>
        <v>0</v>
      </c>
      <c r="B731" s="27"/>
      <c r="C731" s="30" t="str">
        <f>IF(AjusteFecha!I727=0,"",AjusteFecha!I727)</f>
        <v/>
      </c>
      <c r="D731" s="27"/>
      <c r="E731" s="27"/>
      <c r="F731" s="27" t="str">
        <f>IF('Pegar ML'!C727="","",'Pegar ML'!C727)</f>
        <v/>
      </c>
      <c r="G731" s="27" t="str">
        <f>IF('Pegar ML'!G722="ARS","PS","PS")</f>
        <v>PS</v>
      </c>
      <c r="H731" s="14">
        <f>IF('Pegar ML'!C726="Paquete de 2 productos",IF('Pegar ML'!H726="",0,'Pegar ML'!H726),IF('Pegar ML'!H727="",0,'Pegar ML'!H727))</f>
        <v>0</v>
      </c>
      <c r="I731" s="14">
        <f>IF('Pegar ML'!C726="Paquete de 2 productos",IF('Pegar ML'!O726="",0,'Pegar ML'!O726),IF('Pegar ML'!O727="",0,'Pegar ML'!O727))</f>
        <v>0</v>
      </c>
      <c r="J731" s="14">
        <f>IF('Pegar ML'!C726="Paquete de 2 productos",IF('Pegar ML'!O726="",0,'Pegar ML'!O726),IF('Pegar ML'!O727="",0,'Pegar ML'!O727))</f>
        <v>0</v>
      </c>
      <c r="K731" s="14">
        <f t="shared" si="35"/>
        <v>0</v>
      </c>
      <c r="L731" s="27">
        <f>IF('Pegar ML'!AB727=" ",'Pegar ML'!AB726,'Pegar ML'!AB727)</f>
        <v>0</v>
      </c>
      <c r="M731" s="27" t="str">
        <f>IF('Pegar ML'!AC727=" ",RIGHT('Pegar ML'!AC726,8),RIGHT('Pegar ML'!AC727,8))</f>
        <v/>
      </c>
      <c r="N731" s="27" t="s">
        <v>80</v>
      </c>
      <c r="O731" s="27">
        <f t="shared" si="33"/>
        <v>0</v>
      </c>
      <c r="P731" s="27" t="s">
        <v>80</v>
      </c>
      <c r="Q731" s="55">
        <f>IF('Pegar ML'!AD727=" ",'Pegar ML'!AD726,'Pegar ML'!AD727)</f>
        <v>0</v>
      </c>
      <c r="R731" s="27" t="s">
        <v>80</v>
      </c>
      <c r="S731" s="27" t="s">
        <v>80</v>
      </c>
      <c r="T731" s="27" t="s">
        <v>80</v>
      </c>
      <c r="U731" s="55">
        <f>IF('Pegar ML'!AI727=" ",'Pegar ML'!AI726,'Pegar ML'!AI727)</f>
        <v>0</v>
      </c>
      <c r="V731" s="55">
        <f>IF('Pegar ML'!AK727=" ",'Pegar ML'!AK726,'Pegar ML'!AK727)</f>
        <v>0</v>
      </c>
      <c r="W731" s="55">
        <f>IF('Pegar ML'!AJ727=" ",'Pegar ML'!AJ726,'Pegar ML'!AJ727)</f>
        <v>0</v>
      </c>
      <c r="X731" s="55">
        <f>IF('Pegar ML'!AL727=" ",'Pegar ML'!AL726,'Pegar ML'!AL727)</f>
        <v>0</v>
      </c>
      <c r="Y731" s="27"/>
      <c r="Z731" s="27"/>
      <c r="AA731" s="27"/>
      <c r="AB731" s="27"/>
      <c r="AC731" s="27"/>
      <c r="AD731" s="27"/>
      <c r="AF731" s="8"/>
      <c r="AG731" s="27"/>
      <c r="AH731" s="14">
        <f>+'Pegar ML'!Y727</f>
        <v>0</v>
      </c>
      <c r="AI731" s="13">
        <f t="shared" si="34"/>
        <v>1</v>
      </c>
      <c r="AJ731" s="7">
        <f>+'Pegar ML'!T727</f>
        <v>0</v>
      </c>
      <c r="AK731" s="27"/>
      <c r="AL731" s="27"/>
      <c r="AM731" s="27"/>
      <c r="AN731" s="27"/>
      <c r="AO731" s="27"/>
      <c r="AP731" s="27"/>
      <c r="AQ731" s="27"/>
      <c r="AR731" s="27"/>
      <c r="AS731" s="27">
        <v>17</v>
      </c>
    </row>
    <row r="732" spans="1:45" ht="15" customHeight="1" x14ac:dyDescent="0.25">
      <c r="A732" s="27">
        <f>IF('Pegar ML'!C727="Paquete de 2 productos",'Pegar ML'!A727,IF('Pegar ML'!C726="Paquete de 2 productos",'Pegar ML'!A726,'Pegar ML'!A728))</f>
        <v>0</v>
      </c>
      <c r="B732" s="27"/>
      <c r="C732" s="30" t="str">
        <f>IF(AjusteFecha!I728=0,"",AjusteFecha!I728)</f>
        <v/>
      </c>
      <c r="D732" s="27"/>
      <c r="E732" s="27"/>
      <c r="F732" s="27" t="str">
        <f>IF('Pegar ML'!C728="","",'Pegar ML'!C728)</f>
        <v/>
      </c>
      <c r="G732" s="27" t="str">
        <f>IF('Pegar ML'!G723="ARS","PS","PS")</f>
        <v>PS</v>
      </c>
      <c r="H732" s="14">
        <f>IF('Pegar ML'!C727="Paquete de 2 productos",IF('Pegar ML'!H727="",0,'Pegar ML'!H727),IF('Pegar ML'!H728="",0,'Pegar ML'!H728))</f>
        <v>0</v>
      </c>
      <c r="I732" s="14">
        <f>IF('Pegar ML'!C727="Paquete de 2 productos",IF('Pegar ML'!O727="",0,'Pegar ML'!O727),IF('Pegar ML'!O728="",0,'Pegar ML'!O728))</f>
        <v>0</v>
      </c>
      <c r="J732" s="14">
        <f>IF('Pegar ML'!C727="Paquete de 2 productos",IF('Pegar ML'!O727="",0,'Pegar ML'!O727),IF('Pegar ML'!O728="",0,'Pegar ML'!O728))</f>
        <v>0</v>
      </c>
      <c r="K732" s="14">
        <f t="shared" si="35"/>
        <v>0</v>
      </c>
      <c r="L732" s="27">
        <f>IF('Pegar ML'!AB728=" ",'Pegar ML'!AB727,'Pegar ML'!AB728)</f>
        <v>0</v>
      </c>
      <c r="M732" s="27" t="str">
        <f>IF('Pegar ML'!AC728=" ",RIGHT('Pegar ML'!AC727,8),RIGHT('Pegar ML'!AC728,8))</f>
        <v/>
      </c>
      <c r="N732" s="27" t="s">
        <v>80</v>
      </c>
      <c r="O732" s="27">
        <f t="shared" si="33"/>
        <v>0</v>
      </c>
      <c r="P732" s="27" t="s">
        <v>80</v>
      </c>
      <c r="Q732" s="55">
        <f>IF('Pegar ML'!AD728=" ",'Pegar ML'!AD727,'Pegar ML'!AD728)</f>
        <v>0</v>
      </c>
      <c r="R732" s="27" t="s">
        <v>80</v>
      </c>
      <c r="S732" s="27" t="s">
        <v>80</v>
      </c>
      <c r="T732" s="27" t="s">
        <v>80</v>
      </c>
      <c r="U732" s="55">
        <f>IF('Pegar ML'!AI728=" ",'Pegar ML'!AI727,'Pegar ML'!AI728)</f>
        <v>0</v>
      </c>
      <c r="V732" s="55">
        <f>IF('Pegar ML'!AK728=" ",'Pegar ML'!AK727,'Pegar ML'!AK728)</f>
        <v>0</v>
      </c>
      <c r="W732" s="55">
        <f>IF('Pegar ML'!AJ728=" ",'Pegar ML'!AJ727,'Pegar ML'!AJ728)</f>
        <v>0</v>
      </c>
      <c r="X732" s="55">
        <f>IF('Pegar ML'!AL728=" ",'Pegar ML'!AL727,'Pegar ML'!AL728)</f>
        <v>0</v>
      </c>
      <c r="Y732" s="27"/>
      <c r="Z732" s="27"/>
      <c r="AA732" s="27"/>
      <c r="AB732" s="27"/>
      <c r="AC732" s="27"/>
      <c r="AD732" s="27"/>
      <c r="AF732" s="8"/>
      <c r="AG732" s="27"/>
      <c r="AH732" s="14">
        <f>+'Pegar ML'!Y728</f>
        <v>0</v>
      </c>
      <c r="AI732" s="13">
        <f t="shared" si="34"/>
        <v>1</v>
      </c>
      <c r="AJ732" s="7">
        <f>+'Pegar ML'!T728</f>
        <v>0</v>
      </c>
      <c r="AK732" s="27"/>
      <c r="AL732" s="27"/>
      <c r="AM732" s="27"/>
      <c r="AN732" s="27"/>
      <c r="AO732" s="27"/>
      <c r="AP732" s="27"/>
      <c r="AQ732" s="27"/>
      <c r="AR732" s="27"/>
      <c r="AS732" s="27">
        <v>17</v>
      </c>
    </row>
    <row r="733" spans="1:45" ht="15" customHeight="1" x14ac:dyDescent="0.25">
      <c r="A733" s="27">
        <f>IF('Pegar ML'!C728="Paquete de 2 productos",'Pegar ML'!A728,IF('Pegar ML'!C727="Paquete de 2 productos",'Pegar ML'!A727,'Pegar ML'!A729))</f>
        <v>0</v>
      </c>
      <c r="B733" s="27"/>
      <c r="C733" s="30" t="str">
        <f>IF(AjusteFecha!I729=0,"",AjusteFecha!I729)</f>
        <v/>
      </c>
      <c r="D733" s="27"/>
      <c r="E733" s="27"/>
      <c r="F733" s="27" t="str">
        <f>IF('Pegar ML'!C729="","",'Pegar ML'!C729)</f>
        <v/>
      </c>
      <c r="G733" s="27" t="str">
        <f>IF('Pegar ML'!G724="ARS","PS","PS")</f>
        <v>PS</v>
      </c>
      <c r="H733" s="14">
        <f>IF('Pegar ML'!C728="Paquete de 2 productos",IF('Pegar ML'!H728="",0,'Pegar ML'!H728),IF('Pegar ML'!H729="",0,'Pegar ML'!H729))</f>
        <v>0</v>
      </c>
      <c r="I733" s="14">
        <f>IF('Pegar ML'!C728="Paquete de 2 productos",IF('Pegar ML'!O728="",0,'Pegar ML'!O728),IF('Pegar ML'!O729="",0,'Pegar ML'!O729))</f>
        <v>0</v>
      </c>
      <c r="J733" s="14">
        <f>IF('Pegar ML'!C728="Paquete de 2 productos",IF('Pegar ML'!O728="",0,'Pegar ML'!O728),IF('Pegar ML'!O729="",0,'Pegar ML'!O729))</f>
        <v>0</v>
      </c>
      <c r="K733" s="14">
        <f t="shared" si="35"/>
        <v>0</v>
      </c>
      <c r="L733" s="27">
        <f>IF('Pegar ML'!AB729=" ",'Pegar ML'!AB728,'Pegar ML'!AB729)</f>
        <v>0</v>
      </c>
      <c r="M733" s="27" t="str">
        <f>IF('Pegar ML'!AC729=" ",RIGHT('Pegar ML'!AC728,8),RIGHT('Pegar ML'!AC729,8))</f>
        <v/>
      </c>
      <c r="N733" s="27" t="s">
        <v>80</v>
      </c>
      <c r="O733" s="27">
        <f t="shared" si="33"/>
        <v>0</v>
      </c>
      <c r="P733" s="27" t="s">
        <v>80</v>
      </c>
      <c r="Q733" s="55">
        <f>IF('Pegar ML'!AD729=" ",'Pegar ML'!AD728,'Pegar ML'!AD729)</f>
        <v>0</v>
      </c>
      <c r="R733" s="27" t="s">
        <v>80</v>
      </c>
      <c r="S733" s="27" t="s">
        <v>80</v>
      </c>
      <c r="T733" s="27" t="s">
        <v>80</v>
      </c>
      <c r="U733" s="55">
        <f>IF('Pegar ML'!AI729=" ",'Pegar ML'!AI728,'Pegar ML'!AI729)</f>
        <v>0</v>
      </c>
      <c r="V733" s="55">
        <f>IF('Pegar ML'!AK729=" ",'Pegar ML'!AK728,'Pegar ML'!AK729)</f>
        <v>0</v>
      </c>
      <c r="W733" s="55">
        <f>IF('Pegar ML'!AJ729=" ",'Pegar ML'!AJ728,'Pegar ML'!AJ729)</f>
        <v>0</v>
      </c>
      <c r="X733" s="55">
        <f>IF('Pegar ML'!AL729=" ",'Pegar ML'!AL728,'Pegar ML'!AL729)</f>
        <v>0</v>
      </c>
      <c r="Y733" s="27"/>
      <c r="Z733" s="27"/>
      <c r="AA733" s="27"/>
      <c r="AB733" s="27"/>
      <c r="AC733" s="27"/>
      <c r="AD733" s="27"/>
      <c r="AF733" s="8"/>
      <c r="AG733" s="27"/>
      <c r="AH733" s="14">
        <f>+'Pegar ML'!Y729</f>
        <v>0</v>
      </c>
      <c r="AI733" s="13">
        <f t="shared" si="34"/>
        <v>1</v>
      </c>
      <c r="AJ733" s="7">
        <f>+'Pegar ML'!T729</f>
        <v>0</v>
      </c>
      <c r="AK733" s="27"/>
      <c r="AL733" s="27"/>
      <c r="AM733" s="27"/>
      <c r="AN733" s="27"/>
      <c r="AO733" s="27"/>
      <c r="AP733" s="27"/>
      <c r="AQ733" s="27"/>
      <c r="AR733" s="27"/>
      <c r="AS733" s="27">
        <v>17</v>
      </c>
    </row>
    <row r="734" spans="1:45" ht="15" customHeight="1" x14ac:dyDescent="0.25">
      <c r="A734" s="27">
        <f>IF('Pegar ML'!C729="Paquete de 2 productos",'Pegar ML'!A729,IF('Pegar ML'!C728="Paquete de 2 productos",'Pegar ML'!A728,'Pegar ML'!A730))</f>
        <v>0</v>
      </c>
      <c r="B734" s="27"/>
      <c r="C734" s="30" t="str">
        <f>IF(AjusteFecha!I730=0,"",AjusteFecha!I730)</f>
        <v/>
      </c>
      <c r="D734" s="27"/>
      <c r="E734" s="27"/>
      <c r="F734" s="27" t="str">
        <f>IF('Pegar ML'!C730="","",'Pegar ML'!C730)</f>
        <v/>
      </c>
      <c r="G734" s="27" t="str">
        <f>IF('Pegar ML'!G725="ARS","PS","PS")</f>
        <v>PS</v>
      </c>
      <c r="H734" s="14">
        <f>IF('Pegar ML'!C729="Paquete de 2 productos",IF('Pegar ML'!H729="",0,'Pegar ML'!H729),IF('Pegar ML'!H730="",0,'Pegar ML'!H730))</f>
        <v>0</v>
      </c>
      <c r="I734" s="14">
        <f>IF('Pegar ML'!C729="Paquete de 2 productos",IF('Pegar ML'!O729="",0,'Pegar ML'!O729),IF('Pegar ML'!O730="",0,'Pegar ML'!O730))</f>
        <v>0</v>
      </c>
      <c r="J734" s="14">
        <f>IF('Pegar ML'!C729="Paquete de 2 productos",IF('Pegar ML'!O729="",0,'Pegar ML'!O729),IF('Pegar ML'!O730="",0,'Pegar ML'!O730))</f>
        <v>0</v>
      </c>
      <c r="K734" s="14">
        <f t="shared" si="35"/>
        <v>0</v>
      </c>
      <c r="L734" s="27">
        <f>IF('Pegar ML'!AB730=" ",'Pegar ML'!AB729,'Pegar ML'!AB730)</f>
        <v>0</v>
      </c>
      <c r="M734" s="27" t="str">
        <f>IF('Pegar ML'!AC730=" ",RIGHT('Pegar ML'!AC729,8),RIGHT('Pegar ML'!AC730,8))</f>
        <v/>
      </c>
      <c r="N734" s="27" t="s">
        <v>80</v>
      </c>
      <c r="O734" s="27">
        <f t="shared" si="33"/>
        <v>0</v>
      </c>
      <c r="P734" s="27" t="s">
        <v>80</v>
      </c>
      <c r="Q734" s="55">
        <f>IF('Pegar ML'!AD730=" ",'Pegar ML'!AD729,'Pegar ML'!AD730)</f>
        <v>0</v>
      </c>
      <c r="R734" s="27" t="s">
        <v>80</v>
      </c>
      <c r="S734" s="27" t="s">
        <v>80</v>
      </c>
      <c r="T734" s="27" t="s">
        <v>80</v>
      </c>
      <c r="U734" s="55">
        <f>IF('Pegar ML'!AI730=" ",'Pegar ML'!AI729,'Pegar ML'!AI730)</f>
        <v>0</v>
      </c>
      <c r="V734" s="55">
        <f>IF('Pegar ML'!AK730=" ",'Pegar ML'!AK729,'Pegar ML'!AK730)</f>
        <v>0</v>
      </c>
      <c r="W734" s="55">
        <f>IF('Pegar ML'!AJ730=" ",'Pegar ML'!AJ729,'Pegar ML'!AJ730)</f>
        <v>0</v>
      </c>
      <c r="X734" s="55">
        <f>IF('Pegar ML'!AL730=" ",'Pegar ML'!AL729,'Pegar ML'!AL730)</f>
        <v>0</v>
      </c>
      <c r="Y734" s="27"/>
      <c r="Z734" s="27"/>
      <c r="AA734" s="27"/>
      <c r="AB734" s="27"/>
      <c r="AC734" s="27"/>
      <c r="AD734" s="27"/>
      <c r="AF734" s="8"/>
      <c r="AG734" s="27"/>
      <c r="AH734" s="14">
        <f>+'Pegar ML'!Y730</f>
        <v>0</v>
      </c>
      <c r="AI734" s="13">
        <f t="shared" si="34"/>
        <v>1</v>
      </c>
      <c r="AJ734" s="7">
        <f>+'Pegar ML'!T730</f>
        <v>0</v>
      </c>
      <c r="AK734" s="27"/>
      <c r="AL734" s="27"/>
      <c r="AM734" s="27"/>
      <c r="AN734" s="27"/>
      <c r="AO734" s="27"/>
      <c r="AP734" s="27"/>
      <c r="AQ734" s="27"/>
      <c r="AR734" s="27"/>
      <c r="AS734" s="27">
        <v>17</v>
      </c>
    </row>
    <row r="735" spans="1:45" ht="15" customHeight="1" x14ac:dyDescent="0.25">
      <c r="A735" s="27">
        <f>IF('Pegar ML'!C730="Paquete de 2 productos",'Pegar ML'!A730,IF('Pegar ML'!C729="Paquete de 2 productos",'Pegar ML'!A729,'Pegar ML'!A731))</f>
        <v>0</v>
      </c>
      <c r="B735" s="27"/>
      <c r="C735" s="30" t="str">
        <f>IF(AjusteFecha!I731=0,"",AjusteFecha!I731)</f>
        <v/>
      </c>
      <c r="D735" s="27"/>
      <c r="E735" s="27"/>
      <c r="F735" s="27" t="str">
        <f>IF('Pegar ML'!C731="","",'Pegar ML'!C731)</f>
        <v/>
      </c>
      <c r="G735" s="27" t="str">
        <f>IF('Pegar ML'!G726="ARS","PS","PS")</f>
        <v>PS</v>
      </c>
      <c r="H735" s="14">
        <f>IF('Pegar ML'!C730="Paquete de 2 productos",IF('Pegar ML'!H730="",0,'Pegar ML'!H730),IF('Pegar ML'!H731="",0,'Pegar ML'!H731))</f>
        <v>0</v>
      </c>
      <c r="I735" s="14">
        <f>IF('Pegar ML'!C730="Paquete de 2 productos",IF('Pegar ML'!O730="",0,'Pegar ML'!O730),IF('Pegar ML'!O731="",0,'Pegar ML'!O731))</f>
        <v>0</v>
      </c>
      <c r="J735" s="14">
        <f>IF('Pegar ML'!C730="Paquete de 2 productos",IF('Pegar ML'!O730="",0,'Pegar ML'!O730),IF('Pegar ML'!O731="",0,'Pegar ML'!O731))</f>
        <v>0</v>
      </c>
      <c r="K735" s="14">
        <f t="shared" si="35"/>
        <v>0</v>
      </c>
      <c r="L735" s="27">
        <f>IF('Pegar ML'!AB731=" ",'Pegar ML'!AB730,'Pegar ML'!AB731)</f>
        <v>0</v>
      </c>
      <c r="M735" s="27" t="str">
        <f>IF('Pegar ML'!AC731=" ",RIGHT('Pegar ML'!AC730,8),RIGHT('Pegar ML'!AC731,8))</f>
        <v/>
      </c>
      <c r="N735" s="27" t="s">
        <v>80</v>
      </c>
      <c r="O735" s="27">
        <f t="shared" si="33"/>
        <v>0</v>
      </c>
      <c r="P735" s="27" t="s">
        <v>80</v>
      </c>
      <c r="Q735" s="55">
        <f>IF('Pegar ML'!AD731=" ",'Pegar ML'!AD730,'Pegar ML'!AD731)</f>
        <v>0</v>
      </c>
      <c r="R735" s="27" t="s">
        <v>80</v>
      </c>
      <c r="S735" s="27" t="s">
        <v>80</v>
      </c>
      <c r="T735" s="27" t="s">
        <v>80</v>
      </c>
      <c r="U735" s="55">
        <f>IF('Pegar ML'!AI731=" ",'Pegar ML'!AI730,'Pegar ML'!AI731)</f>
        <v>0</v>
      </c>
      <c r="V735" s="55">
        <f>IF('Pegar ML'!AK731=" ",'Pegar ML'!AK730,'Pegar ML'!AK731)</f>
        <v>0</v>
      </c>
      <c r="W735" s="55">
        <f>IF('Pegar ML'!AJ731=" ",'Pegar ML'!AJ730,'Pegar ML'!AJ731)</f>
        <v>0</v>
      </c>
      <c r="X735" s="55">
        <f>IF('Pegar ML'!AL731=" ",'Pegar ML'!AL730,'Pegar ML'!AL731)</f>
        <v>0</v>
      </c>
      <c r="Y735" s="27"/>
      <c r="Z735" s="27"/>
      <c r="AA735" s="27"/>
      <c r="AB735" s="27"/>
      <c r="AC735" s="27"/>
      <c r="AD735" s="27"/>
      <c r="AF735" s="8"/>
      <c r="AG735" s="27"/>
      <c r="AH735" s="14">
        <f>+'Pegar ML'!Y731</f>
        <v>0</v>
      </c>
      <c r="AI735" s="13">
        <f t="shared" si="34"/>
        <v>1</v>
      </c>
      <c r="AJ735" s="7">
        <f>+'Pegar ML'!T731</f>
        <v>0</v>
      </c>
      <c r="AK735" s="27"/>
      <c r="AL735" s="27"/>
      <c r="AM735" s="27"/>
      <c r="AN735" s="27"/>
      <c r="AO735" s="27"/>
      <c r="AP735" s="27"/>
      <c r="AQ735" s="27"/>
      <c r="AR735" s="27"/>
      <c r="AS735" s="27">
        <v>17</v>
      </c>
    </row>
    <row r="736" spans="1:45" ht="15" customHeight="1" x14ac:dyDescent="0.25">
      <c r="A736" s="27">
        <f>IF('Pegar ML'!C731="Paquete de 2 productos",'Pegar ML'!A731,IF('Pegar ML'!C730="Paquete de 2 productos",'Pegar ML'!A730,'Pegar ML'!A732))</f>
        <v>0</v>
      </c>
      <c r="B736" s="27"/>
      <c r="C736" s="30" t="str">
        <f>IF(AjusteFecha!I732=0,"",AjusteFecha!I732)</f>
        <v/>
      </c>
      <c r="D736" s="27"/>
      <c r="E736" s="27"/>
      <c r="F736" s="27" t="str">
        <f>IF('Pegar ML'!C732="","",'Pegar ML'!C732)</f>
        <v/>
      </c>
      <c r="G736" s="27" t="str">
        <f>IF('Pegar ML'!G727="ARS","PS","PS")</f>
        <v>PS</v>
      </c>
      <c r="H736" s="14">
        <f>IF('Pegar ML'!C731="Paquete de 2 productos",IF('Pegar ML'!H731="",0,'Pegar ML'!H731),IF('Pegar ML'!H732="",0,'Pegar ML'!H732))</f>
        <v>0</v>
      </c>
      <c r="I736" s="14">
        <f>IF('Pegar ML'!C731="Paquete de 2 productos",IF('Pegar ML'!O731="",0,'Pegar ML'!O731),IF('Pegar ML'!O732="",0,'Pegar ML'!O732))</f>
        <v>0</v>
      </c>
      <c r="J736" s="14">
        <f>IF('Pegar ML'!C731="Paquete de 2 productos",IF('Pegar ML'!O731="",0,'Pegar ML'!O731),IF('Pegar ML'!O732="",0,'Pegar ML'!O732))</f>
        <v>0</v>
      </c>
      <c r="K736" s="14">
        <f t="shared" si="35"/>
        <v>0</v>
      </c>
      <c r="L736" s="27">
        <f>IF('Pegar ML'!AB732=" ",'Pegar ML'!AB731,'Pegar ML'!AB732)</f>
        <v>0</v>
      </c>
      <c r="M736" s="27" t="str">
        <f>IF('Pegar ML'!AC732=" ",RIGHT('Pegar ML'!AC731,8),RIGHT('Pegar ML'!AC732,8))</f>
        <v/>
      </c>
      <c r="N736" s="27" t="s">
        <v>80</v>
      </c>
      <c r="O736" s="27">
        <f t="shared" si="33"/>
        <v>0</v>
      </c>
      <c r="P736" s="27" t="s">
        <v>80</v>
      </c>
      <c r="Q736" s="55">
        <f>IF('Pegar ML'!AD732=" ",'Pegar ML'!AD731,'Pegar ML'!AD732)</f>
        <v>0</v>
      </c>
      <c r="R736" s="27" t="s">
        <v>80</v>
      </c>
      <c r="S736" s="27" t="s">
        <v>80</v>
      </c>
      <c r="T736" s="27" t="s">
        <v>80</v>
      </c>
      <c r="U736" s="55">
        <f>IF('Pegar ML'!AI732=" ",'Pegar ML'!AI731,'Pegar ML'!AI732)</f>
        <v>0</v>
      </c>
      <c r="V736" s="55">
        <f>IF('Pegar ML'!AK732=" ",'Pegar ML'!AK731,'Pegar ML'!AK732)</f>
        <v>0</v>
      </c>
      <c r="W736" s="55">
        <f>IF('Pegar ML'!AJ732=" ",'Pegar ML'!AJ731,'Pegar ML'!AJ732)</f>
        <v>0</v>
      </c>
      <c r="X736" s="55">
        <f>IF('Pegar ML'!AL732=" ",'Pegar ML'!AL731,'Pegar ML'!AL732)</f>
        <v>0</v>
      </c>
      <c r="Y736" s="27"/>
      <c r="Z736" s="27"/>
      <c r="AA736" s="27"/>
      <c r="AB736" s="27"/>
      <c r="AC736" s="27"/>
      <c r="AD736" s="27"/>
      <c r="AF736" s="8"/>
      <c r="AG736" s="27"/>
      <c r="AH736" s="14">
        <f>+'Pegar ML'!Y732</f>
        <v>0</v>
      </c>
      <c r="AI736" s="13">
        <f t="shared" si="34"/>
        <v>1</v>
      </c>
      <c r="AJ736" s="7">
        <f>+'Pegar ML'!T732</f>
        <v>0</v>
      </c>
      <c r="AK736" s="27"/>
      <c r="AL736" s="27"/>
      <c r="AM736" s="27"/>
      <c r="AN736" s="27"/>
      <c r="AO736" s="27"/>
      <c r="AP736" s="27"/>
      <c r="AQ736" s="27"/>
      <c r="AR736" s="27"/>
      <c r="AS736" s="27">
        <v>17</v>
      </c>
    </row>
    <row r="737" spans="1:45" ht="15" customHeight="1" x14ac:dyDescent="0.25">
      <c r="A737" s="27">
        <f>IF('Pegar ML'!C732="Paquete de 2 productos",'Pegar ML'!A732,IF('Pegar ML'!C731="Paquete de 2 productos",'Pegar ML'!A731,'Pegar ML'!A733))</f>
        <v>0</v>
      </c>
      <c r="B737" s="27"/>
      <c r="C737" s="30" t="str">
        <f>IF(AjusteFecha!I733=0,"",AjusteFecha!I733)</f>
        <v/>
      </c>
      <c r="D737" s="27"/>
      <c r="E737" s="27"/>
      <c r="F737" s="27" t="str">
        <f>IF('Pegar ML'!C733="","",'Pegar ML'!C733)</f>
        <v/>
      </c>
      <c r="G737" s="27" t="str">
        <f>IF('Pegar ML'!G728="ARS","PS","PS")</f>
        <v>PS</v>
      </c>
      <c r="H737" s="14">
        <f>IF('Pegar ML'!C732="Paquete de 2 productos",IF('Pegar ML'!H732="",0,'Pegar ML'!H732),IF('Pegar ML'!H733="",0,'Pegar ML'!H733))</f>
        <v>0</v>
      </c>
      <c r="I737" s="14">
        <f>IF('Pegar ML'!C732="Paquete de 2 productos",IF('Pegar ML'!O732="",0,'Pegar ML'!O732),IF('Pegar ML'!O733="",0,'Pegar ML'!O733))</f>
        <v>0</v>
      </c>
      <c r="J737" s="14">
        <f>IF('Pegar ML'!C732="Paquete de 2 productos",IF('Pegar ML'!O732="",0,'Pegar ML'!O732),IF('Pegar ML'!O733="",0,'Pegar ML'!O733))</f>
        <v>0</v>
      </c>
      <c r="K737" s="14">
        <f t="shared" si="35"/>
        <v>0</v>
      </c>
      <c r="L737" s="27">
        <f>IF('Pegar ML'!AB733=" ",'Pegar ML'!AB732,'Pegar ML'!AB733)</f>
        <v>0</v>
      </c>
      <c r="M737" s="27" t="str">
        <f>IF('Pegar ML'!AC733=" ",RIGHT('Pegar ML'!AC732,8),RIGHT('Pegar ML'!AC733,8))</f>
        <v/>
      </c>
      <c r="N737" s="27" t="s">
        <v>80</v>
      </c>
      <c r="O737" s="27">
        <f t="shared" si="33"/>
        <v>0</v>
      </c>
      <c r="P737" s="27" t="s">
        <v>80</v>
      </c>
      <c r="Q737" s="55">
        <f>IF('Pegar ML'!AD733=" ",'Pegar ML'!AD732,'Pegar ML'!AD733)</f>
        <v>0</v>
      </c>
      <c r="R737" s="27" t="s">
        <v>80</v>
      </c>
      <c r="S737" s="27" t="s">
        <v>80</v>
      </c>
      <c r="T737" s="27" t="s">
        <v>80</v>
      </c>
      <c r="U737" s="55">
        <f>IF('Pegar ML'!AI733=" ",'Pegar ML'!AI732,'Pegar ML'!AI733)</f>
        <v>0</v>
      </c>
      <c r="V737" s="55">
        <f>IF('Pegar ML'!AK733=" ",'Pegar ML'!AK732,'Pegar ML'!AK733)</f>
        <v>0</v>
      </c>
      <c r="W737" s="55">
        <f>IF('Pegar ML'!AJ733=" ",'Pegar ML'!AJ732,'Pegar ML'!AJ733)</f>
        <v>0</v>
      </c>
      <c r="X737" s="55">
        <f>IF('Pegar ML'!AL733=" ",'Pegar ML'!AL732,'Pegar ML'!AL733)</f>
        <v>0</v>
      </c>
      <c r="Y737" s="27"/>
      <c r="Z737" s="27"/>
      <c r="AA737" s="27"/>
      <c r="AB737" s="27"/>
      <c r="AC737" s="27"/>
      <c r="AD737" s="27"/>
      <c r="AF737" s="8"/>
      <c r="AG737" s="27"/>
      <c r="AH737" s="14">
        <f>+'Pegar ML'!Y733</f>
        <v>0</v>
      </c>
      <c r="AI737" s="13">
        <f t="shared" si="34"/>
        <v>1</v>
      </c>
      <c r="AJ737" s="7">
        <f>+'Pegar ML'!T733</f>
        <v>0</v>
      </c>
      <c r="AK737" s="27"/>
      <c r="AL737" s="27"/>
      <c r="AM737" s="27"/>
      <c r="AN737" s="27"/>
      <c r="AO737" s="27"/>
      <c r="AP737" s="27"/>
      <c r="AQ737" s="27"/>
      <c r="AR737" s="27"/>
      <c r="AS737" s="27">
        <v>17</v>
      </c>
    </row>
    <row r="738" spans="1:45" ht="15" customHeight="1" x14ac:dyDescent="0.25">
      <c r="A738" s="27">
        <f>IF('Pegar ML'!C733="Paquete de 2 productos",'Pegar ML'!A733,IF('Pegar ML'!C732="Paquete de 2 productos",'Pegar ML'!A732,'Pegar ML'!A734))</f>
        <v>0</v>
      </c>
      <c r="B738" s="27"/>
      <c r="C738" s="30" t="str">
        <f>IF(AjusteFecha!I734=0,"",AjusteFecha!I734)</f>
        <v/>
      </c>
      <c r="D738" s="27"/>
      <c r="E738" s="27"/>
      <c r="F738" s="27" t="str">
        <f>IF('Pegar ML'!C734="","",'Pegar ML'!C734)</f>
        <v/>
      </c>
      <c r="G738" s="27" t="str">
        <f>IF('Pegar ML'!G729="ARS","PS","PS")</f>
        <v>PS</v>
      </c>
      <c r="H738" s="14">
        <f>IF('Pegar ML'!C733="Paquete de 2 productos",IF('Pegar ML'!H733="",0,'Pegar ML'!H733),IF('Pegar ML'!H734="",0,'Pegar ML'!H734))</f>
        <v>0</v>
      </c>
      <c r="I738" s="14">
        <f>IF('Pegar ML'!C733="Paquete de 2 productos",IF('Pegar ML'!O733="",0,'Pegar ML'!O733),IF('Pegar ML'!O734="",0,'Pegar ML'!O734))</f>
        <v>0</v>
      </c>
      <c r="J738" s="14">
        <f>IF('Pegar ML'!C733="Paquete de 2 productos",IF('Pegar ML'!O733="",0,'Pegar ML'!O733),IF('Pegar ML'!O734="",0,'Pegar ML'!O734))</f>
        <v>0</v>
      </c>
      <c r="K738" s="14">
        <f t="shared" si="35"/>
        <v>0</v>
      </c>
      <c r="L738" s="27">
        <f>IF('Pegar ML'!AB734=" ",'Pegar ML'!AB733,'Pegar ML'!AB734)</f>
        <v>0</v>
      </c>
      <c r="M738" s="27" t="str">
        <f>IF('Pegar ML'!AC734=" ",RIGHT('Pegar ML'!AC733,8),RIGHT('Pegar ML'!AC734,8))</f>
        <v/>
      </c>
      <c r="N738" s="27" t="s">
        <v>80</v>
      </c>
      <c r="O738" s="27">
        <f t="shared" si="33"/>
        <v>0</v>
      </c>
      <c r="P738" s="27" t="s">
        <v>80</v>
      </c>
      <c r="Q738" s="55">
        <f>IF('Pegar ML'!AD734=" ",'Pegar ML'!AD733,'Pegar ML'!AD734)</f>
        <v>0</v>
      </c>
      <c r="R738" s="27" t="s">
        <v>80</v>
      </c>
      <c r="S738" s="27" t="s">
        <v>80</v>
      </c>
      <c r="T738" s="27" t="s">
        <v>80</v>
      </c>
      <c r="U738" s="55">
        <f>IF('Pegar ML'!AI734=" ",'Pegar ML'!AI733,'Pegar ML'!AI734)</f>
        <v>0</v>
      </c>
      <c r="V738" s="55">
        <f>IF('Pegar ML'!AK734=" ",'Pegar ML'!AK733,'Pegar ML'!AK734)</f>
        <v>0</v>
      </c>
      <c r="W738" s="55">
        <f>IF('Pegar ML'!AJ734=" ",'Pegar ML'!AJ733,'Pegar ML'!AJ734)</f>
        <v>0</v>
      </c>
      <c r="X738" s="55">
        <f>IF('Pegar ML'!AL734=" ",'Pegar ML'!AL733,'Pegar ML'!AL734)</f>
        <v>0</v>
      </c>
      <c r="Y738" s="27"/>
      <c r="Z738" s="27"/>
      <c r="AA738" s="27"/>
      <c r="AB738" s="27"/>
      <c r="AC738" s="27"/>
      <c r="AD738" s="27"/>
      <c r="AF738" s="8"/>
      <c r="AG738" s="27"/>
      <c r="AH738" s="14">
        <f>+'Pegar ML'!Y734</f>
        <v>0</v>
      </c>
      <c r="AI738" s="13">
        <f t="shared" si="34"/>
        <v>1</v>
      </c>
      <c r="AJ738" s="7">
        <f>+'Pegar ML'!T734</f>
        <v>0</v>
      </c>
      <c r="AK738" s="27"/>
      <c r="AL738" s="27"/>
      <c r="AM738" s="27"/>
      <c r="AN738" s="27"/>
      <c r="AO738" s="27"/>
      <c r="AP738" s="27"/>
      <c r="AQ738" s="27"/>
      <c r="AR738" s="27"/>
      <c r="AS738" s="27">
        <v>17</v>
      </c>
    </row>
    <row r="739" spans="1:45" ht="15" customHeight="1" x14ac:dyDescent="0.25">
      <c r="A739" s="27">
        <f>IF('Pegar ML'!C734="Paquete de 2 productos",'Pegar ML'!A734,IF('Pegar ML'!C733="Paquete de 2 productos",'Pegar ML'!A733,'Pegar ML'!A735))</f>
        <v>0</v>
      </c>
      <c r="B739" s="27"/>
      <c r="C739" s="30" t="str">
        <f>IF(AjusteFecha!I735=0,"",AjusteFecha!I735)</f>
        <v/>
      </c>
      <c r="D739" s="27"/>
      <c r="E739" s="27"/>
      <c r="F739" s="27" t="str">
        <f>IF('Pegar ML'!C735="","",'Pegar ML'!C735)</f>
        <v/>
      </c>
      <c r="G739" s="27" t="str">
        <f>IF('Pegar ML'!G730="ARS","PS","PS")</f>
        <v>PS</v>
      </c>
      <c r="H739" s="14">
        <f>IF('Pegar ML'!C734="Paquete de 2 productos",IF('Pegar ML'!H734="",0,'Pegar ML'!H734),IF('Pegar ML'!H735="",0,'Pegar ML'!H735))</f>
        <v>0</v>
      </c>
      <c r="I739" s="14">
        <f>IF('Pegar ML'!C734="Paquete de 2 productos",IF('Pegar ML'!O734="",0,'Pegar ML'!O734),IF('Pegar ML'!O735="",0,'Pegar ML'!O735))</f>
        <v>0</v>
      </c>
      <c r="J739" s="14">
        <f>IF('Pegar ML'!C734="Paquete de 2 productos",IF('Pegar ML'!O734="",0,'Pegar ML'!O734),IF('Pegar ML'!O735="",0,'Pegar ML'!O735))</f>
        <v>0</v>
      </c>
      <c r="K739" s="14">
        <f t="shared" si="35"/>
        <v>0</v>
      </c>
      <c r="L739" s="27">
        <f>IF('Pegar ML'!AB735=" ",'Pegar ML'!AB734,'Pegar ML'!AB735)</f>
        <v>0</v>
      </c>
      <c r="M739" s="27" t="str">
        <f>IF('Pegar ML'!AC735=" ",RIGHT('Pegar ML'!AC734,8),RIGHT('Pegar ML'!AC735,8))</f>
        <v/>
      </c>
      <c r="N739" s="27" t="s">
        <v>80</v>
      </c>
      <c r="O739" s="27">
        <f t="shared" si="33"/>
        <v>0</v>
      </c>
      <c r="P739" s="27" t="s">
        <v>80</v>
      </c>
      <c r="Q739" s="55">
        <f>IF('Pegar ML'!AD735=" ",'Pegar ML'!AD734,'Pegar ML'!AD735)</f>
        <v>0</v>
      </c>
      <c r="R739" s="27" t="s">
        <v>80</v>
      </c>
      <c r="S739" s="27" t="s">
        <v>80</v>
      </c>
      <c r="T739" s="27" t="s">
        <v>80</v>
      </c>
      <c r="U739" s="55">
        <f>IF('Pegar ML'!AI735=" ",'Pegar ML'!AI734,'Pegar ML'!AI735)</f>
        <v>0</v>
      </c>
      <c r="V739" s="55">
        <f>IF('Pegar ML'!AK735=" ",'Pegar ML'!AK734,'Pegar ML'!AK735)</f>
        <v>0</v>
      </c>
      <c r="W739" s="55">
        <f>IF('Pegar ML'!AJ735=" ",'Pegar ML'!AJ734,'Pegar ML'!AJ735)</f>
        <v>0</v>
      </c>
      <c r="X739" s="55">
        <f>IF('Pegar ML'!AL735=" ",'Pegar ML'!AL734,'Pegar ML'!AL735)</f>
        <v>0</v>
      </c>
      <c r="Y739" s="27"/>
      <c r="Z739" s="27"/>
      <c r="AA739" s="27"/>
      <c r="AB739" s="27"/>
      <c r="AC739" s="27"/>
      <c r="AD739" s="27"/>
      <c r="AF739" s="8"/>
      <c r="AG739" s="27"/>
      <c r="AH739" s="14">
        <f>+'Pegar ML'!Y735</f>
        <v>0</v>
      </c>
      <c r="AI739" s="13">
        <f t="shared" si="34"/>
        <v>1</v>
      </c>
      <c r="AJ739" s="7">
        <f>+'Pegar ML'!T735</f>
        <v>0</v>
      </c>
      <c r="AK739" s="27"/>
      <c r="AL739" s="27"/>
      <c r="AM739" s="27"/>
      <c r="AN739" s="27"/>
      <c r="AO739" s="27"/>
      <c r="AP739" s="27"/>
      <c r="AQ739" s="27"/>
      <c r="AR739" s="27"/>
      <c r="AS739" s="27">
        <v>17</v>
      </c>
    </row>
    <row r="740" spans="1:45" ht="15" customHeight="1" x14ac:dyDescent="0.25">
      <c r="A740" s="27">
        <f>IF('Pegar ML'!C735="Paquete de 2 productos",'Pegar ML'!A735,IF('Pegar ML'!C734="Paquete de 2 productos",'Pegar ML'!A734,'Pegar ML'!A736))</f>
        <v>0</v>
      </c>
      <c r="B740" s="27"/>
      <c r="C740" s="30" t="str">
        <f>IF(AjusteFecha!I736=0,"",AjusteFecha!I736)</f>
        <v/>
      </c>
      <c r="D740" s="27"/>
      <c r="E740" s="27"/>
      <c r="F740" s="27" t="str">
        <f>IF('Pegar ML'!C736="","",'Pegar ML'!C736)</f>
        <v/>
      </c>
      <c r="G740" s="27" t="str">
        <f>IF('Pegar ML'!G731="ARS","PS","PS")</f>
        <v>PS</v>
      </c>
      <c r="H740" s="14">
        <f>IF('Pegar ML'!C735="Paquete de 2 productos",IF('Pegar ML'!H735="",0,'Pegar ML'!H735),IF('Pegar ML'!H736="",0,'Pegar ML'!H736))</f>
        <v>0</v>
      </c>
      <c r="I740" s="14">
        <f>IF('Pegar ML'!C735="Paquete de 2 productos",IF('Pegar ML'!O735="",0,'Pegar ML'!O735),IF('Pegar ML'!O736="",0,'Pegar ML'!O736))</f>
        <v>0</v>
      </c>
      <c r="J740" s="14">
        <f>IF('Pegar ML'!C735="Paquete de 2 productos",IF('Pegar ML'!O735="",0,'Pegar ML'!O735),IF('Pegar ML'!O736="",0,'Pegar ML'!O736))</f>
        <v>0</v>
      </c>
      <c r="K740" s="14">
        <f t="shared" si="35"/>
        <v>0</v>
      </c>
      <c r="L740" s="27">
        <f>IF('Pegar ML'!AB736=" ",'Pegar ML'!AB735,'Pegar ML'!AB736)</f>
        <v>0</v>
      </c>
      <c r="M740" s="27" t="str">
        <f>IF('Pegar ML'!AC736=" ",RIGHT('Pegar ML'!AC735,8),RIGHT('Pegar ML'!AC736,8))</f>
        <v/>
      </c>
      <c r="N740" s="27" t="s">
        <v>80</v>
      </c>
      <c r="O740" s="27">
        <f t="shared" si="33"/>
        <v>0</v>
      </c>
      <c r="P740" s="27" t="s">
        <v>80</v>
      </c>
      <c r="Q740" s="55">
        <f>IF('Pegar ML'!AD736=" ",'Pegar ML'!AD735,'Pegar ML'!AD736)</f>
        <v>0</v>
      </c>
      <c r="R740" s="27" t="s">
        <v>80</v>
      </c>
      <c r="S740" s="27" t="s">
        <v>80</v>
      </c>
      <c r="T740" s="27" t="s">
        <v>80</v>
      </c>
      <c r="U740" s="55">
        <f>IF('Pegar ML'!AI736=" ",'Pegar ML'!AI735,'Pegar ML'!AI736)</f>
        <v>0</v>
      </c>
      <c r="V740" s="55">
        <f>IF('Pegar ML'!AK736=" ",'Pegar ML'!AK735,'Pegar ML'!AK736)</f>
        <v>0</v>
      </c>
      <c r="W740" s="55">
        <f>IF('Pegar ML'!AJ736=" ",'Pegar ML'!AJ735,'Pegar ML'!AJ736)</f>
        <v>0</v>
      </c>
      <c r="X740" s="55">
        <f>IF('Pegar ML'!AL736=" ",'Pegar ML'!AL735,'Pegar ML'!AL736)</f>
        <v>0</v>
      </c>
      <c r="Y740" s="27"/>
      <c r="Z740" s="27"/>
      <c r="AA740" s="27"/>
      <c r="AB740" s="27"/>
      <c r="AC740" s="27"/>
      <c r="AD740" s="27"/>
      <c r="AF740" s="8"/>
      <c r="AG740" s="27"/>
      <c r="AH740" s="14">
        <f>+'Pegar ML'!Y736</f>
        <v>0</v>
      </c>
      <c r="AI740" s="13">
        <f t="shared" si="34"/>
        <v>1</v>
      </c>
      <c r="AJ740" s="7">
        <f>+'Pegar ML'!T736</f>
        <v>0</v>
      </c>
      <c r="AK740" s="27"/>
      <c r="AL740" s="27"/>
      <c r="AM740" s="27"/>
      <c r="AN740" s="27"/>
      <c r="AO740" s="27"/>
      <c r="AP740" s="27"/>
      <c r="AQ740" s="27"/>
      <c r="AR740" s="27"/>
      <c r="AS740" s="27">
        <v>17</v>
      </c>
    </row>
    <row r="741" spans="1:45" ht="15" customHeight="1" x14ac:dyDescent="0.25">
      <c r="A741" s="27">
        <f>IF('Pegar ML'!C736="Paquete de 2 productos",'Pegar ML'!A736,IF('Pegar ML'!C735="Paquete de 2 productos",'Pegar ML'!A735,'Pegar ML'!A737))</f>
        <v>0</v>
      </c>
      <c r="B741" s="27"/>
      <c r="C741" s="30" t="str">
        <f>IF(AjusteFecha!I737=0,"",AjusteFecha!I737)</f>
        <v/>
      </c>
      <c r="D741" s="27"/>
      <c r="E741" s="27"/>
      <c r="F741" s="27" t="str">
        <f>IF('Pegar ML'!C737="","",'Pegar ML'!C737)</f>
        <v/>
      </c>
      <c r="G741" s="27" t="str">
        <f>IF('Pegar ML'!G732="ARS","PS","PS")</f>
        <v>PS</v>
      </c>
      <c r="H741" s="14">
        <f>IF('Pegar ML'!C736="Paquete de 2 productos",IF('Pegar ML'!H736="",0,'Pegar ML'!H736),IF('Pegar ML'!H737="",0,'Pegar ML'!H737))</f>
        <v>0</v>
      </c>
      <c r="I741" s="14">
        <f>IF('Pegar ML'!C736="Paquete de 2 productos",IF('Pegar ML'!O736="",0,'Pegar ML'!O736),IF('Pegar ML'!O737="",0,'Pegar ML'!O737))</f>
        <v>0</v>
      </c>
      <c r="J741" s="14">
        <f>IF('Pegar ML'!C736="Paquete de 2 productos",IF('Pegar ML'!O736="",0,'Pegar ML'!O736),IF('Pegar ML'!O737="",0,'Pegar ML'!O737))</f>
        <v>0</v>
      </c>
      <c r="K741" s="14">
        <f t="shared" si="35"/>
        <v>0</v>
      </c>
      <c r="L741" s="27">
        <f>IF('Pegar ML'!AB737=" ",'Pegar ML'!AB736,'Pegar ML'!AB737)</f>
        <v>0</v>
      </c>
      <c r="M741" s="27" t="str">
        <f>IF('Pegar ML'!AC737=" ",RIGHT('Pegar ML'!AC736,8),RIGHT('Pegar ML'!AC737,8))</f>
        <v/>
      </c>
      <c r="N741" s="27" t="s">
        <v>80</v>
      </c>
      <c r="O741" s="27">
        <f t="shared" si="33"/>
        <v>0</v>
      </c>
      <c r="P741" s="27" t="s">
        <v>80</v>
      </c>
      <c r="Q741" s="55">
        <f>IF('Pegar ML'!AD737=" ",'Pegar ML'!AD736,'Pegar ML'!AD737)</f>
        <v>0</v>
      </c>
      <c r="R741" s="27" t="s">
        <v>80</v>
      </c>
      <c r="S741" s="27" t="s">
        <v>80</v>
      </c>
      <c r="T741" s="27" t="s">
        <v>80</v>
      </c>
      <c r="U741" s="55">
        <f>IF('Pegar ML'!AI737=" ",'Pegar ML'!AI736,'Pegar ML'!AI737)</f>
        <v>0</v>
      </c>
      <c r="V741" s="55">
        <f>IF('Pegar ML'!AK737=" ",'Pegar ML'!AK736,'Pegar ML'!AK737)</f>
        <v>0</v>
      </c>
      <c r="W741" s="55">
        <f>IF('Pegar ML'!AJ737=" ",'Pegar ML'!AJ736,'Pegar ML'!AJ737)</f>
        <v>0</v>
      </c>
      <c r="X741" s="55">
        <f>IF('Pegar ML'!AL737=" ",'Pegar ML'!AL736,'Pegar ML'!AL737)</f>
        <v>0</v>
      </c>
      <c r="Y741" s="27"/>
      <c r="Z741" s="27"/>
      <c r="AA741" s="27"/>
      <c r="AB741" s="27"/>
      <c r="AC741" s="27"/>
      <c r="AD741" s="27"/>
      <c r="AF741" s="8"/>
      <c r="AG741" s="27"/>
      <c r="AH741" s="14">
        <f>+'Pegar ML'!Y737</f>
        <v>0</v>
      </c>
      <c r="AI741" s="13">
        <f t="shared" si="34"/>
        <v>1</v>
      </c>
      <c r="AJ741" s="7">
        <f>+'Pegar ML'!T737</f>
        <v>0</v>
      </c>
      <c r="AK741" s="27"/>
      <c r="AL741" s="27"/>
      <c r="AM741" s="27"/>
      <c r="AN741" s="27"/>
      <c r="AO741" s="27"/>
      <c r="AP741" s="27"/>
      <c r="AQ741" s="27"/>
      <c r="AR741" s="27"/>
      <c r="AS741" s="27">
        <v>17</v>
      </c>
    </row>
    <row r="742" spans="1:45" ht="15" customHeight="1" x14ac:dyDescent="0.25">
      <c r="A742" s="27">
        <f>IF('Pegar ML'!C737="Paquete de 2 productos",'Pegar ML'!A737,IF('Pegar ML'!C736="Paquete de 2 productos",'Pegar ML'!A736,'Pegar ML'!A738))</f>
        <v>0</v>
      </c>
      <c r="B742" s="27"/>
      <c r="C742" s="30" t="str">
        <f>IF(AjusteFecha!I738=0,"",AjusteFecha!I738)</f>
        <v/>
      </c>
      <c r="D742" s="27"/>
      <c r="E742" s="27"/>
      <c r="F742" s="27" t="str">
        <f>IF('Pegar ML'!C738="","",'Pegar ML'!C738)</f>
        <v/>
      </c>
      <c r="G742" s="27" t="str">
        <f>IF('Pegar ML'!G733="ARS","PS","PS")</f>
        <v>PS</v>
      </c>
      <c r="H742" s="14">
        <f>IF('Pegar ML'!C737="Paquete de 2 productos",IF('Pegar ML'!H737="",0,'Pegar ML'!H737),IF('Pegar ML'!H738="",0,'Pegar ML'!H738))</f>
        <v>0</v>
      </c>
      <c r="I742" s="14">
        <f>IF('Pegar ML'!C737="Paquete de 2 productos",IF('Pegar ML'!O737="",0,'Pegar ML'!O737),IF('Pegar ML'!O738="",0,'Pegar ML'!O738))</f>
        <v>0</v>
      </c>
      <c r="J742" s="14">
        <f>IF('Pegar ML'!C737="Paquete de 2 productos",IF('Pegar ML'!O737="",0,'Pegar ML'!O737),IF('Pegar ML'!O738="",0,'Pegar ML'!O738))</f>
        <v>0</v>
      </c>
      <c r="K742" s="14">
        <f t="shared" si="35"/>
        <v>0</v>
      </c>
      <c r="L742" s="27">
        <f>IF('Pegar ML'!AB738=" ",'Pegar ML'!AB737,'Pegar ML'!AB738)</f>
        <v>0</v>
      </c>
      <c r="M742" s="27" t="str">
        <f>IF('Pegar ML'!AC738=" ",RIGHT('Pegar ML'!AC737,8),RIGHT('Pegar ML'!AC738,8))</f>
        <v/>
      </c>
      <c r="N742" s="27" t="s">
        <v>80</v>
      </c>
      <c r="O742" s="27">
        <f t="shared" si="33"/>
        <v>0</v>
      </c>
      <c r="P742" s="27" t="s">
        <v>80</v>
      </c>
      <c r="Q742" s="55">
        <f>IF('Pegar ML'!AD738=" ",'Pegar ML'!AD737,'Pegar ML'!AD738)</f>
        <v>0</v>
      </c>
      <c r="R742" s="27" t="s">
        <v>80</v>
      </c>
      <c r="S742" s="27" t="s">
        <v>80</v>
      </c>
      <c r="T742" s="27" t="s">
        <v>80</v>
      </c>
      <c r="U742" s="55">
        <f>IF('Pegar ML'!AI738=" ",'Pegar ML'!AI737,'Pegar ML'!AI738)</f>
        <v>0</v>
      </c>
      <c r="V742" s="55">
        <f>IF('Pegar ML'!AK738=" ",'Pegar ML'!AK737,'Pegar ML'!AK738)</f>
        <v>0</v>
      </c>
      <c r="W742" s="55">
        <f>IF('Pegar ML'!AJ738=" ",'Pegar ML'!AJ737,'Pegar ML'!AJ738)</f>
        <v>0</v>
      </c>
      <c r="X742" s="55">
        <f>IF('Pegar ML'!AL738=" ",'Pegar ML'!AL737,'Pegar ML'!AL738)</f>
        <v>0</v>
      </c>
      <c r="Y742" s="27"/>
      <c r="Z742" s="27"/>
      <c r="AA742" s="27"/>
      <c r="AB742" s="27"/>
      <c r="AC742" s="27"/>
      <c r="AD742" s="27"/>
      <c r="AF742" s="8"/>
      <c r="AG742" s="27"/>
      <c r="AH742" s="14">
        <f>+'Pegar ML'!Y738</f>
        <v>0</v>
      </c>
      <c r="AI742" s="13">
        <f t="shared" si="34"/>
        <v>1</v>
      </c>
      <c r="AJ742" s="7">
        <f>+'Pegar ML'!T738</f>
        <v>0</v>
      </c>
      <c r="AK742" s="27"/>
      <c r="AL742" s="27"/>
      <c r="AM742" s="27"/>
      <c r="AN742" s="27"/>
      <c r="AO742" s="27"/>
      <c r="AP742" s="27"/>
      <c r="AQ742" s="27"/>
      <c r="AR742" s="27"/>
      <c r="AS742" s="27">
        <v>17</v>
      </c>
    </row>
    <row r="743" spans="1:45" ht="15" customHeight="1" x14ac:dyDescent="0.25">
      <c r="A743" s="27">
        <f>IF('Pegar ML'!C738="Paquete de 2 productos",'Pegar ML'!A738,IF('Pegar ML'!C737="Paquete de 2 productos",'Pegar ML'!A737,'Pegar ML'!A739))</f>
        <v>0</v>
      </c>
      <c r="B743" s="27"/>
      <c r="C743" s="30" t="str">
        <f>IF(AjusteFecha!I739=0,"",AjusteFecha!I739)</f>
        <v/>
      </c>
      <c r="D743" s="27"/>
      <c r="E743" s="27"/>
      <c r="F743" s="27" t="str">
        <f>IF('Pegar ML'!C739="","",'Pegar ML'!C739)</f>
        <v/>
      </c>
      <c r="G743" s="27" t="str">
        <f>IF('Pegar ML'!G734="ARS","PS","PS")</f>
        <v>PS</v>
      </c>
      <c r="H743" s="14">
        <f>IF('Pegar ML'!C738="Paquete de 2 productos",IF('Pegar ML'!H738="",0,'Pegar ML'!H738),IF('Pegar ML'!H739="",0,'Pegar ML'!H739))</f>
        <v>0</v>
      </c>
      <c r="I743" s="14">
        <f>IF('Pegar ML'!C738="Paquete de 2 productos",IF('Pegar ML'!O738="",0,'Pegar ML'!O738),IF('Pegar ML'!O739="",0,'Pegar ML'!O739))</f>
        <v>0</v>
      </c>
      <c r="J743" s="14">
        <f>IF('Pegar ML'!C738="Paquete de 2 productos",IF('Pegar ML'!O738="",0,'Pegar ML'!O738),IF('Pegar ML'!O739="",0,'Pegar ML'!O739))</f>
        <v>0</v>
      </c>
      <c r="K743" s="14">
        <f t="shared" si="35"/>
        <v>0</v>
      </c>
      <c r="L743" s="27">
        <f>IF('Pegar ML'!AB739=" ",'Pegar ML'!AB738,'Pegar ML'!AB739)</f>
        <v>0</v>
      </c>
      <c r="M743" s="27" t="str">
        <f>IF('Pegar ML'!AC739=" ",RIGHT('Pegar ML'!AC738,8),RIGHT('Pegar ML'!AC739,8))</f>
        <v/>
      </c>
      <c r="N743" s="27" t="s">
        <v>80</v>
      </c>
      <c r="O743" s="27">
        <f t="shared" si="33"/>
        <v>0</v>
      </c>
      <c r="P743" s="27" t="s">
        <v>80</v>
      </c>
      <c r="Q743" s="55">
        <f>IF('Pegar ML'!AD739=" ",'Pegar ML'!AD738,'Pegar ML'!AD739)</f>
        <v>0</v>
      </c>
      <c r="R743" s="27" t="s">
        <v>80</v>
      </c>
      <c r="S743" s="27" t="s">
        <v>80</v>
      </c>
      <c r="T743" s="27" t="s">
        <v>80</v>
      </c>
      <c r="U743" s="55">
        <f>IF('Pegar ML'!AI739=" ",'Pegar ML'!AI738,'Pegar ML'!AI739)</f>
        <v>0</v>
      </c>
      <c r="V743" s="55">
        <f>IF('Pegar ML'!AK739=" ",'Pegar ML'!AK738,'Pegar ML'!AK739)</f>
        <v>0</v>
      </c>
      <c r="W743" s="55">
        <f>IF('Pegar ML'!AJ739=" ",'Pegar ML'!AJ738,'Pegar ML'!AJ739)</f>
        <v>0</v>
      </c>
      <c r="X743" s="55">
        <f>IF('Pegar ML'!AL739=" ",'Pegar ML'!AL738,'Pegar ML'!AL739)</f>
        <v>0</v>
      </c>
      <c r="Y743" s="27"/>
      <c r="Z743" s="27"/>
      <c r="AA743" s="27"/>
      <c r="AB743" s="27"/>
      <c r="AC743" s="27"/>
      <c r="AD743" s="27"/>
      <c r="AF743" s="8"/>
      <c r="AG743" s="27"/>
      <c r="AH743" s="14">
        <f>+'Pegar ML'!Y739</f>
        <v>0</v>
      </c>
      <c r="AI743" s="13">
        <f t="shared" si="34"/>
        <v>1</v>
      </c>
      <c r="AJ743" s="7">
        <f>+'Pegar ML'!T739</f>
        <v>0</v>
      </c>
      <c r="AK743" s="27"/>
      <c r="AL743" s="27"/>
      <c r="AM743" s="27"/>
      <c r="AN743" s="27"/>
      <c r="AO743" s="27"/>
      <c r="AP743" s="27"/>
      <c r="AQ743" s="27"/>
      <c r="AR743" s="27"/>
      <c r="AS743" s="27">
        <v>17</v>
      </c>
    </row>
    <row r="744" spans="1:45" ht="15" customHeight="1" x14ac:dyDescent="0.25">
      <c r="A744" s="27">
        <f>IF('Pegar ML'!C739="Paquete de 2 productos",'Pegar ML'!A739,IF('Pegar ML'!C738="Paquete de 2 productos",'Pegar ML'!A738,'Pegar ML'!A740))</f>
        <v>0</v>
      </c>
      <c r="B744" s="27"/>
      <c r="C744" s="30" t="str">
        <f>IF(AjusteFecha!I740=0,"",AjusteFecha!I740)</f>
        <v/>
      </c>
      <c r="D744" s="27"/>
      <c r="E744" s="27"/>
      <c r="F744" s="27" t="str">
        <f>IF('Pegar ML'!C740="","",'Pegar ML'!C740)</f>
        <v/>
      </c>
      <c r="G744" s="27" t="str">
        <f>IF('Pegar ML'!G735="ARS","PS","PS")</f>
        <v>PS</v>
      </c>
      <c r="H744" s="14">
        <f>IF('Pegar ML'!C739="Paquete de 2 productos",IF('Pegar ML'!H739="",0,'Pegar ML'!H739),IF('Pegar ML'!H740="",0,'Pegar ML'!H740))</f>
        <v>0</v>
      </c>
      <c r="I744" s="14">
        <f>IF('Pegar ML'!C739="Paquete de 2 productos",IF('Pegar ML'!O739="",0,'Pegar ML'!O739),IF('Pegar ML'!O740="",0,'Pegar ML'!O740))</f>
        <v>0</v>
      </c>
      <c r="J744" s="14">
        <f>IF('Pegar ML'!C739="Paquete de 2 productos",IF('Pegar ML'!O739="",0,'Pegar ML'!O739),IF('Pegar ML'!O740="",0,'Pegar ML'!O740))</f>
        <v>0</v>
      </c>
      <c r="K744" s="14">
        <f t="shared" si="35"/>
        <v>0</v>
      </c>
      <c r="L744" s="27">
        <f>IF('Pegar ML'!AB740=" ",'Pegar ML'!AB739,'Pegar ML'!AB740)</f>
        <v>0</v>
      </c>
      <c r="M744" s="27" t="str">
        <f>IF('Pegar ML'!AC740=" ",RIGHT('Pegar ML'!AC739,8),RIGHT('Pegar ML'!AC740,8))</f>
        <v/>
      </c>
      <c r="N744" s="27" t="s">
        <v>80</v>
      </c>
      <c r="O744" s="27">
        <f t="shared" si="33"/>
        <v>0</v>
      </c>
      <c r="P744" s="27" t="s">
        <v>80</v>
      </c>
      <c r="Q744" s="55">
        <f>IF('Pegar ML'!AD740=" ",'Pegar ML'!AD739,'Pegar ML'!AD740)</f>
        <v>0</v>
      </c>
      <c r="R744" s="27" t="s">
        <v>80</v>
      </c>
      <c r="S744" s="27" t="s">
        <v>80</v>
      </c>
      <c r="T744" s="27" t="s">
        <v>80</v>
      </c>
      <c r="U744" s="55">
        <f>IF('Pegar ML'!AI740=" ",'Pegar ML'!AI739,'Pegar ML'!AI740)</f>
        <v>0</v>
      </c>
      <c r="V744" s="55">
        <f>IF('Pegar ML'!AK740=" ",'Pegar ML'!AK739,'Pegar ML'!AK740)</f>
        <v>0</v>
      </c>
      <c r="W744" s="55">
        <f>IF('Pegar ML'!AJ740=" ",'Pegar ML'!AJ739,'Pegar ML'!AJ740)</f>
        <v>0</v>
      </c>
      <c r="X744" s="55">
        <f>IF('Pegar ML'!AL740=" ",'Pegar ML'!AL739,'Pegar ML'!AL740)</f>
        <v>0</v>
      </c>
      <c r="Y744" s="27"/>
      <c r="Z744" s="27"/>
      <c r="AA744" s="27"/>
      <c r="AB744" s="27"/>
      <c r="AC744" s="27"/>
      <c r="AD744" s="27"/>
      <c r="AF744" s="8"/>
      <c r="AG744" s="27"/>
      <c r="AH744" s="14">
        <f>+'Pegar ML'!Y740</f>
        <v>0</v>
      </c>
      <c r="AI744" s="13">
        <f t="shared" si="34"/>
        <v>1</v>
      </c>
      <c r="AJ744" s="7">
        <f>+'Pegar ML'!T740</f>
        <v>0</v>
      </c>
      <c r="AK744" s="27"/>
      <c r="AL744" s="27"/>
      <c r="AM744" s="27"/>
      <c r="AN744" s="27"/>
      <c r="AO744" s="27"/>
      <c r="AP744" s="27"/>
      <c r="AQ744" s="27"/>
      <c r="AR744" s="27"/>
      <c r="AS744" s="27">
        <v>17</v>
      </c>
    </row>
    <row r="745" spans="1:45" ht="15" customHeight="1" x14ac:dyDescent="0.25">
      <c r="A745" s="27">
        <f>IF('Pegar ML'!C740="Paquete de 2 productos",'Pegar ML'!A740,IF('Pegar ML'!C739="Paquete de 2 productos",'Pegar ML'!A739,'Pegar ML'!A741))</f>
        <v>0</v>
      </c>
      <c r="B745" s="27"/>
      <c r="C745" s="30" t="str">
        <f>IF(AjusteFecha!I741=0,"",AjusteFecha!I741)</f>
        <v/>
      </c>
      <c r="D745" s="27"/>
      <c r="E745" s="27"/>
      <c r="F745" s="27" t="str">
        <f>IF('Pegar ML'!C741="","",'Pegar ML'!C741)</f>
        <v/>
      </c>
      <c r="G745" s="27" t="str">
        <f>IF('Pegar ML'!G736="ARS","PS","PS")</f>
        <v>PS</v>
      </c>
      <c r="H745" s="14">
        <f>IF('Pegar ML'!C740="Paquete de 2 productos",IF('Pegar ML'!H740="",0,'Pegar ML'!H740),IF('Pegar ML'!H741="",0,'Pegar ML'!H741))</f>
        <v>0</v>
      </c>
      <c r="I745" s="14">
        <f>IF('Pegar ML'!C740="Paquete de 2 productos",IF('Pegar ML'!O740="",0,'Pegar ML'!O740),IF('Pegar ML'!O741="",0,'Pegar ML'!O741))</f>
        <v>0</v>
      </c>
      <c r="J745" s="14">
        <f>IF('Pegar ML'!C740="Paquete de 2 productos",IF('Pegar ML'!O740="",0,'Pegar ML'!O740),IF('Pegar ML'!O741="",0,'Pegar ML'!O741))</f>
        <v>0</v>
      </c>
      <c r="K745" s="14">
        <f t="shared" si="35"/>
        <v>0</v>
      </c>
      <c r="L745" s="27">
        <f>IF('Pegar ML'!AB741=" ",'Pegar ML'!AB740,'Pegar ML'!AB741)</f>
        <v>0</v>
      </c>
      <c r="M745" s="27" t="str">
        <f>IF('Pegar ML'!AC741=" ",RIGHT('Pegar ML'!AC740,8),RIGHT('Pegar ML'!AC741,8))</f>
        <v/>
      </c>
      <c r="N745" s="27" t="s">
        <v>80</v>
      </c>
      <c r="O745" s="27">
        <f t="shared" si="33"/>
        <v>0</v>
      </c>
      <c r="P745" s="27" t="s">
        <v>80</v>
      </c>
      <c r="Q745" s="55">
        <f>IF('Pegar ML'!AD741=" ",'Pegar ML'!AD740,'Pegar ML'!AD741)</f>
        <v>0</v>
      </c>
      <c r="R745" s="27" t="s">
        <v>80</v>
      </c>
      <c r="S745" s="27" t="s">
        <v>80</v>
      </c>
      <c r="T745" s="27" t="s">
        <v>80</v>
      </c>
      <c r="U745" s="55">
        <f>IF('Pegar ML'!AI741=" ",'Pegar ML'!AI740,'Pegar ML'!AI741)</f>
        <v>0</v>
      </c>
      <c r="V745" s="55">
        <f>IF('Pegar ML'!AK741=" ",'Pegar ML'!AK740,'Pegar ML'!AK741)</f>
        <v>0</v>
      </c>
      <c r="W745" s="55">
        <f>IF('Pegar ML'!AJ741=" ",'Pegar ML'!AJ740,'Pegar ML'!AJ741)</f>
        <v>0</v>
      </c>
      <c r="X745" s="55">
        <f>IF('Pegar ML'!AL741=" ",'Pegar ML'!AL740,'Pegar ML'!AL741)</f>
        <v>0</v>
      </c>
      <c r="Y745" s="27"/>
      <c r="Z745" s="27"/>
      <c r="AA745" s="27"/>
      <c r="AB745" s="27"/>
      <c r="AC745" s="27"/>
      <c r="AD745" s="27"/>
      <c r="AF745" s="8"/>
      <c r="AG745" s="27"/>
      <c r="AH745" s="14">
        <f>+'Pegar ML'!Y741</f>
        <v>0</v>
      </c>
      <c r="AI745" s="13">
        <f t="shared" si="34"/>
        <v>1</v>
      </c>
      <c r="AJ745" s="7">
        <f>+'Pegar ML'!T741</f>
        <v>0</v>
      </c>
      <c r="AK745" s="27"/>
      <c r="AL745" s="27"/>
      <c r="AM745" s="27"/>
      <c r="AN745" s="27"/>
      <c r="AO745" s="27"/>
      <c r="AP745" s="27"/>
      <c r="AQ745" s="27"/>
      <c r="AR745" s="27"/>
      <c r="AS745" s="27">
        <v>17</v>
      </c>
    </row>
    <row r="746" spans="1:45" ht="15" customHeight="1" x14ac:dyDescent="0.25">
      <c r="A746" s="27">
        <f>IF('Pegar ML'!C741="Paquete de 2 productos",'Pegar ML'!A741,IF('Pegar ML'!C740="Paquete de 2 productos",'Pegar ML'!A740,'Pegar ML'!A742))</f>
        <v>0</v>
      </c>
      <c r="B746" s="27"/>
      <c r="C746" s="30" t="str">
        <f>IF(AjusteFecha!I742=0,"",AjusteFecha!I742)</f>
        <v/>
      </c>
      <c r="D746" s="27"/>
      <c r="E746" s="27"/>
      <c r="F746" s="27" t="str">
        <f>IF('Pegar ML'!C742="","",'Pegar ML'!C742)</f>
        <v/>
      </c>
      <c r="G746" s="27" t="str">
        <f>IF('Pegar ML'!G737="ARS","PS","PS")</f>
        <v>PS</v>
      </c>
      <c r="H746" s="14">
        <f>IF('Pegar ML'!C741="Paquete de 2 productos",IF('Pegar ML'!H741="",0,'Pegar ML'!H741),IF('Pegar ML'!H742="",0,'Pegar ML'!H742))</f>
        <v>0</v>
      </c>
      <c r="I746" s="14">
        <f>IF('Pegar ML'!C741="Paquete de 2 productos",IF('Pegar ML'!O741="",0,'Pegar ML'!O741),IF('Pegar ML'!O742="",0,'Pegar ML'!O742))</f>
        <v>0</v>
      </c>
      <c r="J746" s="14">
        <f>IF('Pegar ML'!C741="Paquete de 2 productos",IF('Pegar ML'!O741="",0,'Pegar ML'!O741),IF('Pegar ML'!O742="",0,'Pegar ML'!O742))</f>
        <v>0</v>
      </c>
      <c r="K746" s="14">
        <f t="shared" si="35"/>
        <v>0</v>
      </c>
      <c r="L746" s="27">
        <f>IF('Pegar ML'!AB742=" ",'Pegar ML'!AB741,'Pegar ML'!AB742)</f>
        <v>0</v>
      </c>
      <c r="M746" s="27" t="str">
        <f>IF('Pegar ML'!AC742=" ",RIGHT('Pegar ML'!AC741,8),RIGHT('Pegar ML'!AC742,8))</f>
        <v/>
      </c>
      <c r="N746" s="27" t="s">
        <v>80</v>
      </c>
      <c r="O746" s="27">
        <f t="shared" si="33"/>
        <v>0</v>
      </c>
      <c r="P746" s="27" t="s">
        <v>80</v>
      </c>
      <c r="Q746" s="55">
        <f>IF('Pegar ML'!AD742=" ",'Pegar ML'!AD741,'Pegar ML'!AD742)</f>
        <v>0</v>
      </c>
      <c r="R746" s="27" t="s">
        <v>80</v>
      </c>
      <c r="S746" s="27" t="s">
        <v>80</v>
      </c>
      <c r="T746" s="27" t="s">
        <v>80</v>
      </c>
      <c r="U746" s="55">
        <f>IF('Pegar ML'!AI742=" ",'Pegar ML'!AI741,'Pegar ML'!AI742)</f>
        <v>0</v>
      </c>
      <c r="V746" s="55">
        <f>IF('Pegar ML'!AK742=" ",'Pegar ML'!AK741,'Pegar ML'!AK742)</f>
        <v>0</v>
      </c>
      <c r="W746" s="55">
        <f>IF('Pegar ML'!AJ742=" ",'Pegar ML'!AJ741,'Pegar ML'!AJ742)</f>
        <v>0</v>
      </c>
      <c r="X746" s="55">
        <f>IF('Pegar ML'!AL742=" ",'Pegar ML'!AL741,'Pegar ML'!AL742)</f>
        <v>0</v>
      </c>
      <c r="Y746" s="27"/>
      <c r="Z746" s="27"/>
      <c r="AA746" s="27"/>
      <c r="AB746" s="27"/>
      <c r="AC746" s="27"/>
      <c r="AD746" s="27"/>
      <c r="AF746" s="8"/>
      <c r="AG746" s="27"/>
      <c r="AH746" s="14">
        <f>+'Pegar ML'!Y742</f>
        <v>0</v>
      </c>
      <c r="AI746" s="13">
        <f t="shared" si="34"/>
        <v>1</v>
      </c>
      <c r="AJ746" s="7">
        <f>+'Pegar ML'!T742</f>
        <v>0</v>
      </c>
      <c r="AK746" s="27"/>
      <c r="AL746" s="27"/>
      <c r="AM746" s="27"/>
      <c r="AN746" s="27"/>
      <c r="AO746" s="27"/>
      <c r="AP746" s="27"/>
      <c r="AQ746" s="27"/>
      <c r="AR746" s="27"/>
      <c r="AS746" s="27">
        <v>17</v>
      </c>
    </row>
    <row r="747" spans="1:45" ht="15" customHeight="1" x14ac:dyDescent="0.25">
      <c r="A747" s="27">
        <f>IF('Pegar ML'!C742="Paquete de 2 productos",'Pegar ML'!A742,IF('Pegar ML'!C741="Paquete de 2 productos",'Pegar ML'!A741,'Pegar ML'!A743))</f>
        <v>0</v>
      </c>
      <c r="B747" s="27"/>
      <c r="C747" s="30" t="str">
        <f>IF(AjusteFecha!I743=0,"",AjusteFecha!I743)</f>
        <v/>
      </c>
      <c r="D747" s="27"/>
      <c r="E747" s="27"/>
      <c r="F747" s="27" t="str">
        <f>IF('Pegar ML'!C743="","",'Pegar ML'!C743)</f>
        <v/>
      </c>
      <c r="G747" s="27" t="str">
        <f>IF('Pegar ML'!G738="ARS","PS","PS")</f>
        <v>PS</v>
      </c>
      <c r="H747" s="14">
        <f>IF('Pegar ML'!C742="Paquete de 2 productos",IF('Pegar ML'!H742="",0,'Pegar ML'!H742),IF('Pegar ML'!H743="",0,'Pegar ML'!H743))</f>
        <v>0</v>
      </c>
      <c r="I747" s="14">
        <f>IF('Pegar ML'!C742="Paquete de 2 productos",IF('Pegar ML'!O742="",0,'Pegar ML'!O742),IF('Pegar ML'!O743="",0,'Pegar ML'!O743))</f>
        <v>0</v>
      </c>
      <c r="J747" s="14">
        <f>IF('Pegar ML'!C742="Paquete de 2 productos",IF('Pegar ML'!O742="",0,'Pegar ML'!O742),IF('Pegar ML'!O743="",0,'Pegar ML'!O743))</f>
        <v>0</v>
      </c>
      <c r="K747" s="14">
        <f t="shared" si="35"/>
        <v>0</v>
      </c>
      <c r="L747" s="27">
        <f>IF('Pegar ML'!AB743=" ",'Pegar ML'!AB742,'Pegar ML'!AB743)</f>
        <v>0</v>
      </c>
      <c r="M747" s="27" t="str">
        <f>IF('Pegar ML'!AC743=" ",RIGHT('Pegar ML'!AC742,8),RIGHT('Pegar ML'!AC743,8))</f>
        <v/>
      </c>
      <c r="N747" s="27" t="s">
        <v>80</v>
      </c>
      <c r="O747" s="27">
        <f t="shared" si="33"/>
        <v>0</v>
      </c>
      <c r="P747" s="27" t="s">
        <v>80</v>
      </c>
      <c r="Q747" s="55">
        <f>IF('Pegar ML'!AD743=" ",'Pegar ML'!AD742,'Pegar ML'!AD743)</f>
        <v>0</v>
      </c>
      <c r="R747" s="27" t="s">
        <v>80</v>
      </c>
      <c r="S747" s="27" t="s">
        <v>80</v>
      </c>
      <c r="T747" s="27" t="s">
        <v>80</v>
      </c>
      <c r="U747" s="55">
        <f>IF('Pegar ML'!AI743=" ",'Pegar ML'!AI742,'Pegar ML'!AI743)</f>
        <v>0</v>
      </c>
      <c r="V747" s="55">
        <f>IF('Pegar ML'!AK743=" ",'Pegar ML'!AK742,'Pegar ML'!AK743)</f>
        <v>0</v>
      </c>
      <c r="W747" s="55">
        <f>IF('Pegar ML'!AJ743=" ",'Pegar ML'!AJ742,'Pegar ML'!AJ743)</f>
        <v>0</v>
      </c>
      <c r="X747" s="55">
        <f>IF('Pegar ML'!AL743=" ",'Pegar ML'!AL742,'Pegar ML'!AL743)</f>
        <v>0</v>
      </c>
      <c r="Y747" s="27"/>
      <c r="Z747" s="27"/>
      <c r="AA747" s="27"/>
      <c r="AB747" s="27"/>
      <c r="AC747" s="27"/>
      <c r="AD747" s="27"/>
      <c r="AF747" s="8"/>
      <c r="AG747" s="27"/>
      <c r="AH747" s="14">
        <f>+'Pegar ML'!Y743</f>
        <v>0</v>
      </c>
      <c r="AI747" s="13">
        <f t="shared" si="34"/>
        <v>1</v>
      </c>
      <c r="AJ747" s="7">
        <f>+'Pegar ML'!T743</f>
        <v>0</v>
      </c>
      <c r="AK747" s="27"/>
      <c r="AL747" s="27"/>
      <c r="AM747" s="27"/>
      <c r="AN747" s="27"/>
      <c r="AO747" s="27"/>
      <c r="AP747" s="27"/>
      <c r="AQ747" s="27"/>
      <c r="AR747" s="27"/>
      <c r="AS747" s="27">
        <v>17</v>
      </c>
    </row>
    <row r="748" spans="1:45" ht="15" customHeight="1" x14ac:dyDescent="0.25">
      <c r="A748" s="27">
        <f>IF('Pegar ML'!C743="Paquete de 2 productos",'Pegar ML'!A743,IF('Pegar ML'!C742="Paquete de 2 productos",'Pegar ML'!A742,'Pegar ML'!A744))</f>
        <v>0</v>
      </c>
      <c r="B748" s="27"/>
      <c r="C748" s="30" t="str">
        <f>IF(AjusteFecha!I744=0,"",AjusteFecha!I744)</f>
        <v/>
      </c>
      <c r="D748" s="27"/>
      <c r="E748" s="27"/>
      <c r="F748" s="27" t="str">
        <f>IF('Pegar ML'!C744="","",'Pegar ML'!C744)</f>
        <v/>
      </c>
      <c r="G748" s="27" t="str">
        <f>IF('Pegar ML'!G739="ARS","PS","PS")</f>
        <v>PS</v>
      </c>
      <c r="H748" s="14">
        <f>IF('Pegar ML'!C743="Paquete de 2 productos",IF('Pegar ML'!H743="",0,'Pegar ML'!H743),IF('Pegar ML'!H744="",0,'Pegar ML'!H744))</f>
        <v>0</v>
      </c>
      <c r="I748" s="14">
        <f>IF('Pegar ML'!C743="Paquete de 2 productos",IF('Pegar ML'!O743="",0,'Pegar ML'!O743),IF('Pegar ML'!O744="",0,'Pegar ML'!O744))</f>
        <v>0</v>
      </c>
      <c r="J748" s="14">
        <f>IF('Pegar ML'!C743="Paquete de 2 productos",IF('Pegar ML'!O743="",0,'Pegar ML'!O743),IF('Pegar ML'!O744="",0,'Pegar ML'!O744))</f>
        <v>0</v>
      </c>
      <c r="K748" s="14">
        <f t="shared" si="35"/>
        <v>0</v>
      </c>
      <c r="L748" s="27">
        <f>IF('Pegar ML'!AB744=" ",'Pegar ML'!AB743,'Pegar ML'!AB744)</f>
        <v>0</v>
      </c>
      <c r="M748" s="27" t="str">
        <f>IF('Pegar ML'!AC744=" ",RIGHT('Pegar ML'!AC743,8),RIGHT('Pegar ML'!AC744,8))</f>
        <v/>
      </c>
      <c r="N748" s="27" t="s">
        <v>80</v>
      </c>
      <c r="O748" s="27">
        <f t="shared" si="33"/>
        <v>0</v>
      </c>
      <c r="P748" s="27" t="s">
        <v>80</v>
      </c>
      <c r="Q748" s="55">
        <f>IF('Pegar ML'!AD744=" ",'Pegar ML'!AD743,'Pegar ML'!AD744)</f>
        <v>0</v>
      </c>
      <c r="R748" s="27" t="s">
        <v>80</v>
      </c>
      <c r="S748" s="27" t="s">
        <v>80</v>
      </c>
      <c r="T748" s="27" t="s">
        <v>80</v>
      </c>
      <c r="U748" s="55">
        <f>IF('Pegar ML'!AI744=" ",'Pegar ML'!AI743,'Pegar ML'!AI744)</f>
        <v>0</v>
      </c>
      <c r="V748" s="55">
        <f>IF('Pegar ML'!AK744=" ",'Pegar ML'!AK743,'Pegar ML'!AK744)</f>
        <v>0</v>
      </c>
      <c r="W748" s="55">
        <f>IF('Pegar ML'!AJ744=" ",'Pegar ML'!AJ743,'Pegar ML'!AJ744)</f>
        <v>0</v>
      </c>
      <c r="X748" s="55">
        <f>IF('Pegar ML'!AL744=" ",'Pegar ML'!AL743,'Pegar ML'!AL744)</f>
        <v>0</v>
      </c>
      <c r="Y748" s="27"/>
      <c r="Z748" s="27"/>
      <c r="AA748" s="27"/>
      <c r="AB748" s="27"/>
      <c r="AC748" s="27"/>
      <c r="AD748" s="27"/>
      <c r="AF748" s="8"/>
      <c r="AG748" s="27"/>
      <c r="AH748" s="14">
        <f>+'Pegar ML'!Y744</f>
        <v>0</v>
      </c>
      <c r="AI748" s="13">
        <f t="shared" si="34"/>
        <v>1</v>
      </c>
      <c r="AJ748" s="7">
        <f>+'Pegar ML'!T744</f>
        <v>0</v>
      </c>
      <c r="AK748" s="27"/>
      <c r="AL748" s="27"/>
      <c r="AM748" s="27"/>
      <c r="AN748" s="27"/>
      <c r="AO748" s="27"/>
      <c r="AP748" s="27"/>
      <c r="AQ748" s="27"/>
      <c r="AR748" s="27"/>
      <c r="AS748" s="27">
        <v>17</v>
      </c>
    </row>
    <row r="749" spans="1:45" ht="15" customHeight="1" x14ac:dyDescent="0.25">
      <c r="A749" s="27">
        <f>IF('Pegar ML'!C744="Paquete de 2 productos",'Pegar ML'!A744,IF('Pegar ML'!C743="Paquete de 2 productos",'Pegar ML'!A743,'Pegar ML'!A745))</f>
        <v>0</v>
      </c>
      <c r="B749" s="27"/>
      <c r="C749" s="30" t="str">
        <f>IF(AjusteFecha!I745=0,"",AjusteFecha!I745)</f>
        <v/>
      </c>
      <c r="D749" s="27"/>
      <c r="E749" s="27"/>
      <c r="F749" s="27" t="str">
        <f>IF('Pegar ML'!C745="","",'Pegar ML'!C745)</f>
        <v/>
      </c>
      <c r="G749" s="27" t="str">
        <f>IF('Pegar ML'!G740="ARS","PS","PS")</f>
        <v>PS</v>
      </c>
      <c r="H749" s="14">
        <f>IF('Pegar ML'!C744="Paquete de 2 productos",IF('Pegar ML'!H744="",0,'Pegar ML'!H744),IF('Pegar ML'!H745="",0,'Pegar ML'!H745))</f>
        <v>0</v>
      </c>
      <c r="I749" s="14">
        <f>IF('Pegar ML'!C744="Paquete de 2 productos",IF('Pegar ML'!O744="",0,'Pegar ML'!O744),IF('Pegar ML'!O745="",0,'Pegar ML'!O745))</f>
        <v>0</v>
      </c>
      <c r="J749" s="14">
        <f>IF('Pegar ML'!C744="Paquete de 2 productos",IF('Pegar ML'!O744="",0,'Pegar ML'!O744),IF('Pegar ML'!O745="",0,'Pegar ML'!O745))</f>
        <v>0</v>
      </c>
      <c r="K749" s="14">
        <f t="shared" si="35"/>
        <v>0</v>
      </c>
      <c r="L749" s="27">
        <f>IF('Pegar ML'!AB745=" ",'Pegar ML'!AB744,'Pegar ML'!AB745)</f>
        <v>0</v>
      </c>
      <c r="M749" s="27" t="str">
        <f>IF('Pegar ML'!AC745=" ",RIGHT('Pegar ML'!AC744,8),RIGHT('Pegar ML'!AC745,8))</f>
        <v/>
      </c>
      <c r="N749" s="27" t="s">
        <v>80</v>
      </c>
      <c r="O749" s="27">
        <f t="shared" si="33"/>
        <v>0</v>
      </c>
      <c r="P749" s="27" t="s">
        <v>80</v>
      </c>
      <c r="Q749" s="55">
        <f>IF('Pegar ML'!AD745=" ",'Pegar ML'!AD744,'Pegar ML'!AD745)</f>
        <v>0</v>
      </c>
      <c r="R749" s="27" t="s">
        <v>80</v>
      </c>
      <c r="S749" s="27" t="s">
        <v>80</v>
      </c>
      <c r="T749" s="27" t="s">
        <v>80</v>
      </c>
      <c r="U749" s="55">
        <f>IF('Pegar ML'!AI745=" ",'Pegar ML'!AI744,'Pegar ML'!AI745)</f>
        <v>0</v>
      </c>
      <c r="V749" s="55">
        <f>IF('Pegar ML'!AK745=" ",'Pegar ML'!AK744,'Pegar ML'!AK745)</f>
        <v>0</v>
      </c>
      <c r="W749" s="55">
        <f>IF('Pegar ML'!AJ745=" ",'Pegar ML'!AJ744,'Pegar ML'!AJ745)</f>
        <v>0</v>
      </c>
      <c r="X749" s="55">
        <f>IF('Pegar ML'!AL745=" ",'Pegar ML'!AL744,'Pegar ML'!AL745)</f>
        <v>0</v>
      </c>
      <c r="Y749" s="27"/>
      <c r="Z749" s="27"/>
      <c r="AA749" s="27"/>
      <c r="AB749" s="27"/>
      <c r="AC749" s="27"/>
      <c r="AD749" s="27"/>
      <c r="AF749" s="8"/>
      <c r="AG749" s="27"/>
      <c r="AH749" s="14">
        <f>+'Pegar ML'!Y745</f>
        <v>0</v>
      </c>
      <c r="AI749" s="13">
        <f t="shared" si="34"/>
        <v>1</v>
      </c>
      <c r="AJ749" s="7">
        <f>+'Pegar ML'!T745</f>
        <v>0</v>
      </c>
      <c r="AK749" s="27"/>
      <c r="AL749" s="27"/>
      <c r="AM749" s="27"/>
      <c r="AN749" s="27"/>
      <c r="AO749" s="27"/>
      <c r="AP749" s="27"/>
      <c r="AQ749" s="27"/>
      <c r="AR749" s="27"/>
      <c r="AS749" s="27">
        <v>17</v>
      </c>
    </row>
    <row r="750" spans="1:45" ht="15" customHeight="1" x14ac:dyDescent="0.25">
      <c r="A750" s="27">
        <f>IF('Pegar ML'!C745="Paquete de 2 productos",'Pegar ML'!A745,IF('Pegar ML'!C744="Paquete de 2 productos",'Pegar ML'!A744,'Pegar ML'!A746))</f>
        <v>0</v>
      </c>
      <c r="B750" s="27"/>
      <c r="C750" s="30" t="str">
        <f>IF(AjusteFecha!I746=0,"",AjusteFecha!I746)</f>
        <v/>
      </c>
      <c r="D750" s="27"/>
      <c r="E750" s="27"/>
      <c r="F750" s="27" t="str">
        <f>IF('Pegar ML'!C746="","",'Pegar ML'!C746)</f>
        <v/>
      </c>
      <c r="G750" s="27" t="str">
        <f>IF('Pegar ML'!G741="ARS","PS","PS")</f>
        <v>PS</v>
      </c>
      <c r="H750" s="14">
        <f>IF('Pegar ML'!C745="Paquete de 2 productos",IF('Pegar ML'!H745="",0,'Pegar ML'!H745),IF('Pegar ML'!H746="",0,'Pegar ML'!H746))</f>
        <v>0</v>
      </c>
      <c r="I750" s="14">
        <f>IF('Pegar ML'!C745="Paquete de 2 productos",IF('Pegar ML'!O745="",0,'Pegar ML'!O745),IF('Pegar ML'!O746="",0,'Pegar ML'!O746))</f>
        <v>0</v>
      </c>
      <c r="J750" s="14">
        <f>IF('Pegar ML'!C745="Paquete de 2 productos",IF('Pegar ML'!O745="",0,'Pegar ML'!O745),IF('Pegar ML'!O746="",0,'Pegar ML'!O746))</f>
        <v>0</v>
      </c>
      <c r="K750" s="14">
        <f t="shared" si="35"/>
        <v>0</v>
      </c>
      <c r="L750" s="27">
        <f>IF('Pegar ML'!AB746=" ",'Pegar ML'!AB745,'Pegar ML'!AB746)</f>
        <v>0</v>
      </c>
      <c r="M750" s="27" t="str">
        <f>IF('Pegar ML'!AC746=" ",RIGHT('Pegar ML'!AC745,8),RIGHT('Pegar ML'!AC746,8))</f>
        <v/>
      </c>
      <c r="N750" s="27" t="s">
        <v>80</v>
      </c>
      <c r="O750" s="27">
        <f t="shared" si="33"/>
        <v>0</v>
      </c>
      <c r="P750" s="27" t="s">
        <v>80</v>
      </c>
      <c r="Q750" s="55">
        <f>IF('Pegar ML'!AD746=" ",'Pegar ML'!AD745,'Pegar ML'!AD746)</f>
        <v>0</v>
      </c>
      <c r="R750" s="27" t="s">
        <v>80</v>
      </c>
      <c r="S750" s="27" t="s">
        <v>80</v>
      </c>
      <c r="T750" s="27" t="s">
        <v>80</v>
      </c>
      <c r="U750" s="55">
        <f>IF('Pegar ML'!AI746=" ",'Pegar ML'!AI745,'Pegar ML'!AI746)</f>
        <v>0</v>
      </c>
      <c r="V750" s="55">
        <f>IF('Pegar ML'!AK746=" ",'Pegar ML'!AK745,'Pegar ML'!AK746)</f>
        <v>0</v>
      </c>
      <c r="W750" s="55">
        <f>IF('Pegar ML'!AJ746=" ",'Pegar ML'!AJ745,'Pegar ML'!AJ746)</f>
        <v>0</v>
      </c>
      <c r="X750" s="55">
        <f>IF('Pegar ML'!AL746=" ",'Pegar ML'!AL745,'Pegar ML'!AL746)</f>
        <v>0</v>
      </c>
      <c r="Y750" s="27"/>
      <c r="Z750" s="27"/>
      <c r="AA750" s="27"/>
      <c r="AB750" s="27"/>
      <c r="AC750" s="27"/>
      <c r="AD750" s="27"/>
      <c r="AF750" s="8"/>
      <c r="AG750" s="27"/>
      <c r="AH750" s="14">
        <f>+'Pegar ML'!Y746</f>
        <v>0</v>
      </c>
      <c r="AI750" s="13">
        <f t="shared" si="34"/>
        <v>1</v>
      </c>
      <c r="AJ750" s="7">
        <f>+'Pegar ML'!T746</f>
        <v>0</v>
      </c>
      <c r="AK750" s="27"/>
      <c r="AL750" s="27"/>
      <c r="AM750" s="27"/>
      <c r="AN750" s="27"/>
      <c r="AO750" s="27"/>
      <c r="AP750" s="27"/>
      <c r="AQ750" s="27"/>
      <c r="AR750" s="27"/>
      <c r="AS750" s="27">
        <v>17</v>
      </c>
    </row>
    <row r="751" spans="1:45" ht="15" customHeight="1" x14ac:dyDescent="0.25">
      <c r="A751" s="27">
        <f>IF('Pegar ML'!C746="Paquete de 2 productos",'Pegar ML'!A746,IF('Pegar ML'!C745="Paquete de 2 productos",'Pegar ML'!A745,'Pegar ML'!A747))</f>
        <v>0</v>
      </c>
      <c r="B751" s="27"/>
      <c r="C751" s="30" t="str">
        <f>IF(AjusteFecha!I747=0,"",AjusteFecha!I747)</f>
        <v/>
      </c>
      <c r="D751" s="27"/>
      <c r="E751" s="27"/>
      <c r="F751" s="27" t="str">
        <f>IF('Pegar ML'!C747="","",'Pegar ML'!C747)</f>
        <v/>
      </c>
      <c r="G751" s="27" t="str">
        <f>IF('Pegar ML'!G742="ARS","PS","PS")</f>
        <v>PS</v>
      </c>
      <c r="H751" s="14">
        <f>IF('Pegar ML'!C746="Paquete de 2 productos",IF('Pegar ML'!H746="",0,'Pegar ML'!H746),IF('Pegar ML'!H747="",0,'Pegar ML'!H747))</f>
        <v>0</v>
      </c>
      <c r="I751" s="14">
        <f>IF('Pegar ML'!C746="Paquete de 2 productos",IF('Pegar ML'!O746="",0,'Pegar ML'!O746),IF('Pegar ML'!O747="",0,'Pegar ML'!O747))</f>
        <v>0</v>
      </c>
      <c r="J751" s="14">
        <f>IF('Pegar ML'!C746="Paquete de 2 productos",IF('Pegar ML'!O746="",0,'Pegar ML'!O746),IF('Pegar ML'!O747="",0,'Pegar ML'!O747))</f>
        <v>0</v>
      </c>
      <c r="K751" s="14">
        <f t="shared" si="35"/>
        <v>0</v>
      </c>
      <c r="L751" s="27">
        <f>IF('Pegar ML'!AB747=" ",'Pegar ML'!AB746,'Pegar ML'!AB747)</f>
        <v>0</v>
      </c>
      <c r="M751" s="27" t="str">
        <f>IF('Pegar ML'!AC747=" ",RIGHT('Pegar ML'!AC746,8),RIGHT('Pegar ML'!AC747,8))</f>
        <v/>
      </c>
      <c r="N751" s="27" t="s">
        <v>80</v>
      </c>
      <c r="O751" s="27">
        <f t="shared" si="33"/>
        <v>0</v>
      </c>
      <c r="P751" s="27" t="s">
        <v>80</v>
      </c>
      <c r="Q751" s="55">
        <f>IF('Pegar ML'!AD747=" ",'Pegar ML'!AD746,'Pegar ML'!AD747)</f>
        <v>0</v>
      </c>
      <c r="R751" s="27" t="s">
        <v>80</v>
      </c>
      <c r="S751" s="27" t="s">
        <v>80</v>
      </c>
      <c r="T751" s="27" t="s">
        <v>80</v>
      </c>
      <c r="U751" s="55">
        <f>IF('Pegar ML'!AI747=" ",'Pegar ML'!AI746,'Pegar ML'!AI747)</f>
        <v>0</v>
      </c>
      <c r="V751" s="55">
        <f>IF('Pegar ML'!AK747=" ",'Pegar ML'!AK746,'Pegar ML'!AK747)</f>
        <v>0</v>
      </c>
      <c r="W751" s="55">
        <f>IF('Pegar ML'!AJ747=" ",'Pegar ML'!AJ746,'Pegar ML'!AJ747)</f>
        <v>0</v>
      </c>
      <c r="X751" s="55">
        <f>IF('Pegar ML'!AL747=" ",'Pegar ML'!AL746,'Pegar ML'!AL747)</f>
        <v>0</v>
      </c>
      <c r="Y751" s="27"/>
      <c r="Z751" s="27"/>
      <c r="AA751" s="27"/>
      <c r="AB751" s="27"/>
      <c r="AC751" s="27"/>
      <c r="AD751" s="27"/>
      <c r="AF751" s="8"/>
      <c r="AG751" s="27"/>
      <c r="AH751" s="14">
        <f>+'Pegar ML'!Y747</f>
        <v>0</v>
      </c>
      <c r="AI751" s="13">
        <f t="shared" si="34"/>
        <v>1</v>
      </c>
      <c r="AJ751" s="7">
        <f>+'Pegar ML'!T747</f>
        <v>0</v>
      </c>
      <c r="AK751" s="27"/>
      <c r="AL751" s="27"/>
      <c r="AM751" s="27"/>
      <c r="AN751" s="27"/>
      <c r="AO751" s="27"/>
      <c r="AP751" s="27"/>
      <c r="AQ751" s="27"/>
      <c r="AR751" s="27"/>
      <c r="AS751" s="27">
        <v>17</v>
      </c>
    </row>
    <row r="752" spans="1:45" ht="15" customHeight="1" x14ac:dyDescent="0.25">
      <c r="A752" s="27">
        <f>IF('Pegar ML'!C747="Paquete de 2 productos",'Pegar ML'!A747,IF('Pegar ML'!C746="Paquete de 2 productos",'Pegar ML'!A746,'Pegar ML'!A748))</f>
        <v>0</v>
      </c>
      <c r="B752" s="27"/>
      <c r="C752" s="30" t="str">
        <f>IF(AjusteFecha!I748=0,"",AjusteFecha!I748)</f>
        <v/>
      </c>
      <c r="D752" s="27"/>
      <c r="E752" s="27"/>
      <c r="F752" s="27" t="str">
        <f>IF('Pegar ML'!C748="","",'Pegar ML'!C748)</f>
        <v/>
      </c>
      <c r="G752" s="27" t="str">
        <f>IF('Pegar ML'!G743="ARS","PS","PS")</f>
        <v>PS</v>
      </c>
      <c r="H752" s="14">
        <f>IF('Pegar ML'!C747="Paquete de 2 productos",IF('Pegar ML'!H747="",0,'Pegar ML'!H747),IF('Pegar ML'!H748="",0,'Pegar ML'!H748))</f>
        <v>0</v>
      </c>
      <c r="I752" s="14">
        <f>IF('Pegar ML'!C747="Paquete de 2 productos",IF('Pegar ML'!O747="",0,'Pegar ML'!O747),IF('Pegar ML'!O748="",0,'Pegar ML'!O748))</f>
        <v>0</v>
      </c>
      <c r="J752" s="14">
        <f>IF('Pegar ML'!C747="Paquete de 2 productos",IF('Pegar ML'!O747="",0,'Pegar ML'!O747),IF('Pegar ML'!O748="",0,'Pegar ML'!O748))</f>
        <v>0</v>
      </c>
      <c r="K752" s="14">
        <f t="shared" si="35"/>
        <v>0</v>
      </c>
      <c r="L752" s="27">
        <f>IF('Pegar ML'!AB748=" ",'Pegar ML'!AB747,'Pegar ML'!AB748)</f>
        <v>0</v>
      </c>
      <c r="M752" s="27" t="str">
        <f>IF('Pegar ML'!AC748=" ",RIGHT('Pegar ML'!AC747,8),RIGHT('Pegar ML'!AC748,8))</f>
        <v/>
      </c>
      <c r="N752" s="27" t="s">
        <v>80</v>
      </c>
      <c r="O752" s="27">
        <f t="shared" si="33"/>
        <v>0</v>
      </c>
      <c r="P752" s="27" t="s">
        <v>80</v>
      </c>
      <c r="Q752" s="55">
        <f>IF('Pegar ML'!AD748=" ",'Pegar ML'!AD747,'Pegar ML'!AD748)</f>
        <v>0</v>
      </c>
      <c r="R752" s="27" t="s">
        <v>80</v>
      </c>
      <c r="S752" s="27" t="s">
        <v>80</v>
      </c>
      <c r="T752" s="27" t="s">
        <v>80</v>
      </c>
      <c r="U752" s="55">
        <f>IF('Pegar ML'!AI748=" ",'Pegar ML'!AI747,'Pegar ML'!AI748)</f>
        <v>0</v>
      </c>
      <c r="V752" s="55">
        <f>IF('Pegar ML'!AK748=" ",'Pegar ML'!AK747,'Pegar ML'!AK748)</f>
        <v>0</v>
      </c>
      <c r="W752" s="55">
        <f>IF('Pegar ML'!AJ748=" ",'Pegar ML'!AJ747,'Pegar ML'!AJ748)</f>
        <v>0</v>
      </c>
      <c r="X752" s="55">
        <f>IF('Pegar ML'!AL748=" ",'Pegar ML'!AL747,'Pegar ML'!AL748)</f>
        <v>0</v>
      </c>
      <c r="Y752" s="27"/>
      <c r="Z752" s="27"/>
      <c r="AA752" s="27"/>
      <c r="AB752" s="27"/>
      <c r="AC752" s="27"/>
      <c r="AD752" s="27"/>
      <c r="AF752" s="8"/>
      <c r="AG752" s="27"/>
      <c r="AH752" s="14">
        <f>+'Pegar ML'!Y748</f>
        <v>0</v>
      </c>
      <c r="AI752" s="13">
        <f t="shared" si="34"/>
        <v>1</v>
      </c>
      <c r="AJ752" s="7">
        <f>+'Pegar ML'!T748</f>
        <v>0</v>
      </c>
      <c r="AK752" s="27"/>
      <c r="AL752" s="27"/>
      <c r="AM752" s="27"/>
      <c r="AN752" s="27"/>
      <c r="AO752" s="27"/>
      <c r="AP752" s="27"/>
      <c r="AQ752" s="27"/>
      <c r="AR752" s="27"/>
      <c r="AS752" s="27">
        <v>17</v>
      </c>
    </row>
    <row r="753" spans="1:45" ht="15" customHeight="1" x14ac:dyDescent="0.25">
      <c r="A753" s="27">
        <f>IF('Pegar ML'!C748="Paquete de 2 productos",'Pegar ML'!A748,IF('Pegar ML'!C747="Paquete de 2 productos",'Pegar ML'!A747,'Pegar ML'!A749))</f>
        <v>0</v>
      </c>
      <c r="B753" s="27"/>
      <c r="C753" s="30" t="str">
        <f>IF(AjusteFecha!I749=0,"",AjusteFecha!I749)</f>
        <v/>
      </c>
      <c r="D753" s="27"/>
      <c r="E753" s="27"/>
      <c r="F753" s="27" t="str">
        <f>IF('Pegar ML'!C749="","",'Pegar ML'!C749)</f>
        <v/>
      </c>
      <c r="G753" s="27" t="str">
        <f>IF('Pegar ML'!G744="ARS","PS","PS")</f>
        <v>PS</v>
      </c>
      <c r="H753" s="14">
        <f>IF('Pegar ML'!C748="Paquete de 2 productos",IF('Pegar ML'!H748="",0,'Pegar ML'!H748),IF('Pegar ML'!H749="",0,'Pegar ML'!H749))</f>
        <v>0</v>
      </c>
      <c r="I753" s="14">
        <f>IF('Pegar ML'!C748="Paquete de 2 productos",IF('Pegar ML'!O748="",0,'Pegar ML'!O748),IF('Pegar ML'!O749="",0,'Pegar ML'!O749))</f>
        <v>0</v>
      </c>
      <c r="J753" s="14">
        <f>IF('Pegar ML'!C748="Paquete de 2 productos",IF('Pegar ML'!O748="",0,'Pegar ML'!O748),IF('Pegar ML'!O749="",0,'Pegar ML'!O749))</f>
        <v>0</v>
      </c>
      <c r="K753" s="14">
        <f t="shared" si="35"/>
        <v>0</v>
      </c>
      <c r="L753" s="27">
        <f>IF('Pegar ML'!AB749=" ",'Pegar ML'!AB748,'Pegar ML'!AB749)</f>
        <v>0</v>
      </c>
      <c r="M753" s="27" t="str">
        <f>IF('Pegar ML'!AC749=" ",RIGHT('Pegar ML'!AC748,8),RIGHT('Pegar ML'!AC749,8))</f>
        <v/>
      </c>
      <c r="N753" s="27" t="s">
        <v>80</v>
      </c>
      <c r="O753" s="27">
        <f t="shared" si="33"/>
        <v>0</v>
      </c>
      <c r="P753" s="27" t="s">
        <v>80</v>
      </c>
      <c r="Q753" s="55">
        <f>IF('Pegar ML'!AD749=" ",'Pegar ML'!AD748,'Pegar ML'!AD749)</f>
        <v>0</v>
      </c>
      <c r="R753" s="27" t="s">
        <v>80</v>
      </c>
      <c r="S753" s="27" t="s">
        <v>80</v>
      </c>
      <c r="T753" s="27" t="s">
        <v>80</v>
      </c>
      <c r="U753" s="55">
        <f>IF('Pegar ML'!AI749=" ",'Pegar ML'!AI748,'Pegar ML'!AI749)</f>
        <v>0</v>
      </c>
      <c r="V753" s="55">
        <f>IF('Pegar ML'!AK749=" ",'Pegar ML'!AK748,'Pegar ML'!AK749)</f>
        <v>0</v>
      </c>
      <c r="W753" s="55">
        <f>IF('Pegar ML'!AJ749=" ",'Pegar ML'!AJ748,'Pegar ML'!AJ749)</f>
        <v>0</v>
      </c>
      <c r="X753" s="55">
        <f>IF('Pegar ML'!AL749=" ",'Pegar ML'!AL748,'Pegar ML'!AL749)</f>
        <v>0</v>
      </c>
      <c r="Y753" s="27"/>
      <c r="Z753" s="27"/>
      <c r="AA753" s="27"/>
      <c r="AB753" s="27"/>
      <c r="AC753" s="27"/>
      <c r="AD753" s="27"/>
      <c r="AF753" s="8"/>
      <c r="AG753" s="27"/>
      <c r="AH753" s="14">
        <f>+'Pegar ML'!Y749</f>
        <v>0</v>
      </c>
      <c r="AI753" s="13">
        <f t="shared" si="34"/>
        <v>1</v>
      </c>
      <c r="AJ753" s="7">
        <f>+'Pegar ML'!T749</f>
        <v>0</v>
      </c>
      <c r="AK753" s="27"/>
      <c r="AL753" s="27"/>
      <c r="AM753" s="27"/>
      <c r="AN753" s="27"/>
      <c r="AO753" s="27"/>
      <c r="AP753" s="27"/>
      <c r="AQ753" s="27"/>
      <c r="AR753" s="27"/>
      <c r="AS753" s="27">
        <v>17</v>
      </c>
    </row>
    <row r="754" spans="1:45" ht="15" customHeight="1" x14ac:dyDescent="0.25">
      <c r="A754" s="27">
        <f>IF('Pegar ML'!C749="Paquete de 2 productos",'Pegar ML'!A749,IF('Pegar ML'!C748="Paquete de 2 productos",'Pegar ML'!A748,'Pegar ML'!A750))</f>
        <v>0</v>
      </c>
      <c r="B754" s="27"/>
      <c r="C754" s="30" t="str">
        <f>IF(AjusteFecha!I750=0,"",AjusteFecha!I750)</f>
        <v/>
      </c>
      <c r="D754" s="27"/>
      <c r="E754" s="27"/>
      <c r="F754" s="27" t="str">
        <f>IF('Pegar ML'!C750="","",'Pegar ML'!C750)</f>
        <v/>
      </c>
      <c r="G754" s="27" t="str">
        <f>IF('Pegar ML'!G745="ARS","PS","PS")</f>
        <v>PS</v>
      </c>
      <c r="H754" s="14">
        <f>IF('Pegar ML'!C749="Paquete de 2 productos",IF('Pegar ML'!H749="",0,'Pegar ML'!H749),IF('Pegar ML'!H750="",0,'Pegar ML'!H750))</f>
        <v>0</v>
      </c>
      <c r="I754" s="14">
        <f>IF('Pegar ML'!C749="Paquete de 2 productos",IF('Pegar ML'!O749="",0,'Pegar ML'!O749),IF('Pegar ML'!O750="",0,'Pegar ML'!O750))</f>
        <v>0</v>
      </c>
      <c r="J754" s="14">
        <f>IF('Pegar ML'!C749="Paquete de 2 productos",IF('Pegar ML'!O749="",0,'Pegar ML'!O749),IF('Pegar ML'!O750="",0,'Pegar ML'!O750))</f>
        <v>0</v>
      </c>
      <c r="K754" s="14">
        <f t="shared" si="35"/>
        <v>0</v>
      </c>
      <c r="L754" s="27">
        <f>IF('Pegar ML'!AB750=" ",'Pegar ML'!AB749,'Pegar ML'!AB750)</f>
        <v>0</v>
      </c>
      <c r="M754" s="27" t="str">
        <f>IF('Pegar ML'!AC750=" ",RIGHT('Pegar ML'!AC749,8),RIGHT('Pegar ML'!AC750,8))</f>
        <v/>
      </c>
      <c r="N754" s="27" t="s">
        <v>80</v>
      </c>
      <c r="O754" s="27">
        <f t="shared" si="33"/>
        <v>0</v>
      </c>
      <c r="P754" s="27" t="s">
        <v>80</v>
      </c>
      <c r="Q754" s="55">
        <f>IF('Pegar ML'!AD750=" ",'Pegar ML'!AD749,'Pegar ML'!AD750)</f>
        <v>0</v>
      </c>
      <c r="R754" s="27" t="s">
        <v>80</v>
      </c>
      <c r="S754" s="27" t="s">
        <v>80</v>
      </c>
      <c r="T754" s="27" t="s">
        <v>80</v>
      </c>
      <c r="U754" s="55">
        <f>IF('Pegar ML'!AI750=" ",'Pegar ML'!AI749,'Pegar ML'!AI750)</f>
        <v>0</v>
      </c>
      <c r="V754" s="55">
        <f>IF('Pegar ML'!AK750=" ",'Pegar ML'!AK749,'Pegar ML'!AK750)</f>
        <v>0</v>
      </c>
      <c r="W754" s="55">
        <f>IF('Pegar ML'!AJ750=" ",'Pegar ML'!AJ749,'Pegar ML'!AJ750)</f>
        <v>0</v>
      </c>
      <c r="X754" s="55">
        <f>IF('Pegar ML'!AL750=" ",'Pegar ML'!AL749,'Pegar ML'!AL750)</f>
        <v>0</v>
      </c>
      <c r="Y754" s="27"/>
      <c r="Z754" s="27"/>
      <c r="AA754" s="27"/>
      <c r="AB754" s="27"/>
      <c r="AC754" s="27"/>
      <c r="AD754" s="27"/>
      <c r="AF754" s="8"/>
      <c r="AG754" s="27"/>
      <c r="AH754" s="14">
        <f>+'Pegar ML'!Y750</f>
        <v>0</v>
      </c>
      <c r="AI754" s="13">
        <f t="shared" si="34"/>
        <v>1</v>
      </c>
      <c r="AJ754" s="7">
        <f>+'Pegar ML'!T750</f>
        <v>0</v>
      </c>
      <c r="AK754" s="27"/>
      <c r="AL754" s="27"/>
      <c r="AM754" s="27"/>
      <c r="AN754" s="27"/>
      <c r="AO754" s="27"/>
      <c r="AP754" s="27"/>
      <c r="AQ754" s="27"/>
      <c r="AR754" s="27"/>
      <c r="AS754" s="27">
        <v>17</v>
      </c>
    </row>
    <row r="755" spans="1:45" ht="15" customHeight="1" x14ac:dyDescent="0.25">
      <c r="A755" s="27">
        <f>IF('Pegar ML'!C750="Paquete de 2 productos",'Pegar ML'!A750,IF('Pegar ML'!C749="Paquete de 2 productos",'Pegar ML'!A749,'Pegar ML'!A751))</f>
        <v>0</v>
      </c>
      <c r="B755" s="27"/>
      <c r="C755" s="30" t="str">
        <f>IF(AjusteFecha!I751=0,"",AjusteFecha!I751)</f>
        <v/>
      </c>
      <c r="D755" s="27"/>
      <c r="E755" s="27"/>
      <c r="F755" s="27" t="str">
        <f>IF('Pegar ML'!C751="","",'Pegar ML'!C751)</f>
        <v/>
      </c>
      <c r="G755" s="27" t="str">
        <f>IF('Pegar ML'!G746="ARS","PS","PS")</f>
        <v>PS</v>
      </c>
      <c r="H755" s="14">
        <f>IF('Pegar ML'!C750="Paquete de 2 productos",IF('Pegar ML'!H750="",0,'Pegar ML'!H750),IF('Pegar ML'!H751="",0,'Pegar ML'!H751))</f>
        <v>0</v>
      </c>
      <c r="I755" s="14">
        <f>IF('Pegar ML'!C750="Paquete de 2 productos",IF('Pegar ML'!O750="",0,'Pegar ML'!O750),IF('Pegar ML'!O751="",0,'Pegar ML'!O751))</f>
        <v>0</v>
      </c>
      <c r="J755" s="14">
        <f>IF('Pegar ML'!C750="Paquete de 2 productos",IF('Pegar ML'!O750="",0,'Pegar ML'!O750),IF('Pegar ML'!O751="",0,'Pegar ML'!O751))</f>
        <v>0</v>
      </c>
      <c r="K755" s="14">
        <f t="shared" si="35"/>
        <v>0</v>
      </c>
      <c r="L755" s="27">
        <f>IF('Pegar ML'!AB751=" ",'Pegar ML'!AB750,'Pegar ML'!AB751)</f>
        <v>0</v>
      </c>
      <c r="M755" s="27" t="str">
        <f>IF('Pegar ML'!AC751=" ",RIGHT('Pegar ML'!AC750,8),RIGHT('Pegar ML'!AC751,8))</f>
        <v/>
      </c>
      <c r="N755" s="27" t="s">
        <v>80</v>
      </c>
      <c r="O755" s="27">
        <f t="shared" si="33"/>
        <v>0</v>
      </c>
      <c r="P755" s="27" t="s">
        <v>80</v>
      </c>
      <c r="Q755" s="55">
        <f>IF('Pegar ML'!AD751=" ",'Pegar ML'!AD750,'Pegar ML'!AD751)</f>
        <v>0</v>
      </c>
      <c r="R755" s="27" t="s">
        <v>80</v>
      </c>
      <c r="S755" s="27" t="s">
        <v>80</v>
      </c>
      <c r="T755" s="27" t="s">
        <v>80</v>
      </c>
      <c r="U755" s="55">
        <f>IF('Pegar ML'!AI751=" ",'Pegar ML'!AI750,'Pegar ML'!AI751)</f>
        <v>0</v>
      </c>
      <c r="V755" s="55">
        <f>IF('Pegar ML'!AK751=" ",'Pegar ML'!AK750,'Pegar ML'!AK751)</f>
        <v>0</v>
      </c>
      <c r="W755" s="55">
        <f>IF('Pegar ML'!AJ751=" ",'Pegar ML'!AJ750,'Pegar ML'!AJ751)</f>
        <v>0</v>
      </c>
      <c r="X755" s="55">
        <f>IF('Pegar ML'!AL751=" ",'Pegar ML'!AL750,'Pegar ML'!AL751)</f>
        <v>0</v>
      </c>
      <c r="Y755" s="27"/>
      <c r="Z755" s="27"/>
      <c r="AA755" s="27"/>
      <c r="AB755" s="27"/>
      <c r="AC755" s="27"/>
      <c r="AD755" s="27"/>
      <c r="AF755" s="8"/>
      <c r="AG755" s="27"/>
      <c r="AH755" s="14">
        <f>+'Pegar ML'!Y751</f>
        <v>0</v>
      </c>
      <c r="AI755" s="13">
        <f t="shared" si="34"/>
        <v>1</v>
      </c>
      <c r="AJ755" s="7">
        <f>+'Pegar ML'!T751</f>
        <v>0</v>
      </c>
      <c r="AK755" s="27"/>
      <c r="AL755" s="27"/>
      <c r="AM755" s="27"/>
      <c r="AN755" s="27"/>
      <c r="AO755" s="27"/>
      <c r="AP755" s="27"/>
      <c r="AQ755" s="27"/>
      <c r="AR755" s="27"/>
      <c r="AS755" s="27">
        <v>17</v>
      </c>
    </row>
    <row r="756" spans="1:45" ht="15" customHeight="1" x14ac:dyDescent="0.25">
      <c r="A756" s="27">
        <f>IF('Pegar ML'!C751="Paquete de 2 productos",'Pegar ML'!A751,IF('Pegar ML'!C750="Paquete de 2 productos",'Pegar ML'!A750,'Pegar ML'!A752))</f>
        <v>0</v>
      </c>
      <c r="B756" s="27"/>
      <c r="C756" s="30" t="str">
        <f>IF(AjusteFecha!I752=0,"",AjusteFecha!I752)</f>
        <v/>
      </c>
      <c r="D756" s="27"/>
      <c r="E756" s="27"/>
      <c r="F756" s="27" t="str">
        <f>IF('Pegar ML'!C752="","",'Pegar ML'!C752)</f>
        <v/>
      </c>
      <c r="G756" s="27" t="str">
        <f>IF('Pegar ML'!G747="ARS","PS","PS")</f>
        <v>PS</v>
      </c>
      <c r="H756" s="14">
        <f>IF('Pegar ML'!C751="Paquete de 2 productos",IF('Pegar ML'!H751="",0,'Pegar ML'!H751),IF('Pegar ML'!H752="",0,'Pegar ML'!H752))</f>
        <v>0</v>
      </c>
      <c r="I756" s="14">
        <f>IF('Pegar ML'!C751="Paquete de 2 productos",IF('Pegar ML'!O751="",0,'Pegar ML'!O751),IF('Pegar ML'!O752="",0,'Pegar ML'!O752))</f>
        <v>0</v>
      </c>
      <c r="J756" s="14">
        <f>IF('Pegar ML'!C751="Paquete de 2 productos",IF('Pegar ML'!O751="",0,'Pegar ML'!O751),IF('Pegar ML'!O752="",0,'Pegar ML'!O752))</f>
        <v>0</v>
      </c>
      <c r="K756" s="14">
        <f t="shared" si="35"/>
        <v>0</v>
      </c>
      <c r="L756" s="27">
        <f>IF('Pegar ML'!AB752=" ",'Pegar ML'!AB751,'Pegar ML'!AB752)</f>
        <v>0</v>
      </c>
      <c r="M756" s="27" t="str">
        <f>IF('Pegar ML'!AC752=" ",RIGHT('Pegar ML'!AC751,8),RIGHT('Pegar ML'!AC752,8))</f>
        <v/>
      </c>
      <c r="N756" s="27" t="s">
        <v>80</v>
      </c>
      <c r="O756" s="27">
        <f t="shared" si="33"/>
        <v>0</v>
      </c>
      <c r="P756" s="27" t="s">
        <v>80</v>
      </c>
      <c r="Q756" s="55">
        <f>IF('Pegar ML'!AD752=" ",'Pegar ML'!AD751,'Pegar ML'!AD752)</f>
        <v>0</v>
      </c>
      <c r="R756" s="27" t="s">
        <v>80</v>
      </c>
      <c r="S756" s="27" t="s">
        <v>80</v>
      </c>
      <c r="T756" s="27" t="s">
        <v>80</v>
      </c>
      <c r="U756" s="55">
        <f>IF('Pegar ML'!AI752=" ",'Pegar ML'!AI751,'Pegar ML'!AI752)</f>
        <v>0</v>
      </c>
      <c r="V756" s="55">
        <f>IF('Pegar ML'!AK752=" ",'Pegar ML'!AK751,'Pegar ML'!AK752)</f>
        <v>0</v>
      </c>
      <c r="W756" s="55">
        <f>IF('Pegar ML'!AJ752=" ",'Pegar ML'!AJ751,'Pegar ML'!AJ752)</f>
        <v>0</v>
      </c>
      <c r="X756" s="55">
        <f>IF('Pegar ML'!AL752=" ",'Pegar ML'!AL751,'Pegar ML'!AL752)</f>
        <v>0</v>
      </c>
      <c r="Y756" s="27"/>
      <c r="Z756" s="27"/>
      <c r="AA756" s="27"/>
      <c r="AB756" s="27"/>
      <c r="AC756" s="27"/>
      <c r="AD756" s="27"/>
      <c r="AF756" s="8"/>
      <c r="AG756" s="27"/>
      <c r="AH756" s="14">
        <f>+'Pegar ML'!Y752</f>
        <v>0</v>
      </c>
      <c r="AI756" s="13">
        <f t="shared" si="34"/>
        <v>1</v>
      </c>
      <c r="AJ756" s="7">
        <f>+'Pegar ML'!T752</f>
        <v>0</v>
      </c>
      <c r="AK756" s="27"/>
      <c r="AL756" s="27"/>
      <c r="AM756" s="27"/>
      <c r="AN756" s="27"/>
      <c r="AO756" s="27"/>
      <c r="AP756" s="27"/>
      <c r="AQ756" s="27"/>
      <c r="AR756" s="27"/>
      <c r="AS756" s="27">
        <v>17</v>
      </c>
    </row>
    <row r="757" spans="1:45" ht="15" customHeight="1" x14ac:dyDescent="0.25">
      <c r="A757" s="27">
        <f>IF('Pegar ML'!C752="Paquete de 2 productos",'Pegar ML'!A752,IF('Pegar ML'!C751="Paquete de 2 productos",'Pegar ML'!A751,'Pegar ML'!A753))</f>
        <v>0</v>
      </c>
      <c r="B757" s="27"/>
      <c r="C757" s="30" t="str">
        <f>IF(AjusteFecha!I753=0,"",AjusteFecha!I753)</f>
        <v/>
      </c>
      <c r="D757" s="27"/>
      <c r="E757" s="27"/>
      <c r="F757" s="27" t="str">
        <f>IF('Pegar ML'!C753="","",'Pegar ML'!C753)</f>
        <v/>
      </c>
      <c r="G757" s="27" t="str">
        <f>IF('Pegar ML'!G748="ARS","PS","PS")</f>
        <v>PS</v>
      </c>
      <c r="H757" s="14">
        <f>IF('Pegar ML'!C752="Paquete de 2 productos",IF('Pegar ML'!H752="",0,'Pegar ML'!H752),IF('Pegar ML'!H753="",0,'Pegar ML'!H753))</f>
        <v>0</v>
      </c>
      <c r="I757" s="14">
        <f>IF('Pegar ML'!C752="Paquete de 2 productos",IF('Pegar ML'!O752="",0,'Pegar ML'!O752),IF('Pegar ML'!O753="",0,'Pegar ML'!O753))</f>
        <v>0</v>
      </c>
      <c r="J757" s="14">
        <f>IF('Pegar ML'!C752="Paquete de 2 productos",IF('Pegar ML'!O752="",0,'Pegar ML'!O752),IF('Pegar ML'!O753="",0,'Pegar ML'!O753))</f>
        <v>0</v>
      </c>
      <c r="K757" s="14">
        <f t="shared" si="35"/>
        <v>0</v>
      </c>
      <c r="L757" s="27">
        <f>IF('Pegar ML'!AB753=" ",'Pegar ML'!AB752,'Pegar ML'!AB753)</f>
        <v>0</v>
      </c>
      <c r="M757" s="27" t="str">
        <f>IF('Pegar ML'!AC753=" ",RIGHT('Pegar ML'!AC752,8),RIGHT('Pegar ML'!AC753,8))</f>
        <v/>
      </c>
      <c r="N757" s="27" t="s">
        <v>80</v>
      </c>
      <c r="O757" s="27">
        <f t="shared" si="33"/>
        <v>0</v>
      </c>
      <c r="P757" s="27" t="s">
        <v>80</v>
      </c>
      <c r="Q757" s="55">
        <f>IF('Pegar ML'!AD753=" ",'Pegar ML'!AD752,'Pegar ML'!AD753)</f>
        <v>0</v>
      </c>
      <c r="R757" s="27" t="s">
        <v>80</v>
      </c>
      <c r="S757" s="27" t="s">
        <v>80</v>
      </c>
      <c r="T757" s="27" t="s">
        <v>80</v>
      </c>
      <c r="U757" s="55">
        <f>IF('Pegar ML'!AI753=" ",'Pegar ML'!AI752,'Pegar ML'!AI753)</f>
        <v>0</v>
      </c>
      <c r="V757" s="55">
        <f>IF('Pegar ML'!AK753=" ",'Pegar ML'!AK752,'Pegar ML'!AK753)</f>
        <v>0</v>
      </c>
      <c r="W757" s="55">
        <f>IF('Pegar ML'!AJ753=" ",'Pegar ML'!AJ752,'Pegar ML'!AJ753)</f>
        <v>0</v>
      </c>
      <c r="X757" s="55">
        <f>IF('Pegar ML'!AL753=" ",'Pegar ML'!AL752,'Pegar ML'!AL753)</f>
        <v>0</v>
      </c>
      <c r="Y757" s="27"/>
      <c r="Z757" s="27"/>
      <c r="AA757" s="27"/>
      <c r="AB757" s="27"/>
      <c r="AC757" s="27"/>
      <c r="AD757" s="27"/>
      <c r="AF757" s="8"/>
      <c r="AG757" s="27"/>
      <c r="AH757" s="14">
        <f>+'Pegar ML'!Y753</f>
        <v>0</v>
      </c>
      <c r="AI757" s="13">
        <f t="shared" si="34"/>
        <v>1</v>
      </c>
      <c r="AJ757" s="7">
        <f>+'Pegar ML'!T753</f>
        <v>0</v>
      </c>
      <c r="AK757" s="27"/>
      <c r="AL757" s="27"/>
      <c r="AM757" s="27"/>
      <c r="AN757" s="27"/>
      <c r="AO757" s="27"/>
      <c r="AP757" s="27"/>
      <c r="AQ757" s="27"/>
      <c r="AR757" s="27"/>
      <c r="AS757" s="27">
        <v>17</v>
      </c>
    </row>
    <row r="758" spans="1:45" ht="15" customHeight="1" x14ac:dyDescent="0.25">
      <c r="A758" s="27">
        <f>IF('Pegar ML'!C753="Paquete de 2 productos",'Pegar ML'!A753,IF('Pegar ML'!C752="Paquete de 2 productos",'Pegar ML'!A752,'Pegar ML'!A754))</f>
        <v>0</v>
      </c>
      <c r="B758" s="27"/>
      <c r="C758" s="30" t="str">
        <f>IF(AjusteFecha!I754=0,"",AjusteFecha!I754)</f>
        <v/>
      </c>
      <c r="D758" s="27"/>
      <c r="E758" s="27"/>
      <c r="F758" s="27" t="str">
        <f>IF('Pegar ML'!C754="","",'Pegar ML'!C754)</f>
        <v/>
      </c>
      <c r="G758" s="27" t="str">
        <f>IF('Pegar ML'!G749="ARS","PS","PS")</f>
        <v>PS</v>
      </c>
      <c r="H758" s="14">
        <f>IF('Pegar ML'!C753="Paquete de 2 productos",IF('Pegar ML'!H753="",0,'Pegar ML'!H753),IF('Pegar ML'!H754="",0,'Pegar ML'!H754))</f>
        <v>0</v>
      </c>
      <c r="I758" s="14">
        <f>IF('Pegar ML'!C753="Paquete de 2 productos",IF('Pegar ML'!O753="",0,'Pegar ML'!O753),IF('Pegar ML'!O754="",0,'Pegar ML'!O754))</f>
        <v>0</v>
      </c>
      <c r="J758" s="14">
        <f>IF('Pegar ML'!C753="Paquete de 2 productos",IF('Pegar ML'!O753="",0,'Pegar ML'!O753),IF('Pegar ML'!O754="",0,'Pegar ML'!O754))</f>
        <v>0</v>
      </c>
      <c r="K758" s="14">
        <f t="shared" si="35"/>
        <v>0</v>
      </c>
      <c r="L758" s="27">
        <f>IF('Pegar ML'!AB754=" ",'Pegar ML'!AB753,'Pegar ML'!AB754)</f>
        <v>0</v>
      </c>
      <c r="M758" s="27" t="str">
        <f>IF('Pegar ML'!AC754=" ",RIGHT('Pegar ML'!AC753,8),RIGHT('Pegar ML'!AC754,8))</f>
        <v/>
      </c>
      <c r="N758" s="27" t="s">
        <v>80</v>
      </c>
      <c r="O758" s="27">
        <f t="shared" si="33"/>
        <v>0</v>
      </c>
      <c r="P758" s="27" t="s">
        <v>80</v>
      </c>
      <c r="Q758" s="55">
        <f>IF('Pegar ML'!AD754=" ",'Pegar ML'!AD753,'Pegar ML'!AD754)</f>
        <v>0</v>
      </c>
      <c r="R758" s="27" t="s">
        <v>80</v>
      </c>
      <c r="S758" s="27" t="s">
        <v>80</v>
      </c>
      <c r="T758" s="27" t="s">
        <v>80</v>
      </c>
      <c r="U758" s="55">
        <f>IF('Pegar ML'!AI754=" ",'Pegar ML'!AI753,'Pegar ML'!AI754)</f>
        <v>0</v>
      </c>
      <c r="V758" s="55">
        <f>IF('Pegar ML'!AK754=" ",'Pegar ML'!AK753,'Pegar ML'!AK754)</f>
        <v>0</v>
      </c>
      <c r="W758" s="55">
        <f>IF('Pegar ML'!AJ754=" ",'Pegar ML'!AJ753,'Pegar ML'!AJ754)</f>
        <v>0</v>
      </c>
      <c r="X758" s="55">
        <f>IF('Pegar ML'!AL754=" ",'Pegar ML'!AL753,'Pegar ML'!AL754)</f>
        <v>0</v>
      </c>
      <c r="Y758" s="27"/>
      <c r="Z758" s="27"/>
      <c r="AA758" s="27"/>
      <c r="AB758" s="27"/>
      <c r="AC758" s="27"/>
      <c r="AD758" s="27"/>
      <c r="AF758" s="8"/>
      <c r="AG758" s="27"/>
      <c r="AH758" s="14">
        <f>+'Pegar ML'!Y754</f>
        <v>0</v>
      </c>
      <c r="AI758" s="13">
        <f t="shared" si="34"/>
        <v>1</v>
      </c>
      <c r="AJ758" s="7">
        <f>+'Pegar ML'!T754</f>
        <v>0</v>
      </c>
      <c r="AK758" s="27"/>
      <c r="AL758" s="27"/>
      <c r="AM758" s="27"/>
      <c r="AN758" s="27"/>
      <c r="AO758" s="27"/>
      <c r="AP758" s="27"/>
      <c r="AQ758" s="27"/>
      <c r="AR758" s="27"/>
      <c r="AS758" s="27">
        <v>17</v>
      </c>
    </row>
    <row r="759" spans="1:45" ht="15" customHeight="1" x14ac:dyDescent="0.25">
      <c r="A759" s="27">
        <f>IF('Pegar ML'!C754="Paquete de 2 productos",'Pegar ML'!A754,IF('Pegar ML'!C753="Paquete de 2 productos",'Pegar ML'!A753,'Pegar ML'!A755))</f>
        <v>0</v>
      </c>
      <c r="B759" s="27"/>
      <c r="C759" s="30" t="str">
        <f>IF(AjusteFecha!I755=0,"",AjusteFecha!I755)</f>
        <v/>
      </c>
      <c r="D759" s="27"/>
      <c r="E759" s="27"/>
      <c r="F759" s="27" t="str">
        <f>IF('Pegar ML'!C755="","",'Pegar ML'!C755)</f>
        <v/>
      </c>
      <c r="G759" s="27" t="str">
        <f>IF('Pegar ML'!G750="ARS","PS","PS")</f>
        <v>PS</v>
      </c>
      <c r="H759" s="14">
        <f>IF('Pegar ML'!C754="Paquete de 2 productos",IF('Pegar ML'!H754="",0,'Pegar ML'!H754),IF('Pegar ML'!H755="",0,'Pegar ML'!H755))</f>
        <v>0</v>
      </c>
      <c r="I759" s="14">
        <f>IF('Pegar ML'!C754="Paquete de 2 productos",IF('Pegar ML'!O754="",0,'Pegar ML'!O754),IF('Pegar ML'!O755="",0,'Pegar ML'!O755))</f>
        <v>0</v>
      </c>
      <c r="J759" s="14">
        <f>IF('Pegar ML'!C754="Paquete de 2 productos",IF('Pegar ML'!O754="",0,'Pegar ML'!O754),IF('Pegar ML'!O755="",0,'Pegar ML'!O755))</f>
        <v>0</v>
      </c>
      <c r="K759" s="14">
        <f t="shared" si="35"/>
        <v>0</v>
      </c>
      <c r="L759" s="27">
        <f>IF('Pegar ML'!AB755=" ",'Pegar ML'!AB754,'Pegar ML'!AB755)</f>
        <v>0</v>
      </c>
      <c r="M759" s="27" t="str">
        <f>IF('Pegar ML'!AC755=" ",RIGHT('Pegar ML'!AC754,8),RIGHT('Pegar ML'!AC755,8))</f>
        <v/>
      </c>
      <c r="N759" s="27" t="s">
        <v>80</v>
      </c>
      <c r="O759" s="27">
        <f t="shared" si="33"/>
        <v>0</v>
      </c>
      <c r="P759" s="27" t="s">
        <v>80</v>
      </c>
      <c r="Q759" s="55">
        <f>IF('Pegar ML'!AD755=" ",'Pegar ML'!AD754,'Pegar ML'!AD755)</f>
        <v>0</v>
      </c>
      <c r="R759" s="27" t="s">
        <v>80</v>
      </c>
      <c r="S759" s="27" t="s">
        <v>80</v>
      </c>
      <c r="T759" s="27" t="s">
        <v>80</v>
      </c>
      <c r="U759" s="55">
        <f>IF('Pegar ML'!AI755=" ",'Pegar ML'!AI754,'Pegar ML'!AI755)</f>
        <v>0</v>
      </c>
      <c r="V759" s="55">
        <f>IF('Pegar ML'!AK755=" ",'Pegar ML'!AK754,'Pegar ML'!AK755)</f>
        <v>0</v>
      </c>
      <c r="W759" s="55">
        <f>IF('Pegar ML'!AJ755=" ",'Pegar ML'!AJ754,'Pegar ML'!AJ755)</f>
        <v>0</v>
      </c>
      <c r="X759" s="55">
        <f>IF('Pegar ML'!AL755=" ",'Pegar ML'!AL754,'Pegar ML'!AL755)</f>
        <v>0</v>
      </c>
      <c r="Y759" s="27"/>
      <c r="Z759" s="27"/>
      <c r="AA759" s="27"/>
      <c r="AB759" s="27"/>
      <c r="AC759" s="27"/>
      <c r="AD759" s="27"/>
      <c r="AF759" s="8"/>
      <c r="AG759" s="27"/>
      <c r="AH759" s="14">
        <f>+'Pegar ML'!Y755</f>
        <v>0</v>
      </c>
      <c r="AI759" s="13">
        <f t="shared" si="34"/>
        <v>1</v>
      </c>
      <c r="AJ759" s="7">
        <f>+'Pegar ML'!T755</f>
        <v>0</v>
      </c>
      <c r="AK759" s="27"/>
      <c r="AL759" s="27"/>
      <c r="AM759" s="27"/>
      <c r="AN759" s="27"/>
      <c r="AO759" s="27"/>
      <c r="AP759" s="27"/>
      <c r="AQ759" s="27"/>
      <c r="AR759" s="27"/>
      <c r="AS759" s="27">
        <v>17</v>
      </c>
    </row>
    <row r="760" spans="1:45" ht="15" customHeight="1" x14ac:dyDescent="0.25">
      <c r="A760" s="27">
        <f>IF('Pegar ML'!C755="Paquete de 2 productos",'Pegar ML'!A755,IF('Pegar ML'!C754="Paquete de 2 productos",'Pegar ML'!A754,'Pegar ML'!A756))</f>
        <v>0</v>
      </c>
      <c r="B760" s="27"/>
      <c r="C760" s="30" t="str">
        <f>IF(AjusteFecha!I756=0,"",AjusteFecha!I756)</f>
        <v/>
      </c>
      <c r="D760" s="27"/>
      <c r="E760" s="27"/>
      <c r="F760" s="27" t="str">
        <f>IF('Pegar ML'!C756="","",'Pegar ML'!C756)</f>
        <v/>
      </c>
      <c r="G760" s="27" t="str">
        <f>IF('Pegar ML'!G751="ARS","PS","PS")</f>
        <v>PS</v>
      </c>
      <c r="H760" s="14">
        <f>IF('Pegar ML'!C755="Paquete de 2 productos",IF('Pegar ML'!H755="",0,'Pegar ML'!H755),IF('Pegar ML'!H756="",0,'Pegar ML'!H756))</f>
        <v>0</v>
      </c>
      <c r="I760" s="14">
        <f>IF('Pegar ML'!C755="Paquete de 2 productos",IF('Pegar ML'!O755="",0,'Pegar ML'!O755),IF('Pegar ML'!O756="",0,'Pegar ML'!O756))</f>
        <v>0</v>
      </c>
      <c r="J760" s="14">
        <f>IF('Pegar ML'!C755="Paquete de 2 productos",IF('Pegar ML'!O755="",0,'Pegar ML'!O755),IF('Pegar ML'!O756="",0,'Pegar ML'!O756))</f>
        <v>0</v>
      </c>
      <c r="K760" s="14">
        <f t="shared" si="35"/>
        <v>0</v>
      </c>
      <c r="L760" s="27">
        <f>IF('Pegar ML'!AB756=" ",'Pegar ML'!AB755,'Pegar ML'!AB756)</f>
        <v>0</v>
      </c>
      <c r="M760" s="27" t="str">
        <f>IF('Pegar ML'!AC756=" ",RIGHT('Pegar ML'!AC755,8),RIGHT('Pegar ML'!AC756,8))</f>
        <v/>
      </c>
      <c r="N760" s="27" t="s">
        <v>80</v>
      </c>
      <c r="O760" s="27">
        <f t="shared" si="33"/>
        <v>0</v>
      </c>
      <c r="P760" s="27" t="s">
        <v>80</v>
      </c>
      <c r="Q760" s="55">
        <f>IF('Pegar ML'!AD756=" ",'Pegar ML'!AD755,'Pegar ML'!AD756)</f>
        <v>0</v>
      </c>
      <c r="R760" s="27" t="s">
        <v>80</v>
      </c>
      <c r="S760" s="27" t="s">
        <v>80</v>
      </c>
      <c r="T760" s="27" t="s">
        <v>80</v>
      </c>
      <c r="U760" s="55">
        <f>IF('Pegar ML'!AI756=" ",'Pegar ML'!AI755,'Pegar ML'!AI756)</f>
        <v>0</v>
      </c>
      <c r="V760" s="55">
        <f>IF('Pegar ML'!AK756=" ",'Pegar ML'!AK755,'Pegar ML'!AK756)</f>
        <v>0</v>
      </c>
      <c r="W760" s="55">
        <f>IF('Pegar ML'!AJ756=" ",'Pegar ML'!AJ755,'Pegar ML'!AJ756)</f>
        <v>0</v>
      </c>
      <c r="X760" s="55">
        <f>IF('Pegar ML'!AL756=" ",'Pegar ML'!AL755,'Pegar ML'!AL756)</f>
        <v>0</v>
      </c>
      <c r="Y760" s="27"/>
      <c r="Z760" s="27"/>
      <c r="AA760" s="27"/>
      <c r="AB760" s="27"/>
      <c r="AC760" s="27"/>
      <c r="AD760" s="27"/>
      <c r="AF760" s="8"/>
      <c r="AG760" s="27"/>
      <c r="AH760" s="14">
        <f>+'Pegar ML'!Y756</f>
        <v>0</v>
      </c>
      <c r="AI760" s="13">
        <f t="shared" si="34"/>
        <v>1</v>
      </c>
      <c r="AJ760" s="7">
        <f>+'Pegar ML'!T756</f>
        <v>0</v>
      </c>
      <c r="AK760" s="27"/>
      <c r="AL760" s="27"/>
      <c r="AM760" s="27"/>
      <c r="AN760" s="27"/>
      <c r="AO760" s="27"/>
      <c r="AP760" s="27"/>
      <c r="AQ760" s="27"/>
      <c r="AR760" s="27"/>
      <c r="AS760" s="27">
        <v>17</v>
      </c>
    </row>
    <row r="761" spans="1:45" ht="15" customHeight="1" x14ac:dyDescent="0.25">
      <c r="A761" s="27">
        <f>IF('Pegar ML'!C756="Paquete de 2 productos",'Pegar ML'!A756,IF('Pegar ML'!C755="Paquete de 2 productos",'Pegar ML'!A755,'Pegar ML'!A757))</f>
        <v>0</v>
      </c>
      <c r="B761" s="27"/>
      <c r="C761" s="30" t="str">
        <f>IF(AjusteFecha!I757=0,"",AjusteFecha!I757)</f>
        <v/>
      </c>
      <c r="D761" s="27"/>
      <c r="E761" s="27"/>
      <c r="F761" s="27" t="str">
        <f>IF('Pegar ML'!C757="","",'Pegar ML'!C757)</f>
        <v/>
      </c>
      <c r="G761" s="27" t="str">
        <f>IF('Pegar ML'!G752="ARS","PS","PS")</f>
        <v>PS</v>
      </c>
      <c r="H761" s="14">
        <f>IF('Pegar ML'!C756="Paquete de 2 productos",IF('Pegar ML'!H756="",0,'Pegar ML'!H756),IF('Pegar ML'!H757="",0,'Pegar ML'!H757))</f>
        <v>0</v>
      </c>
      <c r="I761" s="14">
        <f>IF('Pegar ML'!C756="Paquete de 2 productos",IF('Pegar ML'!O756="",0,'Pegar ML'!O756),IF('Pegar ML'!O757="",0,'Pegar ML'!O757))</f>
        <v>0</v>
      </c>
      <c r="J761" s="14">
        <f>IF('Pegar ML'!C756="Paquete de 2 productos",IF('Pegar ML'!O756="",0,'Pegar ML'!O756),IF('Pegar ML'!O757="",0,'Pegar ML'!O757))</f>
        <v>0</v>
      </c>
      <c r="K761" s="14">
        <f t="shared" si="35"/>
        <v>0</v>
      </c>
      <c r="L761" s="27">
        <f>IF('Pegar ML'!AB757=" ",'Pegar ML'!AB756,'Pegar ML'!AB757)</f>
        <v>0</v>
      </c>
      <c r="M761" s="27" t="str">
        <f>IF('Pegar ML'!AC757=" ",RIGHT('Pegar ML'!AC756,8),RIGHT('Pegar ML'!AC757,8))</f>
        <v/>
      </c>
      <c r="N761" s="27" t="s">
        <v>80</v>
      </c>
      <c r="O761" s="27">
        <f t="shared" si="33"/>
        <v>0</v>
      </c>
      <c r="P761" s="27" t="s">
        <v>80</v>
      </c>
      <c r="Q761" s="55">
        <f>IF('Pegar ML'!AD757=" ",'Pegar ML'!AD756,'Pegar ML'!AD757)</f>
        <v>0</v>
      </c>
      <c r="R761" s="27" t="s">
        <v>80</v>
      </c>
      <c r="S761" s="27" t="s">
        <v>80</v>
      </c>
      <c r="T761" s="27" t="s">
        <v>80</v>
      </c>
      <c r="U761" s="55">
        <f>IF('Pegar ML'!AI757=" ",'Pegar ML'!AI756,'Pegar ML'!AI757)</f>
        <v>0</v>
      </c>
      <c r="V761" s="55">
        <f>IF('Pegar ML'!AK757=" ",'Pegar ML'!AK756,'Pegar ML'!AK757)</f>
        <v>0</v>
      </c>
      <c r="W761" s="55">
        <f>IF('Pegar ML'!AJ757=" ",'Pegar ML'!AJ756,'Pegar ML'!AJ757)</f>
        <v>0</v>
      </c>
      <c r="X761" s="55">
        <f>IF('Pegar ML'!AL757=" ",'Pegar ML'!AL756,'Pegar ML'!AL757)</f>
        <v>0</v>
      </c>
      <c r="Y761" s="27"/>
      <c r="Z761" s="27"/>
      <c r="AA761" s="27"/>
      <c r="AB761" s="27"/>
      <c r="AC761" s="27"/>
      <c r="AD761" s="27"/>
      <c r="AF761" s="8"/>
      <c r="AG761" s="27"/>
      <c r="AH761" s="14">
        <f>+'Pegar ML'!Y757</f>
        <v>0</v>
      </c>
      <c r="AI761" s="13">
        <f t="shared" si="34"/>
        <v>1</v>
      </c>
      <c r="AJ761" s="7">
        <f>+'Pegar ML'!T757</f>
        <v>0</v>
      </c>
      <c r="AK761" s="27"/>
      <c r="AL761" s="27"/>
      <c r="AM761" s="27"/>
      <c r="AN761" s="27"/>
      <c r="AO761" s="27"/>
      <c r="AP761" s="27"/>
      <c r="AQ761" s="27"/>
      <c r="AR761" s="27"/>
      <c r="AS761" s="27">
        <v>17</v>
      </c>
    </row>
    <row r="762" spans="1:45" ht="15" customHeight="1" x14ac:dyDescent="0.25">
      <c r="A762" s="27">
        <f>IF('Pegar ML'!C757="Paquete de 2 productos",'Pegar ML'!A757,IF('Pegar ML'!C756="Paquete de 2 productos",'Pegar ML'!A756,'Pegar ML'!A758))</f>
        <v>0</v>
      </c>
      <c r="B762" s="27"/>
      <c r="C762" s="30" t="str">
        <f>IF(AjusteFecha!I758=0,"",AjusteFecha!I758)</f>
        <v/>
      </c>
      <c r="D762" s="27"/>
      <c r="E762" s="27"/>
      <c r="F762" s="27" t="str">
        <f>IF('Pegar ML'!C758="","",'Pegar ML'!C758)</f>
        <v/>
      </c>
      <c r="G762" s="27" t="str">
        <f>IF('Pegar ML'!G753="ARS","PS","PS")</f>
        <v>PS</v>
      </c>
      <c r="H762" s="14">
        <f>IF('Pegar ML'!C757="Paquete de 2 productos",IF('Pegar ML'!H757="",0,'Pegar ML'!H757),IF('Pegar ML'!H758="",0,'Pegar ML'!H758))</f>
        <v>0</v>
      </c>
      <c r="I762" s="14">
        <f>IF('Pegar ML'!C757="Paquete de 2 productos",IF('Pegar ML'!O757="",0,'Pegar ML'!O757),IF('Pegar ML'!O758="",0,'Pegar ML'!O758))</f>
        <v>0</v>
      </c>
      <c r="J762" s="14">
        <f>IF('Pegar ML'!C757="Paquete de 2 productos",IF('Pegar ML'!O757="",0,'Pegar ML'!O757),IF('Pegar ML'!O758="",0,'Pegar ML'!O758))</f>
        <v>0</v>
      </c>
      <c r="K762" s="14">
        <f t="shared" si="35"/>
        <v>0</v>
      </c>
      <c r="L762" s="27">
        <f>IF('Pegar ML'!AB758=" ",'Pegar ML'!AB757,'Pegar ML'!AB758)</f>
        <v>0</v>
      </c>
      <c r="M762" s="27" t="str">
        <f>IF('Pegar ML'!AC758=" ",RIGHT('Pegar ML'!AC757,8),RIGHT('Pegar ML'!AC758,8))</f>
        <v/>
      </c>
      <c r="N762" s="27" t="s">
        <v>80</v>
      </c>
      <c r="O762" s="27">
        <f t="shared" si="33"/>
        <v>0</v>
      </c>
      <c r="P762" s="27" t="s">
        <v>80</v>
      </c>
      <c r="Q762" s="55">
        <f>IF('Pegar ML'!AD758=" ",'Pegar ML'!AD757,'Pegar ML'!AD758)</f>
        <v>0</v>
      </c>
      <c r="R762" s="27" t="s">
        <v>80</v>
      </c>
      <c r="S762" s="27" t="s">
        <v>80</v>
      </c>
      <c r="T762" s="27" t="s">
        <v>80</v>
      </c>
      <c r="U762" s="55">
        <f>IF('Pegar ML'!AI758=" ",'Pegar ML'!AI757,'Pegar ML'!AI758)</f>
        <v>0</v>
      </c>
      <c r="V762" s="55">
        <f>IF('Pegar ML'!AK758=" ",'Pegar ML'!AK757,'Pegar ML'!AK758)</f>
        <v>0</v>
      </c>
      <c r="W762" s="55">
        <f>IF('Pegar ML'!AJ758=" ",'Pegar ML'!AJ757,'Pegar ML'!AJ758)</f>
        <v>0</v>
      </c>
      <c r="X762" s="55">
        <f>IF('Pegar ML'!AL758=" ",'Pegar ML'!AL757,'Pegar ML'!AL758)</f>
        <v>0</v>
      </c>
      <c r="Y762" s="27"/>
      <c r="Z762" s="27"/>
      <c r="AA762" s="27"/>
      <c r="AB762" s="27"/>
      <c r="AC762" s="27"/>
      <c r="AD762" s="27"/>
      <c r="AF762" s="8"/>
      <c r="AG762" s="27"/>
      <c r="AH762" s="14">
        <f>+'Pegar ML'!Y758</f>
        <v>0</v>
      </c>
      <c r="AI762" s="13">
        <f t="shared" si="34"/>
        <v>1</v>
      </c>
      <c r="AJ762" s="7">
        <f>+'Pegar ML'!T758</f>
        <v>0</v>
      </c>
      <c r="AK762" s="27"/>
      <c r="AL762" s="27"/>
      <c r="AM762" s="27"/>
      <c r="AN762" s="27"/>
      <c r="AO762" s="27"/>
      <c r="AP762" s="27"/>
      <c r="AQ762" s="27"/>
      <c r="AR762" s="27"/>
      <c r="AS762" s="27">
        <v>17</v>
      </c>
    </row>
    <row r="763" spans="1:45" ht="15" customHeight="1" x14ac:dyDescent="0.25">
      <c r="A763" s="27">
        <f>IF('Pegar ML'!C758="Paquete de 2 productos",'Pegar ML'!A758,IF('Pegar ML'!C757="Paquete de 2 productos",'Pegar ML'!A757,'Pegar ML'!A759))</f>
        <v>0</v>
      </c>
      <c r="B763" s="27"/>
      <c r="C763" s="30" t="str">
        <f>IF(AjusteFecha!I759=0,"",AjusteFecha!I759)</f>
        <v/>
      </c>
      <c r="D763" s="27"/>
      <c r="E763" s="27"/>
      <c r="F763" s="27" t="str">
        <f>IF('Pegar ML'!C759="","",'Pegar ML'!C759)</f>
        <v/>
      </c>
      <c r="G763" s="27" t="str">
        <f>IF('Pegar ML'!G754="ARS","PS","PS")</f>
        <v>PS</v>
      </c>
      <c r="H763" s="14">
        <f>IF('Pegar ML'!C758="Paquete de 2 productos",IF('Pegar ML'!H758="",0,'Pegar ML'!H758),IF('Pegar ML'!H759="",0,'Pegar ML'!H759))</f>
        <v>0</v>
      </c>
      <c r="I763" s="14">
        <f>IF('Pegar ML'!C758="Paquete de 2 productos",IF('Pegar ML'!O758="",0,'Pegar ML'!O758),IF('Pegar ML'!O759="",0,'Pegar ML'!O759))</f>
        <v>0</v>
      </c>
      <c r="J763" s="14">
        <f>IF('Pegar ML'!C758="Paquete de 2 productos",IF('Pegar ML'!O758="",0,'Pegar ML'!O758),IF('Pegar ML'!O759="",0,'Pegar ML'!O759))</f>
        <v>0</v>
      </c>
      <c r="K763" s="14">
        <f t="shared" si="35"/>
        <v>0</v>
      </c>
      <c r="L763" s="27">
        <f>IF('Pegar ML'!AB759=" ",'Pegar ML'!AB758,'Pegar ML'!AB759)</f>
        <v>0</v>
      </c>
      <c r="M763" s="27" t="str">
        <f>IF('Pegar ML'!AC759=" ",RIGHT('Pegar ML'!AC758,8),RIGHT('Pegar ML'!AC759,8))</f>
        <v/>
      </c>
      <c r="N763" s="27" t="s">
        <v>80</v>
      </c>
      <c r="O763" s="27">
        <f t="shared" si="33"/>
        <v>0</v>
      </c>
      <c r="P763" s="27" t="s">
        <v>80</v>
      </c>
      <c r="Q763" s="55">
        <f>IF('Pegar ML'!AD759=" ",'Pegar ML'!AD758,'Pegar ML'!AD759)</f>
        <v>0</v>
      </c>
      <c r="R763" s="27" t="s">
        <v>80</v>
      </c>
      <c r="S763" s="27" t="s">
        <v>80</v>
      </c>
      <c r="T763" s="27" t="s">
        <v>80</v>
      </c>
      <c r="U763" s="55">
        <f>IF('Pegar ML'!AI759=" ",'Pegar ML'!AI758,'Pegar ML'!AI759)</f>
        <v>0</v>
      </c>
      <c r="V763" s="55">
        <f>IF('Pegar ML'!AK759=" ",'Pegar ML'!AK758,'Pegar ML'!AK759)</f>
        <v>0</v>
      </c>
      <c r="W763" s="55">
        <f>IF('Pegar ML'!AJ759=" ",'Pegar ML'!AJ758,'Pegar ML'!AJ759)</f>
        <v>0</v>
      </c>
      <c r="X763" s="55">
        <f>IF('Pegar ML'!AL759=" ",'Pegar ML'!AL758,'Pegar ML'!AL759)</f>
        <v>0</v>
      </c>
      <c r="Y763" s="27"/>
      <c r="Z763" s="27"/>
      <c r="AA763" s="27"/>
      <c r="AB763" s="27"/>
      <c r="AC763" s="27"/>
      <c r="AD763" s="27"/>
      <c r="AF763" s="8"/>
      <c r="AG763" s="27"/>
      <c r="AH763" s="14">
        <f>+'Pegar ML'!Y759</f>
        <v>0</v>
      </c>
      <c r="AI763" s="13">
        <f t="shared" si="34"/>
        <v>1</v>
      </c>
      <c r="AJ763" s="7">
        <f>+'Pegar ML'!T759</f>
        <v>0</v>
      </c>
      <c r="AK763" s="27"/>
      <c r="AL763" s="27"/>
      <c r="AM763" s="27"/>
      <c r="AN763" s="27"/>
      <c r="AO763" s="27"/>
      <c r="AP763" s="27"/>
      <c r="AQ763" s="27"/>
      <c r="AR763" s="27"/>
      <c r="AS763" s="27">
        <v>17</v>
      </c>
    </row>
    <row r="764" spans="1:45" ht="15" customHeight="1" x14ac:dyDescent="0.25">
      <c r="A764" s="27">
        <f>IF('Pegar ML'!C759="Paquete de 2 productos",'Pegar ML'!A759,IF('Pegar ML'!C758="Paquete de 2 productos",'Pegar ML'!A758,'Pegar ML'!A760))</f>
        <v>0</v>
      </c>
      <c r="B764" s="27"/>
      <c r="C764" s="30" t="str">
        <f>IF(AjusteFecha!I760=0,"",AjusteFecha!I760)</f>
        <v/>
      </c>
      <c r="D764" s="27"/>
      <c r="E764" s="27"/>
      <c r="F764" s="27" t="str">
        <f>IF('Pegar ML'!C760="","",'Pegar ML'!C760)</f>
        <v/>
      </c>
      <c r="G764" s="27" t="str">
        <f>IF('Pegar ML'!G755="ARS","PS","PS")</f>
        <v>PS</v>
      </c>
      <c r="H764" s="14">
        <f>IF('Pegar ML'!C759="Paquete de 2 productos",IF('Pegar ML'!H759="",0,'Pegar ML'!H759),IF('Pegar ML'!H760="",0,'Pegar ML'!H760))</f>
        <v>0</v>
      </c>
      <c r="I764" s="14">
        <f>IF('Pegar ML'!C759="Paquete de 2 productos",IF('Pegar ML'!O759="",0,'Pegar ML'!O759),IF('Pegar ML'!O760="",0,'Pegar ML'!O760))</f>
        <v>0</v>
      </c>
      <c r="J764" s="14">
        <f>IF('Pegar ML'!C759="Paquete de 2 productos",IF('Pegar ML'!O759="",0,'Pegar ML'!O759),IF('Pegar ML'!O760="",0,'Pegar ML'!O760))</f>
        <v>0</v>
      </c>
      <c r="K764" s="14">
        <f t="shared" si="35"/>
        <v>0</v>
      </c>
      <c r="L764" s="27">
        <f>IF('Pegar ML'!AB760=" ",'Pegar ML'!AB759,'Pegar ML'!AB760)</f>
        <v>0</v>
      </c>
      <c r="M764" s="27" t="str">
        <f>IF('Pegar ML'!AC760=" ",RIGHT('Pegar ML'!AC759,8),RIGHT('Pegar ML'!AC760,8))</f>
        <v/>
      </c>
      <c r="N764" s="27" t="s">
        <v>80</v>
      </c>
      <c r="O764" s="27">
        <f t="shared" si="33"/>
        <v>0</v>
      </c>
      <c r="P764" s="27" t="s">
        <v>80</v>
      </c>
      <c r="Q764" s="55">
        <f>IF('Pegar ML'!AD760=" ",'Pegar ML'!AD759,'Pegar ML'!AD760)</f>
        <v>0</v>
      </c>
      <c r="R764" s="27" t="s">
        <v>80</v>
      </c>
      <c r="S764" s="27" t="s">
        <v>80</v>
      </c>
      <c r="T764" s="27" t="s">
        <v>80</v>
      </c>
      <c r="U764" s="55">
        <f>IF('Pegar ML'!AI760=" ",'Pegar ML'!AI759,'Pegar ML'!AI760)</f>
        <v>0</v>
      </c>
      <c r="V764" s="55">
        <f>IF('Pegar ML'!AK760=" ",'Pegar ML'!AK759,'Pegar ML'!AK760)</f>
        <v>0</v>
      </c>
      <c r="W764" s="55">
        <f>IF('Pegar ML'!AJ760=" ",'Pegar ML'!AJ759,'Pegar ML'!AJ760)</f>
        <v>0</v>
      </c>
      <c r="X764" s="55">
        <f>IF('Pegar ML'!AL760=" ",'Pegar ML'!AL759,'Pegar ML'!AL760)</f>
        <v>0</v>
      </c>
      <c r="Y764" s="27"/>
      <c r="Z764" s="27"/>
      <c r="AA764" s="27"/>
      <c r="AB764" s="27"/>
      <c r="AC764" s="27"/>
      <c r="AD764" s="27"/>
      <c r="AF764" s="8"/>
      <c r="AG764" s="27"/>
      <c r="AH764" s="14">
        <f>+'Pegar ML'!Y760</f>
        <v>0</v>
      </c>
      <c r="AI764" s="13">
        <f t="shared" si="34"/>
        <v>1</v>
      </c>
      <c r="AJ764" s="7">
        <f>+'Pegar ML'!T760</f>
        <v>0</v>
      </c>
      <c r="AK764" s="27"/>
      <c r="AL764" s="27"/>
      <c r="AM764" s="27"/>
      <c r="AN764" s="27"/>
      <c r="AO764" s="27"/>
      <c r="AP764" s="27"/>
      <c r="AQ764" s="27"/>
      <c r="AR764" s="27"/>
      <c r="AS764" s="27">
        <v>17</v>
      </c>
    </row>
    <row r="765" spans="1:45" ht="15" customHeight="1" x14ac:dyDescent="0.25">
      <c r="A765" s="27">
        <f>IF('Pegar ML'!C760="Paquete de 2 productos",'Pegar ML'!A760,IF('Pegar ML'!C759="Paquete de 2 productos",'Pegar ML'!A759,'Pegar ML'!A761))</f>
        <v>0</v>
      </c>
      <c r="B765" s="27"/>
      <c r="C765" s="30" t="str">
        <f>IF(AjusteFecha!I761=0,"",AjusteFecha!I761)</f>
        <v/>
      </c>
      <c r="D765" s="27"/>
      <c r="E765" s="27"/>
      <c r="F765" s="27" t="str">
        <f>IF('Pegar ML'!C761="","",'Pegar ML'!C761)</f>
        <v/>
      </c>
      <c r="G765" s="27" t="str">
        <f>IF('Pegar ML'!G756="ARS","PS","PS")</f>
        <v>PS</v>
      </c>
      <c r="H765" s="14">
        <f>IF('Pegar ML'!C760="Paquete de 2 productos",IF('Pegar ML'!H760="",0,'Pegar ML'!H760),IF('Pegar ML'!H761="",0,'Pegar ML'!H761))</f>
        <v>0</v>
      </c>
      <c r="I765" s="14">
        <f>IF('Pegar ML'!C760="Paquete de 2 productos",IF('Pegar ML'!O760="",0,'Pegar ML'!O760),IF('Pegar ML'!O761="",0,'Pegar ML'!O761))</f>
        <v>0</v>
      </c>
      <c r="J765" s="14">
        <f>IF('Pegar ML'!C760="Paquete de 2 productos",IF('Pegar ML'!O760="",0,'Pegar ML'!O760),IF('Pegar ML'!O761="",0,'Pegar ML'!O761))</f>
        <v>0</v>
      </c>
      <c r="K765" s="14">
        <f t="shared" si="35"/>
        <v>0</v>
      </c>
      <c r="L765" s="27">
        <f>IF('Pegar ML'!AB761=" ",'Pegar ML'!AB760,'Pegar ML'!AB761)</f>
        <v>0</v>
      </c>
      <c r="M765" s="27" t="str">
        <f>IF('Pegar ML'!AC761=" ",RIGHT('Pegar ML'!AC760,8),RIGHT('Pegar ML'!AC761,8))</f>
        <v/>
      </c>
      <c r="N765" s="27" t="s">
        <v>80</v>
      </c>
      <c r="O765" s="27">
        <f t="shared" si="33"/>
        <v>0</v>
      </c>
      <c r="P765" s="27" t="s">
        <v>80</v>
      </c>
      <c r="Q765" s="55">
        <f>IF('Pegar ML'!AD761=" ",'Pegar ML'!AD760,'Pegar ML'!AD761)</f>
        <v>0</v>
      </c>
      <c r="R765" s="27" t="s">
        <v>80</v>
      </c>
      <c r="S765" s="27" t="s">
        <v>80</v>
      </c>
      <c r="T765" s="27" t="s">
        <v>80</v>
      </c>
      <c r="U765" s="55">
        <f>IF('Pegar ML'!AI761=" ",'Pegar ML'!AI760,'Pegar ML'!AI761)</f>
        <v>0</v>
      </c>
      <c r="V765" s="55">
        <f>IF('Pegar ML'!AK761=" ",'Pegar ML'!AK760,'Pegar ML'!AK761)</f>
        <v>0</v>
      </c>
      <c r="W765" s="55">
        <f>IF('Pegar ML'!AJ761=" ",'Pegar ML'!AJ760,'Pegar ML'!AJ761)</f>
        <v>0</v>
      </c>
      <c r="X765" s="55">
        <f>IF('Pegar ML'!AL761=" ",'Pegar ML'!AL760,'Pegar ML'!AL761)</f>
        <v>0</v>
      </c>
      <c r="Y765" s="27"/>
      <c r="Z765" s="27"/>
      <c r="AA765" s="27"/>
      <c r="AB765" s="27"/>
      <c r="AC765" s="27"/>
      <c r="AD765" s="27"/>
      <c r="AF765" s="8"/>
      <c r="AG765" s="27"/>
      <c r="AH765" s="14">
        <f>+'Pegar ML'!Y761</f>
        <v>0</v>
      </c>
      <c r="AI765" s="13">
        <f t="shared" si="34"/>
        <v>1</v>
      </c>
      <c r="AJ765" s="7">
        <f>+'Pegar ML'!T761</f>
        <v>0</v>
      </c>
      <c r="AK765" s="27"/>
      <c r="AL765" s="27"/>
      <c r="AM765" s="27"/>
      <c r="AN765" s="27"/>
      <c r="AO765" s="27"/>
      <c r="AP765" s="27"/>
      <c r="AQ765" s="27"/>
      <c r="AR765" s="27"/>
      <c r="AS765" s="27">
        <v>17</v>
      </c>
    </row>
    <row r="766" spans="1:45" ht="15" customHeight="1" x14ac:dyDescent="0.25">
      <c r="A766" s="27">
        <f>IF('Pegar ML'!C761="Paquete de 2 productos",'Pegar ML'!A761,IF('Pegar ML'!C760="Paquete de 2 productos",'Pegar ML'!A760,'Pegar ML'!A762))</f>
        <v>0</v>
      </c>
      <c r="B766" s="27"/>
      <c r="C766" s="30" t="str">
        <f>IF(AjusteFecha!I762=0,"",AjusteFecha!I762)</f>
        <v/>
      </c>
      <c r="D766" s="27"/>
      <c r="E766" s="27"/>
      <c r="F766" s="27" t="str">
        <f>IF('Pegar ML'!C762="","",'Pegar ML'!C762)</f>
        <v/>
      </c>
      <c r="G766" s="27" t="str">
        <f>IF('Pegar ML'!G757="ARS","PS","PS")</f>
        <v>PS</v>
      </c>
      <c r="H766" s="14">
        <f>IF('Pegar ML'!C761="Paquete de 2 productos",IF('Pegar ML'!H761="",0,'Pegar ML'!H761),IF('Pegar ML'!H762="",0,'Pegar ML'!H762))</f>
        <v>0</v>
      </c>
      <c r="I766" s="14">
        <f>IF('Pegar ML'!C761="Paquete de 2 productos",IF('Pegar ML'!O761="",0,'Pegar ML'!O761),IF('Pegar ML'!O762="",0,'Pegar ML'!O762))</f>
        <v>0</v>
      </c>
      <c r="J766" s="14">
        <f>IF('Pegar ML'!C761="Paquete de 2 productos",IF('Pegar ML'!O761="",0,'Pegar ML'!O761),IF('Pegar ML'!O762="",0,'Pegar ML'!O762))</f>
        <v>0</v>
      </c>
      <c r="K766" s="14">
        <f t="shared" si="35"/>
        <v>0</v>
      </c>
      <c r="L766" s="27">
        <f>IF('Pegar ML'!AB762=" ",'Pegar ML'!AB761,'Pegar ML'!AB762)</f>
        <v>0</v>
      </c>
      <c r="M766" s="27" t="str">
        <f>IF('Pegar ML'!AC762=" ",RIGHT('Pegar ML'!AC761,8),RIGHT('Pegar ML'!AC762,8))</f>
        <v/>
      </c>
      <c r="N766" s="27" t="s">
        <v>80</v>
      </c>
      <c r="O766" s="27">
        <f t="shared" si="33"/>
        <v>0</v>
      </c>
      <c r="P766" s="27" t="s">
        <v>80</v>
      </c>
      <c r="Q766" s="55">
        <f>IF('Pegar ML'!AD762=" ",'Pegar ML'!AD761,'Pegar ML'!AD762)</f>
        <v>0</v>
      </c>
      <c r="R766" s="27" t="s">
        <v>80</v>
      </c>
      <c r="S766" s="27" t="s">
        <v>80</v>
      </c>
      <c r="T766" s="27" t="s">
        <v>80</v>
      </c>
      <c r="U766" s="55">
        <f>IF('Pegar ML'!AI762=" ",'Pegar ML'!AI761,'Pegar ML'!AI762)</f>
        <v>0</v>
      </c>
      <c r="V766" s="55">
        <f>IF('Pegar ML'!AK762=" ",'Pegar ML'!AK761,'Pegar ML'!AK762)</f>
        <v>0</v>
      </c>
      <c r="W766" s="55">
        <f>IF('Pegar ML'!AJ762=" ",'Pegar ML'!AJ761,'Pegar ML'!AJ762)</f>
        <v>0</v>
      </c>
      <c r="X766" s="55">
        <f>IF('Pegar ML'!AL762=" ",'Pegar ML'!AL761,'Pegar ML'!AL762)</f>
        <v>0</v>
      </c>
      <c r="Y766" s="27"/>
      <c r="Z766" s="27"/>
      <c r="AA766" s="27"/>
      <c r="AB766" s="27"/>
      <c r="AC766" s="27"/>
      <c r="AD766" s="27"/>
      <c r="AF766" s="8"/>
      <c r="AG766" s="27"/>
      <c r="AH766" s="14">
        <f>+'Pegar ML'!Y762</f>
        <v>0</v>
      </c>
      <c r="AI766" s="13">
        <f t="shared" si="34"/>
        <v>1</v>
      </c>
      <c r="AJ766" s="7">
        <f>+'Pegar ML'!T762</f>
        <v>0</v>
      </c>
      <c r="AK766" s="27"/>
      <c r="AL766" s="27"/>
      <c r="AM766" s="27"/>
      <c r="AN766" s="27"/>
      <c r="AO766" s="27"/>
      <c r="AP766" s="27"/>
      <c r="AQ766" s="27"/>
      <c r="AR766" s="27"/>
      <c r="AS766" s="27">
        <v>17</v>
      </c>
    </row>
    <row r="767" spans="1:45" ht="15" customHeight="1" x14ac:dyDescent="0.25">
      <c r="A767" s="27">
        <f>IF('Pegar ML'!C762="Paquete de 2 productos",'Pegar ML'!A762,IF('Pegar ML'!C761="Paquete de 2 productos",'Pegar ML'!A761,'Pegar ML'!A763))</f>
        <v>0</v>
      </c>
      <c r="B767" s="27"/>
      <c r="C767" s="30" t="str">
        <f>IF(AjusteFecha!I763=0,"",AjusteFecha!I763)</f>
        <v/>
      </c>
      <c r="D767" s="27"/>
      <c r="E767" s="27"/>
      <c r="F767" s="27" t="str">
        <f>IF('Pegar ML'!C763="","",'Pegar ML'!C763)</f>
        <v/>
      </c>
      <c r="G767" s="27" t="str">
        <f>IF('Pegar ML'!G758="ARS","PS","PS")</f>
        <v>PS</v>
      </c>
      <c r="H767" s="14">
        <f>IF('Pegar ML'!C762="Paquete de 2 productos",IF('Pegar ML'!H762="",0,'Pegar ML'!H762),IF('Pegar ML'!H763="",0,'Pegar ML'!H763))</f>
        <v>0</v>
      </c>
      <c r="I767" s="14">
        <f>IF('Pegar ML'!C762="Paquete de 2 productos",IF('Pegar ML'!O762="",0,'Pegar ML'!O762),IF('Pegar ML'!O763="",0,'Pegar ML'!O763))</f>
        <v>0</v>
      </c>
      <c r="J767" s="14">
        <f>IF('Pegar ML'!C762="Paquete de 2 productos",IF('Pegar ML'!O762="",0,'Pegar ML'!O762),IF('Pegar ML'!O763="",0,'Pegar ML'!O763))</f>
        <v>0</v>
      </c>
      <c r="K767" s="14">
        <f t="shared" si="35"/>
        <v>0</v>
      </c>
      <c r="L767" s="27">
        <f>IF('Pegar ML'!AB763=" ",'Pegar ML'!AB762,'Pegar ML'!AB763)</f>
        <v>0</v>
      </c>
      <c r="M767" s="27" t="str">
        <f>IF('Pegar ML'!AC763=" ",RIGHT('Pegar ML'!AC762,8),RIGHT('Pegar ML'!AC763,8))</f>
        <v/>
      </c>
      <c r="N767" s="27" t="s">
        <v>80</v>
      </c>
      <c r="O767" s="27">
        <f t="shared" si="33"/>
        <v>0</v>
      </c>
      <c r="P767" s="27" t="s">
        <v>80</v>
      </c>
      <c r="Q767" s="55">
        <f>IF('Pegar ML'!AD763=" ",'Pegar ML'!AD762,'Pegar ML'!AD763)</f>
        <v>0</v>
      </c>
      <c r="R767" s="27" t="s">
        <v>80</v>
      </c>
      <c r="S767" s="27" t="s">
        <v>80</v>
      </c>
      <c r="T767" s="27" t="s">
        <v>80</v>
      </c>
      <c r="U767" s="55">
        <f>IF('Pegar ML'!AI763=" ",'Pegar ML'!AI762,'Pegar ML'!AI763)</f>
        <v>0</v>
      </c>
      <c r="V767" s="55">
        <f>IF('Pegar ML'!AK763=" ",'Pegar ML'!AK762,'Pegar ML'!AK763)</f>
        <v>0</v>
      </c>
      <c r="W767" s="55">
        <f>IF('Pegar ML'!AJ763=" ",'Pegar ML'!AJ762,'Pegar ML'!AJ763)</f>
        <v>0</v>
      </c>
      <c r="X767" s="55">
        <f>IF('Pegar ML'!AL763=" ",'Pegar ML'!AL762,'Pegar ML'!AL763)</f>
        <v>0</v>
      </c>
      <c r="Y767" s="27"/>
      <c r="Z767" s="27"/>
      <c r="AA767" s="27"/>
      <c r="AB767" s="27"/>
      <c r="AC767" s="27"/>
      <c r="AD767" s="27"/>
      <c r="AF767" s="8"/>
      <c r="AG767" s="27"/>
      <c r="AH767" s="14">
        <f>+'Pegar ML'!Y763</f>
        <v>0</v>
      </c>
      <c r="AI767" s="13">
        <f t="shared" si="34"/>
        <v>1</v>
      </c>
      <c r="AJ767" s="7">
        <f>+'Pegar ML'!T763</f>
        <v>0</v>
      </c>
      <c r="AK767" s="27"/>
      <c r="AL767" s="27"/>
      <c r="AM767" s="27"/>
      <c r="AN767" s="27"/>
      <c r="AO767" s="27"/>
      <c r="AP767" s="27"/>
      <c r="AQ767" s="27"/>
      <c r="AR767" s="27"/>
      <c r="AS767" s="27">
        <v>17</v>
      </c>
    </row>
    <row r="768" spans="1:45" ht="15" customHeight="1" x14ac:dyDescent="0.25">
      <c r="A768" s="27">
        <f>IF('Pegar ML'!C763="Paquete de 2 productos",'Pegar ML'!A763,IF('Pegar ML'!C762="Paquete de 2 productos",'Pegar ML'!A762,'Pegar ML'!A764))</f>
        <v>0</v>
      </c>
      <c r="B768" s="27"/>
      <c r="C768" s="30" t="str">
        <f>IF(AjusteFecha!I764=0,"",AjusteFecha!I764)</f>
        <v/>
      </c>
      <c r="D768" s="27"/>
      <c r="E768" s="27"/>
      <c r="F768" s="27" t="str">
        <f>IF('Pegar ML'!C764="","",'Pegar ML'!C764)</f>
        <v/>
      </c>
      <c r="G768" s="27" t="str">
        <f>IF('Pegar ML'!G759="ARS","PS","PS")</f>
        <v>PS</v>
      </c>
      <c r="H768" s="14">
        <f>IF('Pegar ML'!C763="Paquete de 2 productos",IF('Pegar ML'!H763="",0,'Pegar ML'!H763),IF('Pegar ML'!H764="",0,'Pegar ML'!H764))</f>
        <v>0</v>
      </c>
      <c r="I768" s="14">
        <f>IF('Pegar ML'!C763="Paquete de 2 productos",IF('Pegar ML'!O763="",0,'Pegar ML'!O763),IF('Pegar ML'!O764="",0,'Pegar ML'!O764))</f>
        <v>0</v>
      </c>
      <c r="J768" s="14">
        <f>IF('Pegar ML'!C763="Paquete de 2 productos",IF('Pegar ML'!O763="",0,'Pegar ML'!O763),IF('Pegar ML'!O764="",0,'Pegar ML'!O764))</f>
        <v>0</v>
      </c>
      <c r="K768" s="14">
        <f t="shared" si="35"/>
        <v>0</v>
      </c>
      <c r="L768" s="27">
        <f>IF('Pegar ML'!AB764=" ",'Pegar ML'!AB763,'Pegar ML'!AB764)</f>
        <v>0</v>
      </c>
      <c r="M768" s="27" t="str">
        <f>IF('Pegar ML'!AC764=" ",RIGHT('Pegar ML'!AC763,8),RIGHT('Pegar ML'!AC764,8))</f>
        <v/>
      </c>
      <c r="N768" s="27" t="s">
        <v>80</v>
      </c>
      <c r="O768" s="27">
        <f t="shared" si="33"/>
        <v>0</v>
      </c>
      <c r="P768" s="27" t="s">
        <v>80</v>
      </c>
      <c r="Q768" s="55">
        <f>IF('Pegar ML'!AD764=" ",'Pegar ML'!AD763,'Pegar ML'!AD764)</f>
        <v>0</v>
      </c>
      <c r="R768" s="27" t="s">
        <v>80</v>
      </c>
      <c r="S768" s="27" t="s">
        <v>80</v>
      </c>
      <c r="T768" s="27" t="s">
        <v>80</v>
      </c>
      <c r="U768" s="55">
        <f>IF('Pegar ML'!AI764=" ",'Pegar ML'!AI763,'Pegar ML'!AI764)</f>
        <v>0</v>
      </c>
      <c r="V768" s="55">
        <f>IF('Pegar ML'!AK764=" ",'Pegar ML'!AK763,'Pegar ML'!AK764)</f>
        <v>0</v>
      </c>
      <c r="W768" s="55">
        <f>IF('Pegar ML'!AJ764=" ",'Pegar ML'!AJ763,'Pegar ML'!AJ764)</f>
        <v>0</v>
      </c>
      <c r="X768" s="55">
        <f>IF('Pegar ML'!AL764=" ",'Pegar ML'!AL763,'Pegar ML'!AL764)</f>
        <v>0</v>
      </c>
      <c r="Y768" s="27"/>
      <c r="Z768" s="27"/>
      <c r="AA768" s="27"/>
      <c r="AB768" s="27"/>
      <c r="AC768" s="27"/>
      <c r="AD768" s="27"/>
      <c r="AF768" s="8"/>
      <c r="AG768" s="27"/>
      <c r="AH768" s="14">
        <f>+'Pegar ML'!Y764</f>
        <v>0</v>
      </c>
      <c r="AI768" s="13">
        <f t="shared" si="34"/>
        <v>1</v>
      </c>
      <c r="AJ768" s="7">
        <f>+'Pegar ML'!T764</f>
        <v>0</v>
      </c>
      <c r="AK768" s="27"/>
      <c r="AL768" s="27"/>
      <c r="AM768" s="27"/>
      <c r="AN768" s="27"/>
      <c r="AO768" s="27"/>
      <c r="AP768" s="27"/>
      <c r="AQ768" s="27"/>
      <c r="AR768" s="27"/>
      <c r="AS768" s="27">
        <v>17</v>
      </c>
    </row>
    <row r="769" spans="1:45" ht="15" customHeight="1" x14ac:dyDescent="0.25">
      <c r="A769" s="27">
        <f>IF('Pegar ML'!C764="Paquete de 2 productos",'Pegar ML'!A764,IF('Pegar ML'!C763="Paquete de 2 productos",'Pegar ML'!A763,'Pegar ML'!A765))</f>
        <v>0</v>
      </c>
      <c r="B769" s="27"/>
      <c r="C769" s="30" t="str">
        <f>IF(AjusteFecha!I765=0,"",AjusteFecha!I765)</f>
        <v/>
      </c>
      <c r="D769" s="27"/>
      <c r="E769" s="27"/>
      <c r="F769" s="27" t="str">
        <f>IF('Pegar ML'!C765="","",'Pegar ML'!C765)</f>
        <v/>
      </c>
      <c r="G769" s="27" t="str">
        <f>IF('Pegar ML'!G760="ARS","PS","PS")</f>
        <v>PS</v>
      </c>
      <c r="H769" s="14">
        <f>IF('Pegar ML'!C764="Paquete de 2 productos",IF('Pegar ML'!H764="",0,'Pegar ML'!H764),IF('Pegar ML'!H765="",0,'Pegar ML'!H765))</f>
        <v>0</v>
      </c>
      <c r="I769" s="14">
        <f>IF('Pegar ML'!C764="Paquete de 2 productos",IF('Pegar ML'!O764="",0,'Pegar ML'!O764),IF('Pegar ML'!O765="",0,'Pegar ML'!O765))</f>
        <v>0</v>
      </c>
      <c r="J769" s="14">
        <f>IF('Pegar ML'!C764="Paquete de 2 productos",IF('Pegar ML'!O764="",0,'Pegar ML'!O764),IF('Pegar ML'!O765="",0,'Pegar ML'!O765))</f>
        <v>0</v>
      </c>
      <c r="K769" s="14">
        <f t="shared" si="35"/>
        <v>0</v>
      </c>
      <c r="L769" s="27">
        <f>IF('Pegar ML'!AB765=" ",'Pegar ML'!AB764,'Pegar ML'!AB765)</f>
        <v>0</v>
      </c>
      <c r="M769" s="27" t="str">
        <f>IF('Pegar ML'!AC765=" ",RIGHT('Pegar ML'!AC764,8),RIGHT('Pegar ML'!AC765,8))</f>
        <v/>
      </c>
      <c r="N769" s="27" t="s">
        <v>80</v>
      </c>
      <c r="O769" s="27">
        <f t="shared" si="33"/>
        <v>0</v>
      </c>
      <c r="P769" s="27" t="s">
        <v>80</v>
      </c>
      <c r="Q769" s="55">
        <f>IF('Pegar ML'!AD765=" ",'Pegar ML'!AD764,'Pegar ML'!AD765)</f>
        <v>0</v>
      </c>
      <c r="R769" s="27" t="s">
        <v>80</v>
      </c>
      <c r="S769" s="27" t="s">
        <v>80</v>
      </c>
      <c r="T769" s="27" t="s">
        <v>80</v>
      </c>
      <c r="U769" s="55">
        <f>IF('Pegar ML'!AI765=" ",'Pegar ML'!AI764,'Pegar ML'!AI765)</f>
        <v>0</v>
      </c>
      <c r="V769" s="55">
        <f>IF('Pegar ML'!AK765=" ",'Pegar ML'!AK764,'Pegar ML'!AK765)</f>
        <v>0</v>
      </c>
      <c r="W769" s="55">
        <f>IF('Pegar ML'!AJ765=" ",'Pegar ML'!AJ764,'Pegar ML'!AJ765)</f>
        <v>0</v>
      </c>
      <c r="X769" s="55">
        <f>IF('Pegar ML'!AL765=" ",'Pegar ML'!AL764,'Pegar ML'!AL765)</f>
        <v>0</v>
      </c>
      <c r="Y769" s="27"/>
      <c r="Z769" s="27"/>
      <c r="AA769" s="27"/>
      <c r="AB769" s="27"/>
      <c r="AC769" s="27"/>
      <c r="AD769" s="27"/>
      <c r="AF769" s="8"/>
      <c r="AG769" s="27"/>
      <c r="AH769" s="14">
        <f>+'Pegar ML'!Y765</f>
        <v>0</v>
      </c>
      <c r="AI769" s="13">
        <f t="shared" si="34"/>
        <v>1</v>
      </c>
      <c r="AJ769" s="7">
        <f>+'Pegar ML'!T765</f>
        <v>0</v>
      </c>
      <c r="AK769" s="27"/>
      <c r="AL769" s="27"/>
      <c r="AM769" s="27"/>
      <c r="AN769" s="27"/>
      <c r="AO769" s="27"/>
      <c r="AP769" s="27"/>
      <c r="AQ769" s="27"/>
      <c r="AR769" s="27"/>
      <c r="AS769" s="27">
        <v>17</v>
      </c>
    </row>
    <row r="770" spans="1:45" ht="15" customHeight="1" x14ac:dyDescent="0.25">
      <c r="A770" s="27">
        <f>IF('Pegar ML'!C765="Paquete de 2 productos",'Pegar ML'!A765,IF('Pegar ML'!C764="Paquete de 2 productos",'Pegar ML'!A764,'Pegar ML'!A766))</f>
        <v>0</v>
      </c>
      <c r="B770" s="27"/>
      <c r="C770" s="30" t="str">
        <f>IF(AjusteFecha!I766=0,"",AjusteFecha!I766)</f>
        <v/>
      </c>
      <c r="D770" s="27"/>
      <c r="E770" s="27"/>
      <c r="F770" s="27" t="str">
        <f>IF('Pegar ML'!C766="","",'Pegar ML'!C766)</f>
        <v/>
      </c>
      <c r="G770" s="27" t="str">
        <f>IF('Pegar ML'!G761="ARS","PS","PS")</f>
        <v>PS</v>
      </c>
      <c r="H770" s="14">
        <f>IF('Pegar ML'!C765="Paquete de 2 productos",IF('Pegar ML'!H765="",0,'Pegar ML'!H765),IF('Pegar ML'!H766="",0,'Pegar ML'!H766))</f>
        <v>0</v>
      </c>
      <c r="I770" s="14">
        <f>IF('Pegar ML'!C765="Paquete de 2 productos",IF('Pegar ML'!O765="",0,'Pegar ML'!O765),IF('Pegar ML'!O766="",0,'Pegar ML'!O766))</f>
        <v>0</v>
      </c>
      <c r="J770" s="14">
        <f>IF('Pegar ML'!C765="Paquete de 2 productos",IF('Pegar ML'!O765="",0,'Pegar ML'!O765),IF('Pegar ML'!O766="",0,'Pegar ML'!O766))</f>
        <v>0</v>
      </c>
      <c r="K770" s="14">
        <f t="shared" si="35"/>
        <v>0</v>
      </c>
      <c r="L770" s="27">
        <f>IF('Pegar ML'!AB766=" ",'Pegar ML'!AB765,'Pegar ML'!AB766)</f>
        <v>0</v>
      </c>
      <c r="M770" s="27" t="str">
        <f>IF('Pegar ML'!AC766=" ",RIGHT('Pegar ML'!AC765,8),RIGHT('Pegar ML'!AC766,8))</f>
        <v/>
      </c>
      <c r="N770" s="27" t="s">
        <v>80</v>
      </c>
      <c r="O770" s="27">
        <f t="shared" si="33"/>
        <v>0</v>
      </c>
      <c r="P770" s="27" t="s">
        <v>80</v>
      </c>
      <c r="Q770" s="55">
        <f>IF('Pegar ML'!AD766=" ",'Pegar ML'!AD765,'Pegar ML'!AD766)</f>
        <v>0</v>
      </c>
      <c r="R770" s="27" t="s">
        <v>80</v>
      </c>
      <c r="S770" s="27" t="s">
        <v>80</v>
      </c>
      <c r="T770" s="27" t="s">
        <v>80</v>
      </c>
      <c r="U770" s="55">
        <f>IF('Pegar ML'!AI766=" ",'Pegar ML'!AI765,'Pegar ML'!AI766)</f>
        <v>0</v>
      </c>
      <c r="V770" s="55">
        <f>IF('Pegar ML'!AK766=" ",'Pegar ML'!AK765,'Pegar ML'!AK766)</f>
        <v>0</v>
      </c>
      <c r="W770" s="55">
        <f>IF('Pegar ML'!AJ766=" ",'Pegar ML'!AJ765,'Pegar ML'!AJ766)</f>
        <v>0</v>
      </c>
      <c r="X770" s="55">
        <f>IF('Pegar ML'!AL766=" ",'Pegar ML'!AL765,'Pegar ML'!AL766)</f>
        <v>0</v>
      </c>
      <c r="Y770" s="27"/>
      <c r="Z770" s="27"/>
      <c r="AA770" s="27"/>
      <c r="AB770" s="27"/>
      <c r="AC770" s="27"/>
      <c r="AD770" s="27"/>
      <c r="AF770" s="8"/>
      <c r="AG770" s="27"/>
      <c r="AH770" s="14">
        <f>+'Pegar ML'!Y766</f>
        <v>0</v>
      </c>
      <c r="AI770" s="13">
        <f t="shared" si="34"/>
        <v>1</v>
      </c>
      <c r="AJ770" s="7">
        <f>+'Pegar ML'!T766</f>
        <v>0</v>
      </c>
      <c r="AK770" s="27"/>
      <c r="AL770" s="27"/>
      <c r="AM770" s="27"/>
      <c r="AN770" s="27"/>
      <c r="AO770" s="27"/>
      <c r="AP770" s="27"/>
      <c r="AQ770" s="27"/>
      <c r="AR770" s="27"/>
      <c r="AS770" s="27">
        <v>17</v>
      </c>
    </row>
    <row r="771" spans="1:45" ht="15" customHeight="1" x14ac:dyDescent="0.25">
      <c r="A771" s="27">
        <f>IF('Pegar ML'!C766="Paquete de 2 productos",'Pegar ML'!A766,IF('Pegar ML'!C765="Paquete de 2 productos",'Pegar ML'!A765,'Pegar ML'!A767))</f>
        <v>0</v>
      </c>
      <c r="B771" s="27"/>
      <c r="C771" s="30" t="str">
        <f>IF(AjusteFecha!I767=0,"",AjusteFecha!I767)</f>
        <v/>
      </c>
      <c r="D771" s="27"/>
      <c r="E771" s="27"/>
      <c r="F771" s="27" t="str">
        <f>IF('Pegar ML'!C767="","",'Pegar ML'!C767)</f>
        <v/>
      </c>
      <c r="G771" s="27" t="str">
        <f>IF('Pegar ML'!G762="ARS","PS","PS")</f>
        <v>PS</v>
      </c>
      <c r="H771" s="14">
        <f>IF('Pegar ML'!C766="Paquete de 2 productos",IF('Pegar ML'!H766="",0,'Pegar ML'!H766),IF('Pegar ML'!H767="",0,'Pegar ML'!H767))</f>
        <v>0</v>
      </c>
      <c r="I771" s="14">
        <f>IF('Pegar ML'!C766="Paquete de 2 productos",IF('Pegar ML'!O766="",0,'Pegar ML'!O766),IF('Pegar ML'!O767="",0,'Pegar ML'!O767))</f>
        <v>0</v>
      </c>
      <c r="J771" s="14">
        <f>IF('Pegar ML'!C766="Paquete de 2 productos",IF('Pegar ML'!O766="",0,'Pegar ML'!O766),IF('Pegar ML'!O767="",0,'Pegar ML'!O767))</f>
        <v>0</v>
      </c>
      <c r="K771" s="14">
        <f t="shared" si="35"/>
        <v>0</v>
      </c>
      <c r="L771" s="27">
        <f>IF('Pegar ML'!AB767=" ",'Pegar ML'!AB766,'Pegar ML'!AB767)</f>
        <v>0</v>
      </c>
      <c r="M771" s="27" t="str">
        <f>IF('Pegar ML'!AC767=" ",RIGHT('Pegar ML'!AC766,8),RIGHT('Pegar ML'!AC767,8))</f>
        <v/>
      </c>
      <c r="N771" s="27" t="s">
        <v>80</v>
      </c>
      <c r="O771" s="27">
        <f t="shared" si="33"/>
        <v>0</v>
      </c>
      <c r="P771" s="27" t="s">
        <v>80</v>
      </c>
      <c r="Q771" s="55">
        <f>IF('Pegar ML'!AD767=" ",'Pegar ML'!AD766,'Pegar ML'!AD767)</f>
        <v>0</v>
      </c>
      <c r="R771" s="27" t="s">
        <v>80</v>
      </c>
      <c r="S771" s="27" t="s">
        <v>80</v>
      </c>
      <c r="T771" s="27" t="s">
        <v>80</v>
      </c>
      <c r="U771" s="55">
        <f>IF('Pegar ML'!AI767=" ",'Pegar ML'!AI766,'Pegar ML'!AI767)</f>
        <v>0</v>
      </c>
      <c r="V771" s="55">
        <f>IF('Pegar ML'!AK767=" ",'Pegar ML'!AK766,'Pegar ML'!AK767)</f>
        <v>0</v>
      </c>
      <c r="W771" s="55">
        <f>IF('Pegar ML'!AJ767=" ",'Pegar ML'!AJ766,'Pegar ML'!AJ767)</f>
        <v>0</v>
      </c>
      <c r="X771" s="55">
        <f>IF('Pegar ML'!AL767=" ",'Pegar ML'!AL766,'Pegar ML'!AL767)</f>
        <v>0</v>
      </c>
      <c r="Y771" s="27"/>
      <c r="Z771" s="27"/>
      <c r="AA771" s="27"/>
      <c r="AB771" s="27"/>
      <c r="AC771" s="27"/>
      <c r="AD771" s="27"/>
      <c r="AF771" s="8"/>
      <c r="AG771" s="27"/>
      <c r="AH771" s="14">
        <f>+'Pegar ML'!Y767</f>
        <v>0</v>
      </c>
      <c r="AI771" s="13">
        <f t="shared" si="34"/>
        <v>1</v>
      </c>
      <c r="AJ771" s="7">
        <f>+'Pegar ML'!T767</f>
        <v>0</v>
      </c>
      <c r="AK771" s="27"/>
      <c r="AL771" s="27"/>
      <c r="AM771" s="27"/>
      <c r="AN771" s="27"/>
      <c r="AO771" s="27"/>
      <c r="AP771" s="27"/>
      <c r="AQ771" s="27"/>
      <c r="AR771" s="27"/>
      <c r="AS771" s="27">
        <v>17</v>
      </c>
    </row>
    <row r="772" spans="1:45" ht="15" customHeight="1" x14ac:dyDescent="0.25">
      <c r="A772" s="27">
        <f>IF('Pegar ML'!C767="Paquete de 2 productos",'Pegar ML'!A767,IF('Pegar ML'!C766="Paquete de 2 productos",'Pegar ML'!A766,'Pegar ML'!A768))</f>
        <v>0</v>
      </c>
      <c r="B772" s="27"/>
      <c r="C772" s="30" t="str">
        <f>IF(AjusteFecha!I768=0,"",AjusteFecha!I768)</f>
        <v/>
      </c>
      <c r="D772" s="27"/>
      <c r="E772" s="27"/>
      <c r="F772" s="27" t="str">
        <f>IF('Pegar ML'!C768="","",'Pegar ML'!C768)</f>
        <v/>
      </c>
      <c r="G772" s="27" t="str">
        <f>IF('Pegar ML'!G763="ARS","PS","PS")</f>
        <v>PS</v>
      </c>
      <c r="H772" s="14">
        <f>IF('Pegar ML'!C767="Paquete de 2 productos",IF('Pegar ML'!H767="",0,'Pegar ML'!H767),IF('Pegar ML'!H768="",0,'Pegar ML'!H768))</f>
        <v>0</v>
      </c>
      <c r="I772" s="14">
        <f>IF('Pegar ML'!C767="Paquete de 2 productos",IF('Pegar ML'!O767="",0,'Pegar ML'!O767),IF('Pegar ML'!O768="",0,'Pegar ML'!O768))</f>
        <v>0</v>
      </c>
      <c r="J772" s="14">
        <f>IF('Pegar ML'!C767="Paquete de 2 productos",IF('Pegar ML'!O767="",0,'Pegar ML'!O767),IF('Pegar ML'!O768="",0,'Pegar ML'!O768))</f>
        <v>0</v>
      </c>
      <c r="K772" s="14">
        <f t="shared" si="35"/>
        <v>0</v>
      </c>
      <c r="L772" s="27">
        <f>IF('Pegar ML'!AB768=" ",'Pegar ML'!AB767,'Pegar ML'!AB768)</f>
        <v>0</v>
      </c>
      <c r="M772" s="27" t="str">
        <f>IF('Pegar ML'!AC768=" ",RIGHT('Pegar ML'!AC767,8),RIGHT('Pegar ML'!AC768,8))</f>
        <v/>
      </c>
      <c r="N772" s="27" t="s">
        <v>80</v>
      </c>
      <c r="O772" s="27">
        <f t="shared" si="33"/>
        <v>0</v>
      </c>
      <c r="P772" s="27" t="s">
        <v>80</v>
      </c>
      <c r="Q772" s="55">
        <f>IF('Pegar ML'!AD768=" ",'Pegar ML'!AD767,'Pegar ML'!AD768)</f>
        <v>0</v>
      </c>
      <c r="R772" s="27" t="s">
        <v>80</v>
      </c>
      <c r="S772" s="27" t="s">
        <v>80</v>
      </c>
      <c r="T772" s="27" t="s">
        <v>80</v>
      </c>
      <c r="U772" s="55">
        <f>IF('Pegar ML'!AI768=" ",'Pegar ML'!AI767,'Pegar ML'!AI768)</f>
        <v>0</v>
      </c>
      <c r="V772" s="55">
        <f>IF('Pegar ML'!AK768=" ",'Pegar ML'!AK767,'Pegar ML'!AK768)</f>
        <v>0</v>
      </c>
      <c r="W772" s="55">
        <f>IF('Pegar ML'!AJ768=" ",'Pegar ML'!AJ767,'Pegar ML'!AJ768)</f>
        <v>0</v>
      </c>
      <c r="X772" s="55">
        <f>IF('Pegar ML'!AL768=" ",'Pegar ML'!AL767,'Pegar ML'!AL768)</f>
        <v>0</v>
      </c>
      <c r="Y772" s="27"/>
      <c r="Z772" s="27"/>
      <c r="AA772" s="27"/>
      <c r="AB772" s="27"/>
      <c r="AC772" s="27"/>
      <c r="AD772" s="27"/>
      <c r="AF772" s="8"/>
      <c r="AG772" s="27"/>
      <c r="AH772" s="14">
        <f>+'Pegar ML'!Y768</f>
        <v>0</v>
      </c>
      <c r="AI772" s="13">
        <f t="shared" si="34"/>
        <v>1</v>
      </c>
      <c r="AJ772" s="7">
        <f>+'Pegar ML'!T768</f>
        <v>0</v>
      </c>
      <c r="AK772" s="27"/>
      <c r="AL772" s="27"/>
      <c r="AM772" s="27"/>
      <c r="AN772" s="27"/>
      <c r="AO772" s="27"/>
      <c r="AP772" s="27"/>
      <c r="AQ772" s="27"/>
      <c r="AR772" s="27"/>
      <c r="AS772" s="27">
        <v>17</v>
      </c>
    </row>
    <row r="773" spans="1:45" ht="15" customHeight="1" x14ac:dyDescent="0.25">
      <c r="A773" s="27">
        <f>IF('Pegar ML'!C768="Paquete de 2 productos",'Pegar ML'!A768,IF('Pegar ML'!C767="Paquete de 2 productos",'Pegar ML'!A767,'Pegar ML'!A769))</f>
        <v>0</v>
      </c>
      <c r="B773" s="27"/>
      <c r="C773" s="30" t="str">
        <f>IF(AjusteFecha!I769=0,"",AjusteFecha!I769)</f>
        <v/>
      </c>
      <c r="D773" s="27"/>
      <c r="E773" s="27"/>
      <c r="F773" s="27" t="str">
        <f>IF('Pegar ML'!C769="","",'Pegar ML'!C769)</f>
        <v/>
      </c>
      <c r="G773" s="27" t="str">
        <f>IF('Pegar ML'!G764="ARS","PS","PS")</f>
        <v>PS</v>
      </c>
      <c r="H773" s="14">
        <f>IF('Pegar ML'!C768="Paquete de 2 productos",IF('Pegar ML'!H768="",0,'Pegar ML'!H768),IF('Pegar ML'!H769="",0,'Pegar ML'!H769))</f>
        <v>0</v>
      </c>
      <c r="I773" s="14">
        <f>IF('Pegar ML'!C768="Paquete de 2 productos",IF('Pegar ML'!O768="",0,'Pegar ML'!O768),IF('Pegar ML'!O769="",0,'Pegar ML'!O769))</f>
        <v>0</v>
      </c>
      <c r="J773" s="14">
        <f>IF('Pegar ML'!C768="Paquete de 2 productos",IF('Pegar ML'!O768="",0,'Pegar ML'!O768),IF('Pegar ML'!O769="",0,'Pegar ML'!O769))</f>
        <v>0</v>
      </c>
      <c r="K773" s="14">
        <f t="shared" si="35"/>
        <v>0</v>
      </c>
      <c r="L773" s="27">
        <f>IF('Pegar ML'!AB769=" ",'Pegar ML'!AB768,'Pegar ML'!AB769)</f>
        <v>0</v>
      </c>
      <c r="M773" s="27" t="str">
        <f>IF('Pegar ML'!AC769=" ",RIGHT('Pegar ML'!AC768,8),RIGHT('Pegar ML'!AC769,8))</f>
        <v/>
      </c>
      <c r="N773" s="27" t="s">
        <v>80</v>
      </c>
      <c r="O773" s="27">
        <f t="shared" si="33"/>
        <v>0</v>
      </c>
      <c r="P773" s="27" t="s">
        <v>80</v>
      </c>
      <c r="Q773" s="55">
        <f>IF('Pegar ML'!AD769=" ",'Pegar ML'!AD768,'Pegar ML'!AD769)</f>
        <v>0</v>
      </c>
      <c r="R773" s="27" t="s">
        <v>80</v>
      </c>
      <c r="S773" s="27" t="s">
        <v>80</v>
      </c>
      <c r="T773" s="27" t="s">
        <v>80</v>
      </c>
      <c r="U773" s="55">
        <f>IF('Pegar ML'!AI769=" ",'Pegar ML'!AI768,'Pegar ML'!AI769)</f>
        <v>0</v>
      </c>
      <c r="V773" s="55">
        <f>IF('Pegar ML'!AK769=" ",'Pegar ML'!AK768,'Pegar ML'!AK769)</f>
        <v>0</v>
      </c>
      <c r="W773" s="55">
        <f>IF('Pegar ML'!AJ769=" ",'Pegar ML'!AJ768,'Pegar ML'!AJ769)</f>
        <v>0</v>
      </c>
      <c r="X773" s="55">
        <f>IF('Pegar ML'!AL769=" ",'Pegar ML'!AL768,'Pegar ML'!AL769)</f>
        <v>0</v>
      </c>
      <c r="Y773" s="27"/>
      <c r="Z773" s="27"/>
      <c r="AA773" s="27"/>
      <c r="AB773" s="27"/>
      <c r="AC773" s="27"/>
      <c r="AD773" s="27"/>
      <c r="AF773" s="8"/>
      <c r="AG773" s="27"/>
      <c r="AH773" s="14">
        <f>+'Pegar ML'!Y769</f>
        <v>0</v>
      </c>
      <c r="AI773" s="13">
        <f t="shared" si="34"/>
        <v>1</v>
      </c>
      <c r="AJ773" s="7">
        <f>+'Pegar ML'!T769</f>
        <v>0</v>
      </c>
      <c r="AK773" s="27"/>
      <c r="AL773" s="27"/>
      <c r="AM773" s="27"/>
      <c r="AN773" s="27"/>
      <c r="AO773" s="27"/>
      <c r="AP773" s="27"/>
      <c r="AQ773" s="27"/>
      <c r="AR773" s="27"/>
      <c r="AS773" s="27">
        <v>17</v>
      </c>
    </row>
    <row r="774" spans="1:45" ht="15" customHeight="1" x14ac:dyDescent="0.25">
      <c r="A774" s="27">
        <f>IF('Pegar ML'!C769="Paquete de 2 productos",'Pegar ML'!A769,IF('Pegar ML'!C768="Paquete de 2 productos",'Pegar ML'!A768,'Pegar ML'!A770))</f>
        <v>0</v>
      </c>
      <c r="B774" s="27"/>
      <c r="C774" s="30" t="str">
        <f>IF(AjusteFecha!I770=0,"",AjusteFecha!I770)</f>
        <v/>
      </c>
      <c r="D774" s="27"/>
      <c r="E774" s="27"/>
      <c r="F774" s="27" t="str">
        <f>IF('Pegar ML'!C770="","",'Pegar ML'!C770)</f>
        <v/>
      </c>
      <c r="G774" s="27" t="str">
        <f>IF('Pegar ML'!G765="ARS","PS","PS")</f>
        <v>PS</v>
      </c>
      <c r="H774" s="14">
        <f>IF('Pegar ML'!C769="Paquete de 2 productos",IF('Pegar ML'!H769="",0,'Pegar ML'!H769),IF('Pegar ML'!H770="",0,'Pegar ML'!H770))</f>
        <v>0</v>
      </c>
      <c r="I774" s="14">
        <f>IF('Pegar ML'!C769="Paquete de 2 productos",IF('Pegar ML'!O769="",0,'Pegar ML'!O769),IF('Pegar ML'!O770="",0,'Pegar ML'!O770))</f>
        <v>0</v>
      </c>
      <c r="J774" s="14">
        <f>IF('Pegar ML'!C769="Paquete de 2 productos",IF('Pegar ML'!O769="",0,'Pegar ML'!O769),IF('Pegar ML'!O770="",0,'Pegar ML'!O770))</f>
        <v>0</v>
      </c>
      <c r="K774" s="14">
        <f t="shared" si="35"/>
        <v>0</v>
      </c>
      <c r="L774" s="27">
        <f>IF('Pegar ML'!AB770=" ",'Pegar ML'!AB769,'Pegar ML'!AB770)</f>
        <v>0</v>
      </c>
      <c r="M774" s="27" t="str">
        <f>IF('Pegar ML'!AC770=" ",RIGHT('Pegar ML'!AC769,8),RIGHT('Pegar ML'!AC770,8))</f>
        <v/>
      </c>
      <c r="N774" s="27" t="s">
        <v>80</v>
      </c>
      <c r="O774" s="27">
        <f t="shared" si="33"/>
        <v>0</v>
      </c>
      <c r="P774" s="27" t="s">
        <v>80</v>
      </c>
      <c r="Q774" s="55">
        <f>IF('Pegar ML'!AD770=" ",'Pegar ML'!AD769,'Pegar ML'!AD770)</f>
        <v>0</v>
      </c>
      <c r="R774" s="27" t="s">
        <v>80</v>
      </c>
      <c r="S774" s="27" t="s">
        <v>80</v>
      </c>
      <c r="T774" s="27" t="s">
        <v>80</v>
      </c>
      <c r="U774" s="55">
        <f>IF('Pegar ML'!AI770=" ",'Pegar ML'!AI769,'Pegar ML'!AI770)</f>
        <v>0</v>
      </c>
      <c r="V774" s="55">
        <f>IF('Pegar ML'!AK770=" ",'Pegar ML'!AK769,'Pegar ML'!AK770)</f>
        <v>0</v>
      </c>
      <c r="W774" s="55">
        <f>IF('Pegar ML'!AJ770=" ",'Pegar ML'!AJ769,'Pegar ML'!AJ770)</f>
        <v>0</v>
      </c>
      <c r="X774" s="55">
        <f>IF('Pegar ML'!AL770=" ",'Pegar ML'!AL769,'Pegar ML'!AL770)</f>
        <v>0</v>
      </c>
      <c r="Y774" s="27"/>
      <c r="Z774" s="27"/>
      <c r="AA774" s="27"/>
      <c r="AB774" s="27"/>
      <c r="AC774" s="27"/>
      <c r="AD774" s="27"/>
      <c r="AF774" s="8"/>
      <c r="AG774" s="27"/>
      <c r="AH774" s="14">
        <f>+'Pegar ML'!Y770</f>
        <v>0</v>
      </c>
      <c r="AI774" s="13">
        <f t="shared" si="34"/>
        <v>1</v>
      </c>
      <c r="AJ774" s="7">
        <f>+'Pegar ML'!T770</f>
        <v>0</v>
      </c>
      <c r="AK774" s="27"/>
      <c r="AL774" s="27"/>
      <c r="AM774" s="27"/>
      <c r="AN774" s="27"/>
      <c r="AO774" s="27"/>
      <c r="AP774" s="27"/>
      <c r="AQ774" s="27"/>
      <c r="AR774" s="27"/>
      <c r="AS774" s="27">
        <v>17</v>
      </c>
    </row>
    <row r="775" spans="1:45" ht="15" customHeight="1" x14ac:dyDescent="0.25">
      <c r="A775" s="27">
        <f>IF('Pegar ML'!C770="Paquete de 2 productos",'Pegar ML'!A770,IF('Pegar ML'!C769="Paquete de 2 productos",'Pegar ML'!A769,'Pegar ML'!A771))</f>
        <v>0</v>
      </c>
      <c r="B775" s="27"/>
      <c r="C775" s="30" t="str">
        <f>IF(AjusteFecha!I771=0,"",AjusteFecha!I771)</f>
        <v/>
      </c>
      <c r="D775" s="27"/>
      <c r="E775" s="27"/>
      <c r="F775" s="27" t="str">
        <f>IF('Pegar ML'!C771="","",'Pegar ML'!C771)</f>
        <v/>
      </c>
      <c r="G775" s="27" t="str">
        <f>IF('Pegar ML'!G766="ARS","PS","PS")</f>
        <v>PS</v>
      </c>
      <c r="H775" s="14">
        <f>IF('Pegar ML'!C770="Paquete de 2 productos",IF('Pegar ML'!H770="",0,'Pegar ML'!H770),IF('Pegar ML'!H771="",0,'Pegar ML'!H771))</f>
        <v>0</v>
      </c>
      <c r="I775" s="14">
        <f>IF('Pegar ML'!C770="Paquete de 2 productos",IF('Pegar ML'!O770="",0,'Pegar ML'!O770),IF('Pegar ML'!O771="",0,'Pegar ML'!O771))</f>
        <v>0</v>
      </c>
      <c r="J775" s="14">
        <f>IF('Pegar ML'!C770="Paquete de 2 productos",IF('Pegar ML'!O770="",0,'Pegar ML'!O770),IF('Pegar ML'!O771="",0,'Pegar ML'!O771))</f>
        <v>0</v>
      </c>
      <c r="K775" s="14">
        <f t="shared" si="35"/>
        <v>0</v>
      </c>
      <c r="L775" s="27">
        <f>IF('Pegar ML'!AB771=" ",'Pegar ML'!AB770,'Pegar ML'!AB771)</f>
        <v>0</v>
      </c>
      <c r="M775" s="27" t="str">
        <f>IF('Pegar ML'!AC771=" ",RIGHT('Pegar ML'!AC770,8),RIGHT('Pegar ML'!AC771,8))</f>
        <v/>
      </c>
      <c r="N775" s="27" t="s">
        <v>80</v>
      </c>
      <c r="O775" s="27">
        <f t="shared" si="33"/>
        <v>0</v>
      </c>
      <c r="P775" s="27" t="s">
        <v>80</v>
      </c>
      <c r="Q775" s="55">
        <f>IF('Pegar ML'!AD771=" ",'Pegar ML'!AD770,'Pegar ML'!AD771)</f>
        <v>0</v>
      </c>
      <c r="R775" s="27" t="s">
        <v>80</v>
      </c>
      <c r="S775" s="27" t="s">
        <v>80</v>
      </c>
      <c r="T775" s="27" t="s">
        <v>80</v>
      </c>
      <c r="U775" s="55">
        <f>IF('Pegar ML'!AI771=" ",'Pegar ML'!AI770,'Pegar ML'!AI771)</f>
        <v>0</v>
      </c>
      <c r="V775" s="55">
        <f>IF('Pegar ML'!AK771=" ",'Pegar ML'!AK770,'Pegar ML'!AK771)</f>
        <v>0</v>
      </c>
      <c r="W775" s="55">
        <f>IF('Pegar ML'!AJ771=" ",'Pegar ML'!AJ770,'Pegar ML'!AJ771)</f>
        <v>0</v>
      </c>
      <c r="X775" s="55">
        <f>IF('Pegar ML'!AL771=" ",'Pegar ML'!AL770,'Pegar ML'!AL771)</f>
        <v>0</v>
      </c>
      <c r="Y775" s="27"/>
      <c r="Z775" s="27"/>
      <c r="AA775" s="27"/>
      <c r="AB775" s="27"/>
      <c r="AC775" s="27"/>
      <c r="AD775" s="27"/>
      <c r="AF775" s="8"/>
      <c r="AG775" s="27"/>
      <c r="AH775" s="14">
        <f>+'Pegar ML'!Y771</f>
        <v>0</v>
      </c>
      <c r="AI775" s="13">
        <f t="shared" si="34"/>
        <v>1</v>
      </c>
      <c r="AJ775" s="7">
        <f>+'Pegar ML'!T771</f>
        <v>0</v>
      </c>
      <c r="AK775" s="27"/>
      <c r="AL775" s="27"/>
      <c r="AM775" s="27"/>
      <c r="AN775" s="27"/>
      <c r="AO775" s="27"/>
      <c r="AP775" s="27"/>
      <c r="AQ775" s="27"/>
      <c r="AR775" s="27"/>
      <c r="AS775" s="27">
        <v>17</v>
      </c>
    </row>
    <row r="776" spans="1:45" ht="15" customHeight="1" x14ac:dyDescent="0.25">
      <c r="A776" s="27">
        <f>IF('Pegar ML'!C771="Paquete de 2 productos",'Pegar ML'!A771,IF('Pegar ML'!C770="Paquete de 2 productos",'Pegar ML'!A770,'Pegar ML'!A772))</f>
        <v>0</v>
      </c>
      <c r="B776" s="27"/>
      <c r="C776" s="30" t="str">
        <f>IF(AjusteFecha!I772=0,"",AjusteFecha!I772)</f>
        <v/>
      </c>
      <c r="D776" s="27"/>
      <c r="E776" s="27"/>
      <c r="F776" s="27" t="str">
        <f>IF('Pegar ML'!C772="","",'Pegar ML'!C772)</f>
        <v/>
      </c>
      <c r="G776" s="27" t="str">
        <f>IF('Pegar ML'!G767="ARS","PS","PS")</f>
        <v>PS</v>
      </c>
      <c r="H776" s="14">
        <f>IF('Pegar ML'!C771="Paquete de 2 productos",IF('Pegar ML'!H771="",0,'Pegar ML'!H771),IF('Pegar ML'!H772="",0,'Pegar ML'!H772))</f>
        <v>0</v>
      </c>
      <c r="I776" s="14">
        <f>IF('Pegar ML'!C771="Paquete de 2 productos",IF('Pegar ML'!O771="",0,'Pegar ML'!O771),IF('Pegar ML'!O772="",0,'Pegar ML'!O772))</f>
        <v>0</v>
      </c>
      <c r="J776" s="14">
        <f>IF('Pegar ML'!C771="Paquete de 2 productos",IF('Pegar ML'!O771="",0,'Pegar ML'!O771),IF('Pegar ML'!O772="",0,'Pegar ML'!O772))</f>
        <v>0</v>
      </c>
      <c r="K776" s="14">
        <f t="shared" si="35"/>
        <v>0</v>
      </c>
      <c r="L776" s="27">
        <f>IF('Pegar ML'!AB772=" ",'Pegar ML'!AB771,'Pegar ML'!AB772)</f>
        <v>0</v>
      </c>
      <c r="M776" s="27" t="str">
        <f>IF('Pegar ML'!AC772=" ",RIGHT('Pegar ML'!AC771,8),RIGHT('Pegar ML'!AC772,8))</f>
        <v/>
      </c>
      <c r="N776" s="27" t="s">
        <v>80</v>
      </c>
      <c r="O776" s="27">
        <f t="shared" si="33"/>
        <v>0</v>
      </c>
      <c r="P776" s="27" t="s">
        <v>80</v>
      </c>
      <c r="Q776" s="55">
        <f>IF('Pegar ML'!AD772=" ",'Pegar ML'!AD771,'Pegar ML'!AD772)</f>
        <v>0</v>
      </c>
      <c r="R776" s="27" t="s">
        <v>80</v>
      </c>
      <c r="S776" s="27" t="s">
        <v>80</v>
      </c>
      <c r="T776" s="27" t="s">
        <v>80</v>
      </c>
      <c r="U776" s="55">
        <f>IF('Pegar ML'!AI772=" ",'Pegar ML'!AI771,'Pegar ML'!AI772)</f>
        <v>0</v>
      </c>
      <c r="V776" s="55">
        <f>IF('Pegar ML'!AK772=" ",'Pegar ML'!AK771,'Pegar ML'!AK772)</f>
        <v>0</v>
      </c>
      <c r="W776" s="55">
        <f>IF('Pegar ML'!AJ772=" ",'Pegar ML'!AJ771,'Pegar ML'!AJ772)</f>
        <v>0</v>
      </c>
      <c r="X776" s="55">
        <f>IF('Pegar ML'!AL772=" ",'Pegar ML'!AL771,'Pegar ML'!AL772)</f>
        <v>0</v>
      </c>
      <c r="Y776" s="27"/>
      <c r="Z776" s="27"/>
      <c r="AA776" s="27"/>
      <c r="AB776" s="27"/>
      <c r="AC776" s="27"/>
      <c r="AD776" s="27"/>
      <c r="AF776" s="8"/>
      <c r="AG776" s="27"/>
      <c r="AH776" s="14">
        <f>+'Pegar ML'!Y772</f>
        <v>0</v>
      </c>
      <c r="AI776" s="13">
        <f t="shared" si="34"/>
        <v>1</v>
      </c>
      <c r="AJ776" s="7">
        <f>+'Pegar ML'!T772</f>
        <v>0</v>
      </c>
      <c r="AK776" s="27"/>
      <c r="AL776" s="27"/>
      <c r="AM776" s="27"/>
      <c r="AN776" s="27"/>
      <c r="AO776" s="27"/>
      <c r="AP776" s="27"/>
      <c r="AQ776" s="27"/>
      <c r="AR776" s="27"/>
      <c r="AS776" s="27">
        <v>17</v>
      </c>
    </row>
    <row r="777" spans="1:45" ht="15" customHeight="1" x14ac:dyDescent="0.25">
      <c r="A777" s="27">
        <f>IF('Pegar ML'!C772="Paquete de 2 productos",'Pegar ML'!A772,IF('Pegar ML'!C771="Paquete de 2 productos",'Pegar ML'!A771,'Pegar ML'!A773))</f>
        <v>0</v>
      </c>
      <c r="B777" s="27"/>
      <c r="C777" s="30" t="str">
        <f>IF(AjusteFecha!I773=0,"",AjusteFecha!I773)</f>
        <v/>
      </c>
      <c r="D777" s="27"/>
      <c r="E777" s="27"/>
      <c r="F777" s="27" t="str">
        <f>IF('Pegar ML'!C773="","",'Pegar ML'!C773)</f>
        <v/>
      </c>
      <c r="G777" s="27" t="str">
        <f>IF('Pegar ML'!G768="ARS","PS","PS")</f>
        <v>PS</v>
      </c>
      <c r="H777" s="14">
        <f>IF('Pegar ML'!C772="Paquete de 2 productos",IF('Pegar ML'!H772="",0,'Pegar ML'!H772),IF('Pegar ML'!H773="",0,'Pegar ML'!H773))</f>
        <v>0</v>
      </c>
      <c r="I777" s="14">
        <f>IF('Pegar ML'!C772="Paquete de 2 productos",IF('Pegar ML'!O772="",0,'Pegar ML'!O772),IF('Pegar ML'!O773="",0,'Pegar ML'!O773))</f>
        <v>0</v>
      </c>
      <c r="J777" s="14">
        <f>IF('Pegar ML'!C772="Paquete de 2 productos",IF('Pegar ML'!O772="",0,'Pegar ML'!O772),IF('Pegar ML'!O773="",0,'Pegar ML'!O773))</f>
        <v>0</v>
      </c>
      <c r="K777" s="14">
        <f t="shared" si="35"/>
        <v>0</v>
      </c>
      <c r="L777" s="27">
        <f>IF('Pegar ML'!AB773=" ",'Pegar ML'!AB772,'Pegar ML'!AB773)</f>
        <v>0</v>
      </c>
      <c r="M777" s="27" t="str">
        <f>IF('Pegar ML'!AC773=" ",RIGHT('Pegar ML'!AC772,8),RIGHT('Pegar ML'!AC773,8))</f>
        <v/>
      </c>
      <c r="N777" s="27" t="s">
        <v>80</v>
      </c>
      <c r="O777" s="27">
        <f t="shared" si="33"/>
        <v>0</v>
      </c>
      <c r="P777" s="27" t="s">
        <v>80</v>
      </c>
      <c r="Q777" s="55">
        <f>IF('Pegar ML'!AD773=" ",'Pegar ML'!AD772,'Pegar ML'!AD773)</f>
        <v>0</v>
      </c>
      <c r="R777" s="27" t="s">
        <v>80</v>
      </c>
      <c r="S777" s="27" t="s">
        <v>80</v>
      </c>
      <c r="T777" s="27" t="s">
        <v>80</v>
      </c>
      <c r="U777" s="55">
        <f>IF('Pegar ML'!AI773=" ",'Pegar ML'!AI772,'Pegar ML'!AI773)</f>
        <v>0</v>
      </c>
      <c r="V777" s="55">
        <f>IF('Pegar ML'!AK773=" ",'Pegar ML'!AK772,'Pegar ML'!AK773)</f>
        <v>0</v>
      </c>
      <c r="W777" s="55">
        <f>IF('Pegar ML'!AJ773=" ",'Pegar ML'!AJ772,'Pegar ML'!AJ773)</f>
        <v>0</v>
      </c>
      <c r="X777" s="55">
        <f>IF('Pegar ML'!AL773=" ",'Pegar ML'!AL772,'Pegar ML'!AL773)</f>
        <v>0</v>
      </c>
      <c r="Y777" s="27"/>
      <c r="Z777" s="27"/>
      <c r="AA777" s="27"/>
      <c r="AB777" s="27"/>
      <c r="AC777" s="27"/>
      <c r="AD777" s="27"/>
      <c r="AF777" s="8"/>
      <c r="AG777" s="27"/>
      <c r="AH777" s="14">
        <f>+'Pegar ML'!Y773</f>
        <v>0</v>
      </c>
      <c r="AI777" s="13">
        <f t="shared" si="34"/>
        <v>1</v>
      </c>
      <c r="AJ777" s="7">
        <f>+'Pegar ML'!T773</f>
        <v>0</v>
      </c>
      <c r="AK777" s="27"/>
      <c r="AL777" s="27"/>
      <c r="AM777" s="27"/>
      <c r="AN777" s="27"/>
      <c r="AO777" s="27"/>
      <c r="AP777" s="27"/>
      <c r="AQ777" s="27"/>
      <c r="AR777" s="27"/>
      <c r="AS777" s="27">
        <v>17</v>
      </c>
    </row>
    <row r="778" spans="1:45" ht="15" customHeight="1" x14ac:dyDescent="0.25">
      <c r="A778" s="27">
        <f>IF('Pegar ML'!C773="Paquete de 2 productos",'Pegar ML'!A773,IF('Pegar ML'!C772="Paquete de 2 productos",'Pegar ML'!A772,'Pegar ML'!A774))</f>
        <v>0</v>
      </c>
      <c r="B778" s="27"/>
      <c r="C778" s="30" t="str">
        <f>IF(AjusteFecha!I774=0,"",AjusteFecha!I774)</f>
        <v/>
      </c>
      <c r="D778" s="27"/>
      <c r="E778" s="27"/>
      <c r="F778" s="27" t="str">
        <f>IF('Pegar ML'!C774="","",'Pegar ML'!C774)</f>
        <v/>
      </c>
      <c r="G778" s="27" t="str">
        <f>IF('Pegar ML'!G769="ARS","PS","PS")</f>
        <v>PS</v>
      </c>
      <c r="H778" s="14">
        <f>IF('Pegar ML'!C773="Paquete de 2 productos",IF('Pegar ML'!H773="",0,'Pegar ML'!H773),IF('Pegar ML'!H774="",0,'Pegar ML'!H774))</f>
        <v>0</v>
      </c>
      <c r="I778" s="14">
        <f>IF('Pegar ML'!C773="Paquete de 2 productos",IF('Pegar ML'!O773="",0,'Pegar ML'!O773),IF('Pegar ML'!O774="",0,'Pegar ML'!O774))</f>
        <v>0</v>
      </c>
      <c r="J778" s="14">
        <f>IF('Pegar ML'!C773="Paquete de 2 productos",IF('Pegar ML'!O773="",0,'Pegar ML'!O773),IF('Pegar ML'!O774="",0,'Pegar ML'!O774))</f>
        <v>0</v>
      </c>
      <c r="K778" s="14">
        <f t="shared" si="35"/>
        <v>0</v>
      </c>
      <c r="L778" s="27">
        <f>IF('Pegar ML'!AB774=" ",'Pegar ML'!AB773,'Pegar ML'!AB774)</f>
        <v>0</v>
      </c>
      <c r="M778" s="27" t="str">
        <f>IF('Pegar ML'!AC774=" ",RIGHT('Pegar ML'!AC773,8),RIGHT('Pegar ML'!AC774,8))</f>
        <v/>
      </c>
      <c r="N778" s="27" t="s">
        <v>80</v>
      </c>
      <c r="O778" s="27">
        <f t="shared" si="33"/>
        <v>0</v>
      </c>
      <c r="P778" s="27" t="s">
        <v>80</v>
      </c>
      <c r="Q778" s="55">
        <f>IF('Pegar ML'!AD774=" ",'Pegar ML'!AD773,'Pegar ML'!AD774)</f>
        <v>0</v>
      </c>
      <c r="R778" s="27" t="s">
        <v>80</v>
      </c>
      <c r="S778" s="27" t="s">
        <v>80</v>
      </c>
      <c r="T778" s="27" t="s">
        <v>80</v>
      </c>
      <c r="U778" s="55">
        <f>IF('Pegar ML'!AI774=" ",'Pegar ML'!AI773,'Pegar ML'!AI774)</f>
        <v>0</v>
      </c>
      <c r="V778" s="55">
        <f>IF('Pegar ML'!AK774=" ",'Pegar ML'!AK773,'Pegar ML'!AK774)</f>
        <v>0</v>
      </c>
      <c r="W778" s="55">
        <f>IF('Pegar ML'!AJ774=" ",'Pegar ML'!AJ773,'Pegar ML'!AJ774)</f>
        <v>0</v>
      </c>
      <c r="X778" s="55">
        <f>IF('Pegar ML'!AL774=" ",'Pegar ML'!AL773,'Pegar ML'!AL774)</f>
        <v>0</v>
      </c>
      <c r="Y778" s="27"/>
      <c r="Z778" s="27"/>
      <c r="AA778" s="27"/>
      <c r="AB778" s="27"/>
      <c r="AC778" s="27"/>
      <c r="AD778" s="27"/>
      <c r="AF778" s="8"/>
      <c r="AG778" s="27"/>
      <c r="AH778" s="14">
        <f>+'Pegar ML'!Y774</f>
        <v>0</v>
      </c>
      <c r="AI778" s="13">
        <f t="shared" si="34"/>
        <v>1</v>
      </c>
      <c r="AJ778" s="7">
        <f>+'Pegar ML'!T774</f>
        <v>0</v>
      </c>
      <c r="AK778" s="27"/>
      <c r="AL778" s="27"/>
      <c r="AM778" s="27"/>
      <c r="AN778" s="27"/>
      <c r="AO778" s="27"/>
      <c r="AP778" s="27"/>
      <c r="AQ778" s="27"/>
      <c r="AR778" s="27"/>
      <c r="AS778" s="27">
        <v>17</v>
      </c>
    </row>
    <row r="779" spans="1:45" ht="15" customHeight="1" x14ac:dyDescent="0.25">
      <c r="A779" s="27">
        <f>IF('Pegar ML'!C774="Paquete de 2 productos",'Pegar ML'!A774,IF('Pegar ML'!C773="Paquete de 2 productos",'Pegar ML'!A773,'Pegar ML'!A775))</f>
        <v>0</v>
      </c>
      <c r="B779" s="27"/>
      <c r="C779" s="30" t="str">
        <f>IF(AjusteFecha!I775=0,"",AjusteFecha!I775)</f>
        <v/>
      </c>
      <c r="D779" s="27"/>
      <c r="E779" s="27"/>
      <c r="F779" s="27" t="str">
        <f>IF('Pegar ML'!C775="","",'Pegar ML'!C775)</f>
        <v/>
      </c>
      <c r="G779" s="27" t="str">
        <f>IF('Pegar ML'!G770="ARS","PS","PS")</f>
        <v>PS</v>
      </c>
      <c r="H779" s="14">
        <f>IF('Pegar ML'!C774="Paquete de 2 productos",IF('Pegar ML'!H774="",0,'Pegar ML'!H774),IF('Pegar ML'!H775="",0,'Pegar ML'!H775))</f>
        <v>0</v>
      </c>
      <c r="I779" s="14">
        <f>IF('Pegar ML'!C774="Paquete de 2 productos",IF('Pegar ML'!O774="",0,'Pegar ML'!O774),IF('Pegar ML'!O775="",0,'Pegar ML'!O775))</f>
        <v>0</v>
      </c>
      <c r="J779" s="14">
        <f>IF('Pegar ML'!C774="Paquete de 2 productos",IF('Pegar ML'!O774="",0,'Pegar ML'!O774),IF('Pegar ML'!O775="",0,'Pegar ML'!O775))</f>
        <v>0</v>
      </c>
      <c r="K779" s="14">
        <f t="shared" si="35"/>
        <v>0</v>
      </c>
      <c r="L779" s="27">
        <f>IF('Pegar ML'!AB775=" ",'Pegar ML'!AB774,'Pegar ML'!AB775)</f>
        <v>0</v>
      </c>
      <c r="M779" s="27" t="str">
        <f>IF('Pegar ML'!AC775=" ",RIGHT('Pegar ML'!AC774,8),RIGHT('Pegar ML'!AC775,8))</f>
        <v/>
      </c>
      <c r="N779" s="27" t="s">
        <v>80</v>
      </c>
      <c r="O779" s="27">
        <f t="shared" ref="O779:O842" si="36">+L779</f>
        <v>0</v>
      </c>
      <c r="P779" s="27" t="s">
        <v>80</v>
      </c>
      <c r="Q779" s="55">
        <f>IF('Pegar ML'!AD775=" ",'Pegar ML'!AD774,'Pegar ML'!AD775)</f>
        <v>0</v>
      </c>
      <c r="R779" s="27" t="s">
        <v>80</v>
      </c>
      <c r="S779" s="27" t="s">
        <v>80</v>
      </c>
      <c r="T779" s="27" t="s">
        <v>80</v>
      </c>
      <c r="U779" s="55">
        <f>IF('Pegar ML'!AI775=" ",'Pegar ML'!AI774,'Pegar ML'!AI775)</f>
        <v>0</v>
      </c>
      <c r="V779" s="55">
        <f>IF('Pegar ML'!AK775=" ",'Pegar ML'!AK774,'Pegar ML'!AK775)</f>
        <v>0</v>
      </c>
      <c r="W779" s="55">
        <f>IF('Pegar ML'!AJ775=" ",'Pegar ML'!AJ774,'Pegar ML'!AJ775)</f>
        <v>0</v>
      </c>
      <c r="X779" s="55">
        <f>IF('Pegar ML'!AL775=" ",'Pegar ML'!AL774,'Pegar ML'!AL775)</f>
        <v>0</v>
      </c>
      <c r="Y779" s="27"/>
      <c r="Z779" s="27"/>
      <c r="AA779" s="27"/>
      <c r="AB779" s="27"/>
      <c r="AC779" s="27"/>
      <c r="AD779" s="27"/>
      <c r="AF779" s="8"/>
      <c r="AG779" s="27"/>
      <c r="AH779" s="14">
        <f>+'Pegar ML'!Y775</f>
        <v>0</v>
      </c>
      <c r="AI779" s="13">
        <f t="shared" ref="AI779:AI842" si="37">IF(F779="Paquete de 2 productos","",1)</f>
        <v>1</v>
      </c>
      <c r="AJ779" s="7">
        <f>+'Pegar ML'!T775</f>
        <v>0</v>
      </c>
      <c r="AK779" s="27"/>
      <c r="AL779" s="27"/>
      <c r="AM779" s="27"/>
      <c r="AN779" s="27"/>
      <c r="AO779" s="27"/>
      <c r="AP779" s="27"/>
      <c r="AQ779" s="27"/>
      <c r="AR779" s="27"/>
      <c r="AS779" s="27">
        <v>17</v>
      </c>
    </row>
    <row r="780" spans="1:45" ht="15" customHeight="1" x14ac:dyDescent="0.25">
      <c r="A780" s="27">
        <f>IF('Pegar ML'!C775="Paquete de 2 productos",'Pegar ML'!A775,IF('Pegar ML'!C774="Paquete de 2 productos",'Pegar ML'!A774,'Pegar ML'!A776))</f>
        <v>0</v>
      </c>
      <c r="B780" s="27"/>
      <c r="C780" s="30" t="str">
        <f>IF(AjusteFecha!I776=0,"",AjusteFecha!I776)</f>
        <v/>
      </c>
      <c r="D780" s="27"/>
      <c r="E780" s="27"/>
      <c r="F780" s="27" t="str">
        <f>IF('Pegar ML'!C776="","",'Pegar ML'!C776)</f>
        <v/>
      </c>
      <c r="G780" s="27" t="str">
        <f>IF('Pegar ML'!G771="ARS","PS","PS")</f>
        <v>PS</v>
      </c>
      <c r="H780" s="14">
        <f>IF('Pegar ML'!C775="Paquete de 2 productos",IF('Pegar ML'!H775="",0,'Pegar ML'!H775),IF('Pegar ML'!H776="",0,'Pegar ML'!H776))</f>
        <v>0</v>
      </c>
      <c r="I780" s="14">
        <f>IF('Pegar ML'!C775="Paquete de 2 productos",IF('Pegar ML'!O775="",0,'Pegar ML'!O775),IF('Pegar ML'!O776="",0,'Pegar ML'!O776))</f>
        <v>0</v>
      </c>
      <c r="J780" s="14">
        <f>IF('Pegar ML'!C775="Paquete de 2 productos",IF('Pegar ML'!O775="",0,'Pegar ML'!O775),IF('Pegar ML'!O776="",0,'Pegar ML'!O776))</f>
        <v>0</v>
      </c>
      <c r="K780" s="14">
        <f t="shared" ref="K780:K843" si="38">+H780-I780+J780</f>
        <v>0</v>
      </c>
      <c r="L780" s="27">
        <f>IF('Pegar ML'!AB776=" ",'Pegar ML'!AB775,'Pegar ML'!AB776)</f>
        <v>0</v>
      </c>
      <c r="M780" s="27" t="str">
        <f>IF('Pegar ML'!AC776=" ",RIGHT('Pegar ML'!AC775,8),RIGHT('Pegar ML'!AC776,8))</f>
        <v/>
      </c>
      <c r="N780" s="27" t="s">
        <v>80</v>
      </c>
      <c r="O780" s="27">
        <f t="shared" si="36"/>
        <v>0</v>
      </c>
      <c r="P780" s="27" t="s">
        <v>80</v>
      </c>
      <c r="Q780" s="55">
        <f>IF('Pegar ML'!AD776=" ",'Pegar ML'!AD775,'Pegar ML'!AD776)</f>
        <v>0</v>
      </c>
      <c r="R780" s="27" t="s">
        <v>80</v>
      </c>
      <c r="S780" s="27" t="s">
        <v>80</v>
      </c>
      <c r="T780" s="27" t="s">
        <v>80</v>
      </c>
      <c r="U780" s="55">
        <f>IF('Pegar ML'!AI776=" ",'Pegar ML'!AI775,'Pegar ML'!AI776)</f>
        <v>0</v>
      </c>
      <c r="V780" s="55">
        <f>IF('Pegar ML'!AK776=" ",'Pegar ML'!AK775,'Pegar ML'!AK776)</f>
        <v>0</v>
      </c>
      <c r="W780" s="55">
        <f>IF('Pegar ML'!AJ776=" ",'Pegar ML'!AJ775,'Pegar ML'!AJ776)</f>
        <v>0</v>
      </c>
      <c r="X780" s="55">
        <f>IF('Pegar ML'!AL776=" ",'Pegar ML'!AL775,'Pegar ML'!AL776)</f>
        <v>0</v>
      </c>
      <c r="Y780" s="27"/>
      <c r="Z780" s="27"/>
      <c r="AA780" s="27"/>
      <c r="AB780" s="27"/>
      <c r="AC780" s="27"/>
      <c r="AD780" s="27"/>
      <c r="AF780" s="8"/>
      <c r="AG780" s="27"/>
      <c r="AH780" s="14">
        <f>+'Pegar ML'!Y776</f>
        <v>0</v>
      </c>
      <c r="AI780" s="13">
        <f t="shared" si="37"/>
        <v>1</v>
      </c>
      <c r="AJ780" s="7">
        <f>+'Pegar ML'!T776</f>
        <v>0</v>
      </c>
      <c r="AK780" s="27"/>
      <c r="AL780" s="27"/>
      <c r="AM780" s="27"/>
      <c r="AN780" s="27"/>
      <c r="AO780" s="27"/>
      <c r="AP780" s="27"/>
      <c r="AQ780" s="27"/>
      <c r="AR780" s="27"/>
      <c r="AS780" s="27">
        <v>17</v>
      </c>
    </row>
    <row r="781" spans="1:45" ht="15" customHeight="1" x14ac:dyDescent="0.25">
      <c r="A781" s="27">
        <f>IF('Pegar ML'!C776="Paquete de 2 productos",'Pegar ML'!A776,IF('Pegar ML'!C775="Paquete de 2 productos",'Pegar ML'!A775,'Pegar ML'!A777))</f>
        <v>0</v>
      </c>
      <c r="B781" s="27"/>
      <c r="C781" s="30" t="str">
        <f>IF(AjusteFecha!I777=0,"",AjusteFecha!I777)</f>
        <v/>
      </c>
      <c r="D781" s="27"/>
      <c r="E781" s="27"/>
      <c r="F781" s="27" t="str">
        <f>IF('Pegar ML'!C777="","",'Pegar ML'!C777)</f>
        <v/>
      </c>
      <c r="G781" s="27" t="str">
        <f>IF('Pegar ML'!G772="ARS","PS","PS")</f>
        <v>PS</v>
      </c>
      <c r="H781" s="14">
        <f>IF('Pegar ML'!C776="Paquete de 2 productos",IF('Pegar ML'!H776="",0,'Pegar ML'!H776),IF('Pegar ML'!H777="",0,'Pegar ML'!H777))</f>
        <v>0</v>
      </c>
      <c r="I781" s="14">
        <f>IF('Pegar ML'!C776="Paquete de 2 productos",IF('Pegar ML'!O776="",0,'Pegar ML'!O776),IF('Pegar ML'!O777="",0,'Pegar ML'!O777))</f>
        <v>0</v>
      </c>
      <c r="J781" s="14">
        <f>IF('Pegar ML'!C776="Paquete de 2 productos",IF('Pegar ML'!O776="",0,'Pegar ML'!O776),IF('Pegar ML'!O777="",0,'Pegar ML'!O777))</f>
        <v>0</v>
      </c>
      <c r="K781" s="14">
        <f t="shared" si="38"/>
        <v>0</v>
      </c>
      <c r="L781" s="27">
        <f>IF('Pegar ML'!AB777=" ",'Pegar ML'!AB776,'Pegar ML'!AB777)</f>
        <v>0</v>
      </c>
      <c r="M781" s="27" t="str">
        <f>IF('Pegar ML'!AC777=" ",RIGHT('Pegar ML'!AC776,8),RIGHT('Pegar ML'!AC777,8))</f>
        <v/>
      </c>
      <c r="N781" s="27" t="s">
        <v>80</v>
      </c>
      <c r="O781" s="27">
        <f t="shared" si="36"/>
        <v>0</v>
      </c>
      <c r="P781" s="27" t="s">
        <v>80</v>
      </c>
      <c r="Q781" s="55">
        <f>IF('Pegar ML'!AD777=" ",'Pegar ML'!AD776,'Pegar ML'!AD777)</f>
        <v>0</v>
      </c>
      <c r="R781" s="27" t="s">
        <v>80</v>
      </c>
      <c r="S781" s="27" t="s">
        <v>80</v>
      </c>
      <c r="T781" s="27" t="s">
        <v>80</v>
      </c>
      <c r="U781" s="55">
        <f>IF('Pegar ML'!AI777=" ",'Pegar ML'!AI776,'Pegar ML'!AI777)</f>
        <v>0</v>
      </c>
      <c r="V781" s="55">
        <f>IF('Pegar ML'!AK777=" ",'Pegar ML'!AK776,'Pegar ML'!AK777)</f>
        <v>0</v>
      </c>
      <c r="W781" s="55">
        <f>IF('Pegar ML'!AJ777=" ",'Pegar ML'!AJ776,'Pegar ML'!AJ777)</f>
        <v>0</v>
      </c>
      <c r="X781" s="55">
        <f>IF('Pegar ML'!AL777=" ",'Pegar ML'!AL776,'Pegar ML'!AL777)</f>
        <v>0</v>
      </c>
      <c r="Y781" s="27"/>
      <c r="Z781" s="27"/>
      <c r="AA781" s="27"/>
      <c r="AB781" s="27"/>
      <c r="AC781" s="27"/>
      <c r="AD781" s="27"/>
      <c r="AF781" s="8"/>
      <c r="AG781" s="27"/>
      <c r="AH781" s="14">
        <f>+'Pegar ML'!Y777</f>
        <v>0</v>
      </c>
      <c r="AI781" s="13">
        <f t="shared" si="37"/>
        <v>1</v>
      </c>
      <c r="AJ781" s="7">
        <f>+'Pegar ML'!T777</f>
        <v>0</v>
      </c>
      <c r="AK781" s="27"/>
      <c r="AL781" s="27"/>
      <c r="AM781" s="27"/>
      <c r="AN781" s="27"/>
      <c r="AO781" s="27"/>
      <c r="AP781" s="27"/>
      <c r="AQ781" s="27"/>
      <c r="AR781" s="27"/>
      <c r="AS781" s="27">
        <v>17</v>
      </c>
    </row>
    <row r="782" spans="1:45" ht="15" customHeight="1" x14ac:dyDescent="0.25">
      <c r="A782" s="27">
        <f>IF('Pegar ML'!C777="Paquete de 2 productos",'Pegar ML'!A777,IF('Pegar ML'!C776="Paquete de 2 productos",'Pegar ML'!A776,'Pegar ML'!A778))</f>
        <v>0</v>
      </c>
      <c r="B782" s="27"/>
      <c r="C782" s="30" t="str">
        <f>IF(AjusteFecha!I778=0,"",AjusteFecha!I778)</f>
        <v/>
      </c>
      <c r="D782" s="27"/>
      <c r="E782" s="27"/>
      <c r="F782" s="27" t="str">
        <f>IF('Pegar ML'!C778="","",'Pegar ML'!C778)</f>
        <v/>
      </c>
      <c r="G782" s="27" t="str">
        <f>IF('Pegar ML'!G773="ARS","PS","PS")</f>
        <v>PS</v>
      </c>
      <c r="H782" s="14">
        <f>IF('Pegar ML'!C777="Paquete de 2 productos",IF('Pegar ML'!H777="",0,'Pegar ML'!H777),IF('Pegar ML'!H778="",0,'Pegar ML'!H778))</f>
        <v>0</v>
      </c>
      <c r="I782" s="14">
        <f>IF('Pegar ML'!C777="Paquete de 2 productos",IF('Pegar ML'!O777="",0,'Pegar ML'!O777),IF('Pegar ML'!O778="",0,'Pegar ML'!O778))</f>
        <v>0</v>
      </c>
      <c r="J782" s="14">
        <f>IF('Pegar ML'!C777="Paquete de 2 productos",IF('Pegar ML'!O777="",0,'Pegar ML'!O777),IF('Pegar ML'!O778="",0,'Pegar ML'!O778))</f>
        <v>0</v>
      </c>
      <c r="K782" s="14">
        <f t="shared" si="38"/>
        <v>0</v>
      </c>
      <c r="L782" s="27">
        <f>IF('Pegar ML'!AB778=" ",'Pegar ML'!AB777,'Pegar ML'!AB778)</f>
        <v>0</v>
      </c>
      <c r="M782" s="27" t="str">
        <f>IF('Pegar ML'!AC778=" ",RIGHT('Pegar ML'!AC777,8),RIGHT('Pegar ML'!AC778,8))</f>
        <v/>
      </c>
      <c r="N782" s="27" t="s">
        <v>80</v>
      </c>
      <c r="O782" s="27">
        <f t="shared" si="36"/>
        <v>0</v>
      </c>
      <c r="P782" s="27" t="s">
        <v>80</v>
      </c>
      <c r="Q782" s="55">
        <f>IF('Pegar ML'!AD778=" ",'Pegar ML'!AD777,'Pegar ML'!AD778)</f>
        <v>0</v>
      </c>
      <c r="R782" s="27" t="s">
        <v>80</v>
      </c>
      <c r="S782" s="27" t="s">
        <v>80</v>
      </c>
      <c r="T782" s="27" t="s">
        <v>80</v>
      </c>
      <c r="U782" s="55">
        <f>IF('Pegar ML'!AI778=" ",'Pegar ML'!AI777,'Pegar ML'!AI778)</f>
        <v>0</v>
      </c>
      <c r="V782" s="55">
        <f>IF('Pegar ML'!AK778=" ",'Pegar ML'!AK777,'Pegar ML'!AK778)</f>
        <v>0</v>
      </c>
      <c r="W782" s="55">
        <f>IF('Pegar ML'!AJ778=" ",'Pegar ML'!AJ777,'Pegar ML'!AJ778)</f>
        <v>0</v>
      </c>
      <c r="X782" s="55">
        <f>IF('Pegar ML'!AL778=" ",'Pegar ML'!AL777,'Pegar ML'!AL778)</f>
        <v>0</v>
      </c>
      <c r="Y782" s="27"/>
      <c r="Z782" s="27"/>
      <c r="AA782" s="27"/>
      <c r="AB782" s="27"/>
      <c r="AC782" s="27"/>
      <c r="AD782" s="27"/>
      <c r="AF782" s="8"/>
      <c r="AG782" s="27"/>
      <c r="AH782" s="14">
        <f>+'Pegar ML'!Y778</f>
        <v>0</v>
      </c>
      <c r="AI782" s="13">
        <f t="shared" si="37"/>
        <v>1</v>
      </c>
      <c r="AJ782" s="7">
        <f>+'Pegar ML'!T778</f>
        <v>0</v>
      </c>
      <c r="AK782" s="27"/>
      <c r="AL782" s="27"/>
      <c r="AM782" s="27"/>
      <c r="AN782" s="27"/>
      <c r="AO782" s="27"/>
      <c r="AP782" s="27"/>
      <c r="AQ782" s="27"/>
      <c r="AR782" s="27"/>
      <c r="AS782" s="27">
        <v>17</v>
      </c>
    </row>
    <row r="783" spans="1:45" ht="15" customHeight="1" x14ac:dyDescent="0.25">
      <c r="A783" s="27">
        <f>IF('Pegar ML'!C778="Paquete de 2 productos",'Pegar ML'!A778,IF('Pegar ML'!C777="Paquete de 2 productos",'Pegar ML'!A777,'Pegar ML'!A779))</f>
        <v>0</v>
      </c>
      <c r="B783" s="27"/>
      <c r="C783" s="30" t="str">
        <f>IF(AjusteFecha!I779=0,"",AjusteFecha!I779)</f>
        <v/>
      </c>
      <c r="D783" s="27"/>
      <c r="E783" s="27"/>
      <c r="F783" s="27" t="str">
        <f>IF('Pegar ML'!C779="","",'Pegar ML'!C779)</f>
        <v/>
      </c>
      <c r="G783" s="27" t="str">
        <f>IF('Pegar ML'!G774="ARS","PS","PS")</f>
        <v>PS</v>
      </c>
      <c r="H783" s="14">
        <f>IF('Pegar ML'!C778="Paquete de 2 productos",IF('Pegar ML'!H778="",0,'Pegar ML'!H778),IF('Pegar ML'!H779="",0,'Pegar ML'!H779))</f>
        <v>0</v>
      </c>
      <c r="I783" s="14">
        <f>IF('Pegar ML'!C778="Paquete de 2 productos",IF('Pegar ML'!O778="",0,'Pegar ML'!O778),IF('Pegar ML'!O779="",0,'Pegar ML'!O779))</f>
        <v>0</v>
      </c>
      <c r="J783" s="14">
        <f>IF('Pegar ML'!C778="Paquete de 2 productos",IF('Pegar ML'!O778="",0,'Pegar ML'!O778),IF('Pegar ML'!O779="",0,'Pegar ML'!O779))</f>
        <v>0</v>
      </c>
      <c r="K783" s="14">
        <f t="shared" si="38"/>
        <v>0</v>
      </c>
      <c r="L783" s="27">
        <f>IF('Pegar ML'!AB779=" ",'Pegar ML'!AB778,'Pegar ML'!AB779)</f>
        <v>0</v>
      </c>
      <c r="M783" s="27" t="str">
        <f>IF('Pegar ML'!AC779=" ",RIGHT('Pegar ML'!AC778,8),RIGHT('Pegar ML'!AC779,8))</f>
        <v/>
      </c>
      <c r="N783" s="27" t="s">
        <v>80</v>
      </c>
      <c r="O783" s="27">
        <f t="shared" si="36"/>
        <v>0</v>
      </c>
      <c r="P783" s="27" t="s">
        <v>80</v>
      </c>
      <c r="Q783" s="55">
        <f>IF('Pegar ML'!AD779=" ",'Pegar ML'!AD778,'Pegar ML'!AD779)</f>
        <v>0</v>
      </c>
      <c r="R783" s="27" t="s">
        <v>80</v>
      </c>
      <c r="S783" s="27" t="s">
        <v>80</v>
      </c>
      <c r="T783" s="27" t="s">
        <v>80</v>
      </c>
      <c r="U783" s="55">
        <f>IF('Pegar ML'!AI779=" ",'Pegar ML'!AI778,'Pegar ML'!AI779)</f>
        <v>0</v>
      </c>
      <c r="V783" s="55">
        <f>IF('Pegar ML'!AK779=" ",'Pegar ML'!AK778,'Pegar ML'!AK779)</f>
        <v>0</v>
      </c>
      <c r="W783" s="55">
        <f>IF('Pegar ML'!AJ779=" ",'Pegar ML'!AJ778,'Pegar ML'!AJ779)</f>
        <v>0</v>
      </c>
      <c r="X783" s="55">
        <f>IF('Pegar ML'!AL779=" ",'Pegar ML'!AL778,'Pegar ML'!AL779)</f>
        <v>0</v>
      </c>
      <c r="Y783" s="27"/>
      <c r="Z783" s="27"/>
      <c r="AA783" s="27"/>
      <c r="AB783" s="27"/>
      <c r="AC783" s="27"/>
      <c r="AD783" s="27"/>
      <c r="AF783" s="8"/>
      <c r="AG783" s="27"/>
      <c r="AH783" s="14">
        <f>+'Pegar ML'!Y779</f>
        <v>0</v>
      </c>
      <c r="AI783" s="13">
        <f t="shared" si="37"/>
        <v>1</v>
      </c>
      <c r="AJ783" s="7">
        <f>+'Pegar ML'!T779</f>
        <v>0</v>
      </c>
      <c r="AK783" s="27"/>
      <c r="AL783" s="27"/>
      <c r="AM783" s="27"/>
      <c r="AN783" s="27"/>
      <c r="AO783" s="27"/>
      <c r="AP783" s="27"/>
      <c r="AQ783" s="27"/>
      <c r="AR783" s="27"/>
      <c r="AS783" s="27">
        <v>17</v>
      </c>
    </row>
    <row r="784" spans="1:45" ht="15" customHeight="1" x14ac:dyDescent="0.25">
      <c r="A784" s="27">
        <f>IF('Pegar ML'!C779="Paquete de 2 productos",'Pegar ML'!A779,IF('Pegar ML'!C778="Paquete de 2 productos",'Pegar ML'!A778,'Pegar ML'!A780))</f>
        <v>0</v>
      </c>
      <c r="B784" s="27"/>
      <c r="C784" s="30" t="str">
        <f>IF(AjusteFecha!I780=0,"",AjusteFecha!I780)</f>
        <v/>
      </c>
      <c r="D784" s="27"/>
      <c r="E784" s="27"/>
      <c r="F784" s="27" t="str">
        <f>IF('Pegar ML'!C780="","",'Pegar ML'!C780)</f>
        <v/>
      </c>
      <c r="G784" s="27" t="str">
        <f>IF('Pegar ML'!G775="ARS","PS","PS")</f>
        <v>PS</v>
      </c>
      <c r="H784" s="14">
        <f>IF('Pegar ML'!C779="Paquete de 2 productos",IF('Pegar ML'!H779="",0,'Pegar ML'!H779),IF('Pegar ML'!H780="",0,'Pegar ML'!H780))</f>
        <v>0</v>
      </c>
      <c r="I784" s="14">
        <f>IF('Pegar ML'!C779="Paquete de 2 productos",IF('Pegar ML'!O779="",0,'Pegar ML'!O779),IF('Pegar ML'!O780="",0,'Pegar ML'!O780))</f>
        <v>0</v>
      </c>
      <c r="J784" s="14">
        <f>IF('Pegar ML'!C779="Paquete de 2 productos",IF('Pegar ML'!O779="",0,'Pegar ML'!O779),IF('Pegar ML'!O780="",0,'Pegar ML'!O780))</f>
        <v>0</v>
      </c>
      <c r="K784" s="14">
        <f t="shared" si="38"/>
        <v>0</v>
      </c>
      <c r="L784" s="27">
        <f>IF('Pegar ML'!AB780=" ",'Pegar ML'!AB779,'Pegar ML'!AB780)</f>
        <v>0</v>
      </c>
      <c r="M784" s="27" t="str">
        <f>IF('Pegar ML'!AC780=" ",RIGHT('Pegar ML'!AC779,8),RIGHT('Pegar ML'!AC780,8))</f>
        <v/>
      </c>
      <c r="N784" s="27" t="s">
        <v>80</v>
      </c>
      <c r="O784" s="27">
        <f t="shared" si="36"/>
        <v>0</v>
      </c>
      <c r="P784" s="27" t="s">
        <v>80</v>
      </c>
      <c r="Q784" s="55">
        <f>IF('Pegar ML'!AD780=" ",'Pegar ML'!AD779,'Pegar ML'!AD780)</f>
        <v>0</v>
      </c>
      <c r="R784" s="27" t="s">
        <v>80</v>
      </c>
      <c r="S784" s="27" t="s">
        <v>80</v>
      </c>
      <c r="T784" s="27" t="s">
        <v>80</v>
      </c>
      <c r="U784" s="55">
        <f>IF('Pegar ML'!AI780=" ",'Pegar ML'!AI779,'Pegar ML'!AI780)</f>
        <v>0</v>
      </c>
      <c r="V784" s="55">
        <f>IF('Pegar ML'!AK780=" ",'Pegar ML'!AK779,'Pegar ML'!AK780)</f>
        <v>0</v>
      </c>
      <c r="W784" s="55">
        <f>IF('Pegar ML'!AJ780=" ",'Pegar ML'!AJ779,'Pegar ML'!AJ780)</f>
        <v>0</v>
      </c>
      <c r="X784" s="55">
        <f>IF('Pegar ML'!AL780=" ",'Pegar ML'!AL779,'Pegar ML'!AL780)</f>
        <v>0</v>
      </c>
      <c r="Y784" s="27"/>
      <c r="Z784" s="27"/>
      <c r="AA784" s="27"/>
      <c r="AB784" s="27"/>
      <c r="AC784" s="27"/>
      <c r="AD784" s="27"/>
      <c r="AF784" s="8"/>
      <c r="AG784" s="27"/>
      <c r="AH784" s="14">
        <f>+'Pegar ML'!Y780</f>
        <v>0</v>
      </c>
      <c r="AI784" s="13">
        <f t="shared" si="37"/>
        <v>1</v>
      </c>
      <c r="AJ784" s="7">
        <f>+'Pegar ML'!T780</f>
        <v>0</v>
      </c>
      <c r="AK784" s="27"/>
      <c r="AL784" s="27"/>
      <c r="AM784" s="27"/>
      <c r="AN784" s="27"/>
      <c r="AO784" s="27"/>
      <c r="AP784" s="27"/>
      <c r="AQ784" s="27"/>
      <c r="AR784" s="27"/>
      <c r="AS784" s="27">
        <v>17</v>
      </c>
    </row>
    <row r="785" spans="1:45" ht="15" customHeight="1" x14ac:dyDescent="0.25">
      <c r="A785" s="27">
        <f>IF('Pegar ML'!C780="Paquete de 2 productos",'Pegar ML'!A780,IF('Pegar ML'!C779="Paquete de 2 productos",'Pegar ML'!A779,'Pegar ML'!A781))</f>
        <v>0</v>
      </c>
      <c r="B785" s="27"/>
      <c r="C785" s="30" t="str">
        <f>IF(AjusteFecha!I781=0,"",AjusteFecha!I781)</f>
        <v/>
      </c>
      <c r="D785" s="27"/>
      <c r="E785" s="27"/>
      <c r="F785" s="27" t="str">
        <f>IF('Pegar ML'!C781="","",'Pegar ML'!C781)</f>
        <v/>
      </c>
      <c r="G785" s="27" t="str">
        <f>IF('Pegar ML'!G776="ARS","PS","PS")</f>
        <v>PS</v>
      </c>
      <c r="H785" s="14">
        <f>IF('Pegar ML'!C780="Paquete de 2 productos",IF('Pegar ML'!H780="",0,'Pegar ML'!H780),IF('Pegar ML'!H781="",0,'Pegar ML'!H781))</f>
        <v>0</v>
      </c>
      <c r="I785" s="14">
        <f>IF('Pegar ML'!C780="Paquete de 2 productos",IF('Pegar ML'!O780="",0,'Pegar ML'!O780),IF('Pegar ML'!O781="",0,'Pegar ML'!O781))</f>
        <v>0</v>
      </c>
      <c r="J785" s="14">
        <f>IF('Pegar ML'!C780="Paquete de 2 productos",IF('Pegar ML'!O780="",0,'Pegar ML'!O780),IF('Pegar ML'!O781="",0,'Pegar ML'!O781))</f>
        <v>0</v>
      </c>
      <c r="K785" s="14">
        <f t="shared" si="38"/>
        <v>0</v>
      </c>
      <c r="L785" s="27">
        <f>IF('Pegar ML'!AB781=" ",'Pegar ML'!AB780,'Pegar ML'!AB781)</f>
        <v>0</v>
      </c>
      <c r="M785" s="27" t="str">
        <f>IF('Pegar ML'!AC781=" ",RIGHT('Pegar ML'!AC780,8),RIGHT('Pegar ML'!AC781,8))</f>
        <v/>
      </c>
      <c r="N785" s="27" t="s">
        <v>80</v>
      </c>
      <c r="O785" s="27">
        <f t="shared" si="36"/>
        <v>0</v>
      </c>
      <c r="P785" s="27" t="s">
        <v>80</v>
      </c>
      <c r="Q785" s="55">
        <f>IF('Pegar ML'!AD781=" ",'Pegar ML'!AD780,'Pegar ML'!AD781)</f>
        <v>0</v>
      </c>
      <c r="R785" s="27" t="s">
        <v>80</v>
      </c>
      <c r="S785" s="27" t="s">
        <v>80</v>
      </c>
      <c r="T785" s="27" t="s">
        <v>80</v>
      </c>
      <c r="U785" s="55">
        <f>IF('Pegar ML'!AI781=" ",'Pegar ML'!AI780,'Pegar ML'!AI781)</f>
        <v>0</v>
      </c>
      <c r="V785" s="55">
        <f>IF('Pegar ML'!AK781=" ",'Pegar ML'!AK780,'Pegar ML'!AK781)</f>
        <v>0</v>
      </c>
      <c r="W785" s="55">
        <f>IF('Pegar ML'!AJ781=" ",'Pegar ML'!AJ780,'Pegar ML'!AJ781)</f>
        <v>0</v>
      </c>
      <c r="X785" s="55">
        <f>IF('Pegar ML'!AL781=" ",'Pegar ML'!AL780,'Pegar ML'!AL781)</f>
        <v>0</v>
      </c>
      <c r="Y785" s="27"/>
      <c r="Z785" s="27"/>
      <c r="AA785" s="27"/>
      <c r="AB785" s="27"/>
      <c r="AC785" s="27"/>
      <c r="AD785" s="27"/>
      <c r="AF785" s="8"/>
      <c r="AG785" s="27"/>
      <c r="AH785" s="14">
        <f>+'Pegar ML'!Y781</f>
        <v>0</v>
      </c>
      <c r="AI785" s="13">
        <f t="shared" si="37"/>
        <v>1</v>
      </c>
      <c r="AJ785" s="7">
        <f>+'Pegar ML'!T781</f>
        <v>0</v>
      </c>
      <c r="AK785" s="27"/>
      <c r="AL785" s="27"/>
      <c r="AM785" s="27"/>
      <c r="AN785" s="27"/>
      <c r="AO785" s="27"/>
      <c r="AP785" s="27"/>
      <c r="AQ785" s="27"/>
      <c r="AR785" s="27"/>
      <c r="AS785" s="27">
        <v>17</v>
      </c>
    </row>
    <row r="786" spans="1:45" ht="15" customHeight="1" x14ac:dyDescent="0.25">
      <c r="A786" s="27">
        <f>IF('Pegar ML'!C781="Paquete de 2 productos",'Pegar ML'!A781,IF('Pegar ML'!C780="Paquete de 2 productos",'Pegar ML'!A780,'Pegar ML'!A782))</f>
        <v>0</v>
      </c>
      <c r="B786" s="27"/>
      <c r="C786" s="30" t="str">
        <f>IF(AjusteFecha!I782=0,"",AjusteFecha!I782)</f>
        <v/>
      </c>
      <c r="D786" s="27"/>
      <c r="E786" s="27"/>
      <c r="F786" s="27" t="str">
        <f>IF('Pegar ML'!C782="","",'Pegar ML'!C782)</f>
        <v/>
      </c>
      <c r="G786" s="27" t="str">
        <f>IF('Pegar ML'!G777="ARS","PS","PS")</f>
        <v>PS</v>
      </c>
      <c r="H786" s="14">
        <f>IF('Pegar ML'!C781="Paquete de 2 productos",IF('Pegar ML'!H781="",0,'Pegar ML'!H781),IF('Pegar ML'!H782="",0,'Pegar ML'!H782))</f>
        <v>0</v>
      </c>
      <c r="I786" s="14">
        <f>IF('Pegar ML'!C781="Paquete de 2 productos",IF('Pegar ML'!O781="",0,'Pegar ML'!O781),IF('Pegar ML'!O782="",0,'Pegar ML'!O782))</f>
        <v>0</v>
      </c>
      <c r="J786" s="14">
        <f>IF('Pegar ML'!C781="Paquete de 2 productos",IF('Pegar ML'!O781="",0,'Pegar ML'!O781),IF('Pegar ML'!O782="",0,'Pegar ML'!O782))</f>
        <v>0</v>
      </c>
      <c r="K786" s="14">
        <f t="shared" si="38"/>
        <v>0</v>
      </c>
      <c r="L786" s="27">
        <f>IF('Pegar ML'!AB782=" ",'Pegar ML'!AB781,'Pegar ML'!AB782)</f>
        <v>0</v>
      </c>
      <c r="M786" s="27" t="str">
        <f>IF('Pegar ML'!AC782=" ",RIGHT('Pegar ML'!AC781,8),RIGHT('Pegar ML'!AC782,8))</f>
        <v/>
      </c>
      <c r="N786" s="27" t="s">
        <v>80</v>
      </c>
      <c r="O786" s="27">
        <f t="shared" si="36"/>
        <v>0</v>
      </c>
      <c r="P786" s="27" t="s">
        <v>80</v>
      </c>
      <c r="Q786" s="55">
        <f>IF('Pegar ML'!AD782=" ",'Pegar ML'!AD781,'Pegar ML'!AD782)</f>
        <v>0</v>
      </c>
      <c r="R786" s="27" t="s">
        <v>80</v>
      </c>
      <c r="S786" s="27" t="s">
        <v>80</v>
      </c>
      <c r="T786" s="27" t="s">
        <v>80</v>
      </c>
      <c r="U786" s="55">
        <f>IF('Pegar ML'!AI782=" ",'Pegar ML'!AI781,'Pegar ML'!AI782)</f>
        <v>0</v>
      </c>
      <c r="V786" s="55">
        <f>IF('Pegar ML'!AK782=" ",'Pegar ML'!AK781,'Pegar ML'!AK782)</f>
        <v>0</v>
      </c>
      <c r="W786" s="55">
        <f>IF('Pegar ML'!AJ782=" ",'Pegar ML'!AJ781,'Pegar ML'!AJ782)</f>
        <v>0</v>
      </c>
      <c r="X786" s="55">
        <f>IF('Pegar ML'!AL782=" ",'Pegar ML'!AL781,'Pegar ML'!AL782)</f>
        <v>0</v>
      </c>
      <c r="Y786" s="27"/>
      <c r="Z786" s="27"/>
      <c r="AA786" s="27"/>
      <c r="AB786" s="27"/>
      <c r="AC786" s="27"/>
      <c r="AD786" s="27"/>
      <c r="AF786" s="8"/>
      <c r="AG786" s="27"/>
      <c r="AH786" s="14">
        <f>+'Pegar ML'!Y782</f>
        <v>0</v>
      </c>
      <c r="AI786" s="13">
        <f t="shared" si="37"/>
        <v>1</v>
      </c>
      <c r="AJ786" s="7">
        <f>+'Pegar ML'!T782</f>
        <v>0</v>
      </c>
      <c r="AK786" s="27"/>
      <c r="AL786" s="27"/>
      <c r="AM786" s="27"/>
      <c r="AN786" s="27"/>
      <c r="AO786" s="27"/>
      <c r="AP786" s="27"/>
      <c r="AQ786" s="27"/>
      <c r="AR786" s="27"/>
      <c r="AS786" s="27">
        <v>17</v>
      </c>
    </row>
    <row r="787" spans="1:45" ht="15" customHeight="1" x14ac:dyDescent="0.25">
      <c r="A787" s="27">
        <f>IF('Pegar ML'!C782="Paquete de 2 productos",'Pegar ML'!A782,IF('Pegar ML'!C781="Paquete de 2 productos",'Pegar ML'!A781,'Pegar ML'!A783))</f>
        <v>0</v>
      </c>
      <c r="B787" s="27"/>
      <c r="C787" s="30" t="str">
        <f>IF(AjusteFecha!I783=0,"",AjusteFecha!I783)</f>
        <v/>
      </c>
      <c r="D787" s="27"/>
      <c r="E787" s="27"/>
      <c r="F787" s="27" t="str">
        <f>IF('Pegar ML'!C783="","",'Pegar ML'!C783)</f>
        <v/>
      </c>
      <c r="G787" s="27" t="str">
        <f>IF('Pegar ML'!G778="ARS","PS","PS")</f>
        <v>PS</v>
      </c>
      <c r="H787" s="14">
        <f>IF('Pegar ML'!C782="Paquete de 2 productos",IF('Pegar ML'!H782="",0,'Pegar ML'!H782),IF('Pegar ML'!H783="",0,'Pegar ML'!H783))</f>
        <v>0</v>
      </c>
      <c r="I787" s="14">
        <f>IF('Pegar ML'!C782="Paquete de 2 productos",IF('Pegar ML'!O782="",0,'Pegar ML'!O782),IF('Pegar ML'!O783="",0,'Pegar ML'!O783))</f>
        <v>0</v>
      </c>
      <c r="J787" s="14">
        <f>IF('Pegar ML'!C782="Paquete de 2 productos",IF('Pegar ML'!O782="",0,'Pegar ML'!O782),IF('Pegar ML'!O783="",0,'Pegar ML'!O783))</f>
        <v>0</v>
      </c>
      <c r="K787" s="14">
        <f t="shared" si="38"/>
        <v>0</v>
      </c>
      <c r="L787" s="27">
        <f>IF('Pegar ML'!AB783=" ",'Pegar ML'!AB782,'Pegar ML'!AB783)</f>
        <v>0</v>
      </c>
      <c r="M787" s="27" t="str">
        <f>IF('Pegar ML'!AC783=" ",RIGHT('Pegar ML'!AC782,8),RIGHT('Pegar ML'!AC783,8))</f>
        <v/>
      </c>
      <c r="N787" s="27" t="s">
        <v>80</v>
      </c>
      <c r="O787" s="27">
        <f t="shared" si="36"/>
        <v>0</v>
      </c>
      <c r="P787" s="27" t="s">
        <v>80</v>
      </c>
      <c r="Q787" s="55">
        <f>IF('Pegar ML'!AD783=" ",'Pegar ML'!AD782,'Pegar ML'!AD783)</f>
        <v>0</v>
      </c>
      <c r="R787" s="27" t="s">
        <v>80</v>
      </c>
      <c r="S787" s="27" t="s">
        <v>80</v>
      </c>
      <c r="T787" s="27" t="s">
        <v>80</v>
      </c>
      <c r="U787" s="55">
        <f>IF('Pegar ML'!AI783=" ",'Pegar ML'!AI782,'Pegar ML'!AI783)</f>
        <v>0</v>
      </c>
      <c r="V787" s="55">
        <f>IF('Pegar ML'!AK783=" ",'Pegar ML'!AK782,'Pegar ML'!AK783)</f>
        <v>0</v>
      </c>
      <c r="W787" s="55">
        <f>IF('Pegar ML'!AJ783=" ",'Pegar ML'!AJ782,'Pegar ML'!AJ783)</f>
        <v>0</v>
      </c>
      <c r="X787" s="55">
        <f>IF('Pegar ML'!AL783=" ",'Pegar ML'!AL782,'Pegar ML'!AL783)</f>
        <v>0</v>
      </c>
      <c r="Y787" s="27"/>
      <c r="Z787" s="27"/>
      <c r="AA787" s="27"/>
      <c r="AB787" s="27"/>
      <c r="AC787" s="27"/>
      <c r="AD787" s="27"/>
      <c r="AF787" s="8"/>
      <c r="AG787" s="27"/>
      <c r="AH787" s="14">
        <f>+'Pegar ML'!Y783</f>
        <v>0</v>
      </c>
      <c r="AI787" s="13">
        <f t="shared" si="37"/>
        <v>1</v>
      </c>
      <c r="AJ787" s="7">
        <f>+'Pegar ML'!T783</f>
        <v>0</v>
      </c>
      <c r="AK787" s="27"/>
      <c r="AL787" s="27"/>
      <c r="AM787" s="27"/>
      <c r="AN787" s="27"/>
      <c r="AO787" s="27"/>
      <c r="AP787" s="27"/>
      <c r="AQ787" s="27"/>
      <c r="AR787" s="27"/>
      <c r="AS787" s="27">
        <v>17</v>
      </c>
    </row>
    <row r="788" spans="1:45" ht="15" customHeight="1" x14ac:dyDescent="0.25">
      <c r="A788" s="27">
        <f>IF('Pegar ML'!C783="Paquete de 2 productos",'Pegar ML'!A783,IF('Pegar ML'!C782="Paquete de 2 productos",'Pegar ML'!A782,'Pegar ML'!A784))</f>
        <v>0</v>
      </c>
      <c r="B788" s="27"/>
      <c r="C788" s="30" t="str">
        <f>IF(AjusteFecha!I784=0,"",AjusteFecha!I784)</f>
        <v/>
      </c>
      <c r="D788" s="27"/>
      <c r="E788" s="27"/>
      <c r="F788" s="27" t="str">
        <f>IF('Pegar ML'!C784="","",'Pegar ML'!C784)</f>
        <v/>
      </c>
      <c r="G788" s="27" t="str">
        <f>IF('Pegar ML'!G779="ARS","PS","PS")</f>
        <v>PS</v>
      </c>
      <c r="H788" s="14">
        <f>IF('Pegar ML'!C783="Paquete de 2 productos",IF('Pegar ML'!H783="",0,'Pegar ML'!H783),IF('Pegar ML'!H784="",0,'Pegar ML'!H784))</f>
        <v>0</v>
      </c>
      <c r="I788" s="14">
        <f>IF('Pegar ML'!C783="Paquete de 2 productos",IF('Pegar ML'!O783="",0,'Pegar ML'!O783),IF('Pegar ML'!O784="",0,'Pegar ML'!O784))</f>
        <v>0</v>
      </c>
      <c r="J788" s="14">
        <f>IF('Pegar ML'!C783="Paquete de 2 productos",IF('Pegar ML'!O783="",0,'Pegar ML'!O783),IF('Pegar ML'!O784="",0,'Pegar ML'!O784))</f>
        <v>0</v>
      </c>
      <c r="K788" s="14">
        <f t="shared" si="38"/>
        <v>0</v>
      </c>
      <c r="L788" s="27">
        <f>IF('Pegar ML'!AB784=" ",'Pegar ML'!AB783,'Pegar ML'!AB784)</f>
        <v>0</v>
      </c>
      <c r="M788" s="27" t="str">
        <f>IF('Pegar ML'!AC784=" ",RIGHT('Pegar ML'!AC783,8),RIGHT('Pegar ML'!AC784,8))</f>
        <v/>
      </c>
      <c r="N788" s="27" t="s">
        <v>80</v>
      </c>
      <c r="O788" s="27">
        <f t="shared" si="36"/>
        <v>0</v>
      </c>
      <c r="P788" s="27" t="s">
        <v>80</v>
      </c>
      <c r="Q788" s="55">
        <f>IF('Pegar ML'!AD784=" ",'Pegar ML'!AD783,'Pegar ML'!AD784)</f>
        <v>0</v>
      </c>
      <c r="R788" s="27" t="s">
        <v>80</v>
      </c>
      <c r="S788" s="27" t="s">
        <v>80</v>
      </c>
      <c r="T788" s="27" t="s">
        <v>80</v>
      </c>
      <c r="U788" s="55">
        <f>IF('Pegar ML'!AI784=" ",'Pegar ML'!AI783,'Pegar ML'!AI784)</f>
        <v>0</v>
      </c>
      <c r="V788" s="55">
        <f>IF('Pegar ML'!AK784=" ",'Pegar ML'!AK783,'Pegar ML'!AK784)</f>
        <v>0</v>
      </c>
      <c r="W788" s="55">
        <f>IF('Pegar ML'!AJ784=" ",'Pegar ML'!AJ783,'Pegar ML'!AJ784)</f>
        <v>0</v>
      </c>
      <c r="X788" s="55">
        <f>IF('Pegar ML'!AL784=" ",'Pegar ML'!AL783,'Pegar ML'!AL784)</f>
        <v>0</v>
      </c>
      <c r="Y788" s="27"/>
      <c r="Z788" s="27"/>
      <c r="AA788" s="27"/>
      <c r="AB788" s="27"/>
      <c r="AC788" s="27"/>
      <c r="AD788" s="27"/>
      <c r="AF788" s="8"/>
      <c r="AG788" s="27"/>
      <c r="AH788" s="14">
        <f>+'Pegar ML'!Y784</f>
        <v>0</v>
      </c>
      <c r="AI788" s="13">
        <f t="shared" si="37"/>
        <v>1</v>
      </c>
      <c r="AJ788" s="7">
        <f>+'Pegar ML'!T784</f>
        <v>0</v>
      </c>
      <c r="AK788" s="27"/>
      <c r="AL788" s="27"/>
      <c r="AM788" s="27"/>
      <c r="AN788" s="27"/>
      <c r="AO788" s="27"/>
      <c r="AP788" s="27"/>
      <c r="AQ788" s="27"/>
      <c r="AR788" s="27"/>
      <c r="AS788" s="27">
        <v>17</v>
      </c>
    </row>
    <row r="789" spans="1:45" ht="15" customHeight="1" x14ac:dyDescent="0.25">
      <c r="A789" s="27">
        <f>IF('Pegar ML'!C784="Paquete de 2 productos",'Pegar ML'!A784,IF('Pegar ML'!C783="Paquete de 2 productos",'Pegar ML'!A783,'Pegar ML'!A785))</f>
        <v>0</v>
      </c>
      <c r="B789" s="27"/>
      <c r="C789" s="30" t="str">
        <f>IF(AjusteFecha!I785=0,"",AjusteFecha!I785)</f>
        <v/>
      </c>
      <c r="D789" s="27"/>
      <c r="E789" s="27"/>
      <c r="F789" s="27" t="str">
        <f>IF('Pegar ML'!C785="","",'Pegar ML'!C785)</f>
        <v/>
      </c>
      <c r="G789" s="27" t="str">
        <f>IF('Pegar ML'!G780="ARS","PS","PS")</f>
        <v>PS</v>
      </c>
      <c r="H789" s="14">
        <f>IF('Pegar ML'!C784="Paquete de 2 productos",IF('Pegar ML'!H784="",0,'Pegar ML'!H784),IF('Pegar ML'!H785="",0,'Pegar ML'!H785))</f>
        <v>0</v>
      </c>
      <c r="I789" s="14">
        <f>IF('Pegar ML'!C784="Paquete de 2 productos",IF('Pegar ML'!O784="",0,'Pegar ML'!O784),IF('Pegar ML'!O785="",0,'Pegar ML'!O785))</f>
        <v>0</v>
      </c>
      <c r="J789" s="14">
        <f>IF('Pegar ML'!C784="Paquete de 2 productos",IF('Pegar ML'!O784="",0,'Pegar ML'!O784),IF('Pegar ML'!O785="",0,'Pegar ML'!O785))</f>
        <v>0</v>
      </c>
      <c r="K789" s="14">
        <f t="shared" si="38"/>
        <v>0</v>
      </c>
      <c r="L789" s="27">
        <f>IF('Pegar ML'!AB785=" ",'Pegar ML'!AB784,'Pegar ML'!AB785)</f>
        <v>0</v>
      </c>
      <c r="M789" s="27" t="str">
        <f>IF('Pegar ML'!AC785=" ",RIGHT('Pegar ML'!AC784,8),RIGHT('Pegar ML'!AC785,8))</f>
        <v/>
      </c>
      <c r="N789" s="27" t="s">
        <v>80</v>
      </c>
      <c r="O789" s="27">
        <f t="shared" si="36"/>
        <v>0</v>
      </c>
      <c r="P789" s="27" t="s">
        <v>80</v>
      </c>
      <c r="Q789" s="55">
        <f>IF('Pegar ML'!AD785=" ",'Pegar ML'!AD784,'Pegar ML'!AD785)</f>
        <v>0</v>
      </c>
      <c r="R789" s="27" t="s">
        <v>80</v>
      </c>
      <c r="S789" s="27" t="s">
        <v>80</v>
      </c>
      <c r="T789" s="27" t="s">
        <v>80</v>
      </c>
      <c r="U789" s="55">
        <f>IF('Pegar ML'!AI785=" ",'Pegar ML'!AI784,'Pegar ML'!AI785)</f>
        <v>0</v>
      </c>
      <c r="V789" s="55">
        <f>IF('Pegar ML'!AK785=" ",'Pegar ML'!AK784,'Pegar ML'!AK785)</f>
        <v>0</v>
      </c>
      <c r="W789" s="55">
        <f>IF('Pegar ML'!AJ785=" ",'Pegar ML'!AJ784,'Pegar ML'!AJ785)</f>
        <v>0</v>
      </c>
      <c r="X789" s="55">
        <f>IF('Pegar ML'!AL785=" ",'Pegar ML'!AL784,'Pegar ML'!AL785)</f>
        <v>0</v>
      </c>
      <c r="Y789" s="27"/>
      <c r="Z789" s="27"/>
      <c r="AA789" s="27"/>
      <c r="AB789" s="27"/>
      <c r="AC789" s="27"/>
      <c r="AD789" s="27"/>
      <c r="AF789" s="8"/>
      <c r="AG789" s="27"/>
      <c r="AH789" s="14">
        <f>+'Pegar ML'!Y785</f>
        <v>0</v>
      </c>
      <c r="AI789" s="13">
        <f t="shared" si="37"/>
        <v>1</v>
      </c>
      <c r="AJ789" s="7">
        <f>+'Pegar ML'!T785</f>
        <v>0</v>
      </c>
      <c r="AK789" s="27"/>
      <c r="AL789" s="27"/>
      <c r="AM789" s="27"/>
      <c r="AN789" s="27"/>
      <c r="AO789" s="27"/>
      <c r="AP789" s="27"/>
      <c r="AQ789" s="27"/>
      <c r="AR789" s="27"/>
      <c r="AS789" s="27">
        <v>17</v>
      </c>
    </row>
    <row r="790" spans="1:45" ht="15" customHeight="1" x14ac:dyDescent="0.25">
      <c r="A790" s="27">
        <f>IF('Pegar ML'!C785="Paquete de 2 productos",'Pegar ML'!A785,IF('Pegar ML'!C784="Paquete de 2 productos",'Pegar ML'!A784,'Pegar ML'!A786))</f>
        <v>0</v>
      </c>
      <c r="B790" s="27"/>
      <c r="C790" s="30" t="str">
        <f>IF(AjusteFecha!I786=0,"",AjusteFecha!I786)</f>
        <v/>
      </c>
      <c r="D790" s="27"/>
      <c r="E790" s="27"/>
      <c r="F790" s="27" t="str">
        <f>IF('Pegar ML'!C786="","",'Pegar ML'!C786)</f>
        <v/>
      </c>
      <c r="G790" s="27" t="str">
        <f>IF('Pegar ML'!G781="ARS","PS","PS")</f>
        <v>PS</v>
      </c>
      <c r="H790" s="14">
        <f>IF('Pegar ML'!C785="Paquete de 2 productos",IF('Pegar ML'!H785="",0,'Pegar ML'!H785),IF('Pegar ML'!H786="",0,'Pegar ML'!H786))</f>
        <v>0</v>
      </c>
      <c r="I790" s="14">
        <f>IF('Pegar ML'!C785="Paquete de 2 productos",IF('Pegar ML'!O785="",0,'Pegar ML'!O785),IF('Pegar ML'!O786="",0,'Pegar ML'!O786))</f>
        <v>0</v>
      </c>
      <c r="J790" s="14">
        <f>IF('Pegar ML'!C785="Paquete de 2 productos",IF('Pegar ML'!O785="",0,'Pegar ML'!O785),IF('Pegar ML'!O786="",0,'Pegar ML'!O786))</f>
        <v>0</v>
      </c>
      <c r="K790" s="14">
        <f t="shared" si="38"/>
        <v>0</v>
      </c>
      <c r="L790" s="27">
        <f>IF('Pegar ML'!AB786=" ",'Pegar ML'!AB785,'Pegar ML'!AB786)</f>
        <v>0</v>
      </c>
      <c r="M790" s="27" t="str">
        <f>IF('Pegar ML'!AC786=" ",RIGHT('Pegar ML'!AC785,8),RIGHT('Pegar ML'!AC786,8))</f>
        <v/>
      </c>
      <c r="N790" s="27" t="s">
        <v>80</v>
      </c>
      <c r="O790" s="27">
        <f t="shared" si="36"/>
        <v>0</v>
      </c>
      <c r="P790" s="27" t="s">
        <v>80</v>
      </c>
      <c r="Q790" s="55">
        <f>IF('Pegar ML'!AD786=" ",'Pegar ML'!AD785,'Pegar ML'!AD786)</f>
        <v>0</v>
      </c>
      <c r="R790" s="27" t="s">
        <v>80</v>
      </c>
      <c r="S790" s="27" t="s">
        <v>80</v>
      </c>
      <c r="T790" s="27" t="s">
        <v>80</v>
      </c>
      <c r="U790" s="55">
        <f>IF('Pegar ML'!AI786=" ",'Pegar ML'!AI785,'Pegar ML'!AI786)</f>
        <v>0</v>
      </c>
      <c r="V790" s="55">
        <f>IF('Pegar ML'!AK786=" ",'Pegar ML'!AK785,'Pegar ML'!AK786)</f>
        <v>0</v>
      </c>
      <c r="W790" s="55">
        <f>IF('Pegar ML'!AJ786=" ",'Pegar ML'!AJ785,'Pegar ML'!AJ786)</f>
        <v>0</v>
      </c>
      <c r="X790" s="55">
        <f>IF('Pegar ML'!AL786=" ",'Pegar ML'!AL785,'Pegar ML'!AL786)</f>
        <v>0</v>
      </c>
      <c r="Y790" s="27"/>
      <c r="Z790" s="27"/>
      <c r="AA790" s="27"/>
      <c r="AB790" s="27"/>
      <c r="AC790" s="27"/>
      <c r="AD790" s="27"/>
      <c r="AF790" s="8"/>
      <c r="AG790" s="27"/>
      <c r="AH790" s="14">
        <f>+'Pegar ML'!Y786</f>
        <v>0</v>
      </c>
      <c r="AI790" s="13">
        <f t="shared" si="37"/>
        <v>1</v>
      </c>
      <c r="AJ790" s="7">
        <f>+'Pegar ML'!T786</f>
        <v>0</v>
      </c>
      <c r="AK790" s="27"/>
      <c r="AL790" s="27"/>
      <c r="AM790" s="27"/>
      <c r="AN790" s="27"/>
      <c r="AO790" s="27"/>
      <c r="AP790" s="27"/>
      <c r="AQ790" s="27"/>
      <c r="AR790" s="27"/>
      <c r="AS790" s="27">
        <v>17</v>
      </c>
    </row>
    <row r="791" spans="1:45" ht="15" customHeight="1" x14ac:dyDescent="0.25">
      <c r="A791" s="27">
        <f>IF('Pegar ML'!C786="Paquete de 2 productos",'Pegar ML'!A786,IF('Pegar ML'!C785="Paquete de 2 productos",'Pegar ML'!A785,'Pegar ML'!A787))</f>
        <v>0</v>
      </c>
      <c r="B791" s="27"/>
      <c r="C791" s="30" t="str">
        <f>IF(AjusteFecha!I787=0,"",AjusteFecha!I787)</f>
        <v/>
      </c>
      <c r="D791" s="27"/>
      <c r="E791" s="27"/>
      <c r="F791" s="27" t="str">
        <f>IF('Pegar ML'!C787="","",'Pegar ML'!C787)</f>
        <v/>
      </c>
      <c r="G791" s="27" t="str">
        <f>IF('Pegar ML'!G782="ARS","PS","PS")</f>
        <v>PS</v>
      </c>
      <c r="H791" s="14">
        <f>IF('Pegar ML'!C786="Paquete de 2 productos",IF('Pegar ML'!H786="",0,'Pegar ML'!H786),IF('Pegar ML'!H787="",0,'Pegar ML'!H787))</f>
        <v>0</v>
      </c>
      <c r="I791" s="14">
        <f>IF('Pegar ML'!C786="Paquete de 2 productos",IF('Pegar ML'!O786="",0,'Pegar ML'!O786),IF('Pegar ML'!O787="",0,'Pegar ML'!O787))</f>
        <v>0</v>
      </c>
      <c r="J791" s="14">
        <f>IF('Pegar ML'!C786="Paquete de 2 productos",IF('Pegar ML'!O786="",0,'Pegar ML'!O786),IF('Pegar ML'!O787="",0,'Pegar ML'!O787))</f>
        <v>0</v>
      </c>
      <c r="K791" s="14">
        <f t="shared" si="38"/>
        <v>0</v>
      </c>
      <c r="L791" s="27">
        <f>IF('Pegar ML'!AB787=" ",'Pegar ML'!AB786,'Pegar ML'!AB787)</f>
        <v>0</v>
      </c>
      <c r="M791" s="27" t="str">
        <f>IF('Pegar ML'!AC787=" ",RIGHT('Pegar ML'!AC786,8),RIGHT('Pegar ML'!AC787,8))</f>
        <v/>
      </c>
      <c r="N791" s="27" t="s">
        <v>80</v>
      </c>
      <c r="O791" s="27">
        <f t="shared" si="36"/>
        <v>0</v>
      </c>
      <c r="P791" s="27" t="s">
        <v>80</v>
      </c>
      <c r="Q791" s="55">
        <f>IF('Pegar ML'!AD787=" ",'Pegar ML'!AD786,'Pegar ML'!AD787)</f>
        <v>0</v>
      </c>
      <c r="R791" s="27" t="s">
        <v>80</v>
      </c>
      <c r="S791" s="27" t="s">
        <v>80</v>
      </c>
      <c r="T791" s="27" t="s">
        <v>80</v>
      </c>
      <c r="U791" s="55">
        <f>IF('Pegar ML'!AI787=" ",'Pegar ML'!AI786,'Pegar ML'!AI787)</f>
        <v>0</v>
      </c>
      <c r="V791" s="55">
        <f>IF('Pegar ML'!AK787=" ",'Pegar ML'!AK786,'Pegar ML'!AK787)</f>
        <v>0</v>
      </c>
      <c r="W791" s="55">
        <f>IF('Pegar ML'!AJ787=" ",'Pegar ML'!AJ786,'Pegar ML'!AJ787)</f>
        <v>0</v>
      </c>
      <c r="X791" s="55">
        <f>IF('Pegar ML'!AL787=" ",'Pegar ML'!AL786,'Pegar ML'!AL787)</f>
        <v>0</v>
      </c>
      <c r="Y791" s="27"/>
      <c r="Z791" s="27"/>
      <c r="AA791" s="27"/>
      <c r="AB791" s="27"/>
      <c r="AC791" s="27"/>
      <c r="AD791" s="27"/>
      <c r="AF791" s="8"/>
      <c r="AG791" s="27"/>
      <c r="AH791" s="14">
        <f>+'Pegar ML'!Y787</f>
        <v>0</v>
      </c>
      <c r="AI791" s="13">
        <f t="shared" si="37"/>
        <v>1</v>
      </c>
      <c r="AJ791" s="7">
        <f>+'Pegar ML'!T787</f>
        <v>0</v>
      </c>
      <c r="AK791" s="27"/>
      <c r="AL791" s="27"/>
      <c r="AM791" s="27"/>
      <c r="AN791" s="27"/>
      <c r="AO791" s="27"/>
      <c r="AP791" s="27"/>
      <c r="AQ791" s="27"/>
      <c r="AR791" s="27"/>
      <c r="AS791" s="27">
        <v>17</v>
      </c>
    </row>
    <row r="792" spans="1:45" ht="15" customHeight="1" x14ac:dyDescent="0.25">
      <c r="A792" s="27">
        <f>IF('Pegar ML'!C787="Paquete de 2 productos",'Pegar ML'!A787,IF('Pegar ML'!C786="Paquete de 2 productos",'Pegar ML'!A786,'Pegar ML'!A788))</f>
        <v>0</v>
      </c>
      <c r="B792" s="27"/>
      <c r="C792" s="30" t="str">
        <f>IF(AjusteFecha!I788=0,"",AjusteFecha!I788)</f>
        <v/>
      </c>
      <c r="D792" s="27"/>
      <c r="E792" s="27"/>
      <c r="F792" s="27" t="str">
        <f>IF('Pegar ML'!C788="","",'Pegar ML'!C788)</f>
        <v/>
      </c>
      <c r="G792" s="27" t="str">
        <f>IF('Pegar ML'!G783="ARS","PS","PS")</f>
        <v>PS</v>
      </c>
      <c r="H792" s="14">
        <f>IF('Pegar ML'!C787="Paquete de 2 productos",IF('Pegar ML'!H787="",0,'Pegar ML'!H787),IF('Pegar ML'!H788="",0,'Pegar ML'!H788))</f>
        <v>0</v>
      </c>
      <c r="I792" s="14">
        <f>IF('Pegar ML'!C787="Paquete de 2 productos",IF('Pegar ML'!O787="",0,'Pegar ML'!O787),IF('Pegar ML'!O788="",0,'Pegar ML'!O788))</f>
        <v>0</v>
      </c>
      <c r="J792" s="14">
        <f>IF('Pegar ML'!C787="Paquete de 2 productos",IF('Pegar ML'!O787="",0,'Pegar ML'!O787),IF('Pegar ML'!O788="",0,'Pegar ML'!O788))</f>
        <v>0</v>
      </c>
      <c r="K792" s="14">
        <f t="shared" si="38"/>
        <v>0</v>
      </c>
      <c r="L792" s="27">
        <f>IF('Pegar ML'!AB788=" ",'Pegar ML'!AB787,'Pegar ML'!AB788)</f>
        <v>0</v>
      </c>
      <c r="M792" s="27" t="str">
        <f>IF('Pegar ML'!AC788=" ",RIGHT('Pegar ML'!AC787,8),RIGHT('Pegar ML'!AC788,8))</f>
        <v/>
      </c>
      <c r="N792" s="27" t="s">
        <v>80</v>
      </c>
      <c r="O792" s="27">
        <f t="shared" si="36"/>
        <v>0</v>
      </c>
      <c r="P792" s="27" t="s">
        <v>80</v>
      </c>
      <c r="Q792" s="55">
        <f>IF('Pegar ML'!AD788=" ",'Pegar ML'!AD787,'Pegar ML'!AD788)</f>
        <v>0</v>
      </c>
      <c r="R792" s="27" t="s">
        <v>80</v>
      </c>
      <c r="S792" s="27" t="s">
        <v>80</v>
      </c>
      <c r="T792" s="27" t="s">
        <v>80</v>
      </c>
      <c r="U792" s="55">
        <f>IF('Pegar ML'!AI788=" ",'Pegar ML'!AI787,'Pegar ML'!AI788)</f>
        <v>0</v>
      </c>
      <c r="V792" s="55">
        <f>IF('Pegar ML'!AK788=" ",'Pegar ML'!AK787,'Pegar ML'!AK788)</f>
        <v>0</v>
      </c>
      <c r="W792" s="55">
        <f>IF('Pegar ML'!AJ788=" ",'Pegar ML'!AJ787,'Pegar ML'!AJ788)</f>
        <v>0</v>
      </c>
      <c r="X792" s="55">
        <f>IF('Pegar ML'!AL788=" ",'Pegar ML'!AL787,'Pegar ML'!AL788)</f>
        <v>0</v>
      </c>
      <c r="Y792" s="27"/>
      <c r="Z792" s="27"/>
      <c r="AA792" s="27"/>
      <c r="AB792" s="27"/>
      <c r="AC792" s="27"/>
      <c r="AD792" s="27"/>
      <c r="AF792" s="8"/>
      <c r="AG792" s="27"/>
      <c r="AH792" s="14">
        <f>+'Pegar ML'!Y788</f>
        <v>0</v>
      </c>
      <c r="AI792" s="13">
        <f t="shared" si="37"/>
        <v>1</v>
      </c>
      <c r="AJ792" s="7">
        <f>+'Pegar ML'!T788</f>
        <v>0</v>
      </c>
      <c r="AK792" s="27"/>
      <c r="AL792" s="27"/>
      <c r="AM792" s="27"/>
      <c r="AN792" s="27"/>
      <c r="AO792" s="27"/>
      <c r="AP792" s="27"/>
      <c r="AQ792" s="27"/>
      <c r="AR792" s="27"/>
      <c r="AS792" s="27">
        <v>17</v>
      </c>
    </row>
    <row r="793" spans="1:45" ht="15" customHeight="1" x14ac:dyDescent="0.25">
      <c r="A793" s="27">
        <f>IF('Pegar ML'!C788="Paquete de 2 productos",'Pegar ML'!A788,IF('Pegar ML'!C787="Paquete de 2 productos",'Pegar ML'!A787,'Pegar ML'!A789))</f>
        <v>0</v>
      </c>
      <c r="B793" s="27"/>
      <c r="C793" s="30" t="str">
        <f>IF(AjusteFecha!I789=0,"",AjusteFecha!I789)</f>
        <v/>
      </c>
      <c r="D793" s="27"/>
      <c r="E793" s="27"/>
      <c r="F793" s="27" t="str">
        <f>IF('Pegar ML'!C789="","",'Pegar ML'!C789)</f>
        <v/>
      </c>
      <c r="G793" s="27" t="str">
        <f>IF('Pegar ML'!G784="ARS","PS","PS")</f>
        <v>PS</v>
      </c>
      <c r="H793" s="14">
        <f>IF('Pegar ML'!C788="Paquete de 2 productos",IF('Pegar ML'!H788="",0,'Pegar ML'!H788),IF('Pegar ML'!H789="",0,'Pegar ML'!H789))</f>
        <v>0</v>
      </c>
      <c r="I793" s="14">
        <f>IF('Pegar ML'!C788="Paquete de 2 productos",IF('Pegar ML'!O788="",0,'Pegar ML'!O788),IF('Pegar ML'!O789="",0,'Pegar ML'!O789))</f>
        <v>0</v>
      </c>
      <c r="J793" s="14">
        <f>IF('Pegar ML'!C788="Paquete de 2 productos",IF('Pegar ML'!O788="",0,'Pegar ML'!O788),IF('Pegar ML'!O789="",0,'Pegar ML'!O789))</f>
        <v>0</v>
      </c>
      <c r="K793" s="14">
        <f t="shared" si="38"/>
        <v>0</v>
      </c>
      <c r="L793" s="27">
        <f>IF('Pegar ML'!AB789=" ",'Pegar ML'!AB788,'Pegar ML'!AB789)</f>
        <v>0</v>
      </c>
      <c r="M793" s="27" t="str">
        <f>IF('Pegar ML'!AC789=" ",RIGHT('Pegar ML'!AC788,8),RIGHT('Pegar ML'!AC789,8))</f>
        <v/>
      </c>
      <c r="N793" s="27" t="s">
        <v>80</v>
      </c>
      <c r="O793" s="27">
        <f t="shared" si="36"/>
        <v>0</v>
      </c>
      <c r="P793" s="27" t="s">
        <v>80</v>
      </c>
      <c r="Q793" s="55">
        <f>IF('Pegar ML'!AD789=" ",'Pegar ML'!AD788,'Pegar ML'!AD789)</f>
        <v>0</v>
      </c>
      <c r="R793" s="27" t="s">
        <v>80</v>
      </c>
      <c r="S793" s="27" t="s">
        <v>80</v>
      </c>
      <c r="T793" s="27" t="s">
        <v>80</v>
      </c>
      <c r="U793" s="55">
        <f>IF('Pegar ML'!AI789=" ",'Pegar ML'!AI788,'Pegar ML'!AI789)</f>
        <v>0</v>
      </c>
      <c r="V793" s="55">
        <f>IF('Pegar ML'!AK789=" ",'Pegar ML'!AK788,'Pegar ML'!AK789)</f>
        <v>0</v>
      </c>
      <c r="W793" s="55">
        <f>IF('Pegar ML'!AJ789=" ",'Pegar ML'!AJ788,'Pegar ML'!AJ789)</f>
        <v>0</v>
      </c>
      <c r="X793" s="55">
        <f>IF('Pegar ML'!AL789=" ",'Pegar ML'!AL788,'Pegar ML'!AL789)</f>
        <v>0</v>
      </c>
      <c r="Y793" s="27"/>
      <c r="Z793" s="27"/>
      <c r="AA793" s="27"/>
      <c r="AB793" s="27"/>
      <c r="AC793" s="27"/>
      <c r="AD793" s="27"/>
      <c r="AF793" s="8"/>
      <c r="AG793" s="27"/>
      <c r="AH793" s="14">
        <f>+'Pegar ML'!Y789</f>
        <v>0</v>
      </c>
      <c r="AI793" s="13">
        <f t="shared" si="37"/>
        <v>1</v>
      </c>
      <c r="AJ793" s="7">
        <f>+'Pegar ML'!T789</f>
        <v>0</v>
      </c>
      <c r="AK793" s="27"/>
      <c r="AL793" s="27"/>
      <c r="AM793" s="27"/>
      <c r="AN793" s="27"/>
      <c r="AO793" s="27"/>
      <c r="AP793" s="27"/>
      <c r="AQ793" s="27"/>
      <c r="AR793" s="27"/>
      <c r="AS793" s="27">
        <v>17</v>
      </c>
    </row>
    <row r="794" spans="1:45" ht="15" customHeight="1" x14ac:dyDescent="0.25">
      <c r="A794" s="27">
        <f>IF('Pegar ML'!C789="Paquete de 2 productos",'Pegar ML'!A789,IF('Pegar ML'!C788="Paquete de 2 productos",'Pegar ML'!A788,'Pegar ML'!A790))</f>
        <v>0</v>
      </c>
      <c r="B794" s="27"/>
      <c r="C794" s="30" t="str">
        <f>IF(AjusteFecha!I790=0,"",AjusteFecha!I790)</f>
        <v/>
      </c>
      <c r="D794" s="27"/>
      <c r="E794" s="27"/>
      <c r="F794" s="27" t="str">
        <f>IF('Pegar ML'!C790="","",'Pegar ML'!C790)</f>
        <v/>
      </c>
      <c r="G794" s="27" t="str">
        <f>IF('Pegar ML'!G785="ARS","PS","PS")</f>
        <v>PS</v>
      </c>
      <c r="H794" s="14">
        <f>IF('Pegar ML'!C789="Paquete de 2 productos",IF('Pegar ML'!H789="",0,'Pegar ML'!H789),IF('Pegar ML'!H790="",0,'Pegar ML'!H790))</f>
        <v>0</v>
      </c>
      <c r="I794" s="14">
        <f>IF('Pegar ML'!C789="Paquete de 2 productos",IF('Pegar ML'!O789="",0,'Pegar ML'!O789),IF('Pegar ML'!O790="",0,'Pegar ML'!O790))</f>
        <v>0</v>
      </c>
      <c r="J794" s="14">
        <f>IF('Pegar ML'!C789="Paquete de 2 productos",IF('Pegar ML'!O789="",0,'Pegar ML'!O789),IF('Pegar ML'!O790="",0,'Pegar ML'!O790))</f>
        <v>0</v>
      </c>
      <c r="K794" s="14">
        <f t="shared" si="38"/>
        <v>0</v>
      </c>
      <c r="L794" s="27">
        <f>IF('Pegar ML'!AB790=" ",'Pegar ML'!AB789,'Pegar ML'!AB790)</f>
        <v>0</v>
      </c>
      <c r="M794" s="27" t="str">
        <f>IF('Pegar ML'!AC790=" ",RIGHT('Pegar ML'!AC789,8),RIGHT('Pegar ML'!AC790,8))</f>
        <v/>
      </c>
      <c r="N794" s="27" t="s">
        <v>80</v>
      </c>
      <c r="O794" s="27">
        <f t="shared" si="36"/>
        <v>0</v>
      </c>
      <c r="P794" s="27" t="s">
        <v>80</v>
      </c>
      <c r="Q794" s="55">
        <f>IF('Pegar ML'!AD790=" ",'Pegar ML'!AD789,'Pegar ML'!AD790)</f>
        <v>0</v>
      </c>
      <c r="R794" s="27" t="s">
        <v>80</v>
      </c>
      <c r="S794" s="27" t="s">
        <v>80</v>
      </c>
      <c r="T794" s="27" t="s">
        <v>80</v>
      </c>
      <c r="U794" s="55">
        <f>IF('Pegar ML'!AI790=" ",'Pegar ML'!AI789,'Pegar ML'!AI790)</f>
        <v>0</v>
      </c>
      <c r="V794" s="55">
        <f>IF('Pegar ML'!AK790=" ",'Pegar ML'!AK789,'Pegar ML'!AK790)</f>
        <v>0</v>
      </c>
      <c r="W794" s="55">
        <f>IF('Pegar ML'!AJ790=" ",'Pegar ML'!AJ789,'Pegar ML'!AJ790)</f>
        <v>0</v>
      </c>
      <c r="X794" s="55">
        <f>IF('Pegar ML'!AL790=" ",'Pegar ML'!AL789,'Pegar ML'!AL790)</f>
        <v>0</v>
      </c>
      <c r="Y794" s="27"/>
      <c r="Z794" s="27"/>
      <c r="AA794" s="27"/>
      <c r="AB794" s="27"/>
      <c r="AC794" s="27"/>
      <c r="AD794" s="27"/>
      <c r="AF794" s="8"/>
      <c r="AG794" s="27"/>
      <c r="AH794" s="14">
        <f>+'Pegar ML'!Y790</f>
        <v>0</v>
      </c>
      <c r="AI794" s="13">
        <f t="shared" si="37"/>
        <v>1</v>
      </c>
      <c r="AJ794" s="7">
        <f>+'Pegar ML'!T790</f>
        <v>0</v>
      </c>
      <c r="AK794" s="27"/>
      <c r="AL794" s="27"/>
      <c r="AM794" s="27"/>
      <c r="AN794" s="27"/>
      <c r="AO794" s="27"/>
      <c r="AP794" s="27"/>
      <c r="AQ794" s="27"/>
      <c r="AR794" s="27"/>
      <c r="AS794" s="27">
        <v>17</v>
      </c>
    </row>
    <row r="795" spans="1:45" ht="15" customHeight="1" x14ac:dyDescent="0.25">
      <c r="A795" s="27">
        <f>IF('Pegar ML'!C790="Paquete de 2 productos",'Pegar ML'!A790,IF('Pegar ML'!C789="Paquete de 2 productos",'Pegar ML'!A789,'Pegar ML'!A791))</f>
        <v>0</v>
      </c>
      <c r="B795" s="27"/>
      <c r="C795" s="30" t="str">
        <f>IF(AjusteFecha!I791=0,"",AjusteFecha!I791)</f>
        <v/>
      </c>
      <c r="D795" s="27"/>
      <c r="E795" s="27"/>
      <c r="F795" s="27" t="str">
        <f>IF('Pegar ML'!C791="","",'Pegar ML'!C791)</f>
        <v/>
      </c>
      <c r="G795" s="27" t="str">
        <f>IF('Pegar ML'!G786="ARS","PS","PS")</f>
        <v>PS</v>
      </c>
      <c r="H795" s="14">
        <f>IF('Pegar ML'!C790="Paquete de 2 productos",IF('Pegar ML'!H790="",0,'Pegar ML'!H790),IF('Pegar ML'!H791="",0,'Pegar ML'!H791))</f>
        <v>0</v>
      </c>
      <c r="I795" s="14">
        <f>IF('Pegar ML'!C790="Paquete de 2 productos",IF('Pegar ML'!O790="",0,'Pegar ML'!O790),IF('Pegar ML'!O791="",0,'Pegar ML'!O791))</f>
        <v>0</v>
      </c>
      <c r="J795" s="14">
        <f>IF('Pegar ML'!C790="Paquete de 2 productos",IF('Pegar ML'!O790="",0,'Pegar ML'!O790),IF('Pegar ML'!O791="",0,'Pegar ML'!O791))</f>
        <v>0</v>
      </c>
      <c r="K795" s="14">
        <f t="shared" si="38"/>
        <v>0</v>
      </c>
      <c r="L795" s="27">
        <f>IF('Pegar ML'!AB791=" ",'Pegar ML'!AB790,'Pegar ML'!AB791)</f>
        <v>0</v>
      </c>
      <c r="M795" s="27" t="str">
        <f>IF('Pegar ML'!AC791=" ",RIGHT('Pegar ML'!AC790,8),RIGHT('Pegar ML'!AC791,8))</f>
        <v/>
      </c>
      <c r="N795" s="27" t="s">
        <v>80</v>
      </c>
      <c r="O795" s="27">
        <f t="shared" si="36"/>
        <v>0</v>
      </c>
      <c r="P795" s="27" t="s">
        <v>80</v>
      </c>
      <c r="Q795" s="55">
        <f>IF('Pegar ML'!AD791=" ",'Pegar ML'!AD790,'Pegar ML'!AD791)</f>
        <v>0</v>
      </c>
      <c r="R795" s="27" t="s">
        <v>80</v>
      </c>
      <c r="S795" s="27" t="s">
        <v>80</v>
      </c>
      <c r="T795" s="27" t="s">
        <v>80</v>
      </c>
      <c r="U795" s="55">
        <f>IF('Pegar ML'!AI791=" ",'Pegar ML'!AI790,'Pegar ML'!AI791)</f>
        <v>0</v>
      </c>
      <c r="V795" s="55">
        <f>IF('Pegar ML'!AK791=" ",'Pegar ML'!AK790,'Pegar ML'!AK791)</f>
        <v>0</v>
      </c>
      <c r="W795" s="55">
        <f>IF('Pegar ML'!AJ791=" ",'Pegar ML'!AJ790,'Pegar ML'!AJ791)</f>
        <v>0</v>
      </c>
      <c r="X795" s="55">
        <f>IF('Pegar ML'!AL791=" ",'Pegar ML'!AL790,'Pegar ML'!AL791)</f>
        <v>0</v>
      </c>
      <c r="Y795" s="27"/>
      <c r="Z795" s="27"/>
      <c r="AA795" s="27"/>
      <c r="AB795" s="27"/>
      <c r="AC795" s="27"/>
      <c r="AD795" s="27"/>
      <c r="AF795" s="8"/>
      <c r="AG795" s="27"/>
      <c r="AH795" s="14">
        <f>+'Pegar ML'!Y791</f>
        <v>0</v>
      </c>
      <c r="AI795" s="13">
        <f t="shared" si="37"/>
        <v>1</v>
      </c>
      <c r="AJ795" s="7">
        <f>+'Pegar ML'!T791</f>
        <v>0</v>
      </c>
      <c r="AK795" s="27"/>
      <c r="AL795" s="27"/>
      <c r="AM795" s="27"/>
      <c r="AN795" s="27"/>
      <c r="AO795" s="27"/>
      <c r="AP795" s="27"/>
      <c r="AQ795" s="27"/>
      <c r="AR795" s="27"/>
      <c r="AS795" s="27">
        <v>17</v>
      </c>
    </row>
    <row r="796" spans="1:45" ht="15" customHeight="1" x14ac:dyDescent="0.25">
      <c r="A796" s="27">
        <f>IF('Pegar ML'!C791="Paquete de 2 productos",'Pegar ML'!A791,IF('Pegar ML'!C790="Paquete de 2 productos",'Pegar ML'!A790,'Pegar ML'!A792))</f>
        <v>0</v>
      </c>
      <c r="B796" s="27"/>
      <c r="C796" s="30" t="str">
        <f>IF(AjusteFecha!I792=0,"",AjusteFecha!I792)</f>
        <v/>
      </c>
      <c r="D796" s="27"/>
      <c r="E796" s="27"/>
      <c r="F796" s="27" t="str">
        <f>IF('Pegar ML'!C792="","",'Pegar ML'!C792)</f>
        <v/>
      </c>
      <c r="G796" s="27" t="str">
        <f>IF('Pegar ML'!G787="ARS","PS","PS")</f>
        <v>PS</v>
      </c>
      <c r="H796" s="14">
        <f>IF('Pegar ML'!C791="Paquete de 2 productos",IF('Pegar ML'!H791="",0,'Pegar ML'!H791),IF('Pegar ML'!H792="",0,'Pegar ML'!H792))</f>
        <v>0</v>
      </c>
      <c r="I796" s="14">
        <f>IF('Pegar ML'!C791="Paquete de 2 productos",IF('Pegar ML'!O791="",0,'Pegar ML'!O791),IF('Pegar ML'!O792="",0,'Pegar ML'!O792))</f>
        <v>0</v>
      </c>
      <c r="J796" s="14">
        <f>IF('Pegar ML'!C791="Paquete de 2 productos",IF('Pegar ML'!O791="",0,'Pegar ML'!O791),IF('Pegar ML'!O792="",0,'Pegar ML'!O792))</f>
        <v>0</v>
      </c>
      <c r="K796" s="14">
        <f t="shared" si="38"/>
        <v>0</v>
      </c>
      <c r="L796" s="27">
        <f>IF('Pegar ML'!AB792=" ",'Pegar ML'!AB791,'Pegar ML'!AB792)</f>
        <v>0</v>
      </c>
      <c r="M796" s="27" t="str">
        <f>IF('Pegar ML'!AC792=" ",RIGHT('Pegar ML'!AC791,8),RIGHT('Pegar ML'!AC792,8))</f>
        <v/>
      </c>
      <c r="N796" s="27" t="s">
        <v>80</v>
      </c>
      <c r="O796" s="27">
        <f t="shared" si="36"/>
        <v>0</v>
      </c>
      <c r="P796" s="27" t="s">
        <v>80</v>
      </c>
      <c r="Q796" s="55">
        <f>IF('Pegar ML'!AD792=" ",'Pegar ML'!AD791,'Pegar ML'!AD792)</f>
        <v>0</v>
      </c>
      <c r="R796" s="27" t="s">
        <v>80</v>
      </c>
      <c r="S796" s="27" t="s">
        <v>80</v>
      </c>
      <c r="T796" s="27" t="s">
        <v>80</v>
      </c>
      <c r="U796" s="55">
        <f>IF('Pegar ML'!AI792=" ",'Pegar ML'!AI791,'Pegar ML'!AI792)</f>
        <v>0</v>
      </c>
      <c r="V796" s="55">
        <f>IF('Pegar ML'!AK792=" ",'Pegar ML'!AK791,'Pegar ML'!AK792)</f>
        <v>0</v>
      </c>
      <c r="W796" s="55">
        <f>IF('Pegar ML'!AJ792=" ",'Pegar ML'!AJ791,'Pegar ML'!AJ792)</f>
        <v>0</v>
      </c>
      <c r="X796" s="55">
        <f>IF('Pegar ML'!AL792=" ",'Pegar ML'!AL791,'Pegar ML'!AL792)</f>
        <v>0</v>
      </c>
      <c r="Y796" s="27"/>
      <c r="Z796" s="27"/>
      <c r="AA796" s="27"/>
      <c r="AB796" s="27"/>
      <c r="AC796" s="27"/>
      <c r="AD796" s="27"/>
      <c r="AF796" s="8"/>
      <c r="AG796" s="27"/>
      <c r="AH796" s="14">
        <f>+'Pegar ML'!Y792</f>
        <v>0</v>
      </c>
      <c r="AI796" s="13">
        <f t="shared" si="37"/>
        <v>1</v>
      </c>
      <c r="AJ796" s="7">
        <f>+'Pegar ML'!T792</f>
        <v>0</v>
      </c>
      <c r="AK796" s="27"/>
      <c r="AL796" s="27"/>
      <c r="AM796" s="27"/>
      <c r="AN796" s="27"/>
      <c r="AO796" s="27"/>
      <c r="AP796" s="27"/>
      <c r="AQ796" s="27"/>
      <c r="AR796" s="27"/>
      <c r="AS796" s="27">
        <v>17</v>
      </c>
    </row>
    <row r="797" spans="1:45" ht="15" customHeight="1" x14ac:dyDescent="0.25">
      <c r="A797" s="27">
        <f>IF('Pegar ML'!C792="Paquete de 2 productos",'Pegar ML'!A792,IF('Pegar ML'!C791="Paquete de 2 productos",'Pegar ML'!A791,'Pegar ML'!A793))</f>
        <v>0</v>
      </c>
      <c r="B797" s="27"/>
      <c r="C797" s="30" t="str">
        <f>IF(AjusteFecha!I793=0,"",AjusteFecha!I793)</f>
        <v/>
      </c>
      <c r="D797" s="27"/>
      <c r="E797" s="27"/>
      <c r="F797" s="27" t="str">
        <f>IF('Pegar ML'!C793="","",'Pegar ML'!C793)</f>
        <v/>
      </c>
      <c r="G797" s="27" t="str">
        <f>IF('Pegar ML'!G788="ARS","PS","PS")</f>
        <v>PS</v>
      </c>
      <c r="H797" s="14">
        <f>IF('Pegar ML'!C792="Paquete de 2 productos",IF('Pegar ML'!H792="",0,'Pegar ML'!H792),IF('Pegar ML'!H793="",0,'Pegar ML'!H793))</f>
        <v>0</v>
      </c>
      <c r="I797" s="14">
        <f>IF('Pegar ML'!C792="Paquete de 2 productos",IF('Pegar ML'!O792="",0,'Pegar ML'!O792),IF('Pegar ML'!O793="",0,'Pegar ML'!O793))</f>
        <v>0</v>
      </c>
      <c r="J797" s="14">
        <f>IF('Pegar ML'!C792="Paquete de 2 productos",IF('Pegar ML'!O792="",0,'Pegar ML'!O792),IF('Pegar ML'!O793="",0,'Pegar ML'!O793))</f>
        <v>0</v>
      </c>
      <c r="K797" s="14">
        <f t="shared" si="38"/>
        <v>0</v>
      </c>
      <c r="L797" s="27">
        <f>IF('Pegar ML'!AB793=" ",'Pegar ML'!AB792,'Pegar ML'!AB793)</f>
        <v>0</v>
      </c>
      <c r="M797" s="27" t="str">
        <f>IF('Pegar ML'!AC793=" ",RIGHT('Pegar ML'!AC792,8),RIGHT('Pegar ML'!AC793,8))</f>
        <v/>
      </c>
      <c r="N797" s="27" t="s">
        <v>80</v>
      </c>
      <c r="O797" s="27">
        <f t="shared" si="36"/>
        <v>0</v>
      </c>
      <c r="P797" s="27" t="s">
        <v>80</v>
      </c>
      <c r="Q797" s="55">
        <f>IF('Pegar ML'!AD793=" ",'Pegar ML'!AD792,'Pegar ML'!AD793)</f>
        <v>0</v>
      </c>
      <c r="R797" s="27" t="s">
        <v>80</v>
      </c>
      <c r="S797" s="27" t="s">
        <v>80</v>
      </c>
      <c r="T797" s="27" t="s">
        <v>80</v>
      </c>
      <c r="U797" s="55">
        <f>IF('Pegar ML'!AI793=" ",'Pegar ML'!AI792,'Pegar ML'!AI793)</f>
        <v>0</v>
      </c>
      <c r="V797" s="55">
        <f>IF('Pegar ML'!AK793=" ",'Pegar ML'!AK792,'Pegar ML'!AK793)</f>
        <v>0</v>
      </c>
      <c r="W797" s="55">
        <f>IF('Pegar ML'!AJ793=" ",'Pegar ML'!AJ792,'Pegar ML'!AJ793)</f>
        <v>0</v>
      </c>
      <c r="X797" s="55">
        <f>IF('Pegar ML'!AL793=" ",'Pegar ML'!AL792,'Pegar ML'!AL793)</f>
        <v>0</v>
      </c>
      <c r="Y797" s="27"/>
      <c r="Z797" s="27"/>
      <c r="AA797" s="27"/>
      <c r="AB797" s="27"/>
      <c r="AC797" s="27"/>
      <c r="AD797" s="27"/>
      <c r="AF797" s="8"/>
      <c r="AG797" s="27"/>
      <c r="AH797" s="14">
        <f>+'Pegar ML'!Y793</f>
        <v>0</v>
      </c>
      <c r="AI797" s="13">
        <f t="shared" si="37"/>
        <v>1</v>
      </c>
      <c r="AJ797" s="7">
        <f>+'Pegar ML'!T793</f>
        <v>0</v>
      </c>
      <c r="AK797" s="27"/>
      <c r="AL797" s="27"/>
      <c r="AM797" s="27"/>
      <c r="AN797" s="27"/>
      <c r="AO797" s="27"/>
      <c r="AP797" s="27"/>
      <c r="AQ797" s="27"/>
      <c r="AR797" s="27"/>
      <c r="AS797" s="27">
        <v>17</v>
      </c>
    </row>
    <row r="798" spans="1:45" ht="15" customHeight="1" x14ac:dyDescent="0.25">
      <c r="A798" s="27">
        <f>IF('Pegar ML'!C793="Paquete de 2 productos",'Pegar ML'!A793,IF('Pegar ML'!C792="Paquete de 2 productos",'Pegar ML'!A792,'Pegar ML'!A794))</f>
        <v>0</v>
      </c>
      <c r="B798" s="27"/>
      <c r="C798" s="30" t="str">
        <f>IF(AjusteFecha!I794=0,"",AjusteFecha!I794)</f>
        <v/>
      </c>
      <c r="D798" s="27"/>
      <c r="E798" s="27"/>
      <c r="F798" s="27" t="str">
        <f>IF('Pegar ML'!C794="","",'Pegar ML'!C794)</f>
        <v/>
      </c>
      <c r="G798" s="27" t="str">
        <f>IF('Pegar ML'!G789="ARS","PS","PS")</f>
        <v>PS</v>
      </c>
      <c r="H798" s="14">
        <f>IF('Pegar ML'!C793="Paquete de 2 productos",IF('Pegar ML'!H793="",0,'Pegar ML'!H793),IF('Pegar ML'!H794="",0,'Pegar ML'!H794))</f>
        <v>0</v>
      </c>
      <c r="I798" s="14">
        <f>IF('Pegar ML'!C793="Paquete de 2 productos",IF('Pegar ML'!O793="",0,'Pegar ML'!O793),IF('Pegar ML'!O794="",0,'Pegar ML'!O794))</f>
        <v>0</v>
      </c>
      <c r="J798" s="14">
        <f>IF('Pegar ML'!C793="Paquete de 2 productos",IF('Pegar ML'!O793="",0,'Pegar ML'!O793),IF('Pegar ML'!O794="",0,'Pegar ML'!O794))</f>
        <v>0</v>
      </c>
      <c r="K798" s="14">
        <f t="shared" si="38"/>
        <v>0</v>
      </c>
      <c r="L798" s="27">
        <f>IF('Pegar ML'!AB794=" ",'Pegar ML'!AB793,'Pegar ML'!AB794)</f>
        <v>0</v>
      </c>
      <c r="M798" s="27" t="str">
        <f>IF('Pegar ML'!AC794=" ",RIGHT('Pegar ML'!AC793,8),RIGHT('Pegar ML'!AC794,8))</f>
        <v/>
      </c>
      <c r="N798" s="27" t="s">
        <v>80</v>
      </c>
      <c r="O798" s="27">
        <f t="shared" si="36"/>
        <v>0</v>
      </c>
      <c r="P798" s="27" t="s">
        <v>80</v>
      </c>
      <c r="Q798" s="55">
        <f>IF('Pegar ML'!AD794=" ",'Pegar ML'!AD793,'Pegar ML'!AD794)</f>
        <v>0</v>
      </c>
      <c r="R798" s="27" t="s">
        <v>80</v>
      </c>
      <c r="S798" s="27" t="s">
        <v>80</v>
      </c>
      <c r="T798" s="27" t="s">
        <v>80</v>
      </c>
      <c r="U798" s="55">
        <f>IF('Pegar ML'!AI794=" ",'Pegar ML'!AI793,'Pegar ML'!AI794)</f>
        <v>0</v>
      </c>
      <c r="V798" s="55">
        <f>IF('Pegar ML'!AK794=" ",'Pegar ML'!AK793,'Pegar ML'!AK794)</f>
        <v>0</v>
      </c>
      <c r="W798" s="55">
        <f>IF('Pegar ML'!AJ794=" ",'Pegar ML'!AJ793,'Pegar ML'!AJ794)</f>
        <v>0</v>
      </c>
      <c r="X798" s="55">
        <f>IF('Pegar ML'!AL794=" ",'Pegar ML'!AL793,'Pegar ML'!AL794)</f>
        <v>0</v>
      </c>
      <c r="Y798" s="27"/>
      <c r="Z798" s="27"/>
      <c r="AA798" s="27"/>
      <c r="AB798" s="27"/>
      <c r="AC798" s="27"/>
      <c r="AD798" s="27"/>
      <c r="AF798" s="8"/>
      <c r="AG798" s="27"/>
      <c r="AH798" s="14">
        <f>+'Pegar ML'!Y794</f>
        <v>0</v>
      </c>
      <c r="AI798" s="13">
        <f t="shared" si="37"/>
        <v>1</v>
      </c>
      <c r="AJ798" s="7">
        <f>+'Pegar ML'!T794</f>
        <v>0</v>
      </c>
      <c r="AK798" s="27"/>
      <c r="AL798" s="27"/>
      <c r="AM798" s="27"/>
      <c r="AN798" s="27"/>
      <c r="AO798" s="27"/>
      <c r="AP798" s="27"/>
      <c r="AQ798" s="27"/>
      <c r="AR798" s="27"/>
      <c r="AS798" s="27">
        <v>17</v>
      </c>
    </row>
    <row r="799" spans="1:45" ht="15" customHeight="1" x14ac:dyDescent="0.25">
      <c r="A799" s="27">
        <f>IF('Pegar ML'!C794="Paquete de 2 productos",'Pegar ML'!A794,IF('Pegar ML'!C793="Paquete de 2 productos",'Pegar ML'!A793,'Pegar ML'!A795))</f>
        <v>0</v>
      </c>
      <c r="B799" s="27"/>
      <c r="C799" s="30" t="str">
        <f>IF(AjusteFecha!I795=0,"",AjusteFecha!I795)</f>
        <v/>
      </c>
      <c r="D799" s="27"/>
      <c r="E799" s="27"/>
      <c r="F799" s="27" t="str">
        <f>IF('Pegar ML'!C795="","",'Pegar ML'!C795)</f>
        <v/>
      </c>
      <c r="G799" s="27" t="str">
        <f>IF('Pegar ML'!G790="ARS","PS","PS")</f>
        <v>PS</v>
      </c>
      <c r="H799" s="14">
        <f>IF('Pegar ML'!C794="Paquete de 2 productos",IF('Pegar ML'!H794="",0,'Pegar ML'!H794),IF('Pegar ML'!H795="",0,'Pegar ML'!H795))</f>
        <v>0</v>
      </c>
      <c r="I799" s="14">
        <f>IF('Pegar ML'!C794="Paquete de 2 productos",IF('Pegar ML'!O794="",0,'Pegar ML'!O794),IF('Pegar ML'!O795="",0,'Pegar ML'!O795))</f>
        <v>0</v>
      </c>
      <c r="J799" s="14">
        <f>IF('Pegar ML'!C794="Paquete de 2 productos",IF('Pegar ML'!O794="",0,'Pegar ML'!O794),IF('Pegar ML'!O795="",0,'Pegar ML'!O795))</f>
        <v>0</v>
      </c>
      <c r="K799" s="14">
        <f t="shared" si="38"/>
        <v>0</v>
      </c>
      <c r="L799" s="27">
        <f>IF('Pegar ML'!AB795=" ",'Pegar ML'!AB794,'Pegar ML'!AB795)</f>
        <v>0</v>
      </c>
      <c r="M799" s="27" t="str">
        <f>IF('Pegar ML'!AC795=" ",RIGHT('Pegar ML'!AC794,8),RIGHT('Pegar ML'!AC795,8))</f>
        <v/>
      </c>
      <c r="N799" s="27" t="s">
        <v>80</v>
      </c>
      <c r="O799" s="27">
        <f t="shared" si="36"/>
        <v>0</v>
      </c>
      <c r="P799" s="27" t="s">
        <v>80</v>
      </c>
      <c r="Q799" s="55">
        <f>IF('Pegar ML'!AD795=" ",'Pegar ML'!AD794,'Pegar ML'!AD795)</f>
        <v>0</v>
      </c>
      <c r="R799" s="27" t="s">
        <v>80</v>
      </c>
      <c r="S799" s="27" t="s">
        <v>80</v>
      </c>
      <c r="T799" s="27" t="s">
        <v>80</v>
      </c>
      <c r="U799" s="55">
        <f>IF('Pegar ML'!AI795=" ",'Pegar ML'!AI794,'Pegar ML'!AI795)</f>
        <v>0</v>
      </c>
      <c r="V799" s="55">
        <f>IF('Pegar ML'!AK795=" ",'Pegar ML'!AK794,'Pegar ML'!AK795)</f>
        <v>0</v>
      </c>
      <c r="W799" s="55">
        <f>IF('Pegar ML'!AJ795=" ",'Pegar ML'!AJ794,'Pegar ML'!AJ795)</f>
        <v>0</v>
      </c>
      <c r="X799" s="55">
        <f>IF('Pegar ML'!AL795=" ",'Pegar ML'!AL794,'Pegar ML'!AL795)</f>
        <v>0</v>
      </c>
      <c r="Y799" s="27"/>
      <c r="Z799" s="27"/>
      <c r="AA799" s="27"/>
      <c r="AB799" s="27"/>
      <c r="AC799" s="27"/>
      <c r="AD799" s="27"/>
      <c r="AF799" s="8"/>
      <c r="AG799" s="27"/>
      <c r="AH799" s="14">
        <f>+'Pegar ML'!Y795</f>
        <v>0</v>
      </c>
      <c r="AI799" s="13">
        <f t="shared" si="37"/>
        <v>1</v>
      </c>
      <c r="AJ799" s="7">
        <f>+'Pegar ML'!T795</f>
        <v>0</v>
      </c>
      <c r="AK799" s="27"/>
      <c r="AL799" s="27"/>
      <c r="AM799" s="27"/>
      <c r="AN799" s="27"/>
      <c r="AO799" s="27"/>
      <c r="AP799" s="27"/>
      <c r="AQ799" s="27"/>
      <c r="AR799" s="27"/>
      <c r="AS799" s="27">
        <v>17</v>
      </c>
    </row>
    <row r="800" spans="1:45" ht="15" customHeight="1" x14ac:dyDescent="0.25">
      <c r="A800" s="27">
        <f>IF('Pegar ML'!C795="Paquete de 2 productos",'Pegar ML'!A795,IF('Pegar ML'!C794="Paquete de 2 productos",'Pegar ML'!A794,'Pegar ML'!A796))</f>
        <v>0</v>
      </c>
      <c r="B800" s="27"/>
      <c r="C800" s="30" t="str">
        <f>IF(AjusteFecha!I796=0,"",AjusteFecha!I796)</f>
        <v/>
      </c>
      <c r="D800" s="27"/>
      <c r="E800" s="27"/>
      <c r="F800" s="27" t="str">
        <f>IF('Pegar ML'!C796="","",'Pegar ML'!C796)</f>
        <v/>
      </c>
      <c r="G800" s="27" t="str">
        <f>IF('Pegar ML'!G791="ARS","PS","PS")</f>
        <v>PS</v>
      </c>
      <c r="H800" s="14">
        <f>IF('Pegar ML'!C795="Paquete de 2 productos",IF('Pegar ML'!H795="",0,'Pegar ML'!H795),IF('Pegar ML'!H796="",0,'Pegar ML'!H796))</f>
        <v>0</v>
      </c>
      <c r="I800" s="14">
        <f>IF('Pegar ML'!C795="Paquete de 2 productos",IF('Pegar ML'!O795="",0,'Pegar ML'!O795),IF('Pegar ML'!O796="",0,'Pegar ML'!O796))</f>
        <v>0</v>
      </c>
      <c r="J800" s="14">
        <f>IF('Pegar ML'!C795="Paquete de 2 productos",IF('Pegar ML'!O795="",0,'Pegar ML'!O795),IF('Pegar ML'!O796="",0,'Pegar ML'!O796))</f>
        <v>0</v>
      </c>
      <c r="K800" s="14">
        <f t="shared" si="38"/>
        <v>0</v>
      </c>
      <c r="L800" s="27">
        <f>IF('Pegar ML'!AB796=" ",'Pegar ML'!AB795,'Pegar ML'!AB796)</f>
        <v>0</v>
      </c>
      <c r="M800" s="27" t="str">
        <f>IF('Pegar ML'!AC796=" ",RIGHT('Pegar ML'!AC795,8),RIGHT('Pegar ML'!AC796,8))</f>
        <v/>
      </c>
      <c r="N800" s="27" t="s">
        <v>80</v>
      </c>
      <c r="O800" s="27">
        <f t="shared" si="36"/>
        <v>0</v>
      </c>
      <c r="P800" s="27" t="s">
        <v>80</v>
      </c>
      <c r="Q800" s="55">
        <f>IF('Pegar ML'!AD796=" ",'Pegar ML'!AD795,'Pegar ML'!AD796)</f>
        <v>0</v>
      </c>
      <c r="R800" s="27" t="s">
        <v>80</v>
      </c>
      <c r="S800" s="27" t="s">
        <v>80</v>
      </c>
      <c r="T800" s="27" t="s">
        <v>80</v>
      </c>
      <c r="U800" s="55">
        <f>IF('Pegar ML'!AI796=" ",'Pegar ML'!AI795,'Pegar ML'!AI796)</f>
        <v>0</v>
      </c>
      <c r="V800" s="55">
        <f>IF('Pegar ML'!AK796=" ",'Pegar ML'!AK795,'Pegar ML'!AK796)</f>
        <v>0</v>
      </c>
      <c r="W800" s="55">
        <f>IF('Pegar ML'!AJ796=" ",'Pegar ML'!AJ795,'Pegar ML'!AJ796)</f>
        <v>0</v>
      </c>
      <c r="X800" s="55">
        <f>IF('Pegar ML'!AL796=" ",'Pegar ML'!AL795,'Pegar ML'!AL796)</f>
        <v>0</v>
      </c>
      <c r="Y800" s="27"/>
      <c r="Z800" s="27"/>
      <c r="AA800" s="27"/>
      <c r="AB800" s="27"/>
      <c r="AC800" s="27"/>
      <c r="AD800" s="27"/>
      <c r="AF800" s="8"/>
      <c r="AG800" s="27"/>
      <c r="AH800" s="14">
        <f>+'Pegar ML'!Y796</f>
        <v>0</v>
      </c>
      <c r="AI800" s="13">
        <f t="shared" si="37"/>
        <v>1</v>
      </c>
      <c r="AJ800" s="7">
        <f>+'Pegar ML'!T796</f>
        <v>0</v>
      </c>
      <c r="AK800" s="27"/>
      <c r="AL800" s="27"/>
      <c r="AM800" s="27"/>
      <c r="AN800" s="27"/>
      <c r="AO800" s="27"/>
      <c r="AP800" s="27"/>
      <c r="AQ800" s="27"/>
      <c r="AR800" s="27"/>
      <c r="AS800" s="27">
        <v>17</v>
      </c>
    </row>
    <row r="801" spans="1:45" ht="15" customHeight="1" x14ac:dyDescent="0.25">
      <c r="A801" s="27">
        <f>IF('Pegar ML'!C796="Paquete de 2 productos",'Pegar ML'!A796,IF('Pegar ML'!C795="Paquete de 2 productos",'Pegar ML'!A795,'Pegar ML'!A797))</f>
        <v>0</v>
      </c>
      <c r="B801" s="27"/>
      <c r="C801" s="30" t="str">
        <f>IF(AjusteFecha!I797=0,"",AjusteFecha!I797)</f>
        <v/>
      </c>
      <c r="D801" s="27"/>
      <c r="E801" s="27"/>
      <c r="F801" s="27" t="str">
        <f>IF('Pegar ML'!C797="","",'Pegar ML'!C797)</f>
        <v/>
      </c>
      <c r="G801" s="27" t="str">
        <f>IF('Pegar ML'!G792="ARS","PS","PS")</f>
        <v>PS</v>
      </c>
      <c r="H801" s="14">
        <f>IF('Pegar ML'!C796="Paquete de 2 productos",IF('Pegar ML'!H796="",0,'Pegar ML'!H796),IF('Pegar ML'!H797="",0,'Pegar ML'!H797))</f>
        <v>0</v>
      </c>
      <c r="I801" s="14">
        <f>IF('Pegar ML'!C796="Paquete de 2 productos",IF('Pegar ML'!O796="",0,'Pegar ML'!O796),IF('Pegar ML'!O797="",0,'Pegar ML'!O797))</f>
        <v>0</v>
      </c>
      <c r="J801" s="14">
        <f>IF('Pegar ML'!C796="Paquete de 2 productos",IF('Pegar ML'!O796="",0,'Pegar ML'!O796),IF('Pegar ML'!O797="",0,'Pegar ML'!O797))</f>
        <v>0</v>
      </c>
      <c r="K801" s="14">
        <f t="shared" si="38"/>
        <v>0</v>
      </c>
      <c r="L801" s="27">
        <f>IF('Pegar ML'!AB797=" ",'Pegar ML'!AB796,'Pegar ML'!AB797)</f>
        <v>0</v>
      </c>
      <c r="M801" s="27" t="str">
        <f>IF('Pegar ML'!AC797=" ",RIGHT('Pegar ML'!AC796,8),RIGHT('Pegar ML'!AC797,8))</f>
        <v/>
      </c>
      <c r="N801" s="27" t="s">
        <v>80</v>
      </c>
      <c r="O801" s="27">
        <f t="shared" si="36"/>
        <v>0</v>
      </c>
      <c r="P801" s="27" t="s">
        <v>80</v>
      </c>
      <c r="Q801" s="55">
        <f>IF('Pegar ML'!AD797=" ",'Pegar ML'!AD796,'Pegar ML'!AD797)</f>
        <v>0</v>
      </c>
      <c r="R801" s="27" t="s">
        <v>80</v>
      </c>
      <c r="S801" s="27" t="s">
        <v>80</v>
      </c>
      <c r="T801" s="27" t="s">
        <v>80</v>
      </c>
      <c r="U801" s="55">
        <f>IF('Pegar ML'!AI797=" ",'Pegar ML'!AI796,'Pegar ML'!AI797)</f>
        <v>0</v>
      </c>
      <c r="V801" s="55">
        <f>IF('Pegar ML'!AK797=" ",'Pegar ML'!AK796,'Pegar ML'!AK797)</f>
        <v>0</v>
      </c>
      <c r="W801" s="55">
        <f>IF('Pegar ML'!AJ797=" ",'Pegar ML'!AJ796,'Pegar ML'!AJ797)</f>
        <v>0</v>
      </c>
      <c r="X801" s="55">
        <f>IF('Pegar ML'!AL797=" ",'Pegar ML'!AL796,'Pegar ML'!AL797)</f>
        <v>0</v>
      </c>
      <c r="Y801" s="27"/>
      <c r="Z801" s="27"/>
      <c r="AA801" s="27"/>
      <c r="AB801" s="27"/>
      <c r="AC801" s="27"/>
      <c r="AD801" s="27"/>
      <c r="AF801" s="8"/>
      <c r="AG801" s="27"/>
      <c r="AH801" s="14">
        <f>+'Pegar ML'!Y797</f>
        <v>0</v>
      </c>
      <c r="AI801" s="13">
        <f t="shared" si="37"/>
        <v>1</v>
      </c>
      <c r="AJ801" s="7">
        <f>+'Pegar ML'!T797</f>
        <v>0</v>
      </c>
      <c r="AK801" s="27"/>
      <c r="AL801" s="27"/>
      <c r="AM801" s="27"/>
      <c r="AN801" s="27"/>
      <c r="AO801" s="27"/>
      <c r="AP801" s="27"/>
      <c r="AQ801" s="27"/>
      <c r="AR801" s="27"/>
      <c r="AS801" s="27">
        <v>17</v>
      </c>
    </row>
    <row r="802" spans="1:45" ht="15" customHeight="1" x14ac:dyDescent="0.25">
      <c r="A802" s="27">
        <f>IF('Pegar ML'!C797="Paquete de 2 productos",'Pegar ML'!A797,IF('Pegar ML'!C796="Paquete de 2 productos",'Pegar ML'!A796,'Pegar ML'!A798))</f>
        <v>0</v>
      </c>
      <c r="B802" s="27"/>
      <c r="C802" s="30" t="str">
        <f>IF(AjusteFecha!I798=0,"",AjusteFecha!I798)</f>
        <v/>
      </c>
      <c r="D802" s="27"/>
      <c r="E802" s="27"/>
      <c r="F802" s="27" t="str">
        <f>IF('Pegar ML'!C798="","",'Pegar ML'!C798)</f>
        <v/>
      </c>
      <c r="G802" s="27" t="str">
        <f>IF('Pegar ML'!G793="ARS","PS","PS")</f>
        <v>PS</v>
      </c>
      <c r="H802" s="14">
        <f>IF('Pegar ML'!C797="Paquete de 2 productos",IF('Pegar ML'!H797="",0,'Pegar ML'!H797),IF('Pegar ML'!H798="",0,'Pegar ML'!H798))</f>
        <v>0</v>
      </c>
      <c r="I802" s="14">
        <f>IF('Pegar ML'!C797="Paquete de 2 productos",IF('Pegar ML'!O797="",0,'Pegar ML'!O797),IF('Pegar ML'!O798="",0,'Pegar ML'!O798))</f>
        <v>0</v>
      </c>
      <c r="J802" s="14">
        <f>IF('Pegar ML'!C797="Paquete de 2 productos",IF('Pegar ML'!O797="",0,'Pegar ML'!O797),IF('Pegar ML'!O798="",0,'Pegar ML'!O798))</f>
        <v>0</v>
      </c>
      <c r="K802" s="14">
        <f t="shared" si="38"/>
        <v>0</v>
      </c>
      <c r="L802" s="27">
        <f>IF('Pegar ML'!AB798=" ",'Pegar ML'!AB797,'Pegar ML'!AB798)</f>
        <v>0</v>
      </c>
      <c r="M802" s="27" t="str">
        <f>IF('Pegar ML'!AC798=" ",RIGHT('Pegar ML'!AC797,8),RIGHT('Pegar ML'!AC798,8))</f>
        <v/>
      </c>
      <c r="N802" s="27" t="s">
        <v>80</v>
      </c>
      <c r="O802" s="27">
        <f t="shared" si="36"/>
        <v>0</v>
      </c>
      <c r="P802" s="27" t="s">
        <v>80</v>
      </c>
      <c r="Q802" s="55">
        <f>IF('Pegar ML'!AD798=" ",'Pegar ML'!AD797,'Pegar ML'!AD798)</f>
        <v>0</v>
      </c>
      <c r="R802" s="27" t="s">
        <v>80</v>
      </c>
      <c r="S802" s="27" t="s">
        <v>80</v>
      </c>
      <c r="T802" s="27" t="s">
        <v>80</v>
      </c>
      <c r="U802" s="55">
        <f>IF('Pegar ML'!AI798=" ",'Pegar ML'!AI797,'Pegar ML'!AI798)</f>
        <v>0</v>
      </c>
      <c r="V802" s="55">
        <f>IF('Pegar ML'!AK798=" ",'Pegar ML'!AK797,'Pegar ML'!AK798)</f>
        <v>0</v>
      </c>
      <c r="W802" s="55">
        <f>IF('Pegar ML'!AJ798=" ",'Pegar ML'!AJ797,'Pegar ML'!AJ798)</f>
        <v>0</v>
      </c>
      <c r="X802" s="55">
        <f>IF('Pegar ML'!AL798=" ",'Pegar ML'!AL797,'Pegar ML'!AL798)</f>
        <v>0</v>
      </c>
      <c r="Y802" s="27"/>
      <c r="Z802" s="27"/>
      <c r="AA802" s="27"/>
      <c r="AB802" s="27"/>
      <c r="AC802" s="27"/>
      <c r="AD802" s="27"/>
      <c r="AF802" s="8"/>
      <c r="AG802" s="27"/>
      <c r="AH802" s="14">
        <f>+'Pegar ML'!Y798</f>
        <v>0</v>
      </c>
      <c r="AI802" s="13">
        <f t="shared" si="37"/>
        <v>1</v>
      </c>
      <c r="AJ802" s="7">
        <f>+'Pegar ML'!T798</f>
        <v>0</v>
      </c>
      <c r="AK802" s="27"/>
      <c r="AL802" s="27"/>
      <c r="AM802" s="27"/>
      <c r="AN802" s="27"/>
      <c r="AO802" s="27"/>
      <c r="AP802" s="27"/>
      <c r="AQ802" s="27"/>
      <c r="AR802" s="27"/>
      <c r="AS802" s="27">
        <v>17</v>
      </c>
    </row>
    <row r="803" spans="1:45" ht="15" customHeight="1" x14ac:dyDescent="0.25">
      <c r="A803" s="27">
        <f>IF('Pegar ML'!C798="Paquete de 2 productos",'Pegar ML'!A798,IF('Pegar ML'!C797="Paquete de 2 productos",'Pegar ML'!A797,'Pegar ML'!A799))</f>
        <v>0</v>
      </c>
      <c r="B803" s="27"/>
      <c r="C803" s="30" t="str">
        <f>IF(AjusteFecha!I799=0,"",AjusteFecha!I799)</f>
        <v/>
      </c>
      <c r="D803" s="27"/>
      <c r="E803" s="27"/>
      <c r="F803" s="27" t="str">
        <f>IF('Pegar ML'!C799="","",'Pegar ML'!C799)</f>
        <v/>
      </c>
      <c r="G803" s="27" t="str">
        <f>IF('Pegar ML'!G794="ARS","PS","PS")</f>
        <v>PS</v>
      </c>
      <c r="H803" s="14">
        <f>IF('Pegar ML'!C798="Paquete de 2 productos",IF('Pegar ML'!H798="",0,'Pegar ML'!H798),IF('Pegar ML'!H799="",0,'Pegar ML'!H799))</f>
        <v>0</v>
      </c>
      <c r="I803" s="14">
        <f>IF('Pegar ML'!C798="Paquete de 2 productos",IF('Pegar ML'!O798="",0,'Pegar ML'!O798),IF('Pegar ML'!O799="",0,'Pegar ML'!O799))</f>
        <v>0</v>
      </c>
      <c r="J803" s="14">
        <f>IF('Pegar ML'!C798="Paquete de 2 productos",IF('Pegar ML'!O798="",0,'Pegar ML'!O798),IF('Pegar ML'!O799="",0,'Pegar ML'!O799))</f>
        <v>0</v>
      </c>
      <c r="K803" s="14">
        <f t="shared" si="38"/>
        <v>0</v>
      </c>
      <c r="L803" s="27">
        <f>IF('Pegar ML'!AB799=" ",'Pegar ML'!AB798,'Pegar ML'!AB799)</f>
        <v>0</v>
      </c>
      <c r="M803" s="27" t="str">
        <f>IF('Pegar ML'!AC799=" ",RIGHT('Pegar ML'!AC798,8),RIGHT('Pegar ML'!AC799,8))</f>
        <v/>
      </c>
      <c r="N803" s="27" t="s">
        <v>80</v>
      </c>
      <c r="O803" s="27">
        <f t="shared" si="36"/>
        <v>0</v>
      </c>
      <c r="P803" s="27" t="s">
        <v>80</v>
      </c>
      <c r="Q803" s="55">
        <f>IF('Pegar ML'!AD799=" ",'Pegar ML'!AD798,'Pegar ML'!AD799)</f>
        <v>0</v>
      </c>
      <c r="R803" s="27" t="s">
        <v>80</v>
      </c>
      <c r="S803" s="27" t="s">
        <v>80</v>
      </c>
      <c r="T803" s="27" t="s">
        <v>80</v>
      </c>
      <c r="U803" s="55">
        <f>IF('Pegar ML'!AI799=" ",'Pegar ML'!AI798,'Pegar ML'!AI799)</f>
        <v>0</v>
      </c>
      <c r="V803" s="55">
        <f>IF('Pegar ML'!AK799=" ",'Pegar ML'!AK798,'Pegar ML'!AK799)</f>
        <v>0</v>
      </c>
      <c r="W803" s="55">
        <f>IF('Pegar ML'!AJ799=" ",'Pegar ML'!AJ798,'Pegar ML'!AJ799)</f>
        <v>0</v>
      </c>
      <c r="X803" s="55">
        <f>IF('Pegar ML'!AL799=" ",'Pegar ML'!AL798,'Pegar ML'!AL799)</f>
        <v>0</v>
      </c>
      <c r="Y803" s="27"/>
      <c r="Z803" s="27"/>
      <c r="AA803" s="27"/>
      <c r="AB803" s="27"/>
      <c r="AC803" s="27"/>
      <c r="AD803" s="27"/>
      <c r="AF803" s="8"/>
      <c r="AG803" s="27"/>
      <c r="AH803" s="14">
        <f>+'Pegar ML'!Y799</f>
        <v>0</v>
      </c>
      <c r="AI803" s="13">
        <f t="shared" si="37"/>
        <v>1</v>
      </c>
      <c r="AJ803" s="7">
        <f>+'Pegar ML'!T799</f>
        <v>0</v>
      </c>
      <c r="AK803" s="27"/>
      <c r="AL803" s="27"/>
      <c r="AM803" s="27"/>
      <c r="AN803" s="27"/>
      <c r="AO803" s="27"/>
      <c r="AP803" s="27"/>
      <c r="AQ803" s="27"/>
      <c r="AR803" s="27"/>
      <c r="AS803" s="27">
        <v>17</v>
      </c>
    </row>
    <row r="804" spans="1:45" ht="15" customHeight="1" x14ac:dyDescent="0.25">
      <c r="A804" s="27">
        <f>IF('Pegar ML'!C799="Paquete de 2 productos",'Pegar ML'!A799,IF('Pegar ML'!C798="Paquete de 2 productos",'Pegar ML'!A798,'Pegar ML'!A800))</f>
        <v>0</v>
      </c>
      <c r="B804" s="27"/>
      <c r="C804" s="30" t="str">
        <f>IF(AjusteFecha!I800=0,"",AjusteFecha!I800)</f>
        <v/>
      </c>
      <c r="D804" s="27"/>
      <c r="E804" s="27"/>
      <c r="F804" s="27" t="str">
        <f>IF('Pegar ML'!C800="","",'Pegar ML'!C800)</f>
        <v/>
      </c>
      <c r="G804" s="27" t="str">
        <f>IF('Pegar ML'!G795="ARS","PS","PS")</f>
        <v>PS</v>
      </c>
      <c r="H804" s="14">
        <f>IF('Pegar ML'!C799="Paquete de 2 productos",IF('Pegar ML'!H799="",0,'Pegar ML'!H799),IF('Pegar ML'!H800="",0,'Pegar ML'!H800))</f>
        <v>0</v>
      </c>
      <c r="I804" s="14">
        <f>IF('Pegar ML'!C799="Paquete de 2 productos",IF('Pegar ML'!O799="",0,'Pegar ML'!O799),IF('Pegar ML'!O800="",0,'Pegar ML'!O800))</f>
        <v>0</v>
      </c>
      <c r="J804" s="14">
        <f>IF('Pegar ML'!C799="Paquete de 2 productos",IF('Pegar ML'!O799="",0,'Pegar ML'!O799),IF('Pegar ML'!O800="",0,'Pegar ML'!O800))</f>
        <v>0</v>
      </c>
      <c r="K804" s="14">
        <f t="shared" si="38"/>
        <v>0</v>
      </c>
      <c r="L804" s="27">
        <f>IF('Pegar ML'!AB800=" ",'Pegar ML'!AB799,'Pegar ML'!AB800)</f>
        <v>0</v>
      </c>
      <c r="M804" s="27" t="str">
        <f>IF('Pegar ML'!AC800=" ",RIGHT('Pegar ML'!AC799,8),RIGHT('Pegar ML'!AC800,8))</f>
        <v/>
      </c>
      <c r="N804" s="27" t="s">
        <v>80</v>
      </c>
      <c r="O804" s="27">
        <f t="shared" si="36"/>
        <v>0</v>
      </c>
      <c r="P804" s="27" t="s">
        <v>80</v>
      </c>
      <c r="Q804" s="55">
        <f>IF('Pegar ML'!AD800=" ",'Pegar ML'!AD799,'Pegar ML'!AD800)</f>
        <v>0</v>
      </c>
      <c r="R804" s="27" t="s">
        <v>80</v>
      </c>
      <c r="S804" s="27" t="s">
        <v>80</v>
      </c>
      <c r="T804" s="27" t="s">
        <v>80</v>
      </c>
      <c r="U804" s="55">
        <f>IF('Pegar ML'!AI800=" ",'Pegar ML'!AI799,'Pegar ML'!AI800)</f>
        <v>0</v>
      </c>
      <c r="V804" s="55">
        <f>IF('Pegar ML'!AK800=" ",'Pegar ML'!AK799,'Pegar ML'!AK800)</f>
        <v>0</v>
      </c>
      <c r="W804" s="55">
        <f>IF('Pegar ML'!AJ800=" ",'Pegar ML'!AJ799,'Pegar ML'!AJ800)</f>
        <v>0</v>
      </c>
      <c r="X804" s="55">
        <f>IF('Pegar ML'!AL800=" ",'Pegar ML'!AL799,'Pegar ML'!AL800)</f>
        <v>0</v>
      </c>
      <c r="Y804" s="27"/>
      <c r="Z804" s="27"/>
      <c r="AA804" s="27"/>
      <c r="AB804" s="27"/>
      <c r="AC804" s="27"/>
      <c r="AD804" s="27"/>
      <c r="AF804" s="8"/>
      <c r="AG804" s="27"/>
      <c r="AH804" s="14">
        <f>+'Pegar ML'!Y800</f>
        <v>0</v>
      </c>
      <c r="AI804" s="13">
        <f t="shared" si="37"/>
        <v>1</v>
      </c>
      <c r="AJ804" s="7">
        <f>+'Pegar ML'!T800</f>
        <v>0</v>
      </c>
      <c r="AK804" s="27"/>
      <c r="AL804" s="27"/>
      <c r="AM804" s="27"/>
      <c r="AN804" s="27"/>
      <c r="AO804" s="27"/>
      <c r="AP804" s="27"/>
      <c r="AQ804" s="27"/>
      <c r="AR804" s="27"/>
      <c r="AS804" s="27">
        <v>17</v>
      </c>
    </row>
    <row r="805" spans="1:45" ht="15" customHeight="1" x14ac:dyDescent="0.25">
      <c r="A805" s="27">
        <f>IF('Pegar ML'!C800="Paquete de 2 productos",'Pegar ML'!A800,IF('Pegar ML'!C799="Paquete de 2 productos",'Pegar ML'!A799,'Pegar ML'!A801))</f>
        <v>0</v>
      </c>
      <c r="B805" s="27"/>
      <c r="C805" s="30" t="str">
        <f>IF(AjusteFecha!I801=0,"",AjusteFecha!I801)</f>
        <v/>
      </c>
      <c r="D805" s="27"/>
      <c r="E805" s="27"/>
      <c r="F805" s="27" t="str">
        <f>IF('Pegar ML'!C801="","",'Pegar ML'!C801)</f>
        <v/>
      </c>
      <c r="G805" s="27" t="str">
        <f>IF('Pegar ML'!G796="ARS","PS","PS")</f>
        <v>PS</v>
      </c>
      <c r="H805" s="14">
        <f>IF('Pegar ML'!C800="Paquete de 2 productos",IF('Pegar ML'!H800="",0,'Pegar ML'!H800),IF('Pegar ML'!H801="",0,'Pegar ML'!H801))</f>
        <v>0</v>
      </c>
      <c r="I805" s="14">
        <f>IF('Pegar ML'!C800="Paquete de 2 productos",IF('Pegar ML'!O800="",0,'Pegar ML'!O800),IF('Pegar ML'!O801="",0,'Pegar ML'!O801))</f>
        <v>0</v>
      </c>
      <c r="J805" s="14">
        <f>IF('Pegar ML'!C800="Paquete de 2 productos",IF('Pegar ML'!O800="",0,'Pegar ML'!O800),IF('Pegar ML'!O801="",0,'Pegar ML'!O801))</f>
        <v>0</v>
      </c>
      <c r="K805" s="14">
        <f t="shared" si="38"/>
        <v>0</v>
      </c>
      <c r="L805" s="27">
        <f>IF('Pegar ML'!AB801=" ",'Pegar ML'!AB800,'Pegar ML'!AB801)</f>
        <v>0</v>
      </c>
      <c r="M805" s="27" t="str">
        <f>IF('Pegar ML'!AC801=" ",RIGHT('Pegar ML'!AC800,8),RIGHT('Pegar ML'!AC801,8))</f>
        <v/>
      </c>
      <c r="N805" s="27" t="s">
        <v>80</v>
      </c>
      <c r="O805" s="27">
        <f t="shared" si="36"/>
        <v>0</v>
      </c>
      <c r="P805" s="27" t="s">
        <v>80</v>
      </c>
      <c r="Q805" s="55">
        <f>IF('Pegar ML'!AD801=" ",'Pegar ML'!AD800,'Pegar ML'!AD801)</f>
        <v>0</v>
      </c>
      <c r="R805" s="27" t="s">
        <v>80</v>
      </c>
      <c r="S805" s="27" t="s">
        <v>80</v>
      </c>
      <c r="T805" s="27" t="s">
        <v>80</v>
      </c>
      <c r="U805" s="55">
        <f>IF('Pegar ML'!AI801=" ",'Pegar ML'!AI800,'Pegar ML'!AI801)</f>
        <v>0</v>
      </c>
      <c r="V805" s="55">
        <f>IF('Pegar ML'!AK801=" ",'Pegar ML'!AK800,'Pegar ML'!AK801)</f>
        <v>0</v>
      </c>
      <c r="W805" s="55">
        <f>IF('Pegar ML'!AJ801=" ",'Pegar ML'!AJ800,'Pegar ML'!AJ801)</f>
        <v>0</v>
      </c>
      <c r="X805" s="55">
        <f>IF('Pegar ML'!AL801=" ",'Pegar ML'!AL800,'Pegar ML'!AL801)</f>
        <v>0</v>
      </c>
      <c r="Y805" s="27"/>
      <c r="Z805" s="27"/>
      <c r="AA805" s="27"/>
      <c r="AB805" s="27"/>
      <c r="AC805" s="27"/>
      <c r="AD805" s="27"/>
      <c r="AF805" s="8"/>
      <c r="AG805" s="27"/>
      <c r="AH805" s="14">
        <f>+'Pegar ML'!Y801</f>
        <v>0</v>
      </c>
      <c r="AI805" s="13">
        <f t="shared" si="37"/>
        <v>1</v>
      </c>
      <c r="AJ805" s="7">
        <f>+'Pegar ML'!T801</f>
        <v>0</v>
      </c>
      <c r="AK805" s="27"/>
      <c r="AL805" s="27"/>
      <c r="AM805" s="27"/>
      <c r="AN805" s="27"/>
      <c r="AO805" s="27"/>
      <c r="AP805" s="27"/>
      <c r="AQ805" s="27"/>
      <c r="AR805" s="27"/>
      <c r="AS805" s="27">
        <v>17</v>
      </c>
    </row>
    <row r="806" spans="1:45" ht="15" customHeight="1" x14ac:dyDescent="0.25">
      <c r="A806" s="27">
        <f>IF('Pegar ML'!C801="Paquete de 2 productos",'Pegar ML'!A801,IF('Pegar ML'!C800="Paquete de 2 productos",'Pegar ML'!A800,'Pegar ML'!A802))</f>
        <v>0</v>
      </c>
      <c r="B806" s="27"/>
      <c r="C806" s="30" t="str">
        <f>IF(AjusteFecha!I802=0,"",AjusteFecha!I802)</f>
        <v/>
      </c>
      <c r="D806" s="27"/>
      <c r="E806" s="27"/>
      <c r="F806" s="27" t="str">
        <f>IF('Pegar ML'!C802="","",'Pegar ML'!C802)</f>
        <v/>
      </c>
      <c r="G806" s="27" t="str">
        <f>IF('Pegar ML'!G797="ARS","PS","PS")</f>
        <v>PS</v>
      </c>
      <c r="H806" s="14">
        <f>IF('Pegar ML'!C801="Paquete de 2 productos",IF('Pegar ML'!H801="",0,'Pegar ML'!H801),IF('Pegar ML'!H802="",0,'Pegar ML'!H802))</f>
        <v>0</v>
      </c>
      <c r="I806" s="14">
        <f>IF('Pegar ML'!C801="Paquete de 2 productos",IF('Pegar ML'!O801="",0,'Pegar ML'!O801),IF('Pegar ML'!O802="",0,'Pegar ML'!O802))</f>
        <v>0</v>
      </c>
      <c r="J806" s="14">
        <f>IF('Pegar ML'!C801="Paquete de 2 productos",IF('Pegar ML'!O801="",0,'Pegar ML'!O801),IF('Pegar ML'!O802="",0,'Pegar ML'!O802))</f>
        <v>0</v>
      </c>
      <c r="K806" s="14">
        <f t="shared" si="38"/>
        <v>0</v>
      </c>
      <c r="L806" s="27">
        <f>IF('Pegar ML'!AB802=" ",'Pegar ML'!AB801,'Pegar ML'!AB802)</f>
        <v>0</v>
      </c>
      <c r="M806" s="27" t="str">
        <f>IF('Pegar ML'!AC802=" ",RIGHT('Pegar ML'!AC801,8),RIGHT('Pegar ML'!AC802,8))</f>
        <v/>
      </c>
      <c r="N806" s="27" t="s">
        <v>80</v>
      </c>
      <c r="O806" s="27">
        <f t="shared" si="36"/>
        <v>0</v>
      </c>
      <c r="P806" s="27" t="s">
        <v>80</v>
      </c>
      <c r="Q806" s="55">
        <f>IF('Pegar ML'!AD802=" ",'Pegar ML'!AD801,'Pegar ML'!AD802)</f>
        <v>0</v>
      </c>
      <c r="R806" s="27" t="s">
        <v>80</v>
      </c>
      <c r="S806" s="27" t="s">
        <v>80</v>
      </c>
      <c r="T806" s="27" t="s">
        <v>80</v>
      </c>
      <c r="U806" s="55">
        <f>IF('Pegar ML'!AI802=" ",'Pegar ML'!AI801,'Pegar ML'!AI802)</f>
        <v>0</v>
      </c>
      <c r="V806" s="55">
        <f>IF('Pegar ML'!AK802=" ",'Pegar ML'!AK801,'Pegar ML'!AK802)</f>
        <v>0</v>
      </c>
      <c r="W806" s="55">
        <f>IF('Pegar ML'!AJ802=" ",'Pegar ML'!AJ801,'Pegar ML'!AJ802)</f>
        <v>0</v>
      </c>
      <c r="X806" s="55">
        <f>IF('Pegar ML'!AL802=" ",'Pegar ML'!AL801,'Pegar ML'!AL802)</f>
        <v>0</v>
      </c>
      <c r="Y806" s="27"/>
      <c r="Z806" s="27"/>
      <c r="AA806" s="27"/>
      <c r="AB806" s="27"/>
      <c r="AC806" s="27"/>
      <c r="AD806" s="27"/>
      <c r="AF806" s="8"/>
      <c r="AG806" s="27"/>
      <c r="AH806" s="14">
        <f>+'Pegar ML'!Y802</f>
        <v>0</v>
      </c>
      <c r="AI806" s="13">
        <f t="shared" si="37"/>
        <v>1</v>
      </c>
      <c r="AJ806" s="7">
        <f>+'Pegar ML'!T802</f>
        <v>0</v>
      </c>
      <c r="AK806" s="27"/>
      <c r="AL806" s="27"/>
      <c r="AM806" s="27"/>
      <c r="AN806" s="27"/>
      <c r="AO806" s="27"/>
      <c r="AP806" s="27"/>
      <c r="AQ806" s="27"/>
      <c r="AR806" s="27"/>
      <c r="AS806" s="27">
        <v>17</v>
      </c>
    </row>
    <row r="807" spans="1:45" ht="15" customHeight="1" x14ac:dyDescent="0.25">
      <c r="A807" s="27">
        <f>IF('Pegar ML'!C802="Paquete de 2 productos",'Pegar ML'!A802,IF('Pegar ML'!C801="Paquete de 2 productos",'Pegar ML'!A801,'Pegar ML'!A803))</f>
        <v>0</v>
      </c>
      <c r="B807" s="27"/>
      <c r="C807" s="30" t="str">
        <f>IF(AjusteFecha!I803=0,"",AjusteFecha!I803)</f>
        <v/>
      </c>
      <c r="D807" s="27"/>
      <c r="E807" s="27"/>
      <c r="F807" s="27" t="str">
        <f>IF('Pegar ML'!C803="","",'Pegar ML'!C803)</f>
        <v/>
      </c>
      <c r="G807" s="27" t="str">
        <f>IF('Pegar ML'!G798="ARS","PS","PS")</f>
        <v>PS</v>
      </c>
      <c r="H807" s="14">
        <f>IF('Pegar ML'!C802="Paquete de 2 productos",IF('Pegar ML'!H802="",0,'Pegar ML'!H802),IF('Pegar ML'!H803="",0,'Pegar ML'!H803))</f>
        <v>0</v>
      </c>
      <c r="I807" s="14">
        <f>IF('Pegar ML'!C802="Paquete de 2 productos",IF('Pegar ML'!O802="",0,'Pegar ML'!O802),IF('Pegar ML'!O803="",0,'Pegar ML'!O803))</f>
        <v>0</v>
      </c>
      <c r="J807" s="14">
        <f>IF('Pegar ML'!C802="Paquete de 2 productos",IF('Pegar ML'!O802="",0,'Pegar ML'!O802),IF('Pegar ML'!O803="",0,'Pegar ML'!O803))</f>
        <v>0</v>
      </c>
      <c r="K807" s="14">
        <f t="shared" si="38"/>
        <v>0</v>
      </c>
      <c r="L807" s="27">
        <f>IF('Pegar ML'!AB803=" ",'Pegar ML'!AB802,'Pegar ML'!AB803)</f>
        <v>0</v>
      </c>
      <c r="M807" s="27" t="str">
        <f>IF('Pegar ML'!AC803=" ",RIGHT('Pegar ML'!AC802,8),RIGHT('Pegar ML'!AC803,8))</f>
        <v/>
      </c>
      <c r="N807" s="27" t="s">
        <v>80</v>
      </c>
      <c r="O807" s="27">
        <f t="shared" si="36"/>
        <v>0</v>
      </c>
      <c r="P807" s="27" t="s">
        <v>80</v>
      </c>
      <c r="Q807" s="55">
        <f>IF('Pegar ML'!AD803=" ",'Pegar ML'!AD802,'Pegar ML'!AD803)</f>
        <v>0</v>
      </c>
      <c r="R807" s="27" t="s">
        <v>80</v>
      </c>
      <c r="S807" s="27" t="s">
        <v>80</v>
      </c>
      <c r="T807" s="27" t="s">
        <v>80</v>
      </c>
      <c r="U807" s="55">
        <f>IF('Pegar ML'!AI803=" ",'Pegar ML'!AI802,'Pegar ML'!AI803)</f>
        <v>0</v>
      </c>
      <c r="V807" s="55">
        <f>IF('Pegar ML'!AK803=" ",'Pegar ML'!AK802,'Pegar ML'!AK803)</f>
        <v>0</v>
      </c>
      <c r="W807" s="55">
        <f>IF('Pegar ML'!AJ803=" ",'Pegar ML'!AJ802,'Pegar ML'!AJ803)</f>
        <v>0</v>
      </c>
      <c r="X807" s="55">
        <f>IF('Pegar ML'!AL803=" ",'Pegar ML'!AL802,'Pegar ML'!AL803)</f>
        <v>0</v>
      </c>
      <c r="Y807" s="27"/>
      <c r="Z807" s="27"/>
      <c r="AA807" s="27"/>
      <c r="AB807" s="27"/>
      <c r="AC807" s="27"/>
      <c r="AD807" s="27"/>
      <c r="AF807" s="8"/>
      <c r="AG807" s="27"/>
      <c r="AH807" s="14">
        <f>+'Pegar ML'!Y803</f>
        <v>0</v>
      </c>
      <c r="AI807" s="13">
        <f t="shared" si="37"/>
        <v>1</v>
      </c>
      <c r="AJ807" s="7">
        <f>+'Pegar ML'!T803</f>
        <v>0</v>
      </c>
      <c r="AK807" s="27"/>
      <c r="AL807" s="27"/>
      <c r="AM807" s="27"/>
      <c r="AN807" s="27"/>
      <c r="AO807" s="27"/>
      <c r="AP807" s="27"/>
      <c r="AQ807" s="27"/>
      <c r="AR807" s="27"/>
      <c r="AS807" s="27">
        <v>17</v>
      </c>
    </row>
    <row r="808" spans="1:45" ht="15" customHeight="1" x14ac:dyDescent="0.25">
      <c r="A808" s="27">
        <f>IF('Pegar ML'!C803="Paquete de 2 productos",'Pegar ML'!A803,IF('Pegar ML'!C802="Paquete de 2 productos",'Pegar ML'!A802,'Pegar ML'!A804))</f>
        <v>0</v>
      </c>
      <c r="B808" s="27"/>
      <c r="C808" s="30" t="str">
        <f>IF(AjusteFecha!I804=0,"",AjusteFecha!I804)</f>
        <v/>
      </c>
      <c r="D808" s="27"/>
      <c r="E808" s="27"/>
      <c r="F808" s="27" t="str">
        <f>IF('Pegar ML'!C804="","",'Pegar ML'!C804)</f>
        <v/>
      </c>
      <c r="G808" s="27" t="str">
        <f>IF('Pegar ML'!G799="ARS","PS","PS")</f>
        <v>PS</v>
      </c>
      <c r="H808" s="14">
        <f>IF('Pegar ML'!C803="Paquete de 2 productos",IF('Pegar ML'!H803="",0,'Pegar ML'!H803),IF('Pegar ML'!H804="",0,'Pegar ML'!H804))</f>
        <v>0</v>
      </c>
      <c r="I808" s="14">
        <f>IF('Pegar ML'!C803="Paquete de 2 productos",IF('Pegar ML'!O803="",0,'Pegar ML'!O803),IF('Pegar ML'!O804="",0,'Pegar ML'!O804))</f>
        <v>0</v>
      </c>
      <c r="J808" s="14">
        <f>IF('Pegar ML'!C803="Paquete de 2 productos",IF('Pegar ML'!O803="",0,'Pegar ML'!O803),IF('Pegar ML'!O804="",0,'Pegar ML'!O804))</f>
        <v>0</v>
      </c>
      <c r="K808" s="14">
        <f t="shared" si="38"/>
        <v>0</v>
      </c>
      <c r="L808" s="27">
        <f>IF('Pegar ML'!AB804=" ",'Pegar ML'!AB803,'Pegar ML'!AB804)</f>
        <v>0</v>
      </c>
      <c r="M808" s="27" t="str">
        <f>IF('Pegar ML'!AC804=" ",RIGHT('Pegar ML'!AC803,8),RIGHT('Pegar ML'!AC804,8))</f>
        <v/>
      </c>
      <c r="N808" s="27" t="s">
        <v>80</v>
      </c>
      <c r="O808" s="27">
        <f t="shared" si="36"/>
        <v>0</v>
      </c>
      <c r="P808" s="27" t="s">
        <v>80</v>
      </c>
      <c r="Q808" s="55">
        <f>IF('Pegar ML'!AD804=" ",'Pegar ML'!AD803,'Pegar ML'!AD804)</f>
        <v>0</v>
      </c>
      <c r="R808" s="27" t="s">
        <v>80</v>
      </c>
      <c r="S808" s="27" t="s">
        <v>80</v>
      </c>
      <c r="T808" s="27" t="s">
        <v>80</v>
      </c>
      <c r="U808" s="55">
        <f>IF('Pegar ML'!AI804=" ",'Pegar ML'!AI803,'Pegar ML'!AI804)</f>
        <v>0</v>
      </c>
      <c r="V808" s="55">
        <f>IF('Pegar ML'!AK804=" ",'Pegar ML'!AK803,'Pegar ML'!AK804)</f>
        <v>0</v>
      </c>
      <c r="W808" s="55">
        <f>IF('Pegar ML'!AJ804=" ",'Pegar ML'!AJ803,'Pegar ML'!AJ804)</f>
        <v>0</v>
      </c>
      <c r="X808" s="55">
        <f>IF('Pegar ML'!AL804=" ",'Pegar ML'!AL803,'Pegar ML'!AL804)</f>
        <v>0</v>
      </c>
      <c r="Y808" s="27"/>
      <c r="Z808" s="27"/>
      <c r="AA808" s="27"/>
      <c r="AB808" s="27"/>
      <c r="AC808" s="27"/>
      <c r="AD808" s="27"/>
      <c r="AF808" s="8"/>
      <c r="AG808" s="27"/>
      <c r="AH808" s="14">
        <f>+'Pegar ML'!Y804</f>
        <v>0</v>
      </c>
      <c r="AI808" s="13">
        <f t="shared" si="37"/>
        <v>1</v>
      </c>
      <c r="AJ808" s="7">
        <f>+'Pegar ML'!T804</f>
        <v>0</v>
      </c>
      <c r="AK808" s="27"/>
      <c r="AL808" s="27"/>
      <c r="AM808" s="27"/>
      <c r="AN808" s="27"/>
      <c r="AO808" s="27"/>
      <c r="AP808" s="27"/>
      <c r="AQ808" s="27"/>
      <c r="AR808" s="27"/>
      <c r="AS808" s="27">
        <v>17</v>
      </c>
    </row>
    <row r="809" spans="1:45" ht="15" customHeight="1" x14ac:dyDescent="0.25">
      <c r="A809" s="27">
        <f>IF('Pegar ML'!C804="Paquete de 2 productos",'Pegar ML'!A804,IF('Pegar ML'!C803="Paquete de 2 productos",'Pegar ML'!A803,'Pegar ML'!A805))</f>
        <v>0</v>
      </c>
      <c r="B809" s="27"/>
      <c r="C809" s="30" t="str">
        <f>IF(AjusteFecha!I805=0,"",AjusteFecha!I805)</f>
        <v/>
      </c>
      <c r="D809" s="27"/>
      <c r="E809" s="27"/>
      <c r="F809" s="27" t="str">
        <f>IF('Pegar ML'!C805="","",'Pegar ML'!C805)</f>
        <v/>
      </c>
      <c r="G809" s="27" t="str">
        <f>IF('Pegar ML'!G800="ARS","PS","PS")</f>
        <v>PS</v>
      </c>
      <c r="H809" s="14">
        <f>IF('Pegar ML'!C804="Paquete de 2 productos",IF('Pegar ML'!H804="",0,'Pegar ML'!H804),IF('Pegar ML'!H805="",0,'Pegar ML'!H805))</f>
        <v>0</v>
      </c>
      <c r="I809" s="14">
        <f>IF('Pegar ML'!C804="Paquete de 2 productos",IF('Pegar ML'!O804="",0,'Pegar ML'!O804),IF('Pegar ML'!O805="",0,'Pegar ML'!O805))</f>
        <v>0</v>
      </c>
      <c r="J809" s="14">
        <f>IF('Pegar ML'!C804="Paquete de 2 productos",IF('Pegar ML'!O804="",0,'Pegar ML'!O804),IF('Pegar ML'!O805="",0,'Pegar ML'!O805))</f>
        <v>0</v>
      </c>
      <c r="K809" s="14">
        <f t="shared" si="38"/>
        <v>0</v>
      </c>
      <c r="L809" s="27">
        <f>IF('Pegar ML'!AB805=" ",'Pegar ML'!AB804,'Pegar ML'!AB805)</f>
        <v>0</v>
      </c>
      <c r="M809" s="27" t="str">
        <f>IF('Pegar ML'!AC805=" ",RIGHT('Pegar ML'!AC804,8),RIGHT('Pegar ML'!AC805,8))</f>
        <v/>
      </c>
      <c r="N809" s="27" t="s">
        <v>80</v>
      </c>
      <c r="O809" s="27">
        <f t="shared" si="36"/>
        <v>0</v>
      </c>
      <c r="P809" s="27" t="s">
        <v>80</v>
      </c>
      <c r="Q809" s="55">
        <f>IF('Pegar ML'!AD805=" ",'Pegar ML'!AD804,'Pegar ML'!AD805)</f>
        <v>0</v>
      </c>
      <c r="R809" s="27" t="s">
        <v>80</v>
      </c>
      <c r="S809" s="27" t="s">
        <v>80</v>
      </c>
      <c r="T809" s="27" t="s">
        <v>80</v>
      </c>
      <c r="U809" s="55">
        <f>IF('Pegar ML'!AI805=" ",'Pegar ML'!AI804,'Pegar ML'!AI805)</f>
        <v>0</v>
      </c>
      <c r="V809" s="55">
        <f>IF('Pegar ML'!AK805=" ",'Pegar ML'!AK804,'Pegar ML'!AK805)</f>
        <v>0</v>
      </c>
      <c r="W809" s="55">
        <f>IF('Pegar ML'!AJ805=" ",'Pegar ML'!AJ804,'Pegar ML'!AJ805)</f>
        <v>0</v>
      </c>
      <c r="X809" s="55">
        <f>IF('Pegar ML'!AL805=" ",'Pegar ML'!AL804,'Pegar ML'!AL805)</f>
        <v>0</v>
      </c>
      <c r="Y809" s="27"/>
      <c r="Z809" s="27"/>
      <c r="AA809" s="27"/>
      <c r="AB809" s="27"/>
      <c r="AC809" s="27"/>
      <c r="AD809" s="27"/>
      <c r="AF809" s="8"/>
      <c r="AG809" s="27"/>
      <c r="AH809" s="14">
        <f>+'Pegar ML'!Y805</f>
        <v>0</v>
      </c>
      <c r="AI809" s="13">
        <f t="shared" si="37"/>
        <v>1</v>
      </c>
      <c r="AJ809" s="7">
        <f>+'Pegar ML'!T805</f>
        <v>0</v>
      </c>
      <c r="AK809" s="27"/>
      <c r="AL809" s="27"/>
      <c r="AM809" s="27"/>
      <c r="AN809" s="27"/>
      <c r="AO809" s="27"/>
      <c r="AP809" s="27"/>
      <c r="AQ809" s="27"/>
      <c r="AR809" s="27"/>
      <c r="AS809" s="27">
        <v>17</v>
      </c>
    </row>
    <row r="810" spans="1:45" ht="15" customHeight="1" x14ac:dyDescent="0.25">
      <c r="A810" s="27">
        <f>IF('Pegar ML'!C805="Paquete de 2 productos",'Pegar ML'!A805,IF('Pegar ML'!C804="Paquete de 2 productos",'Pegar ML'!A804,'Pegar ML'!A806))</f>
        <v>0</v>
      </c>
      <c r="B810" s="27"/>
      <c r="C810" s="30" t="str">
        <f>IF(AjusteFecha!I806=0,"",AjusteFecha!I806)</f>
        <v/>
      </c>
      <c r="D810" s="27"/>
      <c r="E810" s="27"/>
      <c r="F810" s="27" t="str">
        <f>IF('Pegar ML'!C806="","",'Pegar ML'!C806)</f>
        <v/>
      </c>
      <c r="G810" s="27" t="str">
        <f>IF('Pegar ML'!G801="ARS","PS","PS")</f>
        <v>PS</v>
      </c>
      <c r="H810" s="14">
        <f>IF('Pegar ML'!C805="Paquete de 2 productos",IF('Pegar ML'!H805="",0,'Pegar ML'!H805),IF('Pegar ML'!H806="",0,'Pegar ML'!H806))</f>
        <v>0</v>
      </c>
      <c r="I810" s="14">
        <f>IF('Pegar ML'!C805="Paquete de 2 productos",IF('Pegar ML'!O805="",0,'Pegar ML'!O805),IF('Pegar ML'!O806="",0,'Pegar ML'!O806))</f>
        <v>0</v>
      </c>
      <c r="J810" s="14">
        <f>IF('Pegar ML'!C805="Paquete de 2 productos",IF('Pegar ML'!O805="",0,'Pegar ML'!O805),IF('Pegar ML'!O806="",0,'Pegar ML'!O806))</f>
        <v>0</v>
      </c>
      <c r="K810" s="14">
        <f t="shared" si="38"/>
        <v>0</v>
      </c>
      <c r="L810" s="27">
        <f>IF('Pegar ML'!AB806=" ",'Pegar ML'!AB805,'Pegar ML'!AB806)</f>
        <v>0</v>
      </c>
      <c r="M810" s="27" t="str">
        <f>IF('Pegar ML'!AC806=" ",RIGHT('Pegar ML'!AC805,8),RIGHT('Pegar ML'!AC806,8))</f>
        <v/>
      </c>
      <c r="N810" s="27" t="s">
        <v>80</v>
      </c>
      <c r="O810" s="27">
        <f t="shared" si="36"/>
        <v>0</v>
      </c>
      <c r="P810" s="27" t="s">
        <v>80</v>
      </c>
      <c r="Q810" s="55">
        <f>IF('Pegar ML'!AD806=" ",'Pegar ML'!AD805,'Pegar ML'!AD806)</f>
        <v>0</v>
      </c>
      <c r="R810" s="27" t="s">
        <v>80</v>
      </c>
      <c r="S810" s="27" t="s">
        <v>80</v>
      </c>
      <c r="T810" s="27" t="s">
        <v>80</v>
      </c>
      <c r="U810" s="55">
        <f>IF('Pegar ML'!AI806=" ",'Pegar ML'!AI805,'Pegar ML'!AI806)</f>
        <v>0</v>
      </c>
      <c r="V810" s="55">
        <f>IF('Pegar ML'!AK806=" ",'Pegar ML'!AK805,'Pegar ML'!AK806)</f>
        <v>0</v>
      </c>
      <c r="W810" s="55">
        <f>IF('Pegar ML'!AJ806=" ",'Pegar ML'!AJ805,'Pegar ML'!AJ806)</f>
        <v>0</v>
      </c>
      <c r="X810" s="55">
        <f>IF('Pegar ML'!AL806=" ",'Pegar ML'!AL805,'Pegar ML'!AL806)</f>
        <v>0</v>
      </c>
      <c r="Y810" s="27"/>
      <c r="Z810" s="27"/>
      <c r="AA810" s="27"/>
      <c r="AB810" s="27"/>
      <c r="AC810" s="27"/>
      <c r="AD810" s="27"/>
      <c r="AF810" s="8"/>
      <c r="AG810" s="27"/>
      <c r="AH810" s="14">
        <f>+'Pegar ML'!Y806</f>
        <v>0</v>
      </c>
      <c r="AI810" s="13">
        <f t="shared" si="37"/>
        <v>1</v>
      </c>
      <c r="AJ810" s="7">
        <f>+'Pegar ML'!T806</f>
        <v>0</v>
      </c>
      <c r="AK810" s="27"/>
      <c r="AL810" s="27"/>
      <c r="AM810" s="27"/>
      <c r="AN810" s="27"/>
      <c r="AO810" s="27"/>
      <c r="AP810" s="27"/>
      <c r="AQ810" s="27"/>
      <c r="AR810" s="27"/>
      <c r="AS810" s="27">
        <v>17</v>
      </c>
    </row>
    <row r="811" spans="1:45" ht="15" customHeight="1" x14ac:dyDescent="0.25">
      <c r="A811" s="27">
        <f>IF('Pegar ML'!C806="Paquete de 2 productos",'Pegar ML'!A806,IF('Pegar ML'!C805="Paquete de 2 productos",'Pegar ML'!A805,'Pegar ML'!A807))</f>
        <v>0</v>
      </c>
      <c r="B811" s="27"/>
      <c r="C811" s="30" t="str">
        <f>IF(AjusteFecha!I807=0,"",AjusteFecha!I807)</f>
        <v/>
      </c>
      <c r="D811" s="27"/>
      <c r="E811" s="27"/>
      <c r="F811" s="27" t="str">
        <f>IF('Pegar ML'!C807="","",'Pegar ML'!C807)</f>
        <v/>
      </c>
      <c r="G811" s="27" t="str">
        <f>IF('Pegar ML'!G802="ARS","PS","PS")</f>
        <v>PS</v>
      </c>
      <c r="H811" s="14">
        <f>IF('Pegar ML'!C806="Paquete de 2 productos",IF('Pegar ML'!H806="",0,'Pegar ML'!H806),IF('Pegar ML'!H807="",0,'Pegar ML'!H807))</f>
        <v>0</v>
      </c>
      <c r="I811" s="14">
        <f>IF('Pegar ML'!C806="Paquete de 2 productos",IF('Pegar ML'!O806="",0,'Pegar ML'!O806),IF('Pegar ML'!O807="",0,'Pegar ML'!O807))</f>
        <v>0</v>
      </c>
      <c r="J811" s="14">
        <f>IF('Pegar ML'!C806="Paquete de 2 productos",IF('Pegar ML'!O806="",0,'Pegar ML'!O806),IF('Pegar ML'!O807="",0,'Pegar ML'!O807))</f>
        <v>0</v>
      </c>
      <c r="K811" s="14">
        <f t="shared" si="38"/>
        <v>0</v>
      </c>
      <c r="L811" s="27">
        <f>IF('Pegar ML'!AB807=" ",'Pegar ML'!AB806,'Pegar ML'!AB807)</f>
        <v>0</v>
      </c>
      <c r="M811" s="27" t="str">
        <f>IF('Pegar ML'!AC807=" ",RIGHT('Pegar ML'!AC806,8),RIGHT('Pegar ML'!AC807,8))</f>
        <v/>
      </c>
      <c r="N811" s="27" t="s">
        <v>80</v>
      </c>
      <c r="O811" s="27">
        <f t="shared" si="36"/>
        <v>0</v>
      </c>
      <c r="P811" s="27" t="s">
        <v>80</v>
      </c>
      <c r="Q811" s="55">
        <f>IF('Pegar ML'!AD807=" ",'Pegar ML'!AD806,'Pegar ML'!AD807)</f>
        <v>0</v>
      </c>
      <c r="R811" s="27" t="s">
        <v>80</v>
      </c>
      <c r="S811" s="27" t="s">
        <v>80</v>
      </c>
      <c r="T811" s="27" t="s">
        <v>80</v>
      </c>
      <c r="U811" s="55">
        <f>IF('Pegar ML'!AI807=" ",'Pegar ML'!AI806,'Pegar ML'!AI807)</f>
        <v>0</v>
      </c>
      <c r="V811" s="55">
        <f>IF('Pegar ML'!AK807=" ",'Pegar ML'!AK806,'Pegar ML'!AK807)</f>
        <v>0</v>
      </c>
      <c r="W811" s="55">
        <f>IF('Pegar ML'!AJ807=" ",'Pegar ML'!AJ806,'Pegar ML'!AJ807)</f>
        <v>0</v>
      </c>
      <c r="X811" s="55">
        <f>IF('Pegar ML'!AL807=" ",'Pegar ML'!AL806,'Pegar ML'!AL807)</f>
        <v>0</v>
      </c>
      <c r="Y811" s="27"/>
      <c r="Z811" s="27"/>
      <c r="AA811" s="27"/>
      <c r="AB811" s="27"/>
      <c r="AC811" s="27"/>
      <c r="AD811" s="27"/>
      <c r="AF811" s="8"/>
      <c r="AG811" s="27"/>
      <c r="AH811" s="14">
        <f>+'Pegar ML'!Y807</f>
        <v>0</v>
      </c>
      <c r="AI811" s="13">
        <f t="shared" si="37"/>
        <v>1</v>
      </c>
      <c r="AJ811" s="7">
        <f>+'Pegar ML'!T807</f>
        <v>0</v>
      </c>
      <c r="AK811" s="27"/>
      <c r="AL811" s="27"/>
      <c r="AM811" s="27"/>
      <c r="AN811" s="27"/>
      <c r="AO811" s="27"/>
      <c r="AP811" s="27"/>
      <c r="AQ811" s="27"/>
      <c r="AR811" s="27"/>
      <c r="AS811" s="27">
        <v>17</v>
      </c>
    </row>
    <row r="812" spans="1:45" ht="15" customHeight="1" x14ac:dyDescent="0.25">
      <c r="A812" s="27">
        <f>IF('Pegar ML'!C807="Paquete de 2 productos",'Pegar ML'!A807,IF('Pegar ML'!C806="Paquete de 2 productos",'Pegar ML'!A806,'Pegar ML'!A808))</f>
        <v>0</v>
      </c>
      <c r="B812" s="27"/>
      <c r="C812" s="30" t="str">
        <f>IF(AjusteFecha!I808=0,"",AjusteFecha!I808)</f>
        <v/>
      </c>
      <c r="D812" s="27"/>
      <c r="E812" s="27"/>
      <c r="F812" s="27" t="str">
        <f>IF('Pegar ML'!C808="","",'Pegar ML'!C808)</f>
        <v/>
      </c>
      <c r="G812" s="27" t="str">
        <f>IF('Pegar ML'!G803="ARS","PS","PS")</f>
        <v>PS</v>
      </c>
      <c r="H812" s="14">
        <f>IF('Pegar ML'!C807="Paquete de 2 productos",IF('Pegar ML'!H807="",0,'Pegar ML'!H807),IF('Pegar ML'!H808="",0,'Pegar ML'!H808))</f>
        <v>0</v>
      </c>
      <c r="I812" s="14">
        <f>IF('Pegar ML'!C807="Paquete de 2 productos",IF('Pegar ML'!O807="",0,'Pegar ML'!O807),IF('Pegar ML'!O808="",0,'Pegar ML'!O808))</f>
        <v>0</v>
      </c>
      <c r="J812" s="14">
        <f>IF('Pegar ML'!C807="Paquete de 2 productos",IF('Pegar ML'!O807="",0,'Pegar ML'!O807),IF('Pegar ML'!O808="",0,'Pegar ML'!O808))</f>
        <v>0</v>
      </c>
      <c r="K812" s="14">
        <f t="shared" si="38"/>
        <v>0</v>
      </c>
      <c r="L812" s="27">
        <f>IF('Pegar ML'!AB808=" ",'Pegar ML'!AB807,'Pegar ML'!AB808)</f>
        <v>0</v>
      </c>
      <c r="M812" s="27" t="str">
        <f>IF('Pegar ML'!AC808=" ",RIGHT('Pegar ML'!AC807,8),RIGHT('Pegar ML'!AC808,8))</f>
        <v/>
      </c>
      <c r="N812" s="27" t="s">
        <v>80</v>
      </c>
      <c r="O812" s="27">
        <f t="shared" si="36"/>
        <v>0</v>
      </c>
      <c r="P812" s="27" t="s">
        <v>80</v>
      </c>
      <c r="Q812" s="55">
        <f>IF('Pegar ML'!AD808=" ",'Pegar ML'!AD807,'Pegar ML'!AD808)</f>
        <v>0</v>
      </c>
      <c r="R812" s="27" t="s">
        <v>80</v>
      </c>
      <c r="S812" s="27" t="s">
        <v>80</v>
      </c>
      <c r="T812" s="27" t="s">
        <v>80</v>
      </c>
      <c r="U812" s="55">
        <f>IF('Pegar ML'!AI808=" ",'Pegar ML'!AI807,'Pegar ML'!AI808)</f>
        <v>0</v>
      </c>
      <c r="V812" s="55">
        <f>IF('Pegar ML'!AK808=" ",'Pegar ML'!AK807,'Pegar ML'!AK808)</f>
        <v>0</v>
      </c>
      <c r="W812" s="55">
        <f>IF('Pegar ML'!AJ808=" ",'Pegar ML'!AJ807,'Pegar ML'!AJ808)</f>
        <v>0</v>
      </c>
      <c r="X812" s="55">
        <f>IF('Pegar ML'!AL808=" ",'Pegar ML'!AL807,'Pegar ML'!AL808)</f>
        <v>0</v>
      </c>
      <c r="Y812" s="27"/>
      <c r="Z812" s="27"/>
      <c r="AA812" s="27"/>
      <c r="AB812" s="27"/>
      <c r="AC812" s="27"/>
      <c r="AD812" s="27"/>
      <c r="AF812" s="8"/>
      <c r="AG812" s="27"/>
      <c r="AH812" s="14">
        <f>+'Pegar ML'!Y808</f>
        <v>0</v>
      </c>
      <c r="AI812" s="13">
        <f t="shared" si="37"/>
        <v>1</v>
      </c>
      <c r="AJ812" s="7">
        <f>+'Pegar ML'!T808</f>
        <v>0</v>
      </c>
      <c r="AK812" s="27"/>
      <c r="AL812" s="27"/>
      <c r="AM812" s="27"/>
      <c r="AN812" s="27"/>
      <c r="AO812" s="27"/>
      <c r="AP812" s="27"/>
      <c r="AQ812" s="27"/>
      <c r="AR812" s="27"/>
      <c r="AS812" s="27">
        <v>17</v>
      </c>
    </row>
    <row r="813" spans="1:45" ht="15" customHeight="1" x14ac:dyDescent="0.25">
      <c r="A813" s="27">
        <f>IF('Pegar ML'!C808="Paquete de 2 productos",'Pegar ML'!A808,IF('Pegar ML'!C807="Paquete de 2 productos",'Pegar ML'!A807,'Pegar ML'!A809))</f>
        <v>0</v>
      </c>
      <c r="B813" s="27"/>
      <c r="C813" s="30" t="str">
        <f>IF(AjusteFecha!I809=0,"",AjusteFecha!I809)</f>
        <v/>
      </c>
      <c r="D813" s="27"/>
      <c r="E813" s="27"/>
      <c r="F813" s="27" t="str">
        <f>IF('Pegar ML'!C809="","",'Pegar ML'!C809)</f>
        <v/>
      </c>
      <c r="G813" s="27" t="str">
        <f>IF('Pegar ML'!G804="ARS","PS","PS")</f>
        <v>PS</v>
      </c>
      <c r="H813" s="14">
        <f>IF('Pegar ML'!C808="Paquete de 2 productos",IF('Pegar ML'!H808="",0,'Pegar ML'!H808),IF('Pegar ML'!H809="",0,'Pegar ML'!H809))</f>
        <v>0</v>
      </c>
      <c r="I813" s="14">
        <f>IF('Pegar ML'!C808="Paquete de 2 productos",IF('Pegar ML'!O808="",0,'Pegar ML'!O808),IF('Pegar ML'!O809="",0,'Pegar ML'!O809))</f>
        <v>0</v>
      </c>
      <c r="J813" s="14">
        <f>IF('Pegar ML'!C808="Paquete de 2 productos",IF('Pegar ML'!O808="",0,'Pegar ML'!O808),IF('Pegar ML'!O809="",0,'Pegar ML'!O809))</f>
        <v>0</v>
      </c>
      <c r="K813" s="14">
        <f t="shared" si="38"/>
        <v>0</v>
      </c>
      <c r="L813" s="27">
        <f>IF('Pegar ML'!AB809=" ",'Pegar ML'!AB808,'Pegar ML'!AB809)</f>
        <v>0</v>
      </c>
      <c r="M813" s="27" t="str">
        <f>IF('Pegar ML'!AC809=" ",RIGHT('Pegar ML'!AC808,8),RIGHT('Pegar ML'!AC809,8))</f>
        <v/>
      </c>
      <c r="N813" s="27" t="s">
        <v>80</v>
      </c>
      <c r="O813" s="27">
        <f t="shared" si="36"/>
        <v>0</v>
      </c>
      <c r="P813" s="27" t="s">
        <v>80</v>
      </c>
      <c r="Q813" s="55">
        <f>IF('Pegar ML'!AD809=" ",'Pegar ML'!AD808,'Pegar ML'!AD809)</f>
        <v>0</v>
      </c>
      <c r="R813" s="27" t="s">
        <v>80</v>
      </c>
      <c r="S813" s="27" t="s">
        <v>80</v>
      </c>
      <c r="T813" s="27" t="s">
        <v>80</v>
      </c>
      <c r="U813" s="55">
        <f>IF('Pegar ML'!AI809=" ",'Pegar ML'!AI808,'Pegar ML'!AI809)</f>
        <v>0</v>
      </c>
      <c r="V813" s="55">
        <f>IF('Pegar ML'!AK809=" ",'Pegar ML'!AK808,'Pegar ML'!AK809)</f>
        <v>0</v>
      </c>
      <c r="W813" s="55">
        <f>IF('Pegar ML'!AJ809=" ",'Pegar ML'!AJ808,'Pegar ML'!AJ809)</f>
        <v>0</v>
      </c>
      <c r="X813" s="55">
        <f>IF('Pegar ML'!AL809=" ",'Pegar ML'!AL808,'Pegar ML'!AL809)</f>
        <v>0</v>
      </c>
      <c r="Y813" s="27"/>
      <c r="Z813" s="27"/>
      <c r="AA813" s="27"/>
      <c r="AB813" s="27"/>
      <c r="AC813" s="27"/>
      <c r="AD813" s="27"/>
      <c r="AF813" s="8"/>
      <c r="AG813" s="27"/>
      <c r="AH813" s="14">
        <f>+'Pegar ML'!Y809</f>
        <v>0</v>
      </c>
      <c r="AI813" s="13">
        <f t="shared" si="37"/>
        <v>1</v>
      </c>
      <c r="AJ813" s="7">
        <f>+'Pegar ML'!T809</f>
        <v>0</v>
      </c>
      <c r="AK813" s="27"/>
      <c r="AL813" s="27"/>
      <c r="AM813" s="27"/>
      <c r="AN813" s="27"/>
      <c r="AO813" s="27"/>
      <c r="AP813" s="27"/>
      <c r="AQ813" s="27"/>
      <c r="AR813" s="27"/>
      <c r="AS813" s="27">
        <v>17</v>
      </c>
    </row>
    <row r="814" spans="1:45" ht="15" customHeight="1" x14ac:dyDescent="0.25">
      <c r="A814" s="27">
        <f>IF('Pegar ML'!C809="Paquete de 2 productos",'Pegar ML'!A809,IF('Pegar ML'!C808="Paquete de 2 productos",'Pegar ML'!A808,'Pegar ML'!A810))</f>
        <v>0</v>
      </c>
      <c r="B814" s="27"/>
      <c r="C814" s="30" t="str">
        <f>IF(AjusteFecha!I810=0,"",AjusteFecha!I810)</f>
        <v/>
      </c>
      <c r="D814" s="27"/>
      <c r="E814" s="27"/>
      <c r="F814" s="27" t="str">
        <f>IF('Pegar ML'!C810="","",'Pegar ML'!C810)</f>
        <v/>
      </c>
      <c r="G814" s="27" t="str">
        <f>IF('Pegar ML'!G805="ARS","PS","PS")</f>
        <v>PS</v>
      </c>
      <c r="H814" s="14">
        <f>IF('Pegar ML'!C809="Paquete de 2 productos",IF('Pegar ML'!H809="",0,'Pegar ML'!H809),IF('Pegar ML'!H810="",0,'Pegar ML'!H810))</f>
        <v>0</v>
      </c>
      <c r="I814" s="14">
        <f>IF('Pegar ML'!C809="Paquete de 2 productos",IF('Pegar ML'!O809="",0,'Pegar ML'!O809),IF('Pegar ML'!O810="",0,'Pegar ML'!O810))</f>
        <v>0</v>
      </c>
      <c r="J814" s="14">
        <f>IF('Pegar ML'!C809="Paquete de 2 productos",IF('Pegar ML'!O809="",0,'Pegar ML'!O809),IF('Pegar ML'!O810="",0,'Pegar ML'!O810))</f>
        <v>0</v>
      </c>
      <c r="K814" s="14">
        <f t="shared" si="38"/>
        <v>0</v>
      </c>
      <c r="L814" s="27">
        <f>IF('Pegar ML'!AB810=" ",'Pegar ML'!AB809,'Pegar ML'!AB810)</f>
        <v>0</v>
      </c>
      <c r="M814" s="27" t="str">
        <f>IF('Pegar ML'!AC810=" ",RIGHT('Pegar ML'!AC809,8),RIGHT('Pegar ML'!AC810,8))</f>
        <v/>
      </c>
      <c r="N814" s="27" t="s">
        <v>80</v>
      </c>
      <c r="O814" s="27">
        <f t="shared" si="36"/>
        <v>0</v>
      </c>
      <c r="P814" s="27" t="s">
        <v>80</v>
      </c>
      <c r="Q814" s="55">
        <f>IF('Pegar ML'!AD810=" ",'Pegar ML'!AD809,'Pegar ML'!AD810)</f>
        <v>0</v>
      </c>
      <c r="R814" s="27" t="s">
        <v>80</v>
      </c>
      <c r="S814" s="27" t="s">
        <v>80</v>
      </c>
      <c r="T814" s="27" t="s">
        <v>80</v>
      </c>
      <c r="U814" s="55">
        <f>IF('Pegar ML'!AI810=" ",'Pegar ML'!AI809,'Pegar ML'!AI810)</f>
        <v>0</v>
      </c>
      <c r="V814" s="55">
        <f>IF('Pegar ML'!AK810=" ",'Pegar ML'!AK809,'Pegar ML'!AK810)</f>
        <v>0</v>
      </c>
      <c r="W814" s="55">
        <f>IF('Pegar ML'!AJ810=" ",'Pegar ML'!AJ809,'Pegar ML'!AJ810)</f>
        <v>0</v>
      </c>
      <c r="X814" s="55">
        <f>IF('Pegar ML'!AL810=" ",'Pegar ML'!AL809,'Pegar ML'!AL810)</f>
        <v>0</v>
      </c>
      <c r="Y814" s="27"/>
      <c r="Z814" s="27"/>
      <c r="AA814" s="27"/>
      <c r="AB814" s="27"/>
      <c r="AC814" s="27"/>
      <c r="AD814" s="27"/>
      <c r="AF814" s="8"/>
      <c r="AG814" s="27"/>
      <c r="AH814" s="14">
        <f>+'Pegar ML'!Y810</f>
        <v>0</v>
      </c>
      <c r="AI814" s="13">
        <f t="shared" si="37"/>
        <v>1</v>
      </c>
      <c r="AJ814" s="7">
        <f>+'Pegar ML'!T810</f>
        <v>0</v>
      </c>
      <c r="AK814" s="27"/>
      <c r="AL814" s="27"/>
      <c r="AM814" s="27"/>
      <c r="AN814" s="27"/>
      <c r="AO814" s="27"/>
      <c r="AP814" s="27"/>
      <c r="AQ814" s="27"/>
      <c r="AR814" s="27"/>
      <c r="AS814" s="27">
        <v>17</v>
      </c>
    </row>
    <row r="815" spans="1:45" ht="15" customHeight="1" x14ac:dyDescent="0.25">
      <c r="A815" s="27">
        <f>IF('Pegar ML'!C810="Paquete de 2 productos",'Pegar ML'!A810,IF('Pegar ML'!C809="Paquete de 2 productos",'Pegar ML'!A809,'Pegar ML'!A811))</f>
        <v>0</v>
      </c>
      <c r="B815" s="27"/>
      <c r="C815" s="30" t="str">
        <f>IF(AjusteFecha!I811=0,"",AjusteFecha!I811)</f>
        <v/>
      </c>
      <c r="D815" s="27"/>
      <c r="E815" s="27"/>
      <c r="F815" s="27" t="str">
        <f>IF('Pegar ML'!C811="","",'Pegar ML'!C811)</f>
        <v/>
      </c>
      <c r="G815" s="27" t="str">
        <f>IF('Pegar ML'!G806="ARS","PS","PS")</f>
        <v>PS</v>
      </c>
      <c r="H815" s="14">
        <f>IF('Pegar ML'!C810="Paquete de 2 productos",IF('Pegar ML'!H810="",0,'Pegar ML'!H810),IF('Pegar ML'!H811="",0,'Pegar ML'!H811))</f>
        <v>0</v>
      </c>
      <c r="I815" s="14">
        <f>IF('Pegar ML'!C810="Paquete de 2 productos",IF('Pegar ML'!O810="",0,'Pegar ML'!O810),IF('Pegar ML'!O811="",0,'Pegar ML'!O811))</f>
        <v>0</v>
      </c>
      <c r="J815" s="14">
        <f>IF('Pegar ML'!C810="Paquete de 2 productos",IF('Pegar ML'!O810="",0,'Pegar ML'!O810),IF('Pegar ML'!O811="",0,'Pegar ML'!O811))</f>
        <v>0</v>
      </c>
      <c r="K815" s="14">
        <f t="shared" si="38"/>
        <v>0</v>
      </c>
      <c r="L815" s="27">
        <f>IF('Pegar ML'!AB811=" ",'Pegar ML'!AB810,'Pegar ML'!AB811)</f>
        <v>0</v>
      </c>
      <c r="M815" s="27" t="str">
        <f>IF('Pegar ML'!AC811=" ",RIGHT('Pegar ML'!AC810,8),RIGHT('Pegar ML'!AC811,8))</f>
        <v/>
      </c>
      <c r="N815" s="27" t="s">
        <v>80</v>
      </c>
      <c r="O815" s="27">
        <f t="shared" si="36"/>
        <v>0</v>
      </c>
      <c r="P815" s="27" t="s">
        <v>80</v>
      </c>
      <c r="Q815" s="55">
        <f>IF('Pegar ML'!AD811=" ",'Pegar ML'!AD810,'Pegar ML'!AD811)</f>
        <v>0</v>
      </c>
      <c r="R815" s="27" t="s">
        <v>80</v>
      </c>
      <c r="S815" s="27" t="s">
        <v>80</v>
      </c>
      <c r="T815" s="27" t="s">
        <v>80</v>
      </c>
      <c r="U815" s="55">
        <f>IF('Pegar ML'!AI811=" ",'Pegar ML'!AI810,'Pegar ML'!AI811)</f>
        <v>0</v>
      </c>
      <c r="V815" s="55">
        <f>IF('Pegar ML'!AK811=" ",'Pegar ML'!AK810,'Pegar ML'!AK811)</f>
        <v>0</v>
      </c>
      <c r="W815" s="55">
        <f>IF('Pegar ML'!AJ811=" ",'Pegar ML'!AJ810,'Pegar ML'!AJ811)</f>
        <v>0</v>
      </c>
      <c r="X815" s="55">
        <f>IF('Pegar ML'!AL811=" ",'Pegar ML'!AL810,'Pegar ML'!AL811)</f>
        <v>0</v>
      </c>
      <c r="Y815" s="27"/>
      <c r="Z815" s="27"/>
      <c r="AA815" s="27"/>
      <c r="AB815" s="27"/>
      <c r="AC815" s="27"/>
      <c r="AD815" s="27"/>
      <c r="AF815" s="8"/>
      <c r="AG815" s="27"/>
      <c r="AH815" s="14">
        <f>+'Pegar ML'!Y811</f>
        <v>0</v>
      </c>
      <c r="AI815" s="13">
        <f t="shared" si="37"/>
        <v>1</v>
      </c>
      <c r="AJ815" s="7">
        <f>+'Pegar ML'!T811</f>
        <v>0</v>
      </c>
      <c r="AK815" s="27"/>
      <c r="AL815" s="27"/>
      <c r="AM815" s="27"/>
      <c r="AN815" s="27"/>
      <c r="AO815" s="27"/>
      <c r="AP815" s="27"/>
      <c r="AQ815" s="27"/>
      <c r="AR815" s="27"/>
      <c r="AS815" s="27">
        <v>17</v>
      </c>
    </row>
    <row r="816" spans="1:45" ht="15" customHeight="1" x14ac:dyDescent="0.25">
      <c r="A816" s="27">
        <f>IF('Pegar ML'!C811="Paquete de 2 productos",'Pegar ML'!A811,IF('Pegar ML'!C810="Paquete de 2 productos",'Pegar ML'!A810,'Pegar ML'!A812))</f>
        <v>0</v>
      </c>
      <c r="B816" s="27"/>
      <c r="C816" s="30" t="str">
        <f>IF(AjusteFecha!I812=0,"",AjusteFecha!I812)</f>
        <v/>
      </c>
      <c r="D816" s="27"/>
      <c r="E816" s="27"/>
      <c r="F816" s="27" t="str">
        <f>IF('Pegar ML'!C812="","",'Pegar ML'!C812)</f>
        <v/>
      </c>
      <c r="G816" s="27" t="str">
        <f>IF('Pegar ML'!G807="ARS","PS","PS")</f>
        <v>PS</v>
      </c>
      <c r="H816" s="14">
        <f>IF('Pegar ML'!C811="Paquete de 2 productos",IF('Pegar ML'!H811="",0,'Pegar ML'!H811),IF('Pegar ML'!H812="",0,'Pegar ML'!H812))</f>
        <v>0</v>
      </c>
      <c r="I816" s="14">
        <f>IF('Pegar ML'!C811="Paquete de 2 productos",IF('Pegar ML'!O811="",0,'Pegar ML'!O811),IF('Pegar ML'!O812="",0,'Pegar ML'!O812))</f>
        <v>0</v>
      </c>
      <c r="J816" s="14">
        <f>IF('Pegar ML'!C811="Paquete de 2 productos",IF('Pegar ML'!O811="",0,'Pegar ML'!O811),IF('Pegar ML'!O812="",0,'Pegar ML'!O812))</f>
        <v>0</v>
      </c>
      <c r="K816" s="14">
        <f t="shared" si="38"/>
        <v>0</v>
      </c>
      <c r="L816" s="27">
        <f>IF('Pegar ML'!AB812=" ",'Pegar ML'!AB811,'Pegar ML'!AB812)</f>
        <v>0</v>
      </c>
      <c r="M816" s="27" t="str">
        <f>IF('Pegar ML'!AC812=" ",RIGHT('Pegar ML'!AC811,8),RIGHT('Pegar ML'!AC812,8))</f>
        <v/>
      </c>
      <c r="N816" s="27" t="s">
        <v>80</v>
      </c>
      <c r="O816" s="27">
        <f t="shared" si="36"/>
        <v>0</v>
      </c>
      <c r="P816" s="27" t="s">
        <v>80</v>
      </c>
      <c r="Q816" s="55">
        <f>IF('Pegar ML'!AD812=" ",'Pegar ML'!AD811,'Pegar ML'!AD812)</f>
        <v>0</v>
      </c>
      <c r="R816" s="27" t="s">
        <v>80</v>
      </c>
      <c r="S816" s="27" t="s">
        <v>80</v>
      </c>
      <c r="T816" s="27" t="s">
        <v>80</v>
      </c>
      <c r="U816" s="55">
        <f>IF('Pegar ML'!AI812=" ",'Pegar ML'!AI811,'Pegar ML'!AI812)</f>
        <v>0</v>
      </c>
      <c r="V816" s="55">
        <f>IF('Pegar ML'!AK812=" ",'Pegar ML'!AK811,'Pegar ML'!AK812)</f>
        <v>0</v>
      </c>
      <c r="W816" s="55">
        <f>IF('Pegar ML'!AJ812=" ",'Pegar ML'!AJ811,'Pegar ML'!AJ812)</f>
        <v>0</v>
      </c>
      <c r="X816" s="55">
        <f>IF('Pegar ML'!AL812=" ",'Pegar ML'!AL811,'Pegar ML'!AL812)</f>
        <v>0</v>
      </c>
      <c r="Y816" s="27"/>
      <c r="Z816" s="27"/>
      <c r="AA816" s="27"/>
      <c r="AB816" s="27"/>
      <c r="AC816" s="27"/>
      <c r="AD816" s="27"/>
      <c r="AF816" s="8"/>
      <c r="AG816" s="27"/>
      <c r="AH816" s="14">
        <f>+'Pegar ML'!Y812</f>
        <v>0</v>
      </c>
      <c r="AI816" s="13">
        <f t="shared" si="37"/>
        <v>1</v>
      </c>
      <c r="AJ816" s="7">
        <f>+'Pegar ML'!T812</f>
        <v>0</v>
      </c>
      <c r="AK816" s="27"/>
      <c r="AL816" s="27"/>
      <c r="AM816" s="27"/>
      <c r="AN816" s="27"/>
      <c r="AO816" s="27"/>
      <c r="AP816" s="27"/>
      <c r="AQ816" s="27"/>
      <c r="AR816" s="27"/>
      <c r="AS816" s="27">
        <v>17</v>
      </c>
    </row>
    <row r="817" spans="1:45" ht="15" customHeight="1" x14ac:dyDescent="0.25">
      <c r="A817" s="27">
        <f>IF('Pegar ML'!C812="Paquete de 2 productos",'Pegar ML'!A812,IF('Pegar ML'!C811="Paquete de 2 productos",'Pegar ML'!A811,'Pegar ML'!A813))</f>
        <v>0</v>
      </c>
      <c r="B817" s="27"/>
      <c r="C817" s="30" t="str">
        <f>IF(AjusteFecha!I813=0,"",AjusteFecha!I813)</f>
        <v/>
      </c>
      <c r="D817" s="27"/>
      <c r="E817" s="27"/>
      <c r="F817" s="27" t="str">
        <f>IF('Pegar ML'!C813="","",'Pegar ML'!C813)</f>
        <v/>
      </c>
      <c r="G817" s="27" t="str">
        <f>IF('Pegar ML'!G808="ARS","PS","PS")</f>
        <v>PS</v>
      </c>
      <c r="H817" s="14">
        <f>IF('Pegar ML'!C812="Paquete de 2 productos",IF('Pegar ML'!H812="",0,'Pegar ML'!H812),IF('Pegar ML'!H813="",0,'Pegar ML'!H813))</f>
        <v>0</v>
      </c>
      <c r="I817" s="14">
        <f>IF('Pegar ML'!C812="Paquete de 2 productos",IF('Pegar ML'!O812="",0,'Pegar ML'!O812),IF('Pegar ML'!O813="",0,'Pegar ML'!O813))</f>
        <v>0</v>
      </c>
      <c r="J817" s="14">
        <f>IF('Pegar ML'!C812="Paquete de 2 productos",IF('Pegar ML'!O812="",0,'Pegar ML'!O812),IF('Pegar ML'!O813="",0,'Pegar ML'!O813))</f>
        <v>0</v>
      </c>
      <c r="K817" s="14">
        <f t="shared" si="38"/>
        <v>0</v>
      </c>
      <c r="L817" s="27">
        <f>IF('Pegar ML'!AB813=" ",'Pegar ML'!AB812,'Pegar ML'!AB813)</f>
        <v>0</v>
      </c>
      <c r="M817" s="27" t="str">
        <f>IF('Pegar ML'!AC813=" ",RIGHT('Pegar ML'!AC812,8),RIGHT('Pegar ML'!AC813,8))</f>
        <v/>
      </c>
      <c r="N817" s="27" t="s">
        <v>80</v>
      </c>
      <c r="O817" s="27">
        <f t="shared" si="36"/>
        <v>0</v>
      </c>
      <c r="P817" s="27" t="s">
        <v>80</v>
      </c>
      <c r="Q817" s="55">
        <f>IF('Pegar ML'!AD813=" ",'Pegar ML'!AD812,'Pegar ML'!AD813)</f>
        <v>0</v>
      </c>
      <c r="R817" s="27" t="s">
        <v>80</v>
      </c>
      <c r="S817" s="27" t="s">
        <v>80</v>
      </c>
      <c r="T817" s="27" t="s">
        <v>80</v>
      </c>
      <c r="U817" s="55">
        <f>IF('Pegar ML'!AI813=" ",'Pegar ML'!AI812,'Pegar ML'!AI813)</f>
        <v>0</v>
      </c>
      <c r="V817" s="55">
        <f>IF('Pegar ML'!AK813=" ",'Pegar ML'!AK812,'Pegar ML'!AK813)</f>
        <v>0</v>
      </c>
      <c r="W817" s="55">
        <f>IF('Pegar ML'!AJ813=" ",'Pegar ML'!AJ812,'Pegar ML'!AJ813)</f>
        <v>0</v>
      </c>
      <c r="X817" s="55">
        <f>IF('Pegar ML'!AL813=" ",'Pegar ML'!AL812,'Pegar ML'!AL813)</f>
        <v>0</v>
      </c>
      <c r="Y817" s="27"/>
      <c r="Z817" s="27"/>
      <c r="AA817" s="27"/>
      <c r="AB817" s="27"/>
      <c r="AC817" s="27"/>
      <c r="AD817" s="27"/>
      <c r="AF817" s="8"/>
      <c r="AG817" s="27"/>
      <c r="AH817" s="14">
        <f>+'Pegar ML'!Y813</f>
        <v>0</v>
      </c>
      <c r="AI817" s="13">
        <f t="shared" si="37"/>
        <v>1</v>
      </c>
      <c r="AJ817" s="7">
        <f>+'Pegar ML'!T813</f>
        <v>0</v>
      </c>
      <c r="AK817" s="27"/>
      <c r="AL817" s="27"/>
      <c r="AM817" s="27"/>
      <c r="AN817" s="27"/>
      <c r="AO817" s="27"/>
      <c r="AP817" s="27"/>
      <c r="AQ817" s="27"/>
      <c r="AR817" s="27"/>
      <c r="AS817" s="27">
        <v>17</v>
      </c>
    </row>
    <row r="818" spans="1:45" ht="15" customHeight="1" x14ac:dyDescent="0.25">
      <c r="A818" s="27">
        <f>IF('Pegar ML'!C813="Paquete de 2 productos",'Pegar ML'!A813,IF('Pegar ML'!C812="Paquete de 2 productos",'Pegar ML'!A812,'Pegar ML'!A814))</f>
        <v>0</v>
      </c>
      <c r="B818" s="27"/>
      <c r="C818" s="30" t="str">
        <f>IF(AjusteFecha!I814=0,"",AjusteFecha!I814)</f>
        <v/>
      </c>
      <c r="D818" s="27"/>
      <c r="E818" s="27"/>
      <c r="F818" s="27" t="str">
        <f>IF('Pegar ML'!C814="","",'Pegar ML'!C814)</f>
        <v/>
      </c>
      <c r="G818" s="27" t="str">
        <f>IF('Pegar ML'!G809="ARS","PS","PS")</f>
        <v>PS</v>
      </c>
      <c r="H818" s="14">
        <f>IF('Pegar ML'!C813="Paquete de 2 productos",IF('Pegar ML'!H813="",0,'Pegar ML'!H813),IF('Pegar ML'!H814="",0,'Pegar ML'!H814))</f>
        <v>0</v>
      </c>
      <c r="I818" s="14">
        <f>IF('Pegar ML'!C813="Paquete de 2 productos",IF('Pegar ML'!O813="",0,'Pegar ML'!O813),IF('Pegar ML'!O814="",0,'Pegar ML'!O814))</f>
        <v>0</v>
      </c>
      <c r="J818" s="14">
        <f>IF('Pegar ML'!C813="Paquete de 2 productos",IF('Pegar ML'!O813="",0,'Pegar ML'!O813),IF('Pegar ML'!O814="",0,'Pegar ML'!O814))</f>
        <v>0</v>
      </c>
      <c r="K818" s="14">
        <f t="shared" si="38"/>
        <v>0</v>
      </c>
      <c r="L818" s="27">
        <f>IF('Pegar ML'!AB814=" ",'Pegar ML'!AB813,'Pegar ML'!AB814)</f>
        <v>0</v>
      </c>
      <c r="M818" s="27" t="str">
        <f>IF('Pegar ML'!AC814=" ",RIGHT('Pegar ML'!AC813,8),RIGHT('Pegar ML'!AC814,8))</f>
        <v/>
      </c>
      <c r="N818" s="27" t="s">
        <v>80</v>
      </c>
      <c r="O818" s="27">
        <f t="shared" si="36"/>
        <v>0</v>
      </c>
      <c r="P818" s="27" t="s">
        <v>80</v>
      </c>
      <c r="Q818" s="55">
        <f>IF('Pegar ML'!AD814=" ",'Pegar ML'!AD813,'Pegar ML'!AD814)</f>
        <v>0</v>
      </c>
      <c r="R818" s="27" t="s">
        <v>80</v>
      </c>
      <c r="S818" s="27" t="s">
        <v>80</v>
      </c>
      <c r="T818" s="27" t="s">
        <v>80</v>
      </c>
      <c r="U818" s="55">
        <f>IF('Pegar ML'!AI814=" ",'Pegar ML'!AI813,'Pegar ML'!AI814)</f>
        <v>0</v>
      </c>
      <c r="V818" s="55">
        <f>IF('Pegar ML'!AK814=" ",'Pegar ML'!AK813,'Pegar ML'!AK814)</f>
        <v>0</v>
      </c>
      <c r="W818" s="55">
        <f>IF('Pegar ML'!AJ814=" ",'Pegar ML'!AJ813,'Pegar ML'!AJ814)</f>
        <v>0</v>
      </c>
      <c r="X818" s="55">
        <f>IF('Pegar ML'!AL814=" ",'Pegar ML'!AL813,'Pegar ML'!AL814)</f>
        <v>0</v>
      </c>
      <c r="Y818" s="27"/>
      <c r="Z818" s="27"/>
      <c r="AA818" s="27"/>
      <c r="AB818" s="27"/>
      <c r="AC818" s="27"/>
      <c r="AD818" s="27"/>
      <c r="AF818" s="8"/>
      <c r="AG818" s="27"/>
      <c r="AH818" s="14">
        <f>+'Pegar ML'!Y814</f>
        <v>0</v>
      </c>
      <c r="AI818" s="13">
        <f t="shared" si="37"/>
        <v>1</v>
      </c>
      <c r="AJ818" s="7">
        <f>+'Pegar ML'!T814</f>
        <v>0</v>
      </c>
      <c r="AK818" s="27"/>
      <c r="AL818" s="27"/>
      <c r="AM818" s="27"/>
      <c r="AN818" s="27"/>
      <c r="AO818" s="27"/>
      <c r="AP818" s="27"/>
      <c r="AQ818" s="27"/>
      <c r="AR818" s="27"/>
      <c r="AS818" s="27">
        <v>17</v>
      </c>
    </row>
    <row r="819" spans="1:45" ht="15" customHeight="1" x14ac:dyDescent="0.25">
      <c r="A819" s="27">
        <f>IF('Pegar ML'!C814="Paquete de 2 productos",'Pegar ML'!A814,IF('Pegar ML'!C813="Paquete de 2 productos",'Pegar ML'!A813,'Pegar ML'!A815))</f>
        <v>0</v>
      </c>
      <c r="B819" s="27"/>
      <c r="C819" s="30" t="str">
        <f>IF(AjusteFecha!I815=0,"",AjusteFecha!I815)</f>
        <v/>
      </c>
      <c r="D819" s="27"/>
      <c r="E819" s="27"/>
      <c r="F819" s="27" t="str">
        <f>IF('Pegar ML'!C815="","",'Pegar ML'!C815)</f>
        <v/>
      </c>
      <c r="G819" s="27" t="str">
        <f>IF('Pegar ML'!G810="ARS","PS","PS")</f>
        <v>PS</v>
      </c>
      <c r="H819" s="14">
        <f>IF('Pegar ML'!C814="Paquete de 2 productos",IF('Pegar ML'!H814="",0,'Pegar ML'!H814),IF('Pegar ML'!H815="",0,'Pegar ML'!H815))</f>
        <v>0</v>
      </c>
      <c r="I819" s="14">
        <f>IF('Pegar ML'!C814="Paquete de 2 productos",IF('Pegar ML'!O814="",0,'Pegar ML'!O814),IF('Pegar ML'!O815="",0,'Pegar ML'!O815))</f>
        <v>0</v>
      </c>
      <c r="J819" s="14">
        <f>IF('Pegar ML'!C814="Paquete de 2 productos",IF('Pegar ML'!O814="",0,'Pegar ML'!O814),IF('Pegar ML'!O815="",0,'Pegar ML'!O815))</f>
        <v>0</v>
      </c>
      <c r="K819" s="14">
        <f t="shared" si="38"/>
        <v>0</v>
      </c>
      <c r="L819" s="27">
        <f>IF('Pegar ML'!AB815=" ",'Pegar ML'!AB814,'Pegar ML'!AB815)</f>
        <v>0</v>
      </c>
      <c r="M819" s="27" t="str">
        <f>IF('Pegar ML'!AC815=" ",RIGHT('Pegar ML'!AC814,8),RIGHT('Pegar ML'!AC815,8))</f>
        <v/>
      </c>
      <c r="N819" s="27" t="s">
        <v>80</v>
      </c>
      <c r="O819" s="27">
        <f t="shared" si="36"/>
        <v>0</v>
      </c>
      <c r="P819" s="27" t="s">
        <v>80</v>
      </c>
      <c r="Q819" s="55">
        <f>IF('Pegar ML'!AD815=" ",'Pegar ML'!AD814,'Pegar ML'!AD815)</f>
        <v>0</v>
      </c>
      <c r="R819" s="27" t="s">
        <v>80</v>
      </c>
      <c r="S819" s="27" t="s">
        <v>80</v>
      </c>
      <c r="T819" s="27" t="s">
        <v>80</v>
      </c>
      <c r="U819" s="55">
        <f>IF('Pegar ML'!AI815=" ",'Pegar ML'!AI814,'Pegar ML'!AI815)</f>
        <v>0</v>
      </c>
      <c r="V819" s="55">
        <f>IF('Pegar ML'!AK815=" ",'Pegar ML'!AK814,'Pegar ML'!AK815)</f>
        <v>0</v>
      </c>
      <c r="W819" s="55">
        <f>IF('Pegar ML'!AJ815=" ",'Pegar ML'!AJ814,'Pegar ML'!AJ815)</f>
        <v>0</v>
      </c>
      <c r="X819" s="55">
        <f>IF('Pegar ML'!AL815=" ",'Pegar ML'!AL814,'Pegar ML'!AL815)</f>
        <v>0</v>
      </c>
      <c r="Y819" s="27"/>
      <c r="Z819" s="27"/>
      <c r="AA819" s="27"/>
      <c r="AB819" s="27"/>
      <c r="AC819" s="27"/>
      <c r="AD819" s="27"/>
      <c r="AF819" s="8"/>
      <c r="AG819" s="27"/>
      <c r="AH819" s="14">
        <f>+'Pegar ML'!Y815</f>
        <v>0</v>
      </c>
      <c r="AI819" s="13">
        <f t="shared" si="37"/>
        <v>1</v>
      </c>
      <c r="AJ819" s="7">
        <f>+'Pegar ML'!T815</f>
        <v>0</v>
      </c>
      <c r="AK819" s="27"/>
      <c r="AL819" s="27"/>
      <c r="AM819" s="27"/>
      <c r="AN819" s="27"/>
      <c r="AO819" s="27"/>
      <c r="AP819" s="27"/>
      <c r="AQ819" s="27"/>
      <c r="AR819" s="27"/>
      <c r="AS819" s="27">
        <v>17</v>
      </c>
    </row>
    <row r="820" spans="1:45" ht="15" customHeight="1" x14ac:dyDescent="0.25">
      <c r="A820" s="27">
        <f>IF('Pegar ML'!C815="Paquete de 2 productos",'Pegar ML'!A815,IF('Pegar ML'!C814="Paquete de 2 productos",'Pegar ML'!A814,'Pegar ML'!A816))</f>
        <v>0</v>
      </c>
      <c r="B820" s="27"/>
      <c r="C820" s="30" t="str">
        <f>IF(AjusteFecha!I816=0,"",AjusteFecha!I816)</f>
        <v/>
      </c>
      <c r="D820" s="27"/>
      <c r="E820" s="27"/>
      <c r="F820" s="27" t="str">
        <f>IF('Pegar ML'!C816="","",'Pegar ML'!C816)</f>
        <v/>
      </c>
      <c r="G820" s="27" t="str">
        <f>IF('Pegar ML'!G811="ARS","PS","PS")</f>
        <v>PS</v>
      </c>
      <c r="H820" s="14">
        <f>IF('Pegar ML'!C815="Paquete de 2 productos",IF('Pegar ML'!H815="",0,'Pegar ML'!H815),IF('Pegar ML'!H816="",0,'Pegar ML'!H816))</f>
        <v>0</v>
      </c>
      <c r="I820" s="14">
        <f>IF('Pegar ML'!C815="Paquete de 2 productos",IF('Pegar ML'!O815="",0,'Pegar ML'!O815),IF('Pegar ML'!O816="",0,'Pegar ML'!O816))</f>
        <v>0</v>
      </c>
      <c r="J820" s="14">
        <f>IF('Pegar ML'!C815="Paquete de 2 productos",IF('Pegar ML'!O815="",0,'Pegar ML'!O815),IF('Pegar ML'!O816="",0,'Pegar ML'!O816))</f>
        <v>0</v>
      </c>
      <c r="K820" s="14">
        <f t="shared" si="38"/>
        <v>0</v>
      </c>
      <c r="L820" s="27">
        <f>IF('Pegar ML'!AB816=" ",'Pegar ML'!AB815,'Pegar ML'!AB816)</f>
        <v>0</v>
      </c>
      <c r="M820" s="27" t="str">
        <f>IF('Pegar ML'!AC816=" ",RIGHT('Pegar ML'!AC815,8),RIGHT('Pegar ML'!AC816,8))</f>
        <v/>
      </c>
      <c r="N820" s="27" t="s">
        <v>80</v>
      </c>
      <c r="O820" s="27">
        <f t="shared" si="36"/>
        <v>0</v>
      </c>
      <c r="P820" s="27" t="s">
        <v>80</v>
      </c>
      <c r="Q820" s="55">
        <f>IF('Pegar ML'!AD816=" ",'Pegar ML'!AD815,'Pegar ML'!AD816)</f>
        <v>0</v>
      </c>
      <c r="R820" s="27" t="s">
        <v>80</v>
      </c>
      <c r="S820" s="27" t="s">
        <v>80</v>
      </c>
      <c r="T820" s="27" t="s">
        <v>80</v>
      </c>
      <c r="U820" s="55">
        <f>IF('Pegar ML'!AI816=" ",'Pegar ML'!AI815,'Pegar ML'!AI816)</f>
        <v>0</v>
      </c>
      <c r="V820" s="55">
        <f>IF('Pegar ML'!AK816=" ",'Pegar ML'!AK815,'Pegar ML'!AK816)</f>
        <v>0</v>
      </c>
      <c r="W820" s="55">
        <f>IF('Pegar ML'!AJ816=" ",'Pegar ML'!AJ815,'Pegar ML'!AJ816)</f>
        <v>0</v>
      </c>
      <c r="X820" s="55">
        <f>IF('Pegar ML'!AL816=" ",'Pegar ML'!AL815,'Pegar ML'!AL816)</f>
        <v>0</v>
      </c>
      <c r="Y820" s="27"/>
      <c r="Z820" s="27"/>
      <c r="AA820" s="27"/>
      <c r="AB820" s="27"/>
      <c r="AC820" s="27"/>
      <c r="AD820" s="27"/>
      <c r="AF820" s="8"/>
      <c r="AG820" s="27"/>
      <c r="AH820" s="14">
        <f>+'Pegar ML'!Y816</f>
        <v>0</v>
      </c>
      <c r="AI820" s="13">
        <f t="shared" si="37"/>
        <v>1</v>
      </c>
      <c r="AJ820" s="7">
        <f>+'Pegar ML'!T816</f>
        <v>0</v>
      </c>
      <c r="AK820" s="27"/>
      <c r="AL820" s="27"/>
      <c r="AM820" s="27"/>
      <c r="AN820" s="27"/>
      <c r="AO820" s="27"/>
      <c r="AP820" s="27"/>
      <c r="AQ820" s="27"/>
      <c r="AR820" s="27"/>
      <c r="AS820" s="27">
        <v>17</v>
      </c>
    </row>
    <row r="821" spans="1:45" ht="15" customHeight="1" x14ac:dyDescent="0.25">
      <c r="A821" s="27">
        <f>IF('Pegar ML'!C816="Paquete de 2 productos",'Pegar ML'!A816,IF('Pegar ML'!C815="Paquete de 2 productos",'Pegar ML'!A815,'Pegar ML'!A817))</f>
        <v>0</v>
      </c>
      <c r="B821" s="27"/>
      <c r="C821" s="30" t="str">
        <f>IF(AjusteFecha!I817=0,"",AjusteFecha!I817)</f>
        <v/>
      </c>
      <c r="D821" s="27"/>
      <c r="E821" s="27"/>
      <c r="F821" s="27" t="str">
        <f>IF('Pegar ML'!C817="","",'Pegar ML'!C817)</f>
        <v/>
      </c>
      <c r="G821" s="27" t="str">
        <f>IF('Pegar ML'!G812="ARS","PS","PS")</f>
        <v>PS</v>
      </c>
      <c r="H821" s="14">
        <f>IF('Pegar ML'!C816="Paquete de 2 productos",IF('Pegar ML'!H816="",0,'Pegar ML'!H816),IF('Pegar ML'!H817="",0,'Pegar ML'!H817))</f>
        <v>0</v>
      </c>
      <c r="I821" s="14">
        <f>IF('Pegar ML'!C816="Paquete de 2 productos",IF('Pegar ML'!O816="",0,'Pegar ML'!O816),IF('Pegar ML'!O817="",0,'Pegar ML'!O817))</f>
        <v>0</v>
      </c>
      <c r="J821" s="14">
        <f>IF('Pegar ML'!C816="Paquete de 2 productos",IF('Pegar ML'!O816="",0,'Pegar ML'!O816),IF('Pegar ML'!O817="",0,'Pegar ML'!O817))</f>
        <v>0</v>
      </c>
      <c r="K821" s="14">
        <f t="shared" si="38"/>
        <v>0</v>
      </c>
      <c r="L821" s="27">
        <f>IF('Pegar ML'!AB817=" ",'Pegar ML'!AB816,'Pegar ML'!AB817)</f>
        <v>0</v>
      </c>
      <c r="M821" s="27" t="str">
        <f>IF('Pegar ML'!AC817=" ",RIGHT('Pegar ML'!AC816,8),RIGHT('Pegar ML'!AC817,8))</f>
        <v/>
      </c>
      <c r="N821" s="27" t="s">
        <v>80</v>
      </c>
      <c r="O821" s="27">
        <f t="shared" si="36"/>
        <v>0</v>
      </c>
      <c r="P821" s="27" t="s">
        <v>80</v>
      </c>
      <c r="Q821" s="55">
        <f>IF('Pegar ML'!AD817=" ",'Pegar ML'!AD816,'Pegar ML'!AD817)</f>
        <v>0</v>
      </c>
      <c r="R821" s="27" t="s">
        <v>80</v>
      </c>
      <c r="S821" s="27" t="s">
        <v>80</v>
      </c>
      <c r="T821" s="27" t="s">
        <v>80</v>
      </c>
      <c r="U821" s="55">
        <f>IF('Pegar ML'!AI817=" ",'Pegar ML'!AI816,'Pegar ML'!AI817)</f>
        <v>0</v>
      </c>
      <c r="V821" s="55">
        <f>IF('Pegar ML'!AK817=" ",'Pegar ML'!AK816,'Pegar ML'!AK817)</f>
        <v>0</v>
      </c>
      <c r="W821" s="55">
        <f>IF('Pegar ML'!AJ817=" ",'Pegar ML'!AJ816,'Pegar ML'!AJ817)</f>
        <v>0</v>
      </c>
      <c r="X821" s="55">
        <f>IF('Pegar ML'!AL817=" ",'Pegar ML'!AL816,'Pegar ML'!AL817)</f>
        <v>0</v>
      </c>
      <c r="Y821" s="27"/>
      <c r="Z821" s="27"/>
      <c r="AA821" s="27"/>
      <c r="AB821" s="27"/>
      <c r="AC821" s="27"/>
      <c r="AD821" s="27"/>
      <c r="AF821" s="8"/>
      <c r="AG821" s="27"/>
      <c r="AH821" s="14">
        <f>+'Pegar ML'!Y817</f>
        <v>0</v>
      </c>
      <c r="AI821" s="13">
        <f t="shared" si="37"/>
        <v>1</v>
      </c>
      <c r="AJ821" s="7">
        <f>+'Pegar ML'!T817</f>
        <v>0</v>
      </c>
      <c r="AK821" s="27"/>
      <c r="AL821" s="27"/>
      <c r="AM821" s="27"/>
      <c r="AN821" s="27"/>
      <c r="AO821" s="27"/>
      <c r="AP821" s="27"/>
      <c r="AQ821" s="27"/>
      <c r="AR821" s="27"/>
      <c r="AS821" s="27">
        <v>17</v>
      </c>
    </row>
    <row r="822" spans="1:45" ht="15" customHeight="1" x14ac:dyDescent="0.25">
      <c r="A822" s="27">
        <f>IF('Pegar ML'!C817="Paquete de 2 productos",'Pegar ML'!A817,IF('Pegar ML'!C816="Paquete de 2 productos",'Pegar ML'!A816,'Pegar ML'!A818))</f>
        <v>0</v>
      </c>
      <c r="B822" s="27"/>
      <c r="C822" s="30" t="str">
        <f>IF(AjusteFecha!I818=0,"",AjusteFecha!I818)</f>
        <v/>
      </c>
      <c r="D822" s="27"/>
      <c r="E822" s="27"/>
      <c r="F822" s="27" t="str">
        <f>IF('Pegar ML'!C818="","",'Pegar ML'!C818)</f>
        <v/>
      </c>
      <c r="G822" s="27" t="str">
        <f>IF('Pegar ML'!G813="ARS","PS","PS")</f>
        <v>PS</v>
      </c>
      <c r="H822" s="14">
        <f>IF('Pegar ML'!C817="Paquete de 2 productos",IF('Pegar ML'!H817="",0,'Pegar ML'!H817),IF('Pegar ML'!H818="",0,'Pegar ML'!H818))</f>
        <v>0</v>
      </c>
      <c r="I822" s="14">
        <f>IF('Pegar ML'!C817="Paquete de 2 productos",IF('Pegar ML'!O817="",0,'Pegar ML'!O817),IF('Pegar ML'!O818="",0,'Pegar ML'!O818))</f>
        <v>0</v>
      </c>
      <c r="J822" s="14">
        <f>IF('Pegar ML'!C817="Paquete de 2 productos",IF('Pegar ML'!O817="",0,'Pegar ML'!O817),IF('Pegar ML'!O818="",0,'Pegar ML'!O818))</f>
        <v>0</v>
      </c>
      <c r="K822" s="14">
        <f t="shared" si="38"/>
        <v>0</v>
      </c>
      <c r="L822" s="27">
        <f>IF('Pegar ML'!AB818=" ",'Pegar ML'!AB817,'Pegar ML'!AB818)</f>
        <v>0</v>
      </c>
      <c r="M822" s="27" t="str">
        <f>IF('Pegar ML'!AC818=" ",RIGHT('Pegar ML'!AC817,8),RIGHT('Pegar ML'!AC818,8))</f>
        <v/>
      </c>
      <c r="N822" s="27" t="s">
        <v>80</v>
      </c>
      <c r="O822" s="27">
        <f t="shared" si="36"/>
        <v>0</v>
      </c>
      <c r="P822" s="27" t="s">
        <v>80</v>
      </c>
      <c r="Q822" s="55">
        <f>IF('Pegar ML'!AD818=" ",'Pegar ML'!AD817,'Pegar ML'!AD818)</f>
        <v>0</v>
      </c>
      <c r="R822" s="27" t="s">
        <v>80</v>
      </c>
      <c r="S822" s="27" t="s">
        <v>80</v>
      </c>
      <c r="T822" s="27" t="s">
        <v>80</v>
      </c>
      <c r="U822" s="55">
        <f>IF('Pegar ML'!AI818=" ",'Pegar ML'!AI817,'Pegar ML'!AI818)</f>
        <v>0</v>
      </c>
      <c r="V822" s="55">
        <f>IF('Pegar ML'!AK818=" ",'Pegar ML'!AK817,'Pegar ML'!AK818)</f>
        <v>0</v>
      </c>
      <c r="W822" s="55">
        <f>IF('Pegar ML'!AJ818=" ",'Pegar ML'!AJ817,'Pegar ML'!AJ818)</f>
        <v>0</v>
      </c>
      <c r="X822" s="55">
        <f>IF('Pegar ML'!AL818=" ",'Pegar ML'!AL817,'Pegar ML'!AL818)</f>
        <v>0</v>
      </c>
      <c r="Y822" s="27"/>
      <c r="Z822" s="27"/>
      <c r="AA822" s="27"/>
      <c r="AB822" s="27"/>
      <c r="AC822" s="27"/>
      <c r="AD822" s="27"/>
      <c r="AF822" s="8"/>
      <c r="AG822" s="27"/>
      <c r="AH822" s="14">
        <f>+'Pegar ML'!Y818</f>
        <v>0</v>
      </c>
      <c r="AI822" s="13">
        <f t="shared" si="37"/>
        <v>1</v>
      </c>
      <c r="AJ822" s="7">
        <f>+'Pegar ML'!T818</f>
        <v>0</v>
      </c>
      <c r="AK822" s="27"/>
      <c r="AL822" s="27"/>
      <c r="AM822" s="27"/>
      <c r="AN822" s="27"/>
      <c r="AO822" s="27"/>
      <c r="AP822" s="27"/>
      <c r="AQ822" s="27"/>
      <c r="AR822" s="27"/>
      <c r="AS822" s="27">
        <v>17</v>
      </c>
    </row>
    <row r="823" spans="1:45" ht="15" customHeight="1" x14ac:dyDescent="0.25">
      <c r="A823" s="27">
        <f>IF('Pegar ML'!C818="Paquete de 2 productos",'Pegar ML'!A818,IF('Pegar ML'!C817="Paquete de 2 productos",'Pegar ML'!A817,'Pegar ML'!A819))</f>
        <v>0</v>
      </c>
      <c r="B823" s="27"/>
      <c r="C823" s="30" t="str">
        <f>IF(AjusteFecha!I819=0,"",AjusteFecha!I819)</f>
        <v/>
      </c>
      <c r="D823" s="27"/>
      <c r="E823" s="27"/>
      <c r="F823" s="27" t="str">
        <f>IF('Pegar ML'!C819="","",'Pegar ML'!C819)</f>
        <v/>
      </c>
      <c r="G823" s="27" t="str">
        <f>IF('Pegar ML'!G814="ARS","PS","PS")</f>
        <v>PS</v>
      </c>
      <c r="H823" s="14">
        <f>IF('Pegar ML'!C818="Paquete de 2 productos",IF('Pegar ML'!H818="",0,'Pegar ML'!H818),IF('Pegar ML'!H819="",0,'Pegar ML'!H819))</f>
        <v>0</v>
      </c>
      <c r="I823" s="14">
        <f>IF('Pegar ML'!C818="Paquete de 2 productos",IF('Pegar ML'!O818="",0,'Pegar ML'!O818),IF('Pegar ML'!O819="",0,'Pegar ML'!O819))</f>
        <v>0</v>
      </c>
      <c r="J823" s="14">
        <f>IF('Pegar ML'!C818="Paquete de 2 productos",IF('Pegar ML'!O818="",0,'Pegar ML'!O818),IF('Pegar ML'!O819="",0,'Pegar ML'!O819))</f>
        <v>0</v>
      </c>
      <c r="K823" s="14">
        <f t="shared" si="38"/>
        <v>0</v>
      </c>
      <c r="L823" s="27">
        <f>IF('Pegar ML'!AB819=" ",'Pegar ML'!AB818,'Pegar ML'!AB819)</f>
        <v>0</v>
      </c>
      <c r="M823" s="27" t="str">
        <f>IF('Pegar ML'!AC819=" ",RIGHT('Pegar ML'!AC818,8),RIGHT('Pegar ML'!AC819,8))</f>
        <v/>
      </c>
      <c r="N823" s="27" t="s">
        <v>80</v>
      </c>
      <c r="O823" s="27">
        <f t="shared" si="36"/>
        <v>0</v>
      </c>
      <c r="P823" s="27" t="s">
        <v>80</v>
      </c>
      <c r="Q823" s="55">
        <f>IF('Pegar ML'!AD819=" ",'Pegar ML'!AD818,'Pegar ML'!AD819)</f>
        <v>0</v>
      </c>
      <c r="R823" s="27" t="s">
        <v>80</v>
      </c>
      <c r="S823" s="27" t="s">
        <v>80</v>
      </c>
      <c r="T823" s="27" t="s">
        <v>80</v>
      </c>
      <c r="U823" s="55">
        <f>IF('Pegar ML'!AI819=" ",'Pegar ML'!AI818,'Pegar ML'!AI819)</f>
        <v>0</v>
      </c>
      <c r="V823" s="55">
        <f>IF('Pegar ML'!AK819=" ",'Pegar ML'!AK818,'Pegar ML'!AK819)</f>
        <v>0</v>
      </c>
      <c r="W823" s="55">
        <f>IF('Pegar ML'!AJ819=" ",'Pegar ML'!AJ818,'Pegar ML'!AJ819)</f>
        <v>0</v>
      </c>
      <c r="X823" s="55">
        <f>IF('Pegar ML'!AL819=" ",'Pegar ML'!AL818,'Pegar ML'!AL819)</f>
        <v>0</v>
      </c>
      <c r="Y823" s="27"/>
      <c r="Z823" s="27"/>
      <c r="AA823" s="27"/>
      <c r="AB823" s="27"/>
      <c r="AC823" s="27"/>
      <c r="AD823" s="27"/>
      <c r="AF823" s="8"/>
      <c r="AG823" s="27"/>
      <c r="AH823" s="14">
        <f>+'Pegar ML'!Y819</f>
        <v>0</v>
      </c>
      <c r="AI823" s="13">
        <f t="shared" si="37"/>
        <v>1</v>
      </c>
      <c r="AJ823" s="7">
        <f>+'Pegar ML'!T819</f>
        <v>0</v>
      </c>
      <c r="AK823" s="27"/>
      <c r="AL823" s="27"/>
      <c r="AM823" s="27"/>
      <c r="AN823" s="27"/>
      <c r="AO823" s="27"/>
      <c r="AP823" s="27"/>
      <c r="AQ823" s="27"/>
      <c r="AR823" s="27"/>
      <c r="AS823" s="27">
        <v>17</v>
      </c>
    </row>
    <row r="824" spans="1:45" ht="15" customHeight="1" x14ac:dyDescent="0.25">
      <c r="A824" s="27">
        <f>IF('Pegar ML'!C819="Paquete de 2 productos",'Pegar ML'!A819,IF('Pegar ML'!C818="Paquete de 2 productos",'Pegar ML'!A818,'Pegar ML'!A820))</f>
        <v>0</v>
      </c>
      <c r="B824" s="27"/>
      <c r="C824" s="30" t="str">
        <f>IF(AjusteFecha!I820=0,"",AjusteFecha!I820)</f>
        <v/>
      </c>
      <c r="D824" s="27"/>
      <c r="E824" s="27"/>
      <c r="F824" s="27" t="str">
        <f>IF('Pegar ML'!C820="","",'Pegar ML'!C820)</f>
        <v/>
      </c>
      <c r="G824" s="27" t="str">
        <f>IF('Pegar ML'!G815="ARS","PS","PS")</f>
        <v>PS</v>
      </c>
      <c r="H824" s="14">
        <f>IF('Pegar ML'!C819="Paquete de 2 productos",IF('Pegar ML'!H819="",0,'Pegar ML'!H819),IF('Pegar ML'!H820="",0,'Pegar ML'!H820))</f>
        <v>0</v>
      </c>
      <c r="I824" s="14">
        <f>IF('Pegar ML'!C819="Paquete de 2 productos",IF('Pegar ML'!O819="",0,'Pegar ML'!O819),IF('Pegar ML'!O820="",0,'Pegar ML'!O820))</f>
        <v>0</v>
      </c>
      <c r="J824" s="14">
        <f>IF('Pegar ML'!C819="Paquete de 2 productos",IF('Pegar ML'!O819="",0,'Pegar ML'!O819),IF('Pegar ML'!O820="",0,'Pegar ML'!O820))</f>
        <v>0</v>
      </c>
      <c r="K824" s="14">
        <f t="shared" si="38"/>
        <v>0</v>
      </c>
      <c r="L824" s="27">
        <f>IF('Pegar ML'!AB820=" ",'Pegar ML'!AB819,'Pegar ML'!AB820)</f>
        <v>0</v>
      </c>
      <c r="M824" s="27" t="str">
        <f>IF('Pegar ML'!AC820=" ",RIGHT('Pegar ML'!AC819,8),RIGHT('Pegar ML'!AC820,8))</f>
        <v/>
      </c>
      <c r="N824" s="27" t="s">
        <v>80</v>
      </c>
      <c r="O824" s="27">
        <f t="shared" si="36"/>
        <v>0</v>
      </c>
      <c r="P824" s="27" t="s">
        <v>80</v>
      </c>
      <c r="Q824" s="55">
        <f>IF('Pegar ML'!AD820=" ",'Pegar ML'!AD819,'Pegar ML'!AD820)</f>
        <v>0</v>
      </c>
      <c r="R824" s="27" t="s">
        <v>80</v>
      </c>
      <c r="S824" s="27" t="s">
        <v>80</v>
      </c>
      <c r="T824" s="27" t="s">
        <v>80</v>
      </c>
      <c r="U824" s="55">
        <f>IF('Pegar ML'!AI820=" ",'Pegar ML'!AI819,'Pegar ML'!AI820)</f>
        <v>0</v>
      </c>
      <c r="V824" s="55">
        <f>IF('Pegar ML'!AK820=" ",'Pegar ML'!AK819,'Pegar ML'!AK820)</f>
        <v>0</v>
      </c>
      <c r="W824" s="55">
        <f>IF('Pegar ML'!AJ820=" ",'Pegar ML'!AJ819,'Pegar ML'!AJ820)</f>
        <v>0</v>
      </c>
      <c r="X824" s="55">
        <f>IF('Pegar ML'!AL820=" ",'Pegar ML'!AL819,'Pegar ML'!AL820)</f>
        <v>0</v>
      </c>
      <c r="Y824" s="27"/>
      <c r="Z824" s="27"/>
      <c r="AA824" s="27"/>
      <c r="AB824" s="27"/>
      <c r="AC824" s="27"/>
      <c r="AD824" s="27"/>
      <c r="AF824" s="8"/>
      <c r="AG824" s="27"/>
      <c r="AH824" s="14">
        <f>+'Pegar ML'!Y820</f>
        <v>0</v>
      </c>
      <c r="AI824" s="13">
        <f t="shared" si="37"/>
        <v>1</v>
      </c>
      <c r="AJ824" s="7">
        <f>+'Pegar ML'!T820</f>
        <v>0</v>
      </c>
      <c r="AK824" s="27"/>
      <c r="AL824" s="27"/>
      <c r="AM824" s="27"/>
      <c r="AN824" s="27"/>
      <c r="AO824" s="27"/>
      <c r="AP824" s="27"/>
      <c r="AQ824" s="27"/>
      <c r="AR824" s="27"/>
      <c r="AS824" s="27">
        <v>17</v>
      </c>
    </row>
    <row r="825" spans="1:45" ht="15" customHeight="1" x14ac:dyDescent="0.25">
      <c r="A825" s="27">
        <f>IF('Pegar ML'!C820="Paquete de 2 productos",'Pegar ML'!A820,IF('Pegar ML'!C819="Paquete de 2 productos",'Pegar ML'!A819,'Pegar ML'!A821))</f>
        <v>0</v>
      </c>
      <c r="B825" s="27"/>
      <c r="C825" s="30" t="str">
        <f>IF(AjusteFecha!I821=0,"",AjusteFecha!I821)</f>
        <v/>
      </c>
      <c r="D825" s="27"/>
      <c r="E825" s="27"/>
      <c r="F825" s="27" t="str">
        <f>IF('Pegar ML'!C821="","",'Pegar ML'!C821)</f>
        <v/>
      </c>
      <c r="G825" s="27" t="str">
        <f>IF('Pegar ML'!G816="ARS","PS","PS")</f>
        <v>PS</v>
      </c>
      <c r="H825" s="14">
        <f>IF('Pegar ML'!C820="Paquete de 2 productos",IF('Pegar ML'!H820="",0,'Pegar ML'!H820),IF('Pegar ML'!H821="",0,'Pegar ML'!H821))</f>
        <v>0</v>
      </c>
      <c r="I825" s="14">
        <f>IF('Pegar ML'!C820="Paquete de 2 productos",IF('Pegar ML'!O820="",0,'Pegar ML'!O820),IF('Pegar ML'!O821="",0,'Pegar ML'!O821))</f>
        <v>0</v>
      </c>
      <c r="J825" s="14">
        <f>IF('Pegar ML'!C820="Paquete de 2 productos",IF('Pegar ML'!O820="",0,'Pegar ML'!O820),IF('Pegar ML'!O821="",0,'Pegar ML'!O821))</f>
        <v>0</v>
      </c>
      <c r="K825" s="14">
        <f t="shared" si="38"/>
        <v>0</v>
      </c>
      <c r="L825" s="27">
        <f>IF('Pegar ML'!AB821=" ",'Pegar ML'!AB820,'Pegar ML'!AB821)</f>
        <v>0</v>
      </c>
      <c r="M825" s="27" t="str">
        <f>IF('Pegar ML'!AC821=" ",RIGHT('Pegar ML'!AC820,8),RIGHT('Pegar ML'!AC821,8))</f>
        <v/>
      </c>
      <c r="N825" s="27" t="s">
        <v>80</v>
      </c>
      <c r="O825" s="27">
        <f t="shared" si="36"/>
        <v>0</v>
      </c>
      <c r="P825" s="27" t="s">
        <v>80</v>
      </c>
      <c r="Q825" s="55">
        <f>IF('Pegar ML'!AD821=" ",'Pegar ML'!AD820,'Pegar ML'!AD821)</f>
        <v>0</v>
      </c>
      <c r="R825" s="27" t="s">
        <v>80</v>
      </c>
      <c r="S825" s="27" t="s">
        <v>80</v>
      </c>
      <c r="T825" s="27" t="s">
        <v>80</v>
      </c>
      <c r="U825" s="55">
        <f>IF('Pegar ML'!AI821=" ",'Pegar ML'!AI820,'Pegar ML'!AI821)</f>
        <v>0</v>
      </c>
      <c r="V825" s="55">
        <f>IF('Pegar ML'!AK821=" ",'Pegar ML'!AK820,'Pegar ML'!AK821)</f>
        <v>0</v>
      </c>
      <c r="W825" s="55">
        <f>IF('Pegar ML'!AJ821=" ",'Pegar ML'!AJ820,'Pegar ML'!AJ821)</f>
        <v>0</v>
      </c>
      <c r="X825" s="55">
        <f>IF('Pegar ML'!AL821=" ",'Pegar ML'!AL820,'Pegar ML'!AL821)</f>
        <v>0</v>
      </c>
      <c r="Y825" s="27"/>
      <c r="Z825" s="27"/>
      <c r="AA825" s="27"/>
      <c r="AB825" s="27"/>
      <c r="AC825" s="27"/>
      <c r="AD825" s="27"/>
      <c r="AF825" s="8"/>
      <c r="AG825" s="27"/>
      <c r="AH825" s="14">
        <f>+'Pegar ML'!Y821</f>
        <v>0</v>
      </c>
      <c r="AI825" s="13">
        <f t="shared" si="37"/>
        <v>1</v>
      </c>
      <c r="AJ825" s="7">
        <f>+'Pegar ML'!T821</f>
        <v>0</v>
      </c>
      <c r="AK825" s="27"/>
      <c r="AL825" s="27"/>
      <c r="AM825" s="27"/>
      <c r="AN825" s="27"/>
      <c r="AO825" s="27"/>
      <c r="AP825" s="27"/>
      <c r="AQ825" s="27"/>
      <c r="AR825" s="27"/>
      <c r="AS825" s="27">
        <v>17</v>
      </c>
    </row>
    <row r="826" spans="1:45" ht="15" customHeight="1" x14ac:dyDescent="0.25">
      <c r="A826" s="27">
        <f>IF('Pegar ML'!C821="Paquete de 2 productos",'Pegar ML'!A821,IF('Pegar ML'!C820="Paquete de 2 productos",'Pegar ML'!A820,'Pegar ML'!A822))</f>
        <v>0</v>
      </c>
      <c r="B826" s="27"/>
      <c r="C826" s="30" t="str">
        <f>IF(AjusteFecha!I822=0,"",AjusteFecha!I822)</f>
        <v/>
      </c>
      <c r="D826" s="27"/>
      <c r="E826" s="27"/>
      <c r="F826" s="27" t="str">
        <f>IF('Pegar ML'!C822="","",'Pegar ML'!C822)</f>
        <v/>
      </c>
      <c r="G826" s="27" t="str">
        <f>IF('Pegar ML'!G817="ARS","PS","PS")</f>
        <v>PS</v>
      </c>
      <c r="H826" s="14">
        <f>IF('Pegar ML'!C821="Paquete de 2 productos",IF('Pegar ML'!H821="",0,'Pegar ML'!H821),IF('Pegar ML'!H822="",0,'Pegar ML'!H822))</f>
        <v>0</v>
      </c>
      <c r="I826" s="14">
        <f>IF('Pegar ML'!C821="Paquete de 2 productos",IF('Pegar ML'!O821="",0,'Pegar ML'!O821),IF('Pegar ML'!O822="",0,'Pegar ML'!O822))</f>
        <v>0</v>
      </c>
      <c r="J826" s="14">
        <f>IF('Pegar ML'!C821="Paquete de 2 productos",IF('Pegar ML'!O821="",0,'Pegar ML'!O821),IF('Pegar ML'!O822="",0,'Pegar ML'!O822))</f>
        <v>0</v>
      </c>
      <c r="K826" s="14">
        <f t="shared" si="38"/>
        <v>0</v>
      </c>
      <c r="L826" s="27">
        <f>IF('Pegar ML'!AB822=" ",'Pegar ML'!AB821,'Pegar ML'!AB822)</f>
        <v>0</v>
      </c>
      <c r="M826" s="27" t="str">
        <f>IF('Pegar ML'!AC822=" ",RIGHT('Pegar ML'!AC821,8),RIGHT('Pegar ML'!AC822,8))</f>
        <v/>
      </c>
      <c r="N826" s="27" t="s">
        <v>80</v>
      </c>
      <c r="O826" s="27">
        <f t="shared" si="36"/>
        <v>0</v>
      </c>
      <c r="P826" s="27" t="s">
        <v>80</v>
      </c>
      <c r="Q826" s="55">
        <f>IF('Pegar ML'!AD822=" ",'Pegar ML'!AD821,'Pegar ML'!AD822)</f>
        <v>0</v>
      </c>
      <c r="R826" s="27" t="s">
        <v>80</v>
      </c>
      <c r="S826" s="27" t="s">
        <v>80</v>
      </c>
      <c r="T826" s="27" t="s">
        <v>80</v>
      </c>
      <c r="U826" s="55">
        <f>IF('Pegar ML'!AI822=" ",'Pegar ML'!AI821,'Pegar ML'!AI822)</f>
        <v>0</v>
      </c>
      <c r="V826" s="55">
        <f>IF('Pegar ML'!AK822=" ",'Pegar ML'!AK821,'Pegar ML'!AK822)</f>
        <v>0</v>
      </c>
      <c r="W826" s="55">
        <f>IF('Pegar ML'!AJ822=" ",'Pegar ML'!AJ821,'Pegar ML'!AJ822)</f>
        <v>0</v>
      </c>
      <c r="X826" s="55">
        <f>IF('Pegar ML'!AL822=" ",'Pegar ML'!AL821,'Pegar ML'!AL822)</f>
        <v>0</v>
      </c>
      <c r="Y826" s="27"/>
      <c r="Z826" s="27"/>
      <c r="AA826" s="27"/>
      <c r="AB826" s="27"/>
      <c r="AC826" s="27"/>
      <c r="AD826" s="27"/>
      <c r="AF826" s="8"/>
      <c r="AG826" s="27"/>
      <c r="AH826" s="14">
        <f>+'Pegar ML'!Y822</f>
        <v>0</v>
      </c>
      <c r="AI826" s="13">
        <f t="shared" si="37"/>
        <v>1</v>
      </c>
      <c r="AJ826" s="7">
        <f>+'Pegar ML'!T822</f>
        <v>0</v>
      </c>
      <c r="AK826" s="27"/>
      <c r="AL826" s="27"/>
      <c r="AM826" s="27"/>
      <c r="AN826" s="27"/>
      <c r="AO826" s="27"/>
      <c r="AP826" s="27"/>
      <c r="AQ826" s="27"/>
      <c r="AR826" s="27"/>
      <c r="AS826" s="27">
        <v>17</v>
      </c>
    </row>
    <row r="827" spans="1:45" ht="15" customHeight="1" x14ac:dyDescent="0.25">
      <c r="A827" s="27">
        <f>IF('Pegar ML'!C822="Paquete de 2 productos",'Pegar ML'!A822,IF('Pegar ML'!C821="Paquete de 2 productos",'Pegar ML'!A821,'Pegar ML'!A823))</f>
        <v>0</v>
      </c>
      <c r="B827" s="27"/>
      <c r="C827" s="30" t="str">
        <f>IF(AjusteFecha!I823=0,"",AjusteFecha!I823)</f>
        <v/>
      </c>
      <c r="D827" s="27"/>
      <c r="E827" s="27"/>
      <c r="F827" s="27" t="str">
        <f>IF('Pegar ML'!C823="","",'Pegar ML'!C823)</f>
        <v/>
      </c>
      <c r="G827" s="27" t="str">
        <f>IF('Pegar ML'!G818="ARS","PS","PS")</f>
        <v>PS</v>
      </c>
      <c r="H827" s="14">
        <f>IF('Pegar ML'!C822="Paquete de 2 productos",IF('Pegar ML'!H822="",0,'Pegar ML'!H822),IF('Pegar ML'!H823="",0,'Pegar ML'!H823))</f>
        <v>0</v>
      </c>
      <c r="I827" s="14">
        <f>IF('Pegar ML'!C822="Paquete de 2 productos",IF('Pegar ML'!O822="",0,'Pegar ML'!O822),IF('Pegar ML'!O823="",0,'Pegar ML'!O823))</f>
        <v>0</v>
      </c>
      <c r="J827" s="14">
        <f>IF('Pegar ML'!C822="Paquete de 2 productos",IF('Pegar ML'!O822="",0,'Pegar ML'!O822),IF('Pegar ML'!O823="",0,'Pegar ML'!O823))</f>
        <v>0</v>
      </c>
      <c r="K827" s="14">
        <f t="shared" si="38"/>
        <v>0</v>
      </c>
      <c r="L827" s="27">
        <f>IF('Pegar ML'!AB823=" ",'Pegar ML'!AB822,'Pegar ML'!AB823)</f>
        <v>0</v>
      </c>
      <c r="M827" s="27" t="str">
        <f>IF('Pegar ML'!AC823=" ",RIGHT('Pegar ML'!AC822,8),RIGHT('Pegar ML'!AC823,8))</f>
        <v/>
      </c>
      <c r="N827" s="27" t="s">
        <v>80</v>
      </c>
      <c r="O827" s="27">
        <f t="shared" si="36"/>
        <v>0</v>
      </c>
      <c r="P827" s="27" t="s">
        <v>80</v>
      </c>
      <c r="Q827" s="55">
        <f>IF('Pegar ML'!AD823=" ",'Pegar ML'!AD822,'Pegar ML'!AD823)</f>
        <v>0</v>
      </c>
      <c r="R827" s="27" t="s">
        <v>80</v>
      </c>
      <c r="S827" s="27" t="s">
        <v>80</v>
      </c>
      <c r="T827" s="27" t="s">
        <v>80</v>
      </c>
      <c r="U827" s="55">
        <f>IF('Pegar ML'!AI823=" ",'Pegar ML'!AI822,'Pegar ML'!AI823)</f>
        <v>0</v>
      </c>
      <c r="V827" s="55">
        <f>IF('Pegar ML'!AK823=" ",'Pegar ML'!AK822,'Pegar ML'!AK823)</f>
        <v>0</v>
      </c>
      <c r="W827" s="55">
        <f>IF('Pegar ML'!AJ823=" ",'Pegar ML'!AJ822,'Pegar ML'!AJ823)</f>
        <v>0</v>
      </c>
      <c r="X827" s="55">
        <f>IF('Pegar ML'!AL823=" ",'Pegar ML'!AL822,'Pegar ML'!AL823)</f>
        <v>0</v>
      </c>
      <c r="Y827" s="27"/>
      <c r="Z827" s="27"/>
      <c r="AA827" s="27"/>
      <c r="AB827" s="27"/>
      <c r="AC827" s="27"/>
      <c r="AD827" s="27"/>
      <c r="AF827" s="8"/>
      <c r="AG827" s="27"/>
      <c r="AH827" s="14">
        <f>+'Pegar ML'!Y823</f>
        <v>0</v>
      </c>
      <c r="AI827" s="13">
        <f t="shared" si="37"/>
        <v>1</v>
      </c>
      <c r="AJ827" s="7">
        <f>+'Pegar ML'!T823</f>
        <v>0</v>
      </c>
      <c r="AK827" s="27"/>
      <c r="AL827" s="27"/>
      <c r="AM827" s="27"/>
      <c r="AN827" s="27"/>
      <c r="AO827" s="27"/>
      <c r="AP827" s="27"/>
      <c r="AQ827" s="27"/>
      <c r="AR827" s="27"/>
      <c r="AS827" s="27">
        <v>17</v>
      </c>
    </row>
    <row r="828" spans="1:45" ht="15" customHeight="1" x14ac:dyDescent="0.25">
      <c r="A828" s="27">
        <f>IF('Pegar ML'!C823="Paquete de 2 productos",'Pegar ML'!A823,IF('Pegar ML'!C822="Paquete de 2 productos",'Pegar ML'!A822,'Pegar ML'!A824))</f>
        <v>0</v>
      </c>
      <c r="B828" s="27"/>
      <c r="C828" s="30" t="str">
        <f>IF(AjusteFecha!I824=0,"",AjusteFecha!I824)</f>
        <v/>
      </c>
      <c r="D828" s="27"/>
      <c r="E828" s="27"/>
      <c r="F828" s="27" t="str">
        <f>IF('Pegar ML'!C824="","",'Pegar ML'!C824)</f>
        <v/>
      </c>
      <c r="G828" s="27" t="str">
        <f>IF('Pegar ML'!G819="ARS","PS","PS")</f>
        <v>PS</v>
      </c>
      <c r="H828" s="14">
        <f>IF('Pegar ML'!C823="Paquete de 2 productos",IF('Pegar ML'!H823="",0,'Pegar ML'!H823),IF('Pegar ML'!H824="",0,'Pegar ML'!H824))</f>
        <v>0</v>
      </c>
      <c r="I828" s="14">
        <f>IF('Pegar ML'!C823="Paquete de 2 productos",IF('Pegar ML'!O823="",0,'Pegar ML'!O823),IF('Pegar ML'!O824="",0,'Pegar ML'!O824))</f>
        <v>0</v>
      </c>
      <c r="J828" s="14">
        <f>IF('Pegar ML'!C823="Paquete de 2 productos",IF('Pegar ML'!O823="",0,'Pegar ML'!O823),IF('Pegar ML'!O824="",0,'Pegar ML'!O824))</f>
        <v>0</v>
      </c>
      <c r="K828" s="14">
        <f t="shared" si="38"/>
        <v>0</v>
      </c>
      <c r="L828" s="27">
        <f>IF('Pegar ML'!AB824=" ",'Pegar ML'!AB823,'Pegar ML'!AB824)</f>
        <v>0</v>
      </c>
      <c r="M828" s="27" t="str">
        <f>IF('Pegar ML'!AC824=" ",RIGHT('Pegar ML'!AC823,8),RIGHT('Pegar ML'!AC824,8))</f>
        <v/>
      </c>
      <c r="N828" s="27" t="s">
        <v>80</v>
      </c>
      <c r="O828" s="27">
        <f t="shared" si="36"/>
        <v>0</v>
      </c>
      <c r="P828" s="27" t="s">
        <v>80</v>
      </c>
      <c r="Q828" s="55">
        <f>IF('Pegar ML'!AD824=" ",'Pegar ML'!AD823,'Pegar ML'!AD824)</f>
        <v>0</v>
      </c>
      <c r="R828" s="27" t="s">
        <v>80</v>
      </c>
      <c r="S828" s="27" t="s">
        <v>80</v>
      </c>
      <c r="T828" s="27" t="s">
        <v>80</v>
      </c>
      <c r="U828" s="55">
        <f>IF('Pegar ML'!AI824=" ",'Pegar ML'!AI823,'Pegar ML'!AI824)</f>
        <v>0</v>
      </c>
      <c r="V828" s="55">
        <f>IF('Pegar ML'!AK824=" ",'Pegar ML'!AK823,'Pegar ML'!AK824)</f>
        <v>0</v>
      </c>
      <c r="W828" s="55">
        <f>IF('Pegar ML'!AJ824=" ",'Pegar ML'!AJ823,'Pegar ML'!AJ824)</f>
        <v>0</v>
      </c>
      <c r="X828" s="55">
        <f>IF('Pegar ML'!AL824=" ",'Pegar ML'!AL823,'Pegar ML'!AL824)</f>
        <v>0</v>
      </c>
      <c r="Y828" s="27"/>
      <c r="Z828" s="27"/>
      <c r="AA828" s="27"/>
      <c r="AB828" s="27"/>
      <c r="AC828" s="27"/>
      <c r="AD828" s="27"/>
      <c r="AF828" s="8"/>
      <c r="AG828" s="27"/>
      <c r="AH828" s="14">
        <f>+'Pegar ML'!Y824</f>
        <v>0</v>
      </c>
      <c r="AI828" s="13">
        <f t="shared" si="37"/>
        <v>1</v>
      </c>
      <c r="AJ828" s="7">
        <f>+'Pegar ML'!T824</f>
        <v>0</v>
      </c>
      <c r="AK828" s="27"/>
      <c r="AL828" s="27"/>
      <c r="AM828" s="27"/>
      <c r="AN828" s="27"/>
      <c r="AO828" s="27"/>
      <c r="AP828" s="27"/>
      <c r="AQ828" s="27"/>
      <c r="AR828" s="27"/>
      <c r="AS828" s="27">
        <v>17</v>
      </c>
    </row>
    <row r="829" spans="1:45" ht="15" customHeight="1" x14ac:dyDescent="0.25">
      <c r="A829" s="27">
        <f>IF('Pegar ML'!C824="Paquete de 2 productos",'Pegar ML'!A824,IF('Pegar ML'!C823="Paquete de 2 productos",'Pegar ML'!A823,'Pegar ML'!A825))</f>
        <v>0</v>
      </c>
      <c r="B829" s="27"/>
      <c r="C829" s="30" t="str">
        <f>IF(AjusteFecha!I825=0,"",AjusteFecha!I825)</f>
        <v/>
      </c>
      <c r="D829" s="27"/>
      <c r="E829" s="27"/>
      <c r="F829" s="27" t="str">
        <f>IF('Pegar ML'!C825="","",'Pegar ML'!C825)</f>
        <v/>
      </c>
      <c r="G829" s="27" t="str">
        <f>IF('Pegar ML'!G820="ARS","PS","PS")</f>
        <v>PS</v>
      </c>
      <c r="H829" s="14">
        <f>IF('Pegar ML'!C824="Paquete de 2 productos",IF('Pegar ML'!H824="",0,'Pegar ML'!H824),IF('Pegar ML'!H825="",0,'Pegar ML'!H825))</f>
        <v>0</v>
      </c>
      <c r="I829" s="14">
        <f>IF('Pegar ML'!C824="Paquete de 2 productos",IF('Pegar ML'!O824="",0,'Pegar ML'!O824),IF('Pegar ML'!O825="",0,'Pegar ML'!O825))</f>
        <v>0</v>
      </c>
      <c r="J829" s="14">
        <f>IF('Pegar ML'!C824="Paquete de 2 productos",IF('Pegar ML'!O824="",0,'Pegar ML'!O824),IF('Pegar ML'!O825="",0,'Pegar ML'!O825))</f>
        <v>0</v>
      </c>
      <c r="K829" s="14">
        <f t="shared" si="38"/>
        <v>0</v>
      </c>
      <c r="L829" s="27">
        <f>IF('Pegar ML'!AB825=" ",'Pegar ML'!AB824,'Pegar ML'!AB825)</f>
        <v>0</v>
      </c>
      <c r="M829" s="27" t="str">
        <f>IF('Pegar ML'!AC825=" ",RIGHT('Pegar ML'!AC824,8),RIGHT('Pegar ML'!AC825,8))</f>
        <v/>
      </c>
      <c r="N829" s="27" t="s">
        <v>80</v>
      </c>
      <c r="O829" s="27">
        <f t="shared" si="36"/>
        <v>0</v>
      </c>
      <c r="P829" s="27" t="s">
        <v>80</v>
      </c>
      <c r="Q829" s="55">
        <f>IF('Pegar ML'!AD825=" ",'Pegar ML'!AD824,'Pegar ML'!AD825)</f>
        <v>0</v>
      </c>
      <c r="R829" s="27" t="s">
        <v>80</v>
      </c>
      <c r="S829" s="27" t="s">
        <v>80</v>
      </c>
      <c r="T829" s="27" t="s">
        <v>80</v>
      </c>
      <c r="U829" s="55">
        <f>IF('Pegar ML'!AI825=" ",'Pegar ML'!AI824,'Pegar ML'!AI825)</f>
        <v>0</v>
      </c>
      <c r="V829" s="55">
        <f>IF('Pegar ML'!AK825=" ",'Pegar ML'!AK824,'Pegar ML'!AK825)</f>
        <v>0</v>
      </c>
      <c r="W829" s="55">
        <f>IF('Pegar ML'!AJ825=" ",'Pegar ML'!AJ824,'Pegar ML'!AJ825)</f>
        <v>0</v>
      </c>
      <c r="X829" s="55">
        <f>IF('Pegar ML'!AL825=" ",'Pegar ML'!AL824,'Pegar ML'!AL825)</f>
        <v>0</v>
      </c>
      <c r="Y829" s="27"/>
      <c r="Z829" s="27"/>
      <c r="AA829" s="27"/>
      <c r="AB829" s="27"/>
      <c r="AC829" s="27"/>
      <c r="AD829" s="27"/>
      <c r="AF829" s="8"/>
      <c r="AG829" s="27"/>
      <c r="AH829" s="14">
        <f>+'Pegar ML'!Y825</f>
        <v>0</v>
      </c>
      <c r="AI829" s="13">
        <f t="shared" si="37"/>
        <v>1</v>
      </c>
      <c r="AJ829" s="7">
        <f>+'Pegar ML'!T825</f>
        <v>0</v>
      </c>
      <c r="AK829" s="27"/>
      <c r="AL829" s="27"/>
      <c r="AM829" s="27"/>
      <c r="AN829" s="27"/>
      <c r="AO829" s="27"/>
      <c r="AP829" s="27"/>
      <c r="AQ829" s="27"/>
      <c r="AR829" s="27"/>
      <c r="AS829" s="27">
        <v>17</v>
      </c>
    </row>
    <row r="830" spans="1:45" ht="15" customHeight="1" x14ac:dyDescent="0.25">
      <c r="A830" s="27">
        <f>IF('Pegar ML'!C825="Paquete de 2 productos",'Pegar ML'!A825,IF('Pegar ML'!C824="Paquete de 2 productos",'Pegar ML'!A824,'Pegar ML'!A826))</f>
        <v>0</v>
      </c>
      <c r="B830" s="27"/>
      <c r="C830" s="30" t="str">
        <f>IF(AjusteFecha!I826=0,"",AjusteFecha!I826)</f>
        <v/>
      </c>
      <c r="D830" s="27"/>
      <c r="E830" s="27"/>
      <c r="F830" s="27" t="str">
        <f>IF('Pegar ML'!C826="","",'Pegar ML'!C826)</f>
        <v/>
      </c>
      <c r="G830" s="27" t="str">
        <f>IF('Pegar ML'!G821="ARS","PS","PS")</f>
        <v>PS</v>
      </c>
      <c r="H830" s="14">
        <f>IF('Pegar ML'!C825="Paquete de 2 productos",IF('Pegar ML'!H825="",0,'Pegar ML'!H825),IF('Pegar ML'!H826="",0,'Pegar ML'!H826))</f>
        <v>0</v>
      </c>
      <c r="I830" s="14">
        <f>IF('Pegar ML'!C825="Paquete de 2 productos",IF('Pegar ML'!O825="",0,'Pegar ML'!O825),IF('Pegar ML'!O826="",0,'Pegar ML'!O826))</f>
        <v>0</v>
      </c>
      <c r="J830" s="14">
        <f>IF('Pegar ML'!C825="Paquete de 2 productos",IF('Pegar ML'!O825="",0,'Pegar ML'!O825),IF('Pegar ML'!O826="",0,'Pegar ML'!O826))</f>
        <v>0</v>
      </c>
      <c r="K830" s="14">
        <f t="shared" si="38"/>
        <v>0</v>
      </c>
      <c r="L830" s="27">
        <f>IF('Pegar ML'!AB826=" ",'Pegar ML'!AB825,'Pegar ML'!AB826)</f>
        <v>0</v>
      </c>
      <c r="M830" s="27" t="str">
        <f>IF('Pegar ML'!AC826=" ",RIGHT('Pegar ML'!AC825,8),RIGHT('Pegar ML'!AC826,8))</f>
        <v/>
      </c>
      <c r="N830" s="27" t="s">
        <v>80</v>
      </c>
      <c r="O830" s="27">
        <f t="shared" si="36"/>
        <v>0</v>
      </c>
      <c r="P830" s="27" t="s">
        <v>80</v>
      </c>
      <c r="Q830" s="55">
        <f>IF('Pegar ML'!AD826=" ",'Pegar ML'!AD825,'Pegar ML'!AD826)</f>
        <v>0</v>
      </c>
      <c r="R830" s="27" t="s">
        <v>80</v>
      </c>
      <c r="S830" s="27" t="s">
        <v>80</v>
      </c>
      <c r="T830" s="27" t="s">
        <v>80</v>
      </c>
      <c r="U830" s="55">
        <f>IF('Pegar ML'!AI826=" ",'Pegar ML'!AI825,'Pegar ML'!AI826)</f>
        <v>0</v>
      </c>
      <c r="V830" s="55">
        <f>IF('Pegar ML'!AK826=" ",'Pegar ML'!AK825,'Pegar ML'!AK826)</f>
        <v>0</v>
      </c>
      <c r="W830" s="55">
        <f>IF('Pegar ML'!AJ826=" ",'Pegar ML'!AJ825,'Pegar ML'!AJ826)</f>
        <v>0</v>
      </c>
      <c r="X830" s="55">
        <f>IF('Pegar ML'!AL826=" ",'Pegar ML'!AL825,'Pegar ML'!AL826)</f>
        <v>0</v>
      </c>
      <c r="Y830" s="27"/>
      <c r="Z830" s="27"/>
      <c r="AA830" s="27"/>
      <c r="AB830" s="27"/>
      <c r="AC830" s="27"/>
      <c r="AD830" s="27"/>
      <c r="AF830" s="8"/>
      <c r="AG830" s="27"/>
      <c r="AH830" s="14">
        <f>+'Pegar ML'!Y826</f>
        <v>0</v>
      </c>
      <c r="AI830" s="13">
        <f t="shared" si="37"/>
        <v>1</v>
      </c>
      <c r="AJ830" s="7">
        <f>+'Pegar ML'!T826</f>
        <v>0</v>
      </c>
      <c r="AK830" s="27"/>
      <c r="AL830" s="27"/>
      <c r="AM830" s="27"/>
      <c r="AN830" s="27"/>
      <c r="AO830" s="27"/>
      <c r="AP830" s="27"/>
      <c r="AQ830" s="27"/>
      <c r="AR830" s="27"/>
      <c r="AS830" s="27">
        <v>17</v>
      </c>
    </row>
    <row r="831" spans="1:45" ht="15" customHeight="1" x14ac:dyDescent="0.25">
      <c r="A831" s="27">
        <f>IF('Pegar ML'!C826="Paquete de 2 productos",'Pegar ML'!A826,IF('Pegar ML'!C825="Paquete de 2 productos",'Pegar ML'!A825,'Pegar ML'!A827))</f>
        <v>0</v>
      </c>
      <c r="B831" s="27"/>
      <c r="C831" s="30" t="str">
        <f>IF(AjusteFecha!I827=0,"",AjusteFecha!I827)</f>
        <v/>
      </c>
      <c r="D831" s="27"/>
      <c r="E831" s="27"/>
      <c r="F831" s="27" t="str">
        <f>IF('Pegar ML'!C827="","",'Pegar ML'!C827)</f>
        <v/>
      </c>
      <c r="G831" s="27" t="str">
        <f>IF('Pegar ML'!G822="ARS","PS","PS")</f>
        <v>PS</v>
      </c>
      <c r="H831" s="14">
        <f>IF('Pegar ML'!C826="Paquete de 2 productos",IF('Pegar ML'!H826="",0,'Pegar ML'!H826),IF('Pegar ML'!H827="",0,'Pegar ML'!H827))</f>
        <v>0</v>
      </c>
      <c r="I831" s="14">
        <f>IF('Pegar ML'!C826="Paquete de 2 productos",IF('Pegar ML'!O826="",0,'Pegar ML'!O826),IF('Pegar ML'!O827="",0,'Pegar ML'!O827))</f>
        <v>0</v>
      </c>
      <c r="J831" s="14">
        <f>IF('Pegar ML'!C826="Paquete de 2 productos",IF('Pegar ML'!O826="",0,'Pegar ML'!O826),IF('Pegar ML'!O827="",0,'Pegar ML'!O827))</f>
        <v>0</v>
      </c>
      <c r="K831" s="14">
        <f t="shared" si="38"/>
        <v>0</v>
      </c>
      <c r="L831" s="27">
        <f>IF('Pegar ML'!AB827=" ",'Pegar ML'!AB826,'Pegar ML'!AB827)</f>
        <v>0</v>
      </c>
      <c r="M831" s="27" t="str">
        <f>IF('Pegar ML'!AC827=" ",RIGHT('Pegar ML'!AC826,8),RIGHT('Pegar ML'!AC827,8))</f>
        <v/>
      </c>
      <c r="N831" s="27" t="s">
        <v>80</v>
      </c>
      <c r="O831" s="27">
        <f t="shared" si="36"/>
        <v>0</v>
      </c>
      <c r="P831" s="27" t="s">
        <v>80</v>
      </c>
      <c r="Q831" s="55">
        <f>IF('Pegar ML'!AD827=" ",'Pegar ML'!AD826,'Pegar ML'!AD827)</f>
        <v>0</v>
      </c>
      <c r="R831" s="27" t="s">
        <v>80</v>
      </c>
      <c r="S831" s="27" t="s">
        <v>80</v>
      </c>
      <c r="T831" s="27" t="s">
        <v>80</v>
      </c>
      <c r="U831" s="55">
        <f>IF('Pegar ML'!AI827=" ",'Pegar ML'!AI826,'Pegar ML'!AI827)</f>
        <v>0</v>
      </c>
      <c r="V831" s="55">
        <f>IF('Pegar ML'!AK827=" ",'Pegar ML'!AK826,'Pegar ML'!AK827)</f>
        <v>0</v>
      </c>
      <c r="W831" s="55">
        <f>IF('Pegar ML'!AJ827=" ",'Pegar ML'!AJ826,'Pegar ML'!AJ827)</f>
        <v>0</v>
      </c>
      <c r="X831" s="55">
        <f>IF('Pegar ML'!AL827=" ",'Pegar ML'!AL826,'Pegar ML'!AL827)</f>
        <v>0</v>
      </c>
      <c r="Y831" s="27"/>
      <c r="Z831" s="27"/>
      <c r="AA831" s="27"/>
      <c r="AB831" s="27"/>
      <c r="AC831" s="27"/>
      <c r="AD831" s="27"/>
      <c r="AF831" s="8"/>
      <c r="AG831" s="27"/>
      <c r="AH831" s="14">
        <f>+'Pegar ML'!Y827</f>
        <v>0</v>
      </c>
      <c r="AI831" s="13">
        <f t="shared" si="37"/>
        <v>1</v>
      </c>
      <c r="AJ831" s="7">
        <f>+'Pegar ML'!T827</f>
        <v>0</v>
      </c>
      <c r="AK831" s="27"/>
      <c r="AL831" s="27"/>
      <c r="AM831" s="27"/>
      <c r="AN831" s="27"/>
      <c r="AO831" s="27"/>
      <c r="AP831" s="27"/>
      <c r="AQ831" s="27"/>
      <c r="AR831" s="27"/>
      <c r="AS831" s="27">
        <v>17</v>
      </c>
    </row>
    <row r="832" spans="1:45" ht="15" customHeight="1" x14ac:dyDescent="0.25">
      <c r="A832" s="27">
        <f>IF('Pegar ML'!C827="Paquete de 2 productos",'Pegar ML'!A827,IF('Pegar ML'!C826="Paquete de 2 productos",'Pegar ML'!A826,'Pegar ML'!A828))</f>
        <v>0</v>
      </c>
      <c r="B832" s="27"/>
      <c r="C832" s="30" t="str">
        <f>IF(AjusteFecha!I828=0,"",AjusteFecha!I828)</f>
        <v/>
      </c>
      <c r="D832" s="27"/>
      <c r="E832" s="27"/>
      <c r="F832" s="27" t="str">
        <f>IF('Pegar ML'!C828="","",'Pegar ML'!C828)</f>
        <v/>
      </c>
      <c r="G832" s="27" t="str">
        <f>IF('Pegar ML'!G823="ARS","PS","PS")</f>
        <v>PS</v>
      </c>
      <c r="H832" s="14">
        <f>IF('Pegar ML'!C827="Paquete de 2 productos",IF('Pegar ML'!H827="",0,'Pegar ML'!H827),IF('Pegar ML'!H828="",0,'Pegar ML'!H828))</f>
        <v>0</v>
      </c>
      <c r="I832" s="14">
        <f>IF('Pegar ML'!C827="Paquete de 2 productos",IF('Pegar ML'!O827="",0,'Pegar ML'!O827),IF('Pegar ML'!O828="",0,'Pegar ML'!O828))</f>
        <v>0</v>
      </c>
      <c r="J832" s="14">
        <f>IF('Pegar ML'!C827="Paquete de 2 productos",IF('Pegar ML'!O827="",0,'Pegar ML'!O827),IF('Pegar ML'!O828="",0,'Pegar ML'!O828))</f>
        <v>0</v>
      </c>
      <c r="K832" s="14">
        <f t="shared" si="38"/>
        <v>0</v>
      </c>
      <c r="L832" s="27">
        <f>IF('Pegar ML'!AB828=" ",'Pegar ML'!AB827,'Pegar ML'!AB828)</f>
        <v>0</v>
      </c>
      <c r="M832" s="27" t="str">
        <f>IF('Pegar ML'!AC828=" ",RIGHT('Pegar ML'!AC827,8),RIGHT('Pegar ML'!AC828,8))</f>
        <v/>
      </c>
      <c r="N832" s="27" t="s">
        <v>80</v>
      </c>
      <c r="O832" s="27">
        <f t="shared" si="36"/>
        <v>0</v>
      </c>
      <c r="P832" s="27" t="s">
        <v>80</v>
      </c>
      <c r="Q832" s="55">
        <f>IF('Pegar ML'!AD828=" ",'Pegar ML'!AD827,'Pegar ML'!AD828)</f>
        <v>0</v>
      </c>
      <c r="R832" s="27" t="s">
        <v>80</v>
      </c>
      <c r="S832" s="27" t="s">
        <v>80</v>
      </c>
      <c r="T832" s="27" t="s">
        <v>80</v>
      </c>
      <c r="U832" s="55">
        <f>IF('Pegar ML'!AI828=" ",'Pegar ML'!AI827,'Pegar ML'!AI828)</f>
        <v>0</v>
      </c>
      <c r="V832" s="55">
        <f>IF('Pegar ML'!AK828=" ",'Pegar ML'!AK827,'Pegar ML'!AK828)</f>
        <v>0</v>
      </c>
      <c r="W832" s="55">
        <f>IF('Pegar ML'!AJ828=" ",'Pegar ML'!AJ827,'Pegar ML'!AJ828)</f>
        <v>0</v>
      </c>
      <c r="X832" s="55">
        <f>IF('Pegar ML'!AL828=" ",'Pegar ML'!AL827,'Pegar ML'!AL828)</f>
        <v>0</v>
      </c>
      <c r="Y832" s="27"/>
      <c r="Z832" s="27"/>
      <c r="AA832" s="27"/>
      <c r="AB832" s="27"/>
      <c r="AC832" s="27"/>
      <c r="AD832" s="27"/>
      <c r="AF832" s="8"/>
      <c r="AG832" s="27"/>
      <c r="AH832" s="14">
        <f>+'Pegar ML'!Y828</f>
        <v>0</v>
      </c>
      <c r="AI832" s="13">
        <f t="shared" si="37"/>
        <v>1</v>
      </c>
      <c r="AJ832" s="7">
        <f>+'Pegar ML'!T828</f>
        <v>0</v>
      </c>
      <c r="AK832" s="27"/>
      <c r="AL832" s="27"/>
      <c r="AM832" s="27"/>
      <c r="AN832" s="27"/>
      <c r="AO832" s="27"/>
      <c r="AP832" s="27"/>
      <c r="AQ832" s="27"/>
      <c r="AR832" s="27"/>
      <c r="AS832" s="27">
        <v>17</v>
      </c>
    </row>
    <row r="833" spans="1:45" ht="15" customHeight="1" x14ac:dyDescent="0.25">
      <c r="A833" s="27">
        <f>IF('Pegar ML'!C828="Paquete de 2 productos",'Pegar ML'!A828,IF('Pegar ML'!C827="Paquete de 2 productos",'Pegar ML'!A827,'Pegar ML'!A829))</f>
        <v>0</v>
      </c>
      <c r="B833" s="27"/>
      <c r="C833" s="30" t="str">
        <f>IF(AjusteFecha!I829=0,"",AjusteFecha!I829)</f>
        <v/>
      </c>
      <c r="D833" s="27"/>
      <c r="E833" s="27"/>
      <c r="F833" s="27" t="str">
        <f>IF('Pegar ML'!C829="","",'Pegar ML'!C829)</f>
        <v/>
      </c>
      <c r="G833" s="27" t="str">
        <f>IF('Pegar ML'!G824="ARS","PS","PS")</f>
        <v>PS</v>
      </c>
      <c r="H833" s="14">
        <f>IF('Pegar ML'!C828="Paquete de 2 productos",IF('Pegar ML'!H828="",0,'Pegar ML'!H828),IF('Pegar ML'!H829="",0,'Pegar ML'!H829))</f>
        <v>0</v>
      </c>
      <c r="I833" s="14">
        <f>IF('Pegar ML'!C828="Paquete de 2 productos",IF('Pegar ML'!O828="",0,'Pegar ML'!O828),IF('Pegar ML'!O829="",0,'Pegar ML'!O829))</f>
        <v>0</v>
      </c>
      <c r="J833" s="14">
        <f>IF('Pegar ML'!C828="Paquete de 2 productos",IF('Pegar ML'!O828="",0,'Pegar ML'!O828),IF('Pegar ML'!O829="",0,'Pegar ML'!O829))</f>
        <v>0</v>
      </c>
      <c r="K833" s="14">
        <f t="shared" si="38"/>
        <v>0</v>
      </c>
      <c r="L833" s="27">
        <f>IF('Pegar ML'!AB829=" ",'Pegar ML'!AB828,'Pegar ML'!AB829)</f>
        <v>0</v>
      </c>
      <c r="M833" s="27" t="str">
        <f>IF('Pegar ML'!AC829=" ",RIGHT('Pegar ML'!AC828,8),RIGHT('Pegar ML'!AC829,8))</f>
        <v/>
      </c>
      <c r="N833" s="27" t="s">
        <v>80</v>
      </c>
      <c r="O833" s="27">
        <f t="shared" si="36"/>
        <v>0</v>
      </c>
      <c r="P833" s="27" t="s">
        <v>80</v>
      </c>
      <c r="Q833" s="55">
        <f>IF('Pegar ML'!AD829=" ",'Pegar ML'!AD828,'Pegar ML'!AD829)</f>
        <v>0</v>
      </c>
      <c r="R833" s="27" t="s">
        <v>80</v>
      </c>
      <c r="S833" s="27" t="s">
        <v>80</v>
      </c>
      <c r="T833" s="27" t="s">
        <v>80</v>
      </c>
      <c r="U833" s="55">
        <f>IF('Pegar ML'!AI829=" ",'Pegar ML'!AI828,'Pegar ML'!AI829)</f>
        <v>0</v>
      </c>
      <c r="V833" s="55">
        <f>IF('Pegar ML'!AK829=" ",'Pegar ML'!AK828,'Pegar ML'!AK829)</f>
        <v>0</v>
      </c>
      <c r="W833" s="55">
        <f>IF('Pegar ML'!AJ829=" ",'Pegar ML'!AJ828,'Pegar ML'!AJ829)</f>
        <v>0</v>
      </c>
      <c r="X833" s="55">
        <f>IF('Pegar ML'!AL829=" ",'Pegar ML'!AL828,'Pegar ML'!AL829)</f>
        <v>0</v>
      </c>
      <c r="Y833" s="27"/>
      <c r="Z833" s="27"/>
      <c r="AA833" s="27"/>
      <c r="AB833" s="27"/>
      <c r="AC833" s="27"/>
      <c r="AD833" s="27"/>
      <c r="AF833" s="8"/>
      <c r="AG833" s="27"/>
      <c r="AH833" s="14">
        <f>+'Pegar ML'!Y829</f>
        <v>0</v>
      </c>
      <c r="AI833" s="13">
        <f t="shared" si="37"/>
        <v>1</v>
      </c>
      <c r="AJ833" s="7">
        <f>+'Pegar ML'!T829</f>
        <v>0</v>
      </c>
      <c r="AK833" s="27"/>
      <c r="AL833" s="27"/>
      <c r="AM833" s="27"/>
      <c r="AN833" s="27"/>
      <c r="AO833" s="27"/>
      <c r="AP833" s="27"/>
      <c r="AQ833" s="27"/>
      <c r="AR833" s="27"/>
      <c r="AS833" s="27">
        <v>17</v>
      </c>
    </row>
    <row r="834" spans="1:45" ht="15" customHeight="1" x14ac:dyDescent="0.25">
      <c r="A834" s="27">
        <f>IF('Pegar ML'!C829="Paquete de 2 productos",'Pegar ML'!A829,IF('Pegar ML'!C828="Paquete de 2 productos",'Pegar ML'!A828,'Pegar ML'!A830))</f>
        <v>0</v>
      </c>
      <c r="B834" s="27"/>
      <c r="C834" s="30" t="str">
        <f>IF(AjusteFecha!I830=0,"",AjusteFecha!I830)</f>
        <v/>
      </c>
      <c r="D834" s="27"/>
      <c r="E834" s="27"/>
      <c r="F834" s="27" t="str">
        <f>IF('Pegar ML'!C830="","",'Pegar ML'!C830)</f>
        <v/>
      </c>
      <c r="G834" s="27" t="str">
        <f>IF('Pegar ML'!G825="ARS","PS","PS")</f>
        <v>PS</v>
      </c>
      <c r="H834" s="14">
        <f>IF('Pegar ML'!C829="Paquete de 2 productos",IF('Pegar ML'!H829="",0,'Pegar ML'!H829),IF('Pegar ML'!H830="",0,'Pegar ML'!H830))</f>
        <v>0</v>
      </c>
      <c r="I834" s="14">
        <f>IF('Pegar ML'!C829="Paquete de 2 productos",IF('Pegar ML'!O829="",0,'Pegar ML'!O829),IF('Pegar ML'!O830="",0,'Pegar ML'!O830))</f>
        <v>0</v>
      </c>
      <c r="J834" s="14">
        <f>IF('Pegar ML'!C829="Paquete de 2 productos",IF('Pegar ML'!O829="",0,'Pegar ML'!O829),IF('Pegar ML'!O830="",0,'Pegar ML'!O830))</f>
        <v>0</v>
      </c>
      <c r="K834" s="14">
        <f t="shared" si="38"/>
        <v>0</v>
      </c>
      <c r="L834" s="27">
        <f>IF('Pegar ML'!AB830=" ",'Pegar ML'!AB829,'Pegar ML'!AB830)</f>
        <v>0</v>
      </c>
      <c r="M834" s="27" t="str">
        <f>IF('Pegar ML'!AC830=" ",RIGHT('Pegar ML'!AC829,8),RIGHT('Pegar ML'!AC830,8))</f>
        <v/>
      </c>
      <c r="N834" s="27" t="s">
        <v>80</v>
      </c>
      <c r="O834" s="27">
        <f t="shared" si="36"/>
        <v>0</v>
      </c>
      <c r="P834" s="27" t="s">
        <v>80</v>
      </c>
      <c r="Q834" s="55">
        <f>IF('Pegar ML'!AD830=" ",'Pegar ML'!AD829,'Pegar ML'!AD830)</f>
        <v>0</v>
      </c>
      <c r="R834" s="27" t="s">
        <v>80</v>
      </c>
      <c r="S834" s="27" t="s">
        <v>80</v>
      </c>
      <c r="T834" s="27" t="s">
        <v>80</v>
      </c>
      <c r="U834" s="55">
        <f>IF('Pegar ML'!AI830=" ",'Pegar ML'!AI829,'Pegar ML'!AI830)</f>
        <v>0</v>
      </c>
      <c r="V834" s="55">
        <f>IF('Pegar ML'!AK830=" ",'Pegar ML'!AK829,'Pegar ML'!AK830)</f>
        <v>0</v>
      </c>
      <c r="W834" s="55">
        <f>IF('Pegar ML'!AJ830=" ",'Pegar ML'!AJ829,'Pegar ML'!AJ830)</f>
        <v>0</v>
      </c>
      <c r="X834" s="55">
        <f>IF('Pegar ML'!AL830=" ",'Pegar ML'!AL829,'Pegar ML'!AL830)</f>
        <v>0</v>
      </c>
      <c r="Y834" s="27"/>
      <c r="Z834" s="27"/>
      <c r="AA834" s="27"/>
      <c r="AB834" s="27"/>
      <c r="AC834" s="27"/>
      <c r="AD834" s="27"/>
      <c r="AF834" s="8"/>
      <c r="AG834" s="27"/>
      <c r="AH834" s="14">
        <f>+'Pegar ML'!Y830</f>
        <v>0</v>
      </c>
      <c r="AI834" s="13">
        <f t="shared" si="37"/>
        <v>1</v>
      </c>
      <c r="AJ834" s="7">
        <f>+'Pegar ML'!T830</f>
        <v>0</v>
      </c>
      <c r="AK834" s="27"/>
      <c r="AL834" s="27"/>
      <c r="AM834" s="27"/>
      <c r="AN834" s="27"/>
      <c r="AO834" s="27"/>
      <c r="AP834" s="27"/>
      <c r="AQ834" s="27"/>
      <c r="AR834" s="27"/>
      <c r="AS834" s="27">
        <v>17</v>
      </c>
    </row>
    <row r="835" spans="1:45" ht="15" customHeight="1" x14ac:dyDescent="0.25">
      <c r="A835" s="27">
        <f>IF('Pegar ML'!C830="Paquete de 2 productos",'Pegar ML'!A830,IF('Pegar ML'!C829="Paquete de 2 productos",'Pegar ML'!A829,'Pegar ML'!A831))</f>
        <v>0</v>
      </c>
      <c r="B835" s="27"/>
      <c r="C835" s="30" t="str">
        <f>IF(AjusteFecha!I831=0,"",AjusteFecha!I831)</f>
        <v/>
      </c>
      <c r="D835" s="27"/>
      <c r="E835" s="27"/>
      <c r="F835" s="27" t="str">
        <f>IF('Pegar ML'!C831="","",'Pegar ML'!C831)</f>
        <v/>
      </c>
      <c r="G835" s="27" t="str">
        <f>IF('Pegar ML'!G826="ARS","PS","PS")</f>
        <v>PS</v>
      </c>
      <c r="H835" s="14">
        <f>IF('Pegar ML'!C830="Paquete de 2 productos",IF('Pegar ML'!H830="",0,'Pegar ML'!H830),IF('Pegar ML'!H831="",0,'Pegar ML'!H831))</f>
        <v>0</v>
      </c>
      <c r="I835" s="14">
        <f>IF('Pegar ML'!C830="Paquete de 2 productos",IF('Pegar ML'!O830="",0,'Pegar ML'!O830),IF('Pegar ML'!O831="",0,'Pegar ML'!O831))</f>
        <v>0</v>
      </c>
      <c r="J835" s="14">
        <f>IF('Pegar ML'!C830="Paquete de 2 productos",IF('Pegar ML'!O830="",0,'Pegar ML'!O830),IF('Pegar ML'!O831="",0,'Pegar ML'!O831))</f>
        <v>0</v>
      </c>
      <c r="K835" s="14">
        <f t="shared" si="38"/>
        <v>0</v>
      </c>
      <c r="L835" s="27">
        <f>IF('Pegar ML'!AB831=" ",'Pegar ML'!AB830,'Pegar ML'!AB831)</f>
        <v>0</v>
      </c>
      <c r="M835" s="27" t="str">
        <f>IF('Pegar ML'!AC831=" ",RIGHT('Pegar ML'!AC830,8),RIGHT('Pegar ML'!AC831,8))</f>
        <v/>
      </c>
      <c r="N835" s="27" t="s">
        <v>80</v>
      </c>
      <c r="O835" s="27">
        <f t="shared" si="36"/>
        <v>0</v>
      </c>
      <c r="P835" s="27" t="s">
        <v>80</v>
      </c>
      <c r="Q835" s="55">
        <f>IF('Pegar ML'!AD831=" ",'Pegar ML'!AD830,'Pegar ML'!AD831)</f>
        <v>0</v>
      </c>
      <c r="R835" s="27" t="s">
        <v>80</v>
      </c>
      <c r="S835" s="27" t="s">
        <v>80</v>
      </c>
      <c r="T835" s="27" t="s">
        <v>80</v>
      </c>
      <c r="U835" s="55">
        <f>IF('Pegar ML'!AI831=" ",'Pegar ML'!AI830,'Pegar ML'!AI831)</f>
        <v>0</v>
      </c>
      <c r="V835" s="55">
        <f>IF('Pegar ML'!AK831=" ",'Pegar ML'!AK830,'Pegar ML'!AK831)</f>
        <v>0</v>
      </c>
      <c r="W835" s="55">
        <f>IF('Pegar ML'!AJ831=" ",'Pegar ML'!AJ830,'Pegar ML'!AJ831)</f>
        <v>0</v>
      </c>
      <c r="X835" s="55">
        <f>IF('Pegar ML'!AL831=" ",'Pegar ML'!AL830,'Pegar ML'!AL831)</f>
        <v>0</v>
      </c>
      <c r="Y835" s="27"/>
      <c r="Z835" s="27"/>
      <c r="AA835" s="27"/>
      <c r="AB835" s="27"/>
      <c r="AC835" s="27"/>
      <c r="AD835" s="27"/>
      <c r="AF835" s="8"/>
      <c r="AG835" s="27"/>
      <c r="AH835" s="14">
        <f>+'Pegar ML'!Y831</f>
        <v>0</v>
      </c>
      <c r="AI835" s="13">
        <f t="shared" si="37"/>
        <v>1</v>
      </c>
      <c r="AJ835" s="7">
        <f>+'Pegar ML'!T831</f>
        <v>0</v>
      </c>
      <c r="AK835" s="27"/>
      <c r="AL835" s="27"/>
      <c r="AM835" s="27"/>
      <c r="AN835" s="27"/>
      <c r="AO835" s="27"/>
      <c r="AP835" s="27"/>
      <c r="AQ835" s="27"/>
      <c r="AR835" s="27"/>
      <c r="AS835" s="27">
        <v>17</v>
      </c>
    </row>
    <row r="836" spans="1:45" ht="15" customHeight="1" x14ac:dyDescent="0.25">
      <c r="A836" s="27">
        <f>IF('Pegar ML'!C831="Paquete de 2 productos",'Pegar ML'!A831,IF('Pegar ML'!C830="Paquete de 2 productos",'Pegar ML'!A830,'Pegar ML'!A832))</f>
        <v>0</v>
      </c>
      <c r="B836" s="27"/>
      <c r="C836" s="30" t="str">
        <f>IF(AjusteFecha!I832=0,"",AjusteFecha!I832)</f>
        <v/>
      </c>
      <c r="D836" s="27"/>
      <c r="E836" s="27"/>
      <c r="F836" s="27" t="str">
        <f>IF('Pegar ML'!C832="","",'Pegar ML'!C832)</f>
        <v/>
      </c>
      <c r="G836" s="27" t="str">
        <f>IF('Pegar ML'!G827="ARS","PS","PS")</f>
        <v>PS</v>
      </c>
      <c r="H836" s="14">
        <f>IF('Pegar ML'!C831="Paquete de 2 productos",IF('Pegar ML'!H831="",0,'Pegar ML'!H831),IF('Pegar ML'!H832="",0,'Pegar ML'!H832))</f>
        <v>0</v>
      </c>
      <c r="I836" s="14">
        <f>IF('Pegar ML'!C831="Paquete de 2 productos",IF('Pegar ML'!O831="",0,'Pegar ML'!O831),IF('Pegar ML'!O832="",0,'Pegar ML'!O832))</f>
        <v>0</v>
      </c>
      <c r="J836" s="14">
        <f>IF('Pegar ML'!C831="Paquete de 2 productos",IF('Pegar ML'!O831="",0,'Pegar ML'!O831),IF('Pegar ML'!O832="",0,'Pegar ML'!O832))</f>
        <v>0</v>
      </c>
      <c r="K836" s="14">
        <f t="shared" si="38"/>
        <v>0</v>
      </c>
      <c r="L836" s="27">
        <f>IF('Pegar ML'!AB832=" ",'Pegar ML'!AB831,'Pegar ML'!AB832)</f>
        <v>0</v>
      </c>
      <c r="M836" s="27" t="str">
        <f>IF('Pegar ML'!AC832=" ",RIGHT('Pegar ML'!AC831,8),RIGHT('Pegar ML'!AC832,8))</f>
        <v/>
      </c>
      <c r="N836" s="27" t="s">
        <v>80</v>
      </c>
      <c r="O836" s="27">
        <f t="shared" si="36"/>
        <v>0</v>
      </c>
      <c r="P836" s="27" t="s">
        <v>80</v>
      </c>
      <c r="Q836" s="55">
        <f>IF('Pegar ML'!AD832=" ",'Pegar ML'!AD831,'Pegar ML'!AD832)</f>
        <v>0</v>
      </c>
      <c r="R836" s="27" t="s">
        <v>80</v>
      </c>
      <c r="S836" s="27" t="s">
        <v>80</v>
      </c>
      <c r="T836" s="27" t="s">
        <v>80</v>
      </c>
      <c r="U836" s="55">
        <f>IF('Pegar ML'!AI832=" ",'Pegar ML'!AI831,'Pegar ML'!AI832)</f>
        <v>0</v>
      </c>
      <c r="V836" s="55">
        <f>IF('Pegar ML'!AK832=" ",'Pegar ML'!AK831,'Pegar ML'!AK832)</f>
        <v>0</v>
      </c>
      <c r="W836" s="55">
        <f>IF('Pegar ML'!AJ832=" ",'Pegar ML'!AJ831,'Pegar ML'!AJ832)</f>
        <v>0</v>
      </c>
      <c r="X836" s="55">
        <f>IF('Pegar ML'!AL832=" ",'Pegar ML'!AL831,'Pegar ML'!AL832)</f>
        <v>0</v>
      </c>
      <c r="Y836" s="27"/>
      <c r="Z836" s="27"/>
      <c r="AA836" s="27"/>
      <c r="AB836" s="27"/>
      <c r="AC836" s="27"/>
      <c r="AD836" s="27"/>
      <c r="AF836" s="8"/>
      <c r="AG836" s="27"/>
      <c r="AH836" s="14">
        <f>+'Pegar ML'!Y832</f>
        <v>0</v>
      </c>
      <c r="AI836" s="13">
        <f t="shared" si="37"/>
        <v>1</v>
      </c>
      <c r="AJ836" s="7">
        <f>+'Pegar ML'!T832</f>
        <v>0</v>
      </c>
      <c r="AK836" s="27"/>
      <c r="AL836" s="27"/>
      <c r="AM836" s="27"/>
      <c r="AN836" s="27"/>
      <c r="AO836" s="27"/>
      <c r="AP836" s="27"/>
      <c r="AQ836" s="27"/>
      <c r="AR836" s="27"/>
      <c r="AS836" s="27">
        <v>17</v>
      </c>
    </row>
    <row r="837" spans="1:45" ht="15" customHeight="1" x14ac:dyDescent="0.25">
      <c r="A837" s="27">
        <f>IF('Pegar ML'!C832="Paquete de 2 productos",'Pegar ML'!A832,IF('Pegar ML'!C831="Paquete de 2 productos",'Pegar ML'!A831,'Pegar ML'!A833))</f>
        <v>0</v>
      </c>
      <c r="B837" s="27"/>
      <c r="C837" s="30" t="str">
        <f>IF(AjusteFecha!I833=0,"",AjusteFecha!I833)</f>
        <v/>
      </c>
      <c r="D837" s="27"/>
      <c r="E837" s="27"/>
      <c r="F837" s="27" t="str">
        <f>IF('Pegar ML'!C833="","",'Pegar ML'!C833)</f>
        <v/>
      </c>
      <c r="G837" s="27" t="str">
        <f>IF('Pegar ML'!G828="ARS","PS","PS")</f>
        <v>PS</v>
      </c>
      <c r="H837" s="14">
        <f>IF('Pegar ML'!C832="Paquete de 2 productos",IF('Pegar ML'!H832="",0,'Pegar ML'!H832),IF('Pegar ML'!H833="",0,'Pegar ML'!H833))</f>
        <v>0</v>
      </c>
      <c r="I837" s="14">
        <f>IF('Pegar ML'!C832="Paquete de 2 productos",IF('Pegar ML'!O832="",0,'Pegar ML'!O832),IF('Pegar ML'!O833="",0,'Pegar ML'!O833))</f>
        <v>0</v>
      </c>
      <c r="J837" s="14">
        <f>IF('Pegar ML'!C832="Paquete de 2 productos",IF('Pegar ML'!O832="",0,'Pegar ML'!O832),IF('Pegar ML'!O833="",0,'Pegar ML'!O833))</f>
        <v>0</v>
      </c>
      <c r="K837" s="14">
        <f t="shared" si="38"/>
        <v>0</v>
      </c>
      <c r="L837" s="27">
        <f>IF('Pegar ML'!AB833=" ",'Pegar ML'!AB832,'Pegar ML'!AB833)</f>
        <v>0</v>
      </c>
      <c r="M837" s="27" t="str">
        <f>IF('Pegar ML'!AC833=" ",RIGHT('Pegar ML'!AC832,8),RIGHT('Pegar ML'!AC833,8))</f>
        <v/>
      </c>
      <c r="N837" s="27" t="s">
        <v>80</v>
      </c>
      <c r="O837" s="27">
        <f t="shared" si="36"/>
        <v>0</v>
      </c>
      <c r="P837" s="27" t="s">
        <v>80</v>
      </c>
      <c r="Q837" s="55">
        <f>IF('Pegar ML'!AD833=" ",'Pegar ML'!AD832,'Pegar ML'!AD833)</f>
        <v>0</v>
      </c>
      <c r="R837" s="27" t="s">
        <v>80</v>
      </c>
      <c r="S837" s="27" t="s">
        <v>80</v>
      </c>
      <c r="T837" s="27" t="s">
        <v>80</v>
      </c>
      <c r="U837" s="55">
        <f>IF('Pegar ML'!AI833=" ",'Pegar ML'!AI832,'Pegar ML'!AI833)</f>
        <v>0</v>
      </c>
      <c r="V837" s="55">
        <f>IF('Pegar ML'!AK833=" ",'Pegar ML'!AK832,'Pegar ML'!AK833)</f>
        <v>0</v>
      </c>
      <c r="W837" s="55">
        <f>IF('Pegar ML'!AJ833=" ",'Pegar ML'!AJ832,'Pegar ML'!AJ833)</f>
        <v>0</v>
      </c>
      <c r="X837" s="55">
        <f>IF('Pegar ML'!AL833=" ",'Pegar ML'!AL832,'Pegar ML'!AL833)</f>
        <v>0</v>
      </c>
      <c r="Y837" s="27"/>
      <c r="Z837" s="27"/>
      <c r="AA837" s="27"/>
      <c r="AB837" s="27"/>
      <c r="AC837" s="27"/>
      <c r="AD837" s="27"/>
      <c r="AF837" s="8"/>
      <c r="AG837" s="27"/>
      <c r="AH837" s="14">
        <f>+'Pegar ML'!Y833</f>
        <v>0</v>
      </c>
      <c r="AI837" s="13">
        <f t="shared" si="37"/>
        <v>1</v>
      </c>
      <c r="AJ837" s="7">
        <f>+'Pegar ML'!T833</f>
        <v>0</v>
      </c>
      <c r="AK837" s="27"/>
      <c r="AL837" s="27"/>
      <c r="AM837" s="27"/>
      <c r="AN837" s="27"/>
      <c r="AO837" s="27"/>
      <c r="AP837" s="27"/>
      <c r="AQ837" s="27"/>
      <c r="AR837" s="27"/>
      <c r="AS837" s="27">
        <v>17</v>
      </c>
    </row>
    <row r="838" spans="1:45" ht="15" customHeight="1" x14ac:dyDescent="0.25">
      <c r="A838" s="27">
        <f>IF('Pegar ML'!C833="Paquete de 2 productos",'Pegar ML'!A833,IF('Pegar ML'!C832="Paquete de 2 productos",'Pegar ML'!A832,'Pegar ML'!A834))</f>
        <v>0</v>
      </c>
      <c r="B838" s="27"/>
      <c r="C838" s="30" t="str">
        <f>IF(AjusteFecha!I834=0,"",AjusteFecha!I834)</f>
        <v/>
      </c>
      <c r="D838" s="27"/>
      <c r="E838" s="27"/>
      <c r="F838" s="27" t="str">
        <f>IF('Pegar ML'!C834="","",'Pegar ML'!C834)</f>
        <v/>
      </c>
      <c r="G838" s="27" t="str">
        <f>IF('Pegar ML'!G829="ARS","PS","PS")</f>
        <v>PS</v>
      </c>
      <c r="H838" s="14">
        <f>IF('Pegar ML'!C833="Paquete de 2 productos",IF('Pegar ML'!H833="",0,'Pegar ML'!H833),IF('Pegar ML'!H834="",0,'Pegar ML'!H834))</f>
        <v>0</v>
      </c>
      <c r="I838" s="14">
        <f>IF('Pegar ML'!C833="Paquete de 2 productos",IF('Pegar ML'!O833="",0,'Pegar ML'!O833),IF('Pegar ML'!O834="",0,'Pegar ML'!O834))</f>
        <v>0</v>
      </c>
      <c r="J838" s="14">
        <f>IF('Pegar ML'!C833="Paquete de 2 productos",IF('Pegar ML'!O833="",0,'Pegar ML'!O833),IF('Pegar ML'!O834="",0,'Pegar ML'!O834))</f>
        <v>0</v>
      </c>
      <c r="K838" s="14">
        <f t="shared" si="38"/>
        <v>0</v>
      </c>
      <c r="L838" s="27">
        <f>IF('Pegar ML'!AB834=" ",'Pegar ML'!AB833,'Pegar ML'!AB834)</f>
        <v>0</v>
      </c>
      <c r="M838" s="27" t="str">
        <f>IF('Pegar ML'!AC834=" ",RIGHT('Pegar ML'!AC833,8),RIGHT('Pegar ML'!AC834,8))</f>
        <v/>
      </c>
      <c r="N838" s="27" t="s">
        <v>80</v>
      </c>
      <c r="O838" s="27">
        <f t="shared" si="36"/>
        <v>0</v>
      </c>
      <c r="P838" s="27" t="s">
        <v>80</v>
      </c>
      <c r="Q838" s="55">
        <f>IF('Pegar ML'!AD834=" ",'Pegar ML'!AD833,'Pegar ML'!AD834)</f>
        <v>0</v>
      </c>
      <c r="R838" s="27" t="s">
        <v>80</v>
      </c>
      <c r="S838" s="27" t="s">
        <v>80</v>
      </c>
      <c r="T838" s="27" t="s">
        <v>80</v>
      </c>
      <c r="U838" s="55">
        <f>IF('Pegar ML'!AI834=" ",'Pegar ML'!AI833,'Pegar ML'!AI834)</f>
        <v>0</v>
      </c>
      <c r="V838" s="55">
        <f>IF('Pegar ML'!AK834=" ",'Pegar ML'!AK833,'Pegar ML'!AK834)</f>
        <v>0</v>
      </c>
      <c r="W838" s="55">
        <f>IF('Pegar ML'!AJ834=" ",'Pegar ML'!AJ833,'Pegar ML'!AJ834)</f>
        <v>0</v>
      </c>
      <c r="X838" s="55">
        <f>IF('Pegar ML'!AL834=" ",'Pegar ML'!AL833,'Pegar ML'!AL834)</f>
        <v>0</v>
      </c>
      <c r="Y838" s="27"/>
      <c r="Z838" s="27"/>
      <c r="AA838" s="27"/>
      <c r="AB838" s="27"/>
      <c r="AC838" s="27"/>
      <c r="AD838" s="27"/>
      <c r="AF838" s="8"/>
      <c r="AG838" s="27"/>
      <c r="AH838" s="14">
        <f>+'Pegar ML'!Y834</f>
        <v>0</v>
      </c>
      <c r="AI838" s="13">
        <f t="shared" si="37"/>
        <v>1</v>
      </c>
      <c r="AJ838" s="7">
        <f>+'Pegar ML'!T834</f>
        <v>0</v>
      </c>
      <c r="AK838" s="27"/>
      <c r="AL838" s="27"/>
      <c r="AM838" s="27"/>
      <c r="AN838" s="27"/>
      <c r="AO838" s="27"/>
      <c r="AP838" s="27"/>
      <c r="AQ838" s="27"/>
      <c r="AR838" s="27"/>
      <c r="AS838" s="27">
        <v>17</v>
      </c>
    </row>
    <row r="839" spans="1:45" ht="15" customHeight="1" x14ac:dyDescent="0.25">
      <c r="A839" s="27">
        <f>IF('Pegar ML'!C834="Paquete de 2 productos",'Pegar ML'!A834,IF('Pegar ML'!C833="Paquete de 2 productos",'Pegar ML'!A833,'Pegar ML'!A835))</f>
        <v>0</v>
      </c>
      <c r="B839" s="27"/>
      <c r="C839" s="30" t="str">
        <f>IF(AjusteFecha!I835=0,"",AjusteFecha!I835)</f>
        <v/>
      </c>
      <c r="D839" s="27"/>
      <c r="E839" s="27"/>
      <c r="F839" s="27" t="str">
        <f>IF('Pegar ML'!C835="","",'Pegar ML'!C835)</f>
        <v/>
      </c>
      <c r="G839" s="27" t="str">
        <f>IF('Pegar ML'!G830="ARS","PS","PS")</f>
        <v>PS</v>
      </c>
      <c r="H839" s="14">
        <f>IF('Pegar ML'!C834="Paquete de 2 productos",IF('Pegar ML'!H834="",0,'Pegar ML'!H834),IF('Pegar ML'!H835="",0,'Pegar ML'!H835))</f>
        <v>0</v>
      </c>
      <c r="I839" s="14">
        <f>IF('Pegar ML'!C834="Paquete de 2 productos",IF('Pegar ML'!O834="",0,'Pegar ML'!O834),IF('Pegar ML'!O835="",0,'Pegar ML'!O835))</f>
        <v>0</v>
      </c>
      <c r="J839" s="14">
        <f>IF('Pegar ML'!C834="Paquete de 2 productos",IF('Pegar ML'!O834="",0,'Pegar ML'!O834),IF('Pegar ML'!O835="",0,'Pegar ML'!O835))</f>
        <v>0</v>
      </c>
      <c r="K839" s="14">
        <f t="shared" si="38"/>
        <v>0</v>
      </c>
      <c r="L839" s="27">
        <f>IF('Pegar ML'!AB835=" ",'Pegar ML'!AB834,'Pegar ML'!AB835)</f>
        <v>0</v>
      </c>
      <c r="M839" s="27" t="str">
        <f>IF('Pegar ML'!AC835=" ",RIGHT('Pegar ML'!AC834,8),RIGHT('Pegar ML'!AC835,8))</f>
        <v/>
      </c>
      <c r="N839" s="27" t="s">
        <v>80</v>
      </c>
      <c r="O839" s="27">
        <f t="shared" si="36"/>
        <v>0</v>
      </c>
      <c r="P839" s="27" t="s">
        <v>80</v>
      </c>
      <c r="Q839" s="55">
        <f>IF('Pegar ML'!AD835=" ",'Pegar ML'!AD834,'Pegar ML'!AD835)</f>
        <v>0</v>
      </c>
      <c r="R839" s="27" t="s">
        <v>80</v>
      </c>
      <c r="S839" s="27" t="s">
        <v>80</v>
      </c>
      <c r="T839" s="27" t="s">
        <v>80</v>
      </c>
      <c r="U839" s="55">
        <f>IF('Pegar ML'!AI835=" ",'Pegar ML'!AI834,'Pegar ML'!AI835)</f>
        <v>0</v>
      </c>
      <c r="V839" s="55">
        <f>IF('Pegar ML'!AK835=" ",'Pegar ML'!AK834,'Pegar ML'!AK835)</f>
        <v>0</v>
      </c>
      <c r="W839" s="55">
        <f>IF('Pegar ML'!AJ835=" ",'Pegar ML'!AJ834,'Pegar ML'!AJ835)</f>
        <v>0</v>
      </c>
      <c r="X839" s="55">
        <f>IF('Pegar ML'!AL835=" ",'Pegar ML'!AL834,'Pegar ML'!AL835)</f>
        <v>0</v>
      </c>
      <c r="Y839" s="27"/>
      <c r="Z839" s="27"/>
      <c r="AA839" s="27"/>
      <c r="AB839" s="27"/>
      <c r="AC839" s="27"/>
      <c r="AD839" s="27"/>
      <c r="AF839" s="8"/>
      <c r="AG839" s="27"/>
      <c r="AH839" s="14">
        <f>+'Pegar ML'!Y835</f>
        <v>0</v>
      </c>
      <c r="AI839" s="13">
        <f t="shared" si="37"/>
        <v>1</v>
      </c>
      <c r="AJ839" s="7">
        <f>+'Pegar ML'!T835</f>
        <v>0</v>
      </c>
      <c r="AK839" s="27"/>
      <c r="AL839" s="27"/>
      <c r="AM839" s="27"/>
      <c r="AN839" s="27"/>
      <c r="AO839" s="27"/>
      <c r="AP839" s="27"/>
      <c r="AQ839" s="27"/>
      <c r="AR839" s="27"/>
      <c r="AS839" s="27">
        <v>17</v>
      </c>
    </row>
    <row r="840" spans="1:45" ht="15" customHeight="1" x14ac:dyDescent="0.25">
      <c r="A840" s="27">
        <f>IF('Pegar ML'!C835="Paquete de 2 productos",'Pegar ML'!A835,IF('Pegar ML'!C834="Paquete de 2 productos",'Pegar ML'!A834,'Pegar ML'!A836))</f>
        <v>0</v>
      </c>
      <c r="B840" s="27"/>
      <c r="C840" s="30" t="str">
        <f>IF(AjusteFecha!I836=0,"",AjusteFecha!I836)</f>
        <v/>
      </c>
      <c r="D840" s="27"/>
      <c r="E840" s="27"/>
      <c r="F840" s="27" t="str">
        <f>IF('Pegar ML'!C836="","",'Pegar ML'!C836)</f>
        <v/>
      </c>
      <c r="G840" s="27" t="str">
        <f>IF('Pegar ML'!G831="ARS","PS","PS")</f>
        <v>PS</v>
      </c>
      <c r="H840" s="14">
        <f>IF('Pegar ML'!C835="Paquete de 2 productos",IF('Pegar ML'!H835="",0,'Pegar ML'!H835),IF('Pegar ML'!H836="",0,'Pegar ML'!H836))</f>
        <v>0</v>
      </c>
      <c r="I840" s="14">
        <f>IF('Pegar ML'!C835="Paquete de 2 productos",IF('Pegar ML'!O835="",0,'Pegar ML'!O835),IF('Pegar ML'!O836="",0,'Pegar ML'!O836))</f>
        <v>0</v>
      </c>
      <c r="J840" s="14">
        <f>IF('Pegar ML'!C835="Paquete de 2 productos",IF('Pegar ML'!O835="",0,'Pegar ML'!O835),IF('Pegar ML'!O836="",0,'Pegar ML'!O836))</f>
        <v>0</v>
      </c>
      <c r="K840" s="14">
        <f t="shared" si="38"/>
        <v>0</v>
      </c>
      <c r="L840" s="27">
        <f>IF('Pegar ML'!AB836=" ",'Pegar ML'!AB835,'Pegar ML'!AB836)</f>
        <v>0</v>
      </c>
      <c r="M840" s="27" t="str">
        <f>IF('Pegar ML'!AC836=" ",RIGHT('Pegar ML'!AC835,8),RIGHT('Pegar ML'!AC836,8))</f>
        <v/>
      </c>
      <c r="N840" s="27" t="s">
        <v>80</v>
      </c>
      <c r="O840" s="27">
        <f t="shared" si="36"/>
        <v>0</v>
      </c>
      <c r="P840" s="27" t="s">
        <v>80</v>
      </c>
      <c r="Q840" s="55">
        <f>IF('Pegar ML'!AD836=" ",'Pegar ML'!AD835,'Pegar ML'!AD836)</f>
        <v>0</v>
      </c>
      <c r="R840" s="27" t="s">
        <v>80</v>
      </c>
      <c r="S840" s="27" t="s">
        <v>80</v>
      </c>
      <c r="T840" s="27" t="s">
        <v>80</v>
      </c>
      <c r="U840" s="55">
        <f>IF('Pegar ML'!AI836=" ",'Pegar ML'!AI835,'Pegar ML'!AI836)</f>
        <v>0</v>
      </c>
      <c r="V840" s="55">
        <f>IF('Pegar ML'!AK836=" ",'Pegar ML'!AK835,'Pegar ML'!AK836)</f>
        <v>0</v>
      </c>
      <c r="W840" s="55">
        <f>IF('Pegar ML'!AJ836=" ",'Pegar ML'!AJ835,'Pegar ML'!AJ836)</f>
        <v>0</v>
      </c>
      <c r="X840" s="55">
        <f>IF('Pegar ML'!AL836=" ",'Pegar ML'!AL835,'Pegar ML'!AL836)</f>
        <v>0</v>
      </c>
      <c r="Y840" s="27"/>
      <c r="Z840" s="27"/>
      <c r="AA840" s="27"/>
      <c r="AB840" s="27"/>
      <c r="AC840" s="27"/>
      <c r="AD840" s="27"/>
      <c r="AF840" s="8"/>
      <c r="AG840" s="27"/>
      <c r="AH840" s="14">
        <f>+'Pegar ML'!Y836</f>
        <v>0</v>
      </c>
      <c r="AI840" s="13">
        <f t="shared" si="37"/>
        <v>1</v>
      </c>
      <c r="AJ840" s="7">
        <f>+'Pegar ML'!T836</f>
        <v>0</v>
      </c>
      <c r="AK840" s="27"/>
      <c r="AL840" s="27"/>
      <c r="AM840" s="27"/>
      <c r="AN840" s="27"/>
      <c r="AO840" s="27"/>
      <c r="AP840" s="27"/>
      <c r="AQ840" s="27"/>
      <c r="AR840" s="27"/>
      <c r="AS840" s="27">
        <v>17</v>
      </c>
    </row>
    <row r="841" spans="1:45" ht="15" customHeight="1" x14ac:dyDescent="0.25">
      <c r="A841" s="27">
        <f>IF('Pegar ML'!C836="Paquete de 2 productos",'Pegar ML'!A836,IF('Pegar ML'!C835="Paquete de 2 productos",'Pegar ML'!A835,'Pegar ML'!A837))</f>
        <v>0</v>
      </c>
      <c r="B841" s="27"/>
      <c r="C841" s="30" t="str">
        <f>IF(AjusteFecha!I837=0,"",AjusteFecha!I837)</f>
        <v/>
      </c>
      <c r="D841" s="27"/>
      <c r="E841" s="27"/>
      <c r="F841" s="27" t="str">
        <f>IF('Pegar ML'!C837="","",'Pegar ML'!C837)</f>
        <v/>
      </c>
      <c r="G841" s="27" t="str">
        <f>IF('Pegar ML'!G832="ARS","PS","PS")</f>
        <v>PS</v>
      </c>
      <c r="H841" s="14">
        <f>IF('Pegar ML'!C836="Paquete de 2 productos",IF('Pegar ML'!H836="",0,'Pegar ML'!H836),IF('Pegar ML'!H837="",0,'Pegar ML'!H837))</f>
        <v>0</v>
      </c>
      <c r="I841" s="14">
        <f>IF('Pegar ML'!C836="Paquete de 2 productos",IF('Pegar ML'!O836="",0,'Pegar ML'!O836),IF('Pegar ML'!O837="",0,'Pegar ML'!O837))</f>
        <v>0</v>
      </c>
      <c r="J841" s="14">
        <f>IF('Pegar ML'!C836="Paquete de 2 productos",IF('Pegar ML'!O836="",0,'Pegar ML'!O836),IF('Pegar ML'!O837="",0,'Pegar ML'!O837))</f>
        <v>0</v>
      </c>
      <c r="K841" s="14">
        <f t="shared" si="38"/>
        <v>0</v>
      </c>
      <c r="L841" s="27">
        <f>IF('Pegar ML'!AB837=" ",'Pegar ML'!AB836,'Pegar ML'!AB837)</f>
        <v>0</v>
      </c>
      <c r="M841" s="27" t="str">
        <f>IF('Pegar ML'!AC837=" ",RIGHT('Pegar ML'!AC836,8),RIGHT('Pegar ML'!AC837,8))</f>
        <v/>
      </c>
      <c r="N841" s="27" t="s">
        <v>80</v>
      </c>
      <c r="O841" s="27">
        <f t="shared" si="36"/>
        <v>0</v>
      </c>
      <c r="P841" s="27" t="s">
        <v>80</v>
      </c>
      <c r="Q841" s="55">
        <f>IF('Pegar ML'!AD837=" ",'Pegar ML'!AD836,'Pegar ML'!AD837)</f>
        <v>0</v>
      </c>
      <c r="R841" s="27" t="s">
        <v>80</v>
      </c>
      <c r="S841" s="27" t="s">
        <v>80</v>
      </c>
      <c r="T841" s="27" t="s">
        <v>80</v>
      </c>
      <c r="U841" s="55">
        <f>IF('Pegar ML'!AI837=" ",'Pegar ML'!AI836,'Pegar ML'!AI837)</f>
        <v>0</v>
      </c>
      <c r="V841" s="55">
        <f>IF('Pegar ML'!AK837=" ",'Pegar ML'!AK836,'Pegar ML'!AK837)</f>
        <v>0</v>
      </c>
      <c r="W841" s="55">
        <f>IF('Pegar ML'!AJ837=" ",'Pegar ML'!AJ836,'Pegar ML'!AJ837)</f>
        <v>0</v>
      </c>
      <c r="X841" s="55">
        <f>IF('Pegar ML'!AL837=" ",'Pegar ML'!AL836,'Pegar ML'!AL837)</f>
        <v>0</v>
      </c>
      <c r="Y841" s="27"/>
      <c r="Z841" s="27"/>
      <c r="AA841" s="27"/>
      <c r="AB841" s="27"/>
      <c r="AC841" s="27"/>
      <c r="AD841" s="27"/>
      <c r="AF841" s="8"/>
      <c r="AG841" s="27"/>
      <c r="AH841" s="14">
        <f>+'Pegar ML'!Y837</f>
        <v>0</v>
      </c>
      <c r="AI841" s="13">
        <f t="shared" si="37"/>
        <v>1</v>
      </c>
      <c r="AJ841" s="7">
        <f>+'Pegar ML'!T837</f>
        <v>0</v>
      </c>
      <c r="AK841" s="27"/>
      <c r="AL841" s="27"/>
      <c r="AM841" s="27"/>
      <c r="AN841" s="27"/>
      <c r="AO841" s="27"/>
      <c r="AP841" s="27"/>
      <c r="AQ841" s="27"/>
      <c r="AR841" s="27"/>
      <c r="AS841" s="27">
        <v>17</v>
      </c>
    </row>
    <row r="842" spans="1:45" ht="15" customHeight="1" x14ac:dyDescent="0.25">
      <c r="A842" s="27">
        <f>IF('Pegar ML'!C837="Paquete de 2 productos",'Pegar ML'!A837,IF('Pegar ML'!C836="Paquete de 2 productos",'Pegar ML'!A836,'Pegar ML'!A838))</f>
        <v>0</v>
      </c>
      <c r="B842" s="27"/>
      <c r="C842" s="30" t="str">
        <f>IF(AjusteFecha!I838=0,"",AjusteFecha!I838)</f>
        <v/>
      </c>
      <c r="D842" s="27"/>
      <c r="E842" s="27"/>
      <c r="F842" s="27" t="str">
        <f>IF('Pegar ML'!C838="","",'Pegar ML'!C838)</f>
        <v/>
      </c>
      <c r="G842" s="27" t="str">
        <f>IF('Pegar ML'!G833="ARS","PS","PS")</f>
        <v>PS</v>
      </c>
      <c r="H842" s="14">
        <f>IF('Pegar ML'!C837="Paquete de 2 productos",IF('Pegar ML'!H837="",0,'Pegar ML'!H837),IF('Pegar ML'!H838="",0,'Pegar ML'!H838))</f>
        <v>0</v>
      </c>
      <c r="I842" s="14">
        <f>IF('Pegar ML'!C837="Paquete de 2 productos",IF('Pegar ML'!O837="",0,'Pegar ML'!O837),IF('Pegar ML'!O838="",0,'Pegar ML'!O838))</f>
        <v>0</v>
      </c>
      <c r="J842" s="14">
        <f>IF('Pegar ML'!C837="Paquete de 2 productos",IF('Pegar ML'!O837="",0,'Pegar ML'!O837),IF('Pegar ML'!O838="",0,'Pegar ML'!O838))</f>
        <v>0</v>
      </c>
      <c r="K842" s="14">
        <f t="shared" si="38"/>
        <v>0</v>
      </c>
      <c r="L842" s="27">
        <f>IF('Pegar ML'!AB838=" ",'Pegar ML'!AB837,'Pegar ML'!AB838)</f>
        <v>0</v>
      </c>
      <c r="M842" s="27" t="str">
        <f>IF('Pegar ML'!AC838=" ",RIGHT('Pegar ML'!AC837,8),RIGHT('Pegar ML'!AC838,8))</f>
        <v/>
      </c>
      <c r="N842" s="27" t="s">
        <v>80</v>
      </c>
      <c r="O842" s="27">
        <f t="shared" si="36"/>
        <v>0</v>
      </c>
      <c r="P842" s="27" t="s">
        <v>80</v>
      </c>
      <c r="Q842" s="55">
        <f>IF('Pegar ML'!AD838=" ",'Pegar ML'!AD837,'Pegar ML'!AD838)</f>
        <v>0</v>
      </c>
      <c r="R842" s="27" t="s">
        <v>80</v>
      </c>
      <c r="S842" s="27" t="s">
        <v>80</v>
      </c>
      <c r="T842" s="27" t="s">
        <v>80</v>
      </c>
      <c r="U842" s="55">
        <f>IF('Pegar ML'!AI838=" ",'Pegar ML'!AI837,'Pegar ML'!AI838)</f>
        <v>0</v>
      </c>
      <c r="V842" s="55">
        <f>IF('Pegar ML'!AK838=" ",'Pegar ML'!AK837,'Pegar ML'!AK838)</f>
        <v>0</v>
      </c>
      <c r="W842" s="55">
        <f>IF('Pegar ML'!AJ838=" ",'Pegar ML'!AJ837,'Pegar ML'!AJ838)</f>
        <v>0</v>
      </c>
      <c r="X842" s="55">
        <f>IF('Pegar ML'!AL838=" ",'Pegar ML'!AL837,'Pegar ML'!AL838)</f>
        <v>0</v>
      </c>
      <c r="Y842" s="27"/>
      <c r="Z842" s="27"/>
      <c r="AA842" s="27"/>
      <c r="AB842" s="27"/>
      <c r="AC842" s="27"/>
      <c r="AD842" s="27"/>
      <c r="AF842" s="8"/>
      <c r="AG842" s="27"/>
      <c r="AH842" s="14">
        <f>+'Pegar ML'!Y838</f>
        <v>0</v>
      </c>
      <c r="AI842" s="13">
        <f t="shared" si="37"/>
        <v>1</v>
      </c>
      <c r="AJ842" s="7">
        <f>+'Pegar ML'!T838</f>
        <v>0</v>
      </c>
      <c r="AK842" s="27"/>
      <c r="AL842" s="27"/>
      <c r="AM842" s="27"/>
      <c r="AN842" s="27"/>
      <c r="AO842" s="27"/>
      <c r="AP842" s="27"/>
      <c r="AQ842" s="27"/>
      <c r="AR842" s="27"/>
      <c r="AS842" s="27">
        <v>17</v>
      </c>
    </row>
    <row r="843" spans="1:45" ht="15" customHeight="1" x14ac:dyDescent="0.25">
      <c r="A843" s="27">
        <f>IF('Pegar ML'!C838="Paquete de 2 productos",'Pegar ML'!A838,IF('Pegar ML'!C837="Paquete de 2 productos",'Pegar ML'!A837,'Pegar ML'!A839))</f>
        <v>0</v>
      </c>
      <c r="B843" s="27"/>
      <c r="C843" s="30" t="str">
        <f>IF(AjusteFecha!I839=0,"",AjusteFecha!I839)</f>
        <v/>
      </c>
      <c r="D843" s="27"/>
      <c r="E843" s="27"/>
      <c r="F843" s="27" t="str">
        <f>IF('Pegar ML'!C839="","",'Pegar ML'!C839)</f>
        <v/>
      </c>
      <c r="G843" s="27" t="str">
        <f>IF('Pegar ML'!G834="ARS","PS","PS")</f>
        <v>PS</v>
      </c>
      <c r="H843" s="14">
        <f>IF('Pegar ML'!C838="Paquete de 2 productos",IF('Pegar ML'!H838="",0,'Pegar ML'!H838),IF('Pegar ML'!H839="",0,'Pegar ML'!H839))</f>
        <v>0</v>
      </c>
      <c r="I843" s="14">
        <f>IF('Pegar ML'!C838="Paquete de 2 productos",IF('Pegar ML'!O838="",0,'Pegar ML'!O838),IF('Pegar ML'!O839="",0,'Pegar ML'!O839))</f>
        <v>0</v>
      </c>
      <c r="J843" s="14">
        <f>IF('Pegar ML'!C838="Paquete de 2 productos",IF('Pegar ML'!O838="",0,'Pegar ML'!O838),IF('Pegar ML'!O839="",0,'Pegar ML'!O839))</f>
        <v>0</v>
      </c>
      <c r="K843" s="14">
        <f t="shared" si="38"/>
        <v>0</v>
      </c>
      <c r="L843" s="27">
        <f>IF('Pegar ML'!AB839=" ",'Pegar ML'!AB838,'Pegar ML'!AB839)</f>
        <v>0</v>
      </c>
      <c r="M843" s="27" t="str">
        <f>IF('Pegar ML'!AC839=" ",RIGHT('Pegar ML'!AC838,8),RIGHT('Pegar ML'!AC839,8))</f>
        <v/>
      </c>
      <c r="N843" s="27" t="s">
        <v>80</v>
      </c>
      <c r="O843" s="27">
        <f t="shared" ref="O843:O906" si="39">+L843</f>
        <v>0</v>
      </c>
      <c r="P843" s="27" t="s">
        <v>80</v>
      </c>
      <c r="Q843" s="55">
        <f>IF('Pegar ML'!AD839=" ",'Pegar ML'!AD838,'Pegar ML'!AD839)</f>
        <v>0</v>
      </c>
      <c r="R843" s="27" t="s">
        <v>80</v>
      </c>
      <c r="S843" s="27" t="s">
        <v>80</v>
      </c>
      <c r="T843" s="27" t="s">
        <v>80</v>
      </c>
      <c r="U843" s="55">
        <f>IF('Pegar ML'!AI839=" ",'Pegar ML'!AI838,'Pegar ML'!AI839)</f>
        <v>0</v>
      </c>
      <c r="V843" s="55">
        <f>IF('Pegar ML'!AK839=" ",'Pegar ML'!AK838,'Pegar ML'!AK839)</f>
        <v>0</v>
      </c>
      <c r="W843" s="55">
        <f>IF('Pegar ML'!AJ839=" ",'Pegar ML'!AJ838,'Pegar ML'!AJ839)</f>
        <v>0</v>
      </c>
      <c r="X843" s="55">
        <f>IF('Pegar ML'!AL839=" ",'Pegar ML'!AL838,'Pegar ML'!AL839)</f>
        <v>0</v>
      </c>
      <c r="Y843" s="27"/>
      <c r="Z843" s="27"/>
      <c r="AA843" s="27"/>
      <c r="AB843" s="27"/>
      <c r="AC843" s="27"/>
      <c r="AD843" s="27"/>
      <c r="AF843" s="8"/>
      <c r="AG843" s="27"/>
      <c r="AH843" s="14">
        <f>+'Pegar ML'!Y839</f>
        <v>0</v>
      </c>
      <c r="AI843" s="13">
        <f t="shared" ref="AI843:AI906" si="40">IF(F843="Paquete de 2 productos","",1)</f>
        <v>1</v>
      </c>
      <c r="AJ843" s="7">
        <f>+'Pegar ML'!T839</f>
        <v>0</v>
      </c>
      <c r="AK843" s="27"/>
      <c r="AL843" s="27"/>
      <c r="AM843" s="27"/>
      <c r="AN843" s="27"/>
      <c r="AO843" s="27"/>
      <c r="AP843" s="27"/>
      <c r="AQ843" s="27"/>
      <c r="AR843" s="27"/>
      <c r="AS843" s="27">
        <v>17</v>
      </c>
    </row>
    <row r="844" spans="1:45" ht="15" customHeight="1" x14ac:dyDescent="0.25">
      <c r="A844" s="27">
        <f>IF('Pegar ML'!C839="Paquete de 2 productos",'Pegar ML'!A839,IF('Pegar ML'!C838="Paquete de 2 productos",'Pegar ML'!A838,'Pegar ML'!A840))</f>
        <v>0</v>
      </c>
      <c r="B844" s="27"/>
      <c r="C844" s="30" t="str">
        <f>IF(AjusteFecha!I840=0,"",AjusteFecha!I840)</f>
        <v/>
      </c>
      <c r="D844" s="27"/>
      <c r="E844" s="27"/>
      <c r="F844" s="27" t="str">
        <f>IF('Pegar ML'!C840="","",'Pegar ML'!C840)</f>
        <v/>
      </c>
      <c r="G844" s="27" t="str">
        <f>IF('Pegar ML'!G835="ARS","PS","PS")</f>
        <v>PS</v>
      </c>
      <c r="H844" s="14">
        <f>IF('Pegar ML'!C839="Paquete de 2 productos",IF('Pegar ML'!H839="",0,'Pegar ML'!H839),IF('Pegar ML'!H840="",0,'Pegar ML'!H840))</f>
        <v>0</v>
      </c>
      <c r="I844" s="14">
        <f>IF('Pegar ML'!C839="Paquete de 2 productos",IF('Pegar ML'!O839="",0,'Pegar ML'!O839),IF('Pegar ML'!O840="",0,'Pegar ML'!O840))</f>
        <v>0</v>
      </c>
      <c r="J844" s="14">
        <f>IF('Pegar ML'!C839="Paquete de 2 productos",IF('Pegar ML'!O839="",0,'Pegar ML'!O839),IF('Pegar ML'!O840="",0,'Pegar ML'!O840))</f>
        <v>0</v>
      </c>
      <c r="K844" s="14">
        <f t="shared" ref="K844:K907" si="41">+H844-I844+J844</f>
        <v>0</v>
      </c>
      <c r="L844" s="27">
        <f>IF('Pegar ML'!AB840=" ",'Pegar ML'!AB839,'Pegar ML'!AB840)</f>
        <v>0</v>
      </c>
      <c r="M844" s="27" t="str">
        <f>IF('Pegar ML'!AC840=" ",RIGHT('Pegar ML'!AC839,8),RIGHT('Pegar ML'!AC840,8))</f>
        <v/>
      </c>
      <c r="N844" s="27" t="s">
        <v>80</v>
      </c>
      <c r="O844" s="27">
        <f t="shared" si="39"/>
        <v>0</v>
      </c>
      <c r="P844" s="27" t="s">
        <v>80</v>
      </c>
      <c r="Q844" s="55">
        <f>IF('Pegar ML'!AD840=" ",'Pegar ML'!AD839,'Pegar ML'!AD840)</f>
        <v>0</v>
      </c>
      <c r="R844" s="27" t="s">
        <v>80</v>
      </c>
      <c r="S844" s="27" t="s">
        <v>80</v>
      </c>
      <c r="T844" s="27" t="s">
        <v>80</v>
      </c>
      <c r="U844" s="55">
        <f>IF('Pegar ML'!AI840=" ",'Pegar ML'!AI839,'Pegar ML'!AI840)</f>
        <v>0</v>
      </c>
      <c r="V844" s="55">
        <f>IF('Pegar ML'!AK840=" ",'Pegar ML'!AK839,'Pegar ML'!AK840)</f>
        <v>0</v>
      </c>
      <c r="W844" s="55">
        <f>IF('Pegar ML'!AJ840=" ",'Pegar ML'!AJ839,'Pegar ML'!AJ840)</f>
        <v>0</v>
      </c>
      <c r="X844" s="55">
        <f>IF('Pegar ML'!AL840=" ",'Pegar ML'!AL839,'Pegar ML'!AL840)</f>
        <v>0</v>
      </c>
      <c r="Y844" s="27"/>
      <c r="Z844" s="27"/>
      <c r="AA844" s="27"/>
      <c r="AB844" s="27"/>
      <c r="AC844" s="27"/>
      <c r="AD844" s="27"/>
      <c r="AF844" s="8"/>
      <c r="AG844" s="27"/>
      <c r="AH844" s="14">
        <f>+'Pegar ML'!Y840</f>
        <v>0</v>
      </c>
      <c r="AI844" s="13">
        <f t="shared" si="40"/>
        <v>1</v>
      </c>
      <c r="AJ844" s="7">
        <f>+'Pegar ML'!T840</f>
        <v>0</v>
      </c>
      <c r="AK844" s="27"/>
      <c r="AL844" s="27"/>
      <c r="AM844" s="27"/>
      <c r="AN844" s="27"/>
      <c r="AO844" s="27"/>
      <c r="AP844" s="27"/>
      <c r="AQ844" s="27"/>
      <c r="AR844" s="27"/>
      <c r="AS844" s="27">
        <v>17</v>
      </c>
    </row>
    <row r="845" spans="1:45" ht="15" customHeight="1" x14ac:dyDescent="0.25">
      <c r="A845" s="27">
        <f>IF('Pegar ML'!C840="Paquete de 2 productos",'Pegar ML'!A840,IF('Pegar ML'!C839="Paquete de 2 productos",'Pegar ML'!A839,'Pegar ML'!A841))</f>
        <v>0</v>
      </c>
      <c r="B845" s="27"/>
      <c r="C845" s="30" t="str">
        <f>IF(AjusteFecha!I841=0,"",AjusteFecha!I841)</f>
        <v/>
      </c>
      <c r="D845" s="27"/>
      <c r="E845" s="27"/>
      <c r="F845" s="27" t="str">
        <f>IF('Pegar ML'!C841="","",'Pegar ML'!C841)</f>
        <v/>
      </c>
      <c r="G845" s="27" t="str">
        <f>IF('Pegar ML'!G836="ARS","PS","PS")</f>
        <v>PS</v>
      </c>
      <c r="H845" s="14">
        <f>IF('Pegar ML'!C840="Paquete de 2 productos",IF('Pegar ML'!H840="",0,'Pegar ML'!H840),IF('Pegar ML'!H841="",0,'Pegar ML'!H841))</f>
        <v>0</v>
      </c>
      <c r="I845" s="14">
        <f>IF('Pegar ML'!C840="Paquete de 2 productos",IF('Pegar ML'!O840="",0,'Pegar ML'!O840),IF('Pegar ML'!O841="",0,'Pegar ML'!O841))</f>
        <v>0</v>
      </c>
      <c r="J845" s="14">
        <f>IF('Pegar ML'!C840="Paquete de 2 productos",IF('Pegar ML'!O840="",0,'Pegar ML'!O840),IF('Pegar ML'!O841="",0,'Pegar ML'!O841))</f>
        <v>0</v>
      </c>
      <c r="K845" s="14">
        <f t="shared" si="41"/>
        <v>0</v>
      </c>
      <c r="L845" s="27">
        <f>IF('Pegar ML'!AB841=" ",'Pegar ML'!AB840,'Pegar ML'!AB841)</f>
        <v>0</v>
      </c>
      <c r="M845" s="27" t="str">
        <f>IF('Pegar ML'!AC841=" ",RIGHT('Pegar ML'!AC840,8),RIGHT('Pegar ML'!AC841,8))</f>
        <v/>
      </c>
      <c r="N845" s="27" t="s">
        <v>80</v>
      </c>
      <c r="O845" s="27">
        <f t="shared" si="39"/>
        <v>0</v>
      </c>
      <c r="P845" s="27" t="s">
        <v>80</v>
      </c>
      <c r="Q845" s="55">
        <f>IF('Pegar ML'!AD841=" ",'Pegar ML'!AD840,'Pegar ML'!AD841)</f>
        <v>0</v>
      </c>
      <c r="R845" s="27" t="s">
        <v>80</v>
      </c>
      <c r="S845" s="27" t="s">
        <v>80</v>
      </c>
      <c r="T845" s="27" t="s">
        <v>80</v>
      </c>
      <c r="U845" s="55">
        <f>IF('Pegar ML'!AI841=" ",'Pegar ML'!AI840,'Pegar ML'!AI841)</f>
        <v>0</v>
      </c>
      <c r="V845" s="55">
        <f>IF('Pegar ML'!AK841=" ",'Pegar ML'!AK840,'Pegar ML'!AK841)</f>
        <v>0</v>
      </c>
      <c r="W845" s="55">
        <f>IF('Pegar ML'!AJ841=" ",'Pegar ML'!AJ840,'Pegar ML'!AJ841)</f>
        <v>0</v>
      </c>
      <c r="X845" s="55">
        <f>IF('Pegar ML'!AL841=" ",'Pegar ML'!AL840,'Pegar ML'!AL841)</f>
        <v>0</v>
      </c>
      <c r="Y845" s="27"/>
      <c r="Z845" s="27"/>
      <c r="AA845" s="27"/>
      <c r="AB845" s="27"/>
      <c r="AC845" s="27"/>
      <c r="AD845" s="27"/>
      <c r="AF845" s="8"/>
      <c r="AG845" s="27"/>
      <c r="AH845" s="14">
        <f>+'Pegar ML'!Y841</f>
        <v>0</v>
      </c>
      <c r="AI845" s="13">
        <f t="shared" si="40"/>
        <v>1</v>
      </c>
      <c r="AJ845" s="7">
        <f>+'Pegar ML'!T841</f>
        <v>0</v>
      </c>
      <c r="AK845" s="27"/>
      <c r="AL845" s="27"/>
      <c r="AM845" s="27"/>
      <c r="AN845" s="27"/>
      <c r="AO845" s="27"/>
      <c r="AP845" s="27"/>
      <c r="AQ845" s="27"/>
      <c r="AR845" s="27"/>
      <c r="AS845" s="27">
        <v>17</v>
      </c>
    </row>
    <row r="846" spans="1:45" ht="15" customHeight="1" x14ac:dyDescent="0.25">
      <c r="A846" s="27">
        <f>IF('Pegar ML'!C841="Paquete de 2 productos",'Pegar ML'!A841,IF('Pegar ML'!C840="Paquete de 2 productos",'Pegar ML'!A840,'Pegar ML'!A842))</f>
        <v>0</v>
      </c>
      <c r="B846" s="27"/>
      <c r="C846" s="30" t="str">
        <f>IF(AjusteFecha!I842=0,"",AjusteFecha!I842)</f>
        <v/>
      </c>
      <c r="D846" s="27"/>
      <c r="E846" s="27"/>
      <c r="F846" s="27" t="str">
        <f>IF('Pegar ML'!C842="","",'Pegar ML'!C842)</f>
        <v/>
      </c>
      <c r="G846" s="27" t="str">
        <f>IF('Pegar ML'!G837="ARS","PS","PS")</f>
        <v>PS</v>
      </c>
      <c r="H846" s="14">
        <f>IF('Pegar ML'!C841="Paquete de 2 productos",IF('Pegar ML'!H841="",0,'Pegar ML'!H841),IF('Pegar ML'!H842="",0,'Pegar ML'!H842))</f>
        <v>0</v>
      </c>
      <c r="I846" s="14">
        <f>IF('Pegar ML'!C841="Paquete de 2 productos",IF('Pegar ML'!O841="",0,'Pegar ML'!O841),IF('Pegar ML'!O842="",0,'Pegar ML'!O842))</f>
        <v>0</v>
      </c>
      <c r="J846" s="14">
        <f>IF('Pegar ML'!C841="Paquete de 2 productos",IF('Pegar ML'!O841="",0,'Pegar ML'!O841),IF('Pegar ML'!O842="",0,'Pegar ML'!O842))</f>
        <v>0</v>
      </c>
      <c r="K846" s="14">
        <f t="shared" si="41"/>
        <v>0</v>
      </c>
      <c r="L846" s="27">
        <f>IF('Pegar ML'!AB842=" ",'Pegar ML'!AB841,'Pegar ML'!AB842)</f>
        <v>0</v>
      </c>
      <c r="M846" s="27" t="str">
        <f>IF('Pegar ML'!AC842=" ",RIGHT('Pegar ML'!AC841,8),RIGHT('Pegar ML'!AC842,8))</f>
        <v/>
      </c>
      <c r="N846" s="27" t="s">
        <v>80</v>
      </c>
      <c r="O846" s="27">
        <f t="shared" si="39"/>
        <v>0</v>
      </c>
      <c r="P846" s="27" t="s">
        <v>80</v>
      </c>
      <c r="Q846" s="55">
        <f>IF('Pegar ML'!AD842=" ",'Pegar ML'!AD841,'Pegar ML'!AD842)</f>
        <v>0</v>
      </c>
      <c r="R846" s="27" t="s">
        <v>80</v>
      </c>
      <c r="S846" s="27" t="s">
        <v>80</v>
      </c>
      <c r="T846" s="27" t="s">
        <v>80</v>
      </c>
      <c r="U846" s="55">
        <f>IF('Pegar ML'!AI842=" ",'Pegar ML'!AI841,'Pegar ML'!AI842)</f>
        <v>0</v>
      </c>
      <c r="V846" s="55">
        <f>IF('Pegar ML'!AK842=" ",'Pegar ML'!AK841,'Pegar ML'!AK842)</f>
        <v>0</v>
      </c>
      <c r="W846" s="55">
        <f>IF('Pegar ML'!AJ842=" ",'Pegar ML'!AJ841,'Pegar ML'!AJ842)</f>
        <v>0</v>
      </c>
      <c r="X846" s="55">
        <f>IF('Pegar ML'!AL842=" ",'Pegar ML'!AL841,'Pegar ML'!AL842)</f>
        <v>0</v>
      </c>
      <c r="Y846" s="27"/>
      <c r="Z846" s="27"/>
      <c r="AA846" s="27"/>
      <c r="AB846" s="27"/>
      <c r="AC846" s="27"/>
      <c r="AD846" s="27"/>
      <c r="AF846" s="8"/>
      <c r="AG846" s="27"/>
      <c r="AH846" s="14">
        <f>+'Pegar ML'!Y842</f>
        <v>0</v>
      </c>
      <c r="AI846" s="13">
        <f t="shared" si="40"/>
        <v>1</v>
      </c>
      <c r="AJ846" s="7">
        <f>+'Pegar ML'!T842</f>
        <v>0</v>
      </c>
      <c r="AK846" s="27"/>
      <c r="AL846" s="27"/>
      <c r="AM846" s="27"/>
      <c r="AN846" s="27"/>
      <c r="AO846" s="27"/>
      <c r="AP846" s="27"/>
      <c r="AQ846" s="27"/>
      <c r="AR846" s="27"/>
      <c r="AS846" s="27">
        <v>17</v>
      </c>
    </row>
    <row r="847" spans="1:45" ht="15" customHeight="1" x14ac:dyDescent="0.25">
      <c r="A847" s="27">
        <f>IF('Pegar ML'!C842="Paquete de 2 productos",'Pegar ML'!A842,IF('Pegar ML'!C841="Paquete de 2 productos",'Pegar ML'!A841,'Pegar ML'!A843))</f>
        <v>0</v>
      </c>
      <c r="B847" s="27"/>
      <c r="C847" s="30" t="str">
        <f>IF(AjusteFecha!I843=0,"",AjusteFecha!I843)</f>
        <v/>
      </c>
      <c r="D847" s="27"/>
      <c r="E847" s="27"/>
      <c r="F847" s="27" t="str">
        <f>IF('Pegar ML'!C843="","",'Pegar ML'!C843)</f>
        <v/>
      </c>
      <c r="G847" s="27" t="str">
        <f>IF('Pegar ML'!G838="ARS","PS","PS")</f>
        <v>PS</v>
      </c>
      <c r="H847" s="14">
        <f>IF('Pegar ML'!C842="Paquete de 2 productos",IF('Pegar ML'!H842="",0,'Pegar ML'!H842),IF('Pegar ML'!H843="",0,'Pegar ML'!H843))</f>
        <v>0</v>
      </c>
      <c r="I847" s="14">
        <f>IF('Pegar ML'!C842="Paquete de 2 productos",IF('Pegar ML'!O842="",0,'Pegar ML'!O842),IF('Pegar ML'!O843="",0,'Pegar ML'!O843))</f>
        <v>0</v>
      </c>
      <c r="J847" s="14">
        <f>IF('Pegar ML'!C842="Paquete de 2 productos",IF('Pegar ML'!O842="",0,'Pegar ML'!O842),IF('Pegar ML'!O843="",0,'Pegar ML'!O843))</f>
        <v>0</v>
      </c>
      <c r="K847" s="14">
        <f t="shared" si="41"/>
        <v>0</v>
      </c>
      <c r="L847" s="27">
        <f>IF('Pegar ML'!AB843=" ",'Pegar ML'!AB842,'Pegar ML'!AB843)</f>
        <v>0</v>
      </c>
      <c r="M847" s="27" t="str">
        <f>IF('Pegar ML'!AC843=" ",RIGHT('Pegar ML'!AC842,8),RIGHT('Pegar ML'!AC843,8))</f>
        <v/>
      </c>
      <c r="N847" s="27" t="s">
        <v>80</v>
      </c>
      <c r="O847" s="27">
        <f t="shared" si="39"/>
        <v>0</v>
      </c>
      <c r="P847" s="27" t="s">
        <v>80</v>
      </c>
      <c r="Q847" s="55">
        <f>IF('Pegar ML'!AD843=" ",'Pegar ML'!AD842,'Pegar ML'!AD843)</f>
        <v>0</v>
      </c>
      <c r="R847" s="27" t="s">
        <v>80</v>
      </c>
      <c r="S847" s="27" t="s">
        <v>80</v>
      </c>
      <c r="T847" s="27" t="s">
        <v>80</v>
      </c>
      <c r="U847" s="55">
        <f>IF('Pegar ML'!AI843=" ",'Pegar ML'!AI842,'Pegar ML'!AI843)</f>
        <v>0</v>
      </c>
      <c r="V847" s="55">
        <f>IF('Pegar ML'!AK843=" ",'Pegar ML'!AK842,'Pegar ML'!AK843)</f>
        <v>0</v>
      </c>
      <c r="W847" s="55">
        <f>IF('Pegar ML'!AJ843=" ",'Pegar ML'!AJ842,'Pegar ML'!AJ843)</f>
        <v>0</v>
      </c>
      <c r="X847" s="55">
        <f>IF('Pegar ML'!AL843=" ",'Pegar ML'!AL842,'Pegar ML'!AL843)</f>
        <v>0</v>
      </c>
      <c r="Y847" s="27"/>
      <c r="Z847" s="27"/>
      <c r="AA847" s="27"/>
      <c r="AB847" s="27"/>
      <c r="AC847" s="27"/>
      <c r="AD847" s="27"/>
      <c r="AF847" s="8"/>
      <c r="AG847" s="27"/>
      <c r="AH847" s="14">
        <f>+'Pegar ML'!Y843</f>
        <v>0</v>
      </c>
      <c r="AI847" s="13">
        <f t="shared" si="40"/>
        <v>1</v>
      </c>
      <c r="AJ847" s="7">
        <f>+'Pegar ML'!T843</f>
        <v>0</v>
      </c>
      <c r="AK847" s="27"/>
      <c r="AL847" s="27"/>
      <c r="AM847" s="27"/>
      <c r="AN847" s="27"/>
      <c r="AO847" s="27"/>
      <c r="AP847" s="27"/>
      <c r="AQ847" s="27"/>
      <c r="AR847" s="27"/>
      <c r="AS847" s="27">
        <v>17</v>
      </c>
    </row>
    <row r="848" spans="1:45" ht="15" customHeight="1" x14ac:dyDescent="0.25">
      <c r="A848" s="27">
        <f>IF('Pegar ML'!C843="Paquete de 2 productos",'Pegar ML'!A843,IF('Pegar ML'!C842="Paquete de 2 productos",'Pegar ML'!A842,'Pegar ML'!A844))</f>
        <v>0</v>
      </c>
      <c r="B848" s="27"/>
      <c r="C848" s="30" t="str">
        <f>IF(AjusteFecha!I844=0,"",AjusteFecha!I844)</f>
        <v/>
      </c>
      <c r="D848" s="27"/>
      <c r="E848" s="27"/>
      <c r="F848" s="27" t="str">
        <f>IF('Pegar ML'!C844="","",'Pegar ML'!C844)</f>
        <v/>
      </c>
      <c r="G848" s="27" t="str">
        <f>IF('Pegar ML'!G839="ARS","PS","PS")</f>
        <v>PS</v>
      </c>
      <c r="H848" s="14">
        <f>IF('Pegar ML'!C843="Paquete de 2 productos",IF('Pegar ML'!H843="",0,'Pegar ML'!H843),IF('Pegar ML'!H844="",0,'Pegar ML'!H844))</f>
        <v>0</v>
      </c>
      <c r="I848" s="14">
        <f>IF('Pegar ML'!C843="Paquete de 2 productos",IF('Pegar ML'!O843="",0,'Pegar ML'!O843),IF('Pegar ML'!O844="",0,'Pegar ML'!O844))</f>
        <v>0</v>
      </c>
      <c r="J848" s="14">
        <f>IF('Pegar ML'!C843="Paquete de 2 productos",IF('Pegar ML'!O843="",0,'Pegar ML'!O843),IF('Pegar ML'!O844="",0,'Pegar ML'!O844))</f>
        <v>0</v>
      </c>
      <c r="K848" s="14">
        <f t="shared" si="41"/>
        <v>0</v>
      </c>
      <c r="L848" s="27">
        <f>IF('Pegar ML'!AB844=" ",'Pegar ML'!AB843,'Pegar ML'!AB844)</f>
        <v>0</v>
      </c>
      <c r="M848" s="27" t="str">
        <f>IF('Pegar ML'!AC844=" ",RIGHT('Pegar ML'!AC843,8),RIGHT('Pegar ML'!AC844,8))</f>
        <v/>
      </c>
      <c r="N848" s="27" t="s">
        <v>80</v>
      </c>
      <c r="O848" s="27">
        <f t="shared" si="39"/>
        <v>0</v>
      </c>
      <c r="P848" s="27" t="s">
        <v>80</v>
      </c>
      <c r="Q848" s="55">
        <f>IF('Pegar ML'!AD844=" ",'Pegar ML'!AD843,'Pegar ML'!AD844)</f>
        <v>0</v>
      </c>
      <c r="R848" s="27" t="s">
        <v>80</v>
      </c>
      <c r="S848" s="27" t="s">
        <v>80</v>
      </c>
      <c r="T848" s="27" t="s">
        <v>80</v>
      </c>
      <c r="U848" s="55">
        <f>IF('Pegar ML'!AI844=" ",'Pegar ML'!AI843,'Pegar ML'!AI844)</f>
        <v>0</v>
      </c>
      <c r="V848" s="55">
        <f>IF('Pegar ML'!AK844=" ",'Pegar ML'!AK843,'Pegar ML'!AK844)</f>
        <v>0</v>
      </c>
      <c r="W848" s="55">
        <f>IF('Pegar ML'!AJ844=" ",'Pegar ML'!AJ843,'Pegar ML'!AJ844)</f>
        <v>0</v>
      </c>
      <c r="X848" s="55">
        <f>IF('Pegar ML'!AL844=" ",'Pegar ML'!AL843,'Pegar ML'!AL844)</f>
        <v>0</v>
      </c>
      <c r="Y848" s="27"/>
      <c r="Z848" s="27"/>
      <c r="AA848" s="27"/>
      <c r="AB848" s="27"/>
      <c r="AC848" s="27"/>
      <c r="AD848" s="27"/>
      <c r="AF848" s="8"/>
      <c r="AG848" s="27"/>
      <c r="AH848" s="14">
        <f>+'Pegar ML'!Y844</f>
        <v>0</v>
      </c>
      <c r="AI848" s="13">
        <f t="shared" si="40"/>
        <v>1</v>
      </c>
      <c r="AJ848" s="7">
        <f>+'Pegar ML'!T844</f>
        <v>0</v>
      </c>
      <c r="AK848" s="27"/>
      <c r="AL848" s="27"/>
      <c r="AM848" s="27"/>
      <c r="AN848" s="27"/>
      <c r="AO848" s="27"/>
      <c r="AP848" s="27"/>
      <c r="AQ848" s="27"/>
      <c r="AR848" s="27"/>
      <c r="AS848" s="27">
        <v>17</v>
      </c>
    </row>
    <row r="849" spans="1:45" ht="15" customHeight="1" x14ac:dyDescent="0.25">
      <c r="A849" s="27">
        <f>IF('Pegar ML'!C844="Paquete de 2 productos",'Pegar ML'!A844,IF('Pegar ML'!C843="Paquete de 2 productos",'Pegar ML'!A843,'Pegar ML'!A845))</f>
        <v>0</v>
      </c>
      <c r="B849" s="27"/>
      <c r="C849" s="30" t="str">
        <f>IF(AjusteFecha!I845=0,"",AjusteFecha!I845)</f>
        <v/>
      </c>
      <c r="D849" s="27"/>
      <c r="E849" s="27"/>
      <c r="F849" s="27" t="str">
        <f>IF('Pegar ML'!C845="","",'Pegar ML'!C845)</f>
        <v/>
      </c>
      <c r="G849" s="27" t="str">
        <f>IF('Pegar ML'!G840="ARS","PS","PS")</f>
        <v>PS</v>
      </c>
      <c r="H849" s="14">
        <f>IF('Pegar ML'!C844="Paquete de 2 productos",IF('Pegar ML'!H844="",0,'Pegar ML'!H844),IF('Pegar ML'!H845="",0,'Pegar ML'!H845))</f>
        <v>0</v>
      </c>
      <c r="I849" s="14">
        <f>IF('Pegar ML'!C844="Paquete de 2 productos",IF('Pegar ML'!O844="",0,'Pegar ML'!O844),IF('Pegar ML'!O845="",0,'Pegar ML'!O845))</f>
        <v>0</v>
      </c>
      <c r="J849" s="14">
        <f>IF('Pegar ML'!C844="Paquete de 2 productos",IF('Pegar ML'!O844="",0,'Pegar ML'!O844),IF('Pegar ML'!O845="",0,'Pegar ML'!O845))</f>
        <v>0</v>
      </c>
      <c r="K849" s="14">
        <f t="shared" si="41"/>
        <v>0</v>
      </c>
      <c r="L849" s="27">
        <f>IF('Pegar ML'!AB845=" ",'Pegar ML'!AB844,'Pegar ML'!AB845)</f>
        <v>0</v>
      </c>
      <c r="M849" s="27" t="str">
        <f>IF('Pegar ML'!AC845=" ",RIGHT('Pegar ML'!AC844,8),RIGHT('Pegar ML'!AC845,8))</f>
        <v/>
      </c>
      <c r="N849" s="27" t="s">
        <v>80</v>
      </c>
      <c r="O849" s="27">
        <f t="shared" si="39"/>
        <v>0</v>
      </c>
      <c r="P849" s="27" t="s">
        <v>80</v>
      </c>
      <c r="Q849" s="55">
        <f>IF('Pegar ML'!AD845=" ",'Pegar ML'!AD844,'Pegar ML'!AD845)</f>
        <v>0</v>
      </c>
      <c r="R849" s="27" t="s">
        <v>80</v>
      </c>
      <c r="S849" s="27" t="s">
        <v>80</v>
      </c>
      <c r="T849" s="27" t="s">
        <v>80</v>
      </c>
      <c r="U849" s="55">
        <f>IF('Pegar ML'!AI845=" ",'Pegar ML'!AI844,'Pegar ML'!AI845)</f>
        <v>0</v>
      </c>
      <c r="V849" s="55">
        <f>IF('Pegar ML'!AK845=" ",'Pegar ML'!AK844,'Pegar ML'!AK845)</f>
        <v>0</v>
      </c>
      <c r="W849" s="55">
        <f>IF('Pegar ML'!AJ845=" ",'Pegar ML'!AJ844,'Pegar ML'!AJ845)</f>
        <v>0</v>
      </c>
      <c r="X849" s="55">
        <f>IF('Pegar ML'!AL845=" ",'Pegar ML'!AL844,'Pegar ML'!AL845)</f>
        <v>0</v>
      </c>
      <c r="Y849" s="27"/>
      <c r="Z849" s="27"/>
      <c r="AA849" s="27"/>
      <c r="AB849" s="27"/>
      <c r="AC849" s="27"/>
      <c r="AD849" s="27"/>
      <c r="AF849" s="8"/>
      <c r="AG849" s="27"/>
      <c r="AH849" s="14">
        <f>+'Pegar ML'!Y845</f>
        <v>0</v>
      </c>
      <c r="AI849" s="13">
        <f t="shared" si="40"/>
        <v>1</v>
      </c>
      <c r="AJ849" s="7">
        <f>+'Pegar ML'!T845</f>
        <v>0</v>
      </c>
      <c r="AK849" s="27"/>
      <c r="AL849" s="27"/>
      <c r="AM849" s="27"/>
      <c r="AN849" s="27"/>
      <c r="AO849" s="27"/>
      <c r="AP849" s="27"/>
      <c r="AQ849" s="27"/>
      <c r="AR849" s="27"/>
      <c r="AS849" s="27">
        <v>17</v>
      </c>
    </row>
    <row r="850" spans="1:45" ht="15" customHeight="1" x14ac:dyDescent="0.25">
      <c r="A850" s="27">
        <f>IF('Pegar ML'!C845="Paquete de 2 productos",'Pegar ML'!A845,IF('Pegar ML'!C844="Paquete de 2 productos",'Pegar ML'!A844,'Pegar ML'!A846))</f>
        <v>0</v>
      </c>
      <c r="B850" s="27"/>
      <c r="C850" s="30" t="str">
        <f>IF(AjusteFecha!I846=0,"",AjusteFecha!I846)</f>
        <v/>
      </c>
      <c r="D850" s="27"/>
      <c r="E850" s="27"/>
      <c r="F850" s="27" t="str">
        <f>IF('Pegar ML'!C846="","",'Pegar ML'!C846)</f>
        <v/>
      </c>
      <c r="G850" s="27" t="str">
        <f>IF('Pegar ML'!G841="ARS","PS","PS")</f>
        <v>PS</v>
      </c>
      <c r="H850" s="14">
        <f>IF('Pegar ML'!C845="Paquete de 2 productos",IF('Pegar ML'!H845="",0,'Pegar ML'!H845),IF('Pegar ML'!H846="",0,'Pegar ML'!H846))</f>
        <v>0</v>
      </c>
      <c r="I850" s="14">
        <f>IF('Pegar ML'!C845="Paquete de 2 productos",IF('Pegar ML'!O845="",0,'Pegar ML'!O845),IF('Pegar ML'!O846="",0,'Pegar ML'!O846))</f>
        <v>0</v>
      </c>
      <c r="J850" s="14">
        <f>IF('Pegar ML'!C845="Paquete de 2 productos",IF('Pegar ML'!O845="",0,'Pegar ML'!O845),IF('Pegar ML'!O846="",0,'Pegar ML'!O846))</f>
        <v>0</v>
      </c>
      <c r="K850" s="14">
        <f t="shared" si="41"/>
        <v>0</v>
      </c>
      <c r="L850" s="27">
        <f>IF('Pegar ML'!AB846=" ",'Pegar ML'!AB845,'Pegar ML'!AB846)</f>
        <v>0</v>
      </c>
      <c r="M850" s="27" t="str">
        <f>IF('Pegar ML'!AC846=" ",RIGHT('Pegar ML'!AC845,8),RIGHT('Pegar ML'!AC846,8))</f>
        <v/>
      </c>
      <c r="N850" s="27" t="s">
        <v>80</v>
      </c>
      <c r="O850" s="27">
        <f t="shared" si="39"/>
        <v>0</v>
      </c>
      <c r="P850" s="27" t="s">
        <v>80</v>
      </c>
      <c r="Q850" s="55">
        <f>IF('Pegar ML'!AD846=" ",'Pegar ML'!AD845,'Pegar ML'!AD846)</f>
        <v>0</v>
      </c>
      <c r="R850" s="27" t="s">
        <v>80</v>
      </c>
      <c r="S850" s="27" t="s">
        <v>80</v>
      </c>
      <c r="T850" s="27" t="s">
        <v>80</v>
      </c>
      <c r="U850" s="55">
        <f>IF('Pegar ML'!AI846=" ",'Pegar ML'!AI845,'Pegar ML'!AI846)</f>
        <v>0</v>
      </c>
      <c r="V850" s="55">
        <f>IF('Pegar ML'!AK846=" ",'Pegar ML'!AK845,'Pegar ML'!AK846)</f>
        <v>0</v>
      </c>
      <c r="W850" s="55">
        <f>IF('Pegar ML'!AJ846=" ",'Pegar ML'!AJ845,'Pegar ML'!AJ846)</f>
        <v>0</v>
      </c>
      <c r="X850" s="55">
        <f>IF('Pegar ML'!AL846=" ",'Pegar ML'!AL845,'Pegar ML'!AL846)</f>
        <v>0</v>
      </c>
      <c r="Y850" s="27"/>
      <c r="Z850" s="27"/>
      <c r="AA850" s="27"/>
      <c r="AB850" s="27"/>
      <c r="AC850" s="27"/>
      <c r="AD850" s="27"/>
      <c r="AF850" s="8"/>
      <c r="AG850" s="27"/>
      <c r="AH850" s="14">
        <f>+'Pegar ML'!Y846</f>
        <v>0</v>
      </c>
      <c r="AI850" s="13">
        <f t="shared" si="40"/>
        <v>1</v>
      </c>
      <c r="AJ850" s="7">
        <f>+'Pegar ML'!T846</f>
        <v>0</v>
      </c>
      <c r="AK850" s="27"/>
      <c r="AL850" s="27"/>
      <c r="AM850" s="27"/>
      <c r="AN850" s="27"/>
      <c r="AO850" s="27"/>
      <c r="AP850" s="27"/>
      <c r="AQ850" s="27"/>
      <c r="AR850" s="27"/>
      <c r="AS850" s="27">
        <v>17</v>
      </c>
    </row>
    <row r="851" spans="1:45" ht="15" customHeight="1" x14ac:dyDescent="0.25">
      <c r="A851" s="27">
        <f>IF('Pegar ML'!C846="Paquete de 2 productos",'Pegar ML'!A846,IF('Pegar ML'!C845="Paquete de 2 productos",'Pegar ML'!A845,'Pegar ML'!A847))</f>
        <v>0</v>
      </c>
      <c r="B851" s="27"/>
      <c r="C851" s="30" t="str">
        <f>IF(AjusteFecha!I847=0,"",AjusteFecha!I847)</f>
        <v/>
      </c>
      <c r="D851" s="27"/>
      <c r="E851" s="27"/>
      <c r="F851" s="27" t="str">
        <f>IF('Pegar ML'!C847="","",'Pegar ML'!C847)</f>
        <v/>
      </c>
      <c r="G851" s="27" t="str">
        <f>IF('Pegar ML'!G842="ARS","PS","PS")</f>
        <v>PS</v>
      </c>
      <c r="H851" s="14">
        <f>IF('Pegar ML'!C846="Paquete de 2 productos",IF('Pegar ML'!H846="",0,'Pegar ML'!H846),IF('Pegar ML'!H847="",0,'Pegar ML'!H847))</f>
        <v>0</v>
      </c>
      <c r="I851" s="14">
        <f>IF('Pegar ML'!C846="Paquete de 2 productos",IF('Pegar ML'!O846="",0,'Pegar ML'!O846),IF('Pegar ML'!O847="",0,'Pegar ML'!O847))</f>
        <v>0</v>
      </c>
      <c r="J851" s="14">
        <f>IF('Pegar ML'!C846="Paquete de 2 productos",IF('Pegar ML'!O846="",0,'Pegar ML'!O846),IF('Pegar ML'!O847="",0,'Pegar ML'!O847))</f>
        <v>0</v>
      </c>
      <c r="K851" s="14">
        <f t="shared" si="41"/>
        <v>0</v>
      </c>
      <c r="L851" s="27">
        <f>IF('Pegar ML'!AB847=" ",'Pegar ML'!AB846,'Pegar ML'!AB847)</f>
        <v>0</v>
      </c>
      <c r="M851" s="27" t="str">
        <f>IF('Pegar ML'!AC847=" ",RIGHT('Pegar ML'!AC846,8),RIGHT('Pegar ML'!AC847,8))</f>
        <v/>
      </c>
      <c r="N851" s="27" t="s">
        <v>80</v>
      </c>
      <c r="O851" s="27">
        <f t="shared" si="39"/>
        <v>0</v>
      </c>
      <c r="P851" s="27" t="s">
        <v>80</v>
      </c>
      <c r="Q851" s="55">
        <f>IF('Pegar ML'!AD847=" ",'Pegar ML'!AD846,'Pegar ML'!AD847)</f>
        <v>0</v>
      </c>
      <c r="R851" s="27" t="s">
        <v>80</v>
      </c>
      <c r="S851" s="27" t="s">
        <v>80</v>
      </c>
      <c r="T851" s="27" t="s">
        <v>80</v>
      </c>
      <c r="U851" s="55">
        <f>IF('Pegar ML'!AI847=" ",'Pegar ML'!AI846,'Pegar ML'!AI847)</f>
        <v>0</v>
      </c>
      <c r="V851" s="55">
        <f>IF('Pegar ML'!AK847=" ",'Pegar ML'!AK846,'Pegar ML'!AK847)</f>
        <v>0</v>
      </c>
      <c r="W851" s="55">
        <f>IF('Pegar ML'!AJ847=" ",'Pegar ML'!AJ846,'Pegar ML'!AJ847)</f>
        <v>0</v>
      </c>
      <c r="X851" s="55">
        <f>IF('Pegar ML'!AL847=" ",'Pegar ML'!AL846,'Pegar ML'!AL847)</f>
        <v>0</v>
      </c>
      <c r="Y851" s="27"/>
      <c r="Z851" s="27"/>
      <c r="AA851" s="27"/>
      <c r="AB851" s="27"/>
      <c r="AC851" s="27"/>
      <c r="AD851" s="27"/>
      <c r="AF851" s="8"/>
      <c r="AG851" s="27"/>
      <c r="AH851" s="14">
        <f>+'Pegar ML'!Y847</f>
        <v>0</v>
      </c>
      <c r="AI851" s="13">
        <f t="shared" si="40"/>
        <v>1</v>
      </c>
      <c r="AJ851" s="7">
        <f>+'Pegar ML'!T847</f>
        <v>0</v>
      </c>
      <c r="AK851" s="27"/>
      <c r="AL851" s="27"/>
      <c r="AM851" s="27"/>
      <c r="AN851" s="27"/>
      <c r="AO851" s="27"/>
      <c r="AP851" s="27"/>
      <c r="AQ851" s="27"/>
      <c r="AR851" s="27"/>
      <c r="AS851" s="27">
        <v>17</v>
      </c>
    </row>
    <row r="852" spans="1:45" ht="15" customHeight="1" x14ac:dyDescent="0.25">
      <c r="A852" s="27">
        <f>IF('Pegar ML'!C847="Paquete de 2 productos",'Pegar ML'!A847,IF('Pegar ML'!C846="Paquete de 2 productos",'Pegar ML'!A846,'Pegar ML'!A848))</f>
        <v>0</v>
      </c>
      <c r="B852" s="27"/>
      <c r="C852" s="30" t="str">
        <f>IF(AjusteFecha!I848=0,"",AjusteFecha!I848)</f>
        <v/>
      </c>
      <c r="D852" s="27"/>
      <c r="E852" s="27"/>
      <c r="F852" s="27" t="str">
        <f>IF('Pegar ML'!C848="","",'Pegar ML'!C848)</f>
        <v/>
      </c>
      <c r="G852" s="27" t="str">
        <f>IF('Pegar ML'!G843="ARS","PS","PS")</f>
        <v>PS</v>
      </c>
      <c r="H852" s="14">
        <f>IF('Pegar ML'!C847="Paquete de 2 productos",IF('Pegar ML'!H847="",0,'Pegar ML'!H847),IF('Pegar ML'!H848="",0,'Pegar ML'!H848))</f>
        <v>0</v>
      </c>
      <c r="I852" s="14">
        <f>IF('Pegar ML'!C847="Paquete de 2 productos",IF('Pegar ML'!O847="",0,'Pegar ML'!O847),IF('Pegar ML'!O848="",0,'Pegar ML'!O848))</f>
        <v>0</v>
      </c>
      <c r="J852" s="14">
        <f>IF('Pegar ML'!C847="Paquete de 2 productos",IF('Pegar ML'!O847="",0,'Pegar ML'!O847),IF('Pegar ML'!O848="",0,'Pegar ML'!O848))</f>
        <v>0</v>
      </c>
      <c r="K852" s="14">
        <f t="shared" si="41"/>
        <v>0</v>
      </c>
      <c r="L852" s="27">
        <f>IF('Pegar ML'!AB848=" ",'Pegar ML'!AB847,'Pegar ML'!AB848)</f>
        <v>0</v>
      </c>
      <c r="M852" s="27" t="str">
        <f>IF('Pegar ML'!AC848=" ",RIGHT('Pegar ML'!AC847,8),RIGHT('Pegar ML'!AC848,8))</f>
        <v/>
      </c>
      <c r="N852" s="27" t="s">
        <v>80</v>
      </c>
      <c r="O852" s="27">
        <f t="shared" si="39"/>
        <v>0</v>
      </c>
      <c r="P852" s="27" t="s">
        <v>80</v>
      </c>
      <c r="Q852" s="55">
        <f>IF('Pegar ML'!AD848=" ",'Pegar ML'!AD847,'Pegar ML'!AD848)</f>
        <v>0</v>
      </c>
      <c r="R852" s="27" t="s">
        <v>80</v>
      </c>
      <c r="S852" s="27" t="s">
        <v>80</v>
      </c>
      <c r="T852" s="27" t="s">
        <v>80</v>
      </c>
      <c r="U852" s="55">
        <f>IF('Pegar ML'!AI848=" ",'Pegar ML'!AI847,'Pegar ML'!AI848)</f>
        <v>0</v>
      </c>
      <c r="V852" s="55">
        <f>IF('Pegar ML'!AK848=" ",'Pegar ML'!AK847,'Pegar ML'!AK848)</f>
        <v>0</v>
      </c>
      <c r="W852" s="55">
        <f>IF('Pegar ML'!AJ848=" ",'Pegar ML'!AJ847,'Pegar ML'!AJ848)</f>
        <v>0</v>
      </c>
      <c r="X852" s="55">
        <f>IF('Pegar ML'!AL848=" ",'Pegar ML'!AL847,'Pegar ML'!AL848)</f>
        <v>0</v>
      </c>
      <c r="Y852" s="27"/>
      <c r="Z852" s="27"/>
      <c r="AA852" s="27"/>
      <c r="AB852" s="27"/>
      <c r="AC852" s="27"/>
      <c r="AD852" s="27"/>
      <c r="AF852" s="8"/>
      <c r="AG852" s="27"/>
      <c r="AH852" s="14">
        <f>+'Pegar ML'!Y848</f>
        <v>0</v>
      </c>
      <c r="AI852" s="13">
        <f t="shared" si="40"/>
        <v>1</v>
      </c>
      <c r="AJ852" s="7">
        <f>+'Pegar ML'!T848</f>
        <v>0</v>
      </c>
      <c r="AK852" s="27"/>
      <c r="AL852" s="27"/>
      <c r="AM852" s="27"/>
      <c r="AN852" s="27"/>
      <c r="AO852" s="27"/>
      <c r="AP852" s="27"/>
      <c r="AQ852" s="27"/>
      <c r="AR852" s="27"/>
      <c r="AS852" s="27">
        <v>17</v>
      </c>
    </row>
    <row r="853" spans="1:45" ht="15" customHeight="1" x14ac:dyDescent="0.25">
      <c r="A853" s="27">
        <f>IF('Pegar ML'!C848="Paquete de 2 productos",'Pegar ML'!A848,IF('Pegar ML'!C847="Paquete de 2 productos",'Pegar ML'!A847,'Pegar ML'!A849))</f>
        <v>0</v>
      </c>
      <c r="B853" s="27"/>
      <c r="C853" s="30" t="str">
        <f>IF(AjusteFecha!I849=0,"",AjusteFecha!I849)</f>
        <v/>
      </c>
      <c r="D853" s="27"/>
      <c r="E853" s="27"/>
      <c r="F853" s="27" t="str">
        <f>IF('Pegar ML'!C849="","",'Pegar ML'!C849)</f>
        <v/>
      </c>
      <c r="G853" s="27" t="str">
        <f>IF('Pegar ML'!G844="ARS","PS","PS")</f>
        <v>PS</v>
      </c>
      <c r="H853" s="14">
        <f>IF('Pegar ML'!C848="Paquete de 2 productos",IF('Pegar ML'!H848="",0,'Pegar ML'!H848),IF('Pegar ML'!H849="",0,'Pegar ML'!H849))</f>
        <v>0</v>
      </c>
      <c r="I853" s="14">
        <f>IF('Pegar ML'!C848="Paquete de 2 productos",IF('Pegar ML'!O848="",0,'Pegar ML'!O848),IF('Pegar ML'!O849="",0,'Pegar ML'!O849))</f>
        <v>0</v>
      </c>
      <c r="J853" s="14">
        <f>IF('Pegar ML'!C848="Paquete de 2 productos",IF('Pegar ML'!O848="",0,'Pegar ML'!O848),IF('Pegar ML'!O849="",0,'Pegar ML'!O849))</f>
        <v>0</v>
      </c>
      <c r="K853" s="14">
        <f t="shared" si="41"/>
        <v>0</v>
      </c>
      <c r="L853" s="27">
        <f>IF('Pegar ML'!AB849=" ",'Pegar ML'!AB848,'Pegar ML'!AB849)</f>
        <v>0</v>
      </c>
      <c r="M853" s="27" t="str">
        <f>IF('Pegar ML'!AC849=" ",RIGHT('Pegar ML'!AC848,8),RIGHT('Pegar ML'!AC849,8))</f>
        <v/>
      </c>
      <c r="N853" s="27" t="s">
        <v>80</v>
      </c>
      <c r="O853" s="27">
        <f t="shared" si="39"/>
        <v>0</v>
      </c>
      <c r="P853" s="27" t="s">
        <v>80</v>
      </c>
      <c r="Q853" s="55">
        <f>IF('Pegar ML'!AD849=" ",'Pegar ML'!AD848,'Pegar ML'!AD849)</f>
        <v>0</v>
      </c>
      <c r="R853" s="27" t="s">
        <v>80</v>
      </c>
      <c r="S853" s="27" t="s">
        <v>80</v>
      </c>
      <c r="T853" s="27" t="s">
        <v>80</v>
      </c>
      <c r="U853" s="55">
        <f>IF('Pegar ML'!AI849=" ",'Pegar ML'!AI848,'Pegar ML'!AI849)</f>
        <v>0</v>
      </c>
      <c r="V853" s="55">
        <f>IF('Pegar ML'!AK849=" ",'Pegar ML'!AK848,'Pegar ML'!AK849)</f>
        <v>0</v>
      </c>
      <c r="W853" s="55">
        <f>IF('Pegar ML'!AJ849=" ",'Pegar ML'!AJ848,'Pegar ML'!AJ849)</f>
        <v>0</v>
      </c>
      <c r="X853" s="55">
        <f>IF('Pegar ML'!AL849=" ",'Pegar ML'!AL848,'Pegar ML'!AL849)</f>
        <v>0</v>
      </c>
      <c r="Y853" s="27"/>
      <c r="Z853" s="27"/>
      <c r="AA853" s="27"/>
      <c r="AB853" s="27"/>
      <c r="AC853" s="27"/>
      <c r="AD853" s="27"/>
      <c r="AF853" s="8"/>
      <c r="AG853" s="27"/>
      <c r="AH853" s="14">
        <f>+'Pegar ML'!Y849</f>
        <v>0</v>
      </c>
      <c r="AI853" s="13">
        <f t="shared" si="40"/>
        <v>1</v>
      </c>
      <c r="AJ853" s="7">
        <f>+'Pegar ML'!T849</f>
        <v>0</v>
      </c>
      <c r="AK853" s="27"/>
      <c r="AL853" s="27"/>
      <c r="AM853" s="27"/>
      <c r="AN853" s="27"/>
      <c r="AO853" s="27"/>
      <c r="AP853" s="27"/>
      <c r="AQ853" s="27"/>
      <c r="AR853" s="27"/>
      <c r="AS853" s="27">
        <v>17</v>
      </c>
    </row>
    <row r="854" spans="1:45" ht="15" customHeight="1" x14ac:dyDescent="0.25">
      <c r="A854" s="27">
        <f>IF('Pegar ML'!C849="Paquete de 2 productos",'Pegar ML'!A849,IF('Pegar ML'!C848="Paquete de 2 productos",'Pegar ML'!A848,'Pegar ML'!A850))</f>
        <v>0</v>
      </c>
      <c r="B854" s="27"/>
      <c r="C854" s="30" t="str">
        <f>IF(AjusteFecha!I850=0,"",AjusteFecha!I850)</f>
        <v/>
      </c>
      <c r="D854" s="27"/>
      <c r="E854" s="27"/>
      <c r="F854" s="27" t="str">
        <f>IF('Pegar ML'!C850="","",'Pegar ML'!C850)</f>
        <v/>
      </c>
      <c r="G854" s="27" t="str">
        <f>IF('Pegar ML'!G845="ARS","PS","PS")</f>
        <v>PS</v>
      </c>
      <c r="H854" s="14">
        <f>IF('Pegar ML'!C849="Paquete de 2 productos",IF('Pegar ML'!H849="",0,'Pegar ML'!H849),IF('Pegar ML'!H850="",0,'Pegar ML'!H850))</f>
        <v>0</v>
      </c>
      <c r="I854" s="14">
        <f>IF('Pegar ML'!C849="Paquete de 2 productos",IF('Pegar ML'!O849="",0,'Pegar ML'!O849),IF('Pegar ML'!O850="",0,'Pegar ML'!O850))</f>
        <v>0</v>
      </c>
      <c r="J854" s="14">
        <f>IF('Pegar ML'!C849="Paquete de 2 productos",IF('Pegar ML'!O849="",0,'Pegar ML'!O849),IF('Pegar ML'!O850="",0,'Pegar ML'!O850))</f>
        <v>0</v>
      </c>
      <c r="K854" s="14">
        <f t="shared" si="41"/>
        <v>0</v>
      </c>
      <c r="L854" s="27">
        <f>IF('Pegar ML'!AB850=" ",'Pegar ML'!AB849,'Pegar ML'!AB850)</f>
        <v>0</v>
      </c>
      <c r="M854" s="27" t="str">
        <f>IF('Pegar ML'!AC850=" ",RIGHT('Pegar ML'!AC849,8),RIGHT('Pegar ML'!AC850,8))</f>
        <v/>
      </c>
      <c r="N854" s="27" t="s">
        <v>80</v>
      </c>
      <c r="O854" s="27">
        <f t="shared" si="39"/>
        <v>0</v>
      </c>
      <c r="P854" s="27" t="s">
        <v>80</v>
      </c>
      <c r="Q854" s="55">
        <f>IF('Pegar ML'!AD850=" ",'Pegar ML'!AD849,'Pegar ML'!AD850)</f>
        <v>0</v>
      </c>
      <c r="R854" s="27" t="s">
        <v>80</v>
      </c>
      <c r="S854" s="27" t="s">
        <v>80</v>
      </c>
      <c r="T854" s="27" t="s">
        <v>80</v>
      </c>
      <c r="U854" s="55">
        <f>IF('Pegar ML'!AI850=" ",'Pegar ML'!AI849,'Pegar ML'!AI850)</f>
        <v>0</v>
      </c>
      <c r="V854" s="55">
        <f>IF('Pegar ML'!AK850=" ",'Pegar ML'!AK849,'Pegar ML'!AK850)</f>
        <v>0</v>
      </c>
      <c r="W854" s="55">
        <f>IF('Pegar ML'!AJ850=" ",'Pegar ML'!AJ849,'Pegar ML'!AJ850)</f>
        <v>0</v>
      </c>
      <c r="X854" s="55">
        <f>IF('Pegar ML'!AL850=" ",'Pegar ML'!AL849,'Pegar ML'!AL850)</f>
        <v>0</v>
      </c>
      <c r="Y854" s="27"/>
      <c r="Z854" s="27"/>
      <c r="AA854" s="27"/>
      <c r="AB854" s="27"/>
      <c r="AC854" s="27"/>
      <c r="AD854" s="27"/>
      <c r="AF854" s="8"/>
      <c r="AG854" s="27"/>
      <c r="AH854" s="14">
        <f>+'Pegar ML'!Y850</f>
        <v>0</v>
      </c>
      <c r="AI854" s="13">
        <f t="shared" si="40"/>
        <v>1</v>
      </c>
      <c r="AJ854" s="7">
        <f>+'Pegar ML'!T850</f>
        <v>0</v>
      </c>
      <c r="AK854" s="27"/>
      <c r="AL854" s="27"/>
      <c r="AM854" s="27"/>
      <c r="AN854" s="27"/>
      <c r="AO854" s="27"/>
      <c r="AP854" s="27"/>
      <c r="AQ854" s="27"/>
      <c r="AR854" s="27"/>
      <c r="AS854" s="27">
        <v>17</v>
      </c>
    </row>
    <row r="855" spans="1:45" ht="15" customHeight="1" x14ac:dyDescent="0.25">
      <c r="A855" s="27">
        <f>IF('Pegar ML'!C850="Paquete de 2 productos",'Pegar ML'!A850,IF('Pegar ML'!C849="Paquete de 2 productos",'Pegar ML'!A849,'Pegar ML'!A851))</f>
        <v>0</v>
      </c>
      <c r="B855" s="27"/>
      <c r="C855" s="30" t="str">
        <f>IF(AjusteFecha!I851=0,"",AjusteFecha!I851)</f>
        <v/>
      </c>
      <c r="D855" s="27"/>
      <c r="E855" s="27"/>
      <c r="F855" s="27" t="str">
        <f>IF('Pegar ML'!C851="","",'Pegar ML'!C851)</f>
        <v/>
      </c>
      <c r="G855" s="27" t="str">
        <f>IF('Pegar ML'!G846="ARS","PS","PS")</f>
        <v>PS</v>
      </c>
      <c r="H855" s="14">
        <f>IF('Pegar ML'!C850="Paquete de 2 productos",IF('Pegar ML'!H850="",0,'Pegar ML'!H850),IF('Pegar ML'!H851="",0,'Pegar ML'!H851))</f>
        <v>0</v>
      </c>
      <c r="I855" s="14">
        <f>IF('Pegar ML'!C850="Paquete de 2 productos",IF('Pegar ML'!O850="",0,'Pegar ML'!O850),IF('Pegar ML'!O851="",0,'Pegar ML'!O851))</f>
        <v>0</v>
      </c>
      <c r="J855" s="14">
        <f>IF('Pegar ML'!C850="Paquete de 2 productos",IF('Pegar ML'!O850="",0,'Pegar ML'!O850),IF('Pegar ML'!O851="",0,'Pegar ML'!O851))</f>
        <v>0</v>
      </c>
      <c r="K855" s="14">
        <f t="shared" si="41"/>
        <v>0</v>
      </c>
      <c r="L855" s="27">
        <f>IF('Pegar ML'!AB851=" ",'Pegar ML'!AB850,'Pegar ML'!AB851)</f>
        <v>0</v>
      </c>
      <c r="M855" s="27" t="str">
        <f>IF('Pegar ML'!AC851=" ",RIGHT('Pegar ML'!AC850,8),RIGHT('Pegar ML'!AC851,8))</f>
        <v/>
      </c>
      <c r="N855" s="27" t="s">
        <v>80</v>
      </c>
      <c r="O855" s="27">
        <f t="shared" si="39"/>
        <v>0</v>
      </c>
      <c r="P855" s="27" t="s">
        <v>80</v>
      </c>
      <c r="Q855" s="55">
        <f>IF('Pegar ML'!AD851=" ",'Pegar ML'!AD850,'Pegar ML'!AD851)</f>
        <v>0</v>
      </c>
      <c r="R855" s="27" t="s">
        <v>80</v>
      </c>
      <c r="S855" s="27" t="s">
        <v>80</v>
      </c>
      <c r="T855" s="27" t="s">
        <v>80</v>
      </c>
      <c r="U855" s="55">
        <f>IF('Pegar ML'!AI851=" ",'Pegar ML'!AI850,'Pegar ML'!AI851)</f>
        <v>0</v>
      </c>
      <c r="V855" s="55">
        <f>IF('Pegar ML'!AK851=" ",'Pegar ML'!AK850,'Pegar ML'!AK851)</f>
        <v>0</v>
      </c>
      <c r="W855" s="55">
        <f>IF('Pegar ML'!AJ851=" ",'Pegar ML'!AJ850,'Pegar ML'!AJ851)</f>
        <v>0</v>
      </c>
      <c r="X855" s="55">
        <f>IF('Pegar ML'!AL851=" ",'Pegar ML'!AL850,'Pegar ML'!AL851)</f>
        <v>0</v>
      </c>
      <c r="Y855" s="27"/>
      <c r="Z855" s="27"/>
      <c r="AA855" s="27"/>
      <c r="AB855" s="27"/>
      <c r="AC855" s="27"/>
      <c r="AD855" s="27"/>
      <c r="AF855" s="8"/>
      <c r="AG855" s="27"/>
      <c r="AH855" s="14">
        <f>+'Pegar ML'!Y851</f>
        <v>0</v>
      </c>
      <c r="AI855" s="13">
        <f t="shared" si="40"/>
        <v>1</v>
      </c>
      <c r="AJ855" s="7">
        <f>+'Pegar ML'!T851</f>
        <v>0</v>
      </c>
      <c r="AK855" s="27"/>
      <c r="AL855" s="27"/>
      <c r="AM855" s="27"/>
      <c r="AN855" s="27"/>
      <c r="AO855" s="27"/>
      <c r="AP855" s="27"/>
      <c r="AQ855" s="27"/>
      <c r="AR855" s="27"/>
      <c r="AS855" s="27">
        <v>17</v>
      </c>
    </row>
    <row r="856" spans="1:45" ht="15" customHeight="1" x14ac:dyDescent="0.25">
      <c r="A856" s="27">
        <f>IF('Pegar ML'!C851="Paquete de 2 productos",'Pegar ML'!A851,IF('Pegar ML'!C850="Paquete de 2 productos",'Pegar ML'!A850,'Pegar ML'!A852))</f>
        <v>0</v>
      </c>
      <c r="B856" s="27"/>
      <c r="C856" s="30" t="str">
        <f>IF(AjusteFecha!I852=0,"",AjusteFecha!I852)</f>
        <v/>
      </c>
      <c r="D856" s="27"/>
      <c r="E856" s="27"/>
      <c r="F856" s="27" t="str">
        <f>IF('Pegar ML'!C852="","",'Pegar ML'!C852)</f>
        <v/>
      </c>
      <c r="G856" s="27" t="str">
        <f>IF('Pegar ML'!G847="ARS","PS","PS")</f>
        <v>PS</v>
      </c>
      <c r="H856" s="14">
        <f>IF('Pegar ML'!C851="Paquete de 2 productos",IF('Pegar ML'!H851="",0,'Pegar ML'!H851),IF('Pegar ML'!H852="",0,'Pegar ML'!H852))</f>
        <v>0</v>
      </c>
      <c r="I856" s="14">
        <f>IF('Pegar ML'!C851="Paquete de 2 productos",IF('Pegar ML'!O851="",0,'Pegar ML'!O851),IF('Pegar ML'!O852="",0,'Pegar ML'!O852))</f>
        <v>0</v>
      </c>
      <c r="J856" s="14">
        <f>IF('Pegar ML'!C851="Paquete de 2 productos",IF('Pegar ML'!O851="",0,'Pegar ML'!O851),IF('Pegar ML'!O852="",0,'Pegar ML'!O852))</f>
        <v>0</v>
      </c>
      <c r="K856" s="14">
        <f t="shared" si="41"/>
        <v>0</v>
      </c>
      <c r="L856" s="27">
        <f>IF('Pegar ML'!AB852=" ",'Pegar ML'!AB851,'Pegar ML'!AB852)</f>
        <v>0</v>
      </c>
      <c r="M856" s="27" t="str">
        <f>IF('Pegar ML'!AC852=" ",RIGHT('Pegar ML'!AC851,8),RIGHT('Pegar ML'!AC852,8))</f>
        <v/>
      </c>
      <c r="N856" s="27" t="s">
        <v>80</v>
      </c>
      <c r="O856" s="27">
        <f t="shared" si="39"/>
        <v>0</v>
      </c>
      <c r="P856" s="27" t="s">
        <v>80</v>
      </c>
      <c r="Q856" s="55">
        <f>IF('Pegar ML'!AD852=" ",'Pegar ML'!AD851,'Pegar ML'!AD852)</f>
        <v>0</v>
      </c>
      <c r="R856" s="27" t="s">
        <v>80</v>
      </c>
      <c r="S856" s="27" t="s">
        <v>80</v>
      </c>
      <c r="T856" s="27" t="s">
        <v>80</v>
      </c>
      <c r="U856" s="55">
        <f>IF('Pegar ML'!AI852=" ",'Pegar ML'!AI851,'Pegar ML'!AI852)</f>
        <v>0</v>
      </c>
      <c r="V856" s="55">
        <f>IF('Pegar ML'!AK852=" ",'Pegar ML'!AK851,'Pegar ML'!AK852)</f>
        <v>0</v>
      </c>
      <c r="W856" s="55">
        <f>IF('Pegar ML'!AJ852=" ",'Pegar ML'!AJ851,'Pegar ML'!AJ852)</f>
        <v>0</v>
      </c>
      <c r="X856" s="55">
        <f>IF('Pegar ML'!AL852=" ",'Pegar ML'!AL851,'Pegar ML'!AL852)</f>
        <v>0</v>
      </c>
      <c r="Y856" s="27"/>
      <c r="Z856" s="27"/>
      <c r="AA856" s="27"/>
      <c r="AB856" s="27"/>
      <c r="AC856" s="27"/>
      <c r="AD856" s="27"/>
      <c r="AF856" s="8"/>
      <c r="AG856" s="27"/>
      <c r="AH856" s="14">
        <f>+'Pegar ML'!Y852</f>
        <v>0</v>
      </c>
      <c r="AI856" s="13">
        <f t="shared" si="40"/>
        <v>1</v>
      </c>
      <c r="AJ856" s="7">
        <f>+'Pegar ML'!T852</f>
        <v>0</v>
      </c>
      <c r="AK856" s="27"/>
      <c r="AL856" s="27"/>
      <c r="AM856" s="27"/>
      <c r="AN856" s="27"/>
      <c r="AO856" s="27"/>
      <c r="AP856" s="27"/>
      <c r="AQ856" s="27"/>
      <c r="AR856" s="27"/>
      <c r="AS856" s="27">
        <v>17</v>
      </c>
    </row>
    <row r="857" spans="1:45" ht="15" customHeight="1" x14ac:dyDescent="0.25">
      <c r="A857" s="27">
        <f>IF('Pegar ML'!C852="Paquete de 2 productos",'Pegar ML'!A852,IF('Pegar ML'!C851="Paquete de 2 productos",'Pegar ML'!A851,'Pegar ML'!A853))</f>
        <v>0</v>
      </c>
      <c r="B857" s="27"/>
      <c r="C857" s="30" t="str">
        <f>IF(AjusteFecha!I853=0,"",AjusteFecha!I853)</f>
        <v/>
      </c>
      <c r="D857" s="27"/>
      <c r="E857" s="27"/>
      <c r="F857" s="27" t="str">
        <f>IF('Pegar ML'!C853="","",'Pegar ML'!C853)</f>
        <v/>
      </c>
      <c r="G857" s="27" t="str">
        <f>IF('Pegar ML'!G848="ARS","PS","PS")</f>
        <v>PS</v>
      </c>
      <c r="H857" s="14">
        <f>IF('Pegar ML'!C852="Paquete de 2 productos",IF('Pegar ML'!H852="",0,'Pegar ML'!H852),IF('Pegar ML'!H853="",0,'Pegar ML'!H853))</f>
        <v>0</v>
      </c>
      <c r="I857" s="14">
        <f>IF('Pegar ML'!C852="Paquete de 2 productos",IF('Pegar ML'!O852="",0,'Pegar ML'!O852),IF('Pegar ML'!O853="",0,'Pegar ML'!O853))</f>
        <v>0</v>
      </c>
      <c r="J857" s="14">
        <f>IF('Pegar ML'!C852="Paquete de 2 productos",IF('Pegar ML'!O852="",0,'Pegar ML'!O852),IF('Pegar ML'!O853="",0,'Pegar ML'!O853))</f>
        <v>0</v>
      </c>
      <c r="K857" s="14">
        <f t="shared" si="41"/>
        <v>0</v>
      </c>
      <c r="L857" s="27">
        <f>IF('Pegar ML'!AB853=" ",'Pegar ML'!AB852,'Pegar ML'!AB853)</f>
        <v>0</v>
      </c>
      <c r="M857" s="27" t="str">
        <f>IF('Pegar ML'!AC853=" ",RIGHT('Pegar ML'!AC852,8),RIGHT('Pegar ML'!AC853,8))</f>
        <v/>
      </c>
      <c r="N857" s="27" t="s">
        <v>80</v>
      </c>
      <c r="O857" s="27">
        <f t="shared" si="39"/>
        <v>0</v>
      </c>
      <c r="P857" s="27" t="s">
        <v>80</v>
      </c>
      <c r="Q857" s="55">
        <f>IF('Pegar ML'!AD853=" ",'Pegar ML'!AD852,'Pegar ML'!AD853)</f>
        <v>0</v>
      </c>
      <c r="R857" s="27" t="s">
        <v>80</v>
      </c>
      <c r="S857" s="27" t="s">
        <v>80</v>
      </c>
      <c r="T857" s="27" t="s">
        <v>80</v>
      </c>
      <c r="U857" s="55">
        <f>IF('Pegar ML'!AI853=" ",'Pegar ML'!AI852,'Pegar ML'!AI853)</f>
        <v>0</v>
      </c>
      <c r="V857" s="55">
        <f>IF('Pegar ML'!AK853=" ",'Pegar ML'!AK852,'Pegar ML'!AK853)</f>
        <v>0</v>
      </c>
      <c r="W857" s="55">
        <f>IF('Pegar ML'!AJ853=" ",'Pegar ML'!AJ852,'Pegar ML'!AJ853)</f>
        <v>0</v>
      </c>
      <c r="X857" s="55">
        <f>IF('Pegar ML'!AL853=" ",'Pegar ML'!AL852,'Pegar ML'!AL853)</f>
        <v>0</v>
      </c>
      <c r="Y857" s="27"/>
      <c r="Z857" s="27"/>
      <c r="AA857" s="27"/>
      <c r="AB857" s="27"/>
      <c r="AC857" s="27"/>
      <c r="AD857" s="27"/>
      <c r="AF857" s="8"/>
      <c r="AG857" s="27"/>
      <c r="AH857" s="14">
        <f>+'Pegar ML'!Y853</f>
        <v>0</v>
      </c>
      <c r="AI857" s="13">
        <f t="shared" si="40"/>
        <v>1</v>
      </c>
      <c r="AJ857" s="7">
        <f>+'Pegar ML'!T853</f>
        <v>0</v>
      </c>
      <c r="AK857" s="27"/>
      <c r="AL857" s="27"/>
      <c r="AM857" s="27"/>
      <c r="AN857" s="27"/>
      <c r="AO857" s="27"/>
      <c r="AP857" s="27"/>
      <c r="AQ857" s="27"/>
      <c r="AR857" s="27"/>
      <c r="AS857" s="27">
        <v>17</v>
      </c>
    </row>
    <row r="858" spans="1:45" ht="15" customHeight="1" x14ac:dyDescent="0.25">
      <c r="A858" s="27">
        <f>IF('Pegar ML'!C853="Paquete de 2 productos",'Pegar ML'!A853,IF('Pegar ML'!C852="Paquete de 2 productos",'Pegar ML'!A852,'Pegar ML'!A854))</f>
        <v>0</v>
      </c>
      <c r="B858" s="27"/>
      <c r="C858" s="30" t="str">
        <f>IF(AjusteFecha!I854=0,"",AjusteFecha!I854)</f>
        <v/>
      </c>
      <c r="D858" s="27"/>
      <c r="E858" s="27"/>
      <c r="F858" s="27" t="str">
        <f>IF('Pegar ML'!C854="","",'Pegar ML'!C854)</f>
        <v/>
      </c>
      <c r="G858" s="27" t="str">
        <f>IF('Pegar ML'!G849="ARS","PS","PS")</f>
        <v>PS</v>
      </c>
      <c r="H858" s="14">
        <f>IF('Pegar ML'!C853="Paquete de 2 productos",IF('Pegar ML'!H853="",0,'Pegar ML'!H853),IF('Pegar ML'!H854="",0,'Pegar ML'!H854))</f>
        <v>0</v>
      </c>
      <c r="I858" s="14">
        <f>IF('Pegar ML'!C853="Paquete de 2 productos",IF('Pegar ML'!O853="",0,'Pegar ML'!O853),IF('Pegar ML'!O854="",0,'Pegar ML'!O854))</f>
        <v>0</v>
      </c>
      <c r="J858" s="14">
        <f>IF('Pegar ML'!C853="Paquete de 2 productos",IF('Pegar ML'!O853="",0,'Pegar ML'!O853),IF('Pegar ML'!O854="",0,'Pegar ML'!O854))</f>
        <v>0</v>
      </c>
      <c r="K858" s="14">
        <f t="shared" si="41"/>
        <v>0</v>
      </c>
      <c r="L858" s="27">
        <f>IF('Pegar ML'!AB854=" ",'Pegar ML'!AB853,'Pegar ML'!AB854)</f>
        <v>0</v>
      </c>
      <c r="M858" s="27" t="str">
        <f>IF('Pegar ML'!AC854=" ",RIGHT('Pegar ML'!AC853,8),RIGHT('Pegar ML'!AC854,8))</f>
        <v/>
      </c>
      <c r="N858" s="27" t="s">
        <v>80</v>
      </c>
      <c r="O858" s="27">
        <f t="shared" si="39"/>
        <v>0</v>
      </c>
      <c r="P858" s="27" t="s">
        <v>80</v>
      </c>
      <c r="Q858" s="55">
        <f>IF('Pegar ML'!AD854=" ",'Pegar ML'!AD853,'Pegar ML'!AD854)</f>
        <v>0</v>
      </c>
      <c r="R858" s="27" t="s">
        <v>80</v>
      </c>
      <c r="S858" s="27" t="s">
        <v>80</v>
      </c>
      <c r="T858" s="27" t="s">
        <v>80</v>
      </c>
      <c r="U858" s="55">
        <f>IF('Pegar ML'!AI854=" ",'Pegar ML'!AI853,'Pegar ML'!AI854)</f>
        <v>0</v>
      </c>
      <c r="V858" s="55">
        <f>IF('Pegar ML'!AK854=" ",'Pegar ML'!AK853,'Pegar ML'!AK854)</f>
        <v>0</v>
      </c>
      <c r="W858" s="55">
        <f>IF('Pegar ML'!AJ854=" ",'Pegar ML'!AJ853,'Pegar ML'!AJ854)</f>
        <v>0</v>
      </c>
      <c r="X858" s="55">
        <f>IF('Pegar ML'!AL854=" ",'Pegar ML'!AL853,'Pegar ML'!AL854)</f>
        <v>0</v>
      </c>
      <c r="Y858" s="27"/>
      <c r="Z858" s="27"/>
      <c r="AA858" s="27"/>
      <c r="AB858" s="27"/>
      <c r="AC858" s="27"/>
      <c r="AD858" s="27"/>
      <c r="AF858" s="8"/>
      <c r="AG858" s="27"/>
      <c r="AH858" s="14">
        <f>+'Pegar ML'!Y854</f>
        <v>0</v>
      </c>
      <c r="AI858" s="13">
        <f t="shared" si="40"/>
        <v>1</v>
      </c>
      <c r="AJ858" s="7">
        <f>+'Pegar ML'!T854</f>
        <v>0</v>
      </c>
      <c r="AK858" s="27"/>
      <c r="AL858" s="27"/>
      <c r="AM858" s="27"/>
      <c r="AN858" s="27"/>
      <c r="AO858" s="27"/>
      <c r="AP858" s="27"/>
      <c r="AQ858" s="27"/>
      <c r="AR858" s="27"/>
      <c r="AS858" s="27">
        <v>17</v>
      </c>
    </row>
    <row r="859" spans="1:45" ht="15" customHeight="1" x14ac:dyDescent="0.25">
      <c r="A859" s="27">
        <f>IF('Pegar ML'!C854="Paquete de 2 productos",'Pegar ML'!A854,IF('Pegar ML'!C853="Paquete de 2 productos",'Pegar ML'!A853,'Pegar ML'!A855))</f>
        <v>0</v>
      </c>
      <c r="B859" s="27"/>
      <c r="C859" s="30" t="str">
        <f>IF(AjusteFecha!I855=0,"",AjusteFecha!I855)</f>
        <v/>
      </c>
      <c r="D859" s="27"/>
      <c r="E859" s="27"/>
      <c r="F859" s="27" t="str">
        <f>IF('Pegar ML'!C855="","",'Pegar ML'!C855)</f>
        <v/>
      </c>
      <c r="G859" s="27" t="str">
        <f>IF('Pegar ML'!G850="ARS","PS","PS")</f>
        <v>PS</v>
      </c>
      <c r="H859" s="14">
        <f>IF('Pegar ML'!C854="Paquete de 2 productos",IF('Pegar ML'!H854="",0,'Pegar ML'!H854),IF('Pegar ML'!H855="",0,'Pegar ML'!H855))</f>
        <v>0</v>
      </c>
      <c r="I859" s="14">
        <f>IF('Pegar ML'!C854="Paquete de 2 productos",IF('Pegar ML'!O854="",0,'Pegar ML'!O854),IF('Pegar ML'!O855="",0,'Pegar ML'!O855))</f>
        <v>0</v>
      </c>
      <c r="J859" s="14">
        <f>IF('Pegar ML'!C854="Paquete de 2 productos",IF('Pegar ML'!O854="",0,'Pegar ML'!O854),IF('Pegar ML'!O855="",0,'Pegar ML'!O855))</f>
        <v>0</v>
      </c>
      <c r="K859" s="14">
        <f t="shared" si="41"/>
        <v>0</v>
      </c>
      <c r="L859" s="27">
        <f>IF('Pegar ML'!AB855=" ",'Pegar ML'!AB854,'Pegar ML'!AB855)</f>
        <v>0</v>
      </c>
      <c r="M859" s="27" t="str">
        <f>IF('Pegar ML'!AC855=" ",RIGHT('Pegar ML'!AC854,8),RIGHT('Pegar ML'!AC855,8))</f>
        <v/>
      </c>
      <c r="N859" s="27" t="s">
        <v>80</v>
      </c>
      <c r="O859" s="27">
        <f t="shared" si="39"/>
        <v>0</v>
      </c>
      <c r="P859" s="27" t="s">
        <v>80</v>
      </c>
      <c r="Q859" s="55">
        <f>IF('Pegar ML'!AD855=" ",'Pegar ML'!AD854,'Pegar ML'!AD855)</f>
        <v>0</v>
      </c>
      <c r="R859" s="27" t="s">
        <v>80</v>
      </c>
      <c r="S859" s="27" t="s">
        <v>80</v>
      </c>
      <c r="T859" s="27" t="s">
        <v>80</v>
      </c>
      <c r="U859" s="55">
        <f>IF('Pegar ML'!AI855=" ",'Pegar ML'!AI854,'Pegar ML'!AI855)</f>
        <v>0</v>
      </c>
      <c r="V859" s="55">
        <f>IF('Pegar ML'!AK855=" ",'Pegar ML'!AK854,'Pegar ML'!AK855)</f>
        <v>0</v>
      </c>
      <c r="W859" s="55">
        <f>IF('Pegar ML'!AJ855=" ",'Pegar ML'!AJ854,'Pegar ML'!AJ855)</f>
        <v>0</v>
      </c>
      <c r="X859" s="55">
        <f>IF('Pegar ML'!AL855=" ",'Pegar ML'!AL854,'Pegar ML'!AL855)</f>
        <v>0</v>
      </c>
      <c r="Y859" s="27"/>
      <c r="Z859" s="27"/>
      <c r="AA859" s="27"/>
      <c r="AB859" s="27"/>
      <c r="AC859" s="27"/>
      <c r="AD859" s="27"/>
      <c r="AF859" s="8"/>
      <c r="AG859" s="27"/>
      <c r="AH859" s="14">
        <f>+'Pegar ML'!Y855</f>
        <v>0</v>
      </c>
      <c r="AI859" s="13">
        <f t="shared" si="40"/>
        <v>1</v>
      </c>
      <c r="AJ859" s="7">
        <f>+'Pegar ML'!T855</f>
        <v>0</v>
      </c>
      <c r="AK859" s="27"/>
      <c r="AL859" s="27"/>
      <c r="AM859" s="27"/>
      <c r="AN859" s="27"/>
      <c r="AO859" s="27"/>
      <c r="AP859" s="27"/>
      <c r="AQ859" s="27"/>
      <c r="AR859" s="27"/>
      <c r="AS859" s="27">
        <v>17</v>
      </c>
    </row>
    <row r="860" spans="1:45" ht="15" customHeight="1" x14ac:dyDescent="0.25">
      <c r="A860" s="27">
        <f>IF('Pegar ML'!C855="Paquete de 2 productos",'Pegar ML'!A855,IF('Pegar ML'!C854="Paquete de 2 productos",'Pegar ML'!A854,'Pegar ML'!A856))</f>
        <v>0</v>
      </c>
      <c r="B860" s="27"/>
      <c r="C860" s="30" t="str">
        <f>IF(AjusteFecha!I856=0,"",AjusteFecha!I856)</f>
        <v/>
      </c>
      <c r="D860" s="27"/>
      <c r="E860" s="27"/>
      <c r="F860" s="27" t="str">
        <f>IF('Pegar ML'!C856="","",'Pegar ML'!C856)</f>
        <v/>
      </c>
      <c r="G860" s="27" t="str">
        <f>IF('Pegar ML'!G851="ARS","PS","PS")</f>
        <v>PS</v>
      </c>
      <c r="H860" s="14">
        <f>IF('Pegar ML'!C855="Paquete de 2 productos",IF('Pegar ML'!H855="",0,'Pegar ML'!H855),IF('Pegar ML'!H856="",0,'Pegar ML'!H856))</f>
        <v>0</v>
      </c>
      <c r="I860" s="14">
        <f>IF('Pegar ML'!C855="Paquete de 2 productos",IF('Pegar ML'!O855="",0,'Pegar ML'!O855),IF('Pegar ML'!O856="",0,'Pegar ML'!O856))</f>
        <v>0</v>
      </c>
      <c r="J860" s="14">
        <f>IF('Pegar ML'!C855="Paquete de 2 productos",IF('Pegar ML'!O855="",0,'Pegar ML'!O855),IF('Pegar ML'!O856="",0,'Pegar ML'!O856))</f>
        <v>0</v>
      </c>
      <c r="K860" s="14">
        <f t="shared" si="41"/>
        <v>0</v>
      </c>
      <c r="L860" s="27">
        <f>IF('Pegar ML'!AB856=" ",'Pegar ML'!AB855,'Pegar ML'!AB856)</f>
        <v>0</v>
      </c>
      <c r="M860" s="27" t="str">
        <f>IF('Pegar ML'!AC856=" ",RIGHT('Pegar ML'!AC855,8),RIGHT('Pegar ML'!AC856,8))</f>
        <v/>
      </c>
      <c r="N860" s="27" t="s">
        <v>80</v>
      </c>
      <c r="O860" s="27">
        <f t="shared" si="39"/>
        <v>0</v>
      </c>
      <c r="P860" s="27" t="s">
        <v>80</v>
      </c>
      <c r="Q860" s="55">
        <f>IF('Pegar ML'!AD856=" ",'Pegar ML'!AD855,'Pegar ML'!AD856)</f>
        <v>0</v>
      </c>
      <c r="R860" s="27" t="s">
        <v>80</v>
      </c>
      <c r="S860" s="27" t="s">
        <v>80</v>
      </c>
      <c r="T860" s="27" t="s">
        <v>80</v>
      </c>
      <c r="U860" s="55">
        <f>IF('Pegar ML'!AI856=" ",'Pegar ML'!AI855,'Pegar ML'!AI856)</f>
        <v>0</v>
      </c>
      <c r="V860" s="55">
        <f>IF('Pegar ML'!AK856=" ",'Pegar ML'!AK855,'Pegar ML'!AK856)</f>
        <v>0</v>
      </c>
      <c r="W860" s="55">
        <f>IF('Pegar ML'!AJ856=" ",'Pegar ML'!AJ855,'Pegar ML'!AJ856)</f>
        <v>0</v>
      </c>
      <c r="X860" s="55">
        <f>IF('Pegar ML'!AL856=" ",'Pegar ML'!AL855,'Pegar ML'!AL856)</f>
        <v>0</v>
      </c>
      <c r="Y860" s="27"/>
      <c r="Z860" s="27"/>
      <c r="AA860" s="27"/>
      <c r="AB860" s="27"/>
      <c r="AC860" s="27"/>
      <c r="AD860" s="27"/>
      <c r="AF860" s="8"/>
      <c r="AG860" s="27"/>
      <c r="AH860" s="14">
        <f>+'Pegar ML'!Y856</f>
        <v>0</v>
      </c>
      <c r="AI860" s="13">
        <f t="shared" si="40"/>
        <v>1</v>
      </c>
      <c r="AJ860" s="7">
        <f>+'Pegar ML'!T856</f>
        <v>0</v>
      </c>
      <c r="AK860" s="27"/>
      <c r="AL860" s="27"/>
      <c r="AM860" s="27"/>
      <c r="AN860" s="27"/>
      <c r="AO860" s="27"/>
      <c r="AP860" s="27"/>
      <c r="AQ860" s="27"/>
      <c r="AR860" s="27"/>
      <c r="AS860" s="27">
        <v>17</v>
      </c>
    </row>
    <row r="861" spans="1:45" ht="15" customHeight="1" x14ac:dyDescent="0.25">
      <c r="A861" s="27">
        <f>IF('Pegar ML'!C856="Paquete de 2 productos",'Pegar ML'!A856,IF('Pegar ML'!C855="Paquete de 2 productos",'Pegar ML'!A855,'Pegar ML'!A857))</f>
        <v>0</v>
      </c>
      <c r="B861" s="27"/>
      <c r="C861" s="30" t="str">
        <f>IF(AjusteFecha!I857=0,"",AjusteFecha!I857)</f>
        <v/>
      </c>
      <c r="D861" s="27"/>
      <c r="E861" s="27"/>
      <c r="F861" s="27" t="str">
        <f>IF('Pegar ML'!C857="","",'Pegar ML'!C857)</f>
        <v/>
      </c>
      <c r="G861" s="27" t="str">
        <f>IF('Pegar ML'!G852="ARS","PS","PS")</f>
        <v>PS</v>
      </c>
      <c r="H861" s="14">
        <f>IF('Pegar ML'!C856="Paquete de 2 productos",IF('Pegar ML'!H856="",0,'Pegar ML'!H856),IF('Pegar ML'!H857="",0,'Pegar ML'!H857))</f>
        <v>0</v>
      </c>
      <c r="I861" s="14">
        <f>IF('Pegar ML'!C856="Paquete de 2 productos",IF('Pegar ML'!O856="",0,'Pegar ML'!O856),IF('Pegar ML'!O857="",0,'Pegar ML'!O857))</f>
        <v>0</v>
      </c>
      <c r="J861" s="14">
        <f>IF('Pegar ML'!C856="Paquete de 2 productos",IF('Pegar ML'!O856="",0,'Pegar ML'!O856),IF('Pegar ML'!O857="",0,'Pegar ML'!O857))</f>
        <v>0</v>
      </c>
      <c r="K861" s="14">
        <f t="shared" si="41"/>
        <v>0</v>
      </c>
      <c r="L861" s="27">
        <f>IF('Pegar ML'!AB857=" ",'Pegar ML'!AB856,'Pegar ML'!AB857)</f>
        <v>0</v>
      </c>
      <c r="M861" s="27" t="str">
        <f>IF('Pegar ML'!AC857=" ",RIGHT('Pegar ML'!AC856,8),RIGHT('Pegar ML'!AC857,8))</f>
        <v/>
      </c>
      <c r="N861" s="27" t="s">
        <v>80</v>
      </c>
      <c r="O861" s="27">
        <f t="shared" si="39"/>
        <v>0</v>
      </c>
      <c r="P861" s="27" t="s">
        <v>80</v>
      </c>
      <c r="Q861" s="55">
        <f>IF('Pegar ML'!AD857=" ",'Pegar ML'!AD856,'Pegar ML'!AD857)</f>
        <v>0</v>
      </c>
      <c r="R861" s="27" t="s">
        <v>80</v>
      </c>
      <c r="S861" s="27" t="s">
        <v>80</v>
      </c>
      <c r="T861" s="27" t="s">
        <v>80</v>
      </c>
      <c r="U861" s="55">
        <f>IF('Pegar ML'!AI857=" ",'Pegar ML'!AI856,'Pegar ML'!AI857)</f>
        <v>0</v>
      </c>
      <c r="V861" s="55">
        <f>IF('Pegar ML'!AK857=" ",'Pegar ML'!AK856,'Pegar ML'!AK857)</f>
        <v>0</v>
      </c>
      <c r="W861" s="55">
        <f>IF('Pegar ML'!AJ857=" ",'Pegar ML'!AJ856,'Pegar ML'!AJ857)</f>
        <v>0</v>
      </c>
      <c r="X861" s="55">
        <f>IF('Pegar ML'!AL857=" ",'Pegar ML'!AL856,'Pegar ML'!AL857)</f>
        <v>0</v>
      </c>
      <c r="Y861" s="27"/>
      <c r="Z861" s="27"/>
      <c r="AA861" s="27"/>
      <c r="AB861" s="27"/>
      <c r="AC861" s="27"/>
      <c r="AD861" s="27"/>
      <c r="AF861" s="8"/>
      <c r="AG861" s="27"/>
      <c r="AH861" s="14">
        <f>+'Pegar ML'!Y857</f>
        <v>0</v>
      </c>
      <c r="AI861" s="13">
        <f t="shared" si="40"/>
        <v>1</v>
      </c>
      <c r="AJ861" s="7">
        <f>+'Pegar ML'!T857</f>
        <v>0</v>
      </c>
      <c r="AK861" s="27"/>
      <c r="AL861" s="27"/>
      <c r="AM861" s="27"/>
      <c r="AN861" s="27"/>
      <c r="AO861" s="27"/>
      <c r="AP861" s="27"/>
      <c r="AQ861" s="27"/>
      <c r="AR861" s="27"/>
      <c r="AS861" s="27">
        <v>17</v>
      </c>
    </row>
    <row r="862" spans="1:45" ht="15" customHeight="1" x14ac:dyDescent="0.25">
      <c r="A862" s="27">
        <f>IF('Pegar ML'!C857="Paquete de 2 productos",'Pegar ML'!A857,IF('Pegar ML'!C856="Paquete de 2 productos",'Pegar ML'!A856,'Pegar ML'!A858))</f>
        <v>0</v>
      </c>
      <c r="B862" s="27"/>
      <c r="C862" s="30" t="str">
        <f>IF(AjusteFecha!I858=0,"",AjusteFecha!I858)</f>
        <v/>
      </c>
      <c r="D862" s="27"/>
      <c r="E862" s="27"/>
      <c r="F862" s="27" t="str">
        <f>IF('Pegar ML'!C858="","",'Pegar ML'!C858)</f>
        <v/>
      </c>
      <c r="G862" s="27" t="str">
        <f>IF('Pegar ML'!G853="ARS","PS","PS")</f>
        <v>PS</v>
      </c>
      <c r="H862" s="14">
        <f>IF('Pegar ML'!C857="Paquete de 2 productos",IF('Pegar ML'!H857="",0,'Pegar ML'!H857),IF('Pegar ML'!H858="",0,'Pegar ML'!H858))</f>
        <v>0</v>
      </c>
      <c r="I862" s="14">
        <f>IF('Pegar ML'!C857="Paquete de 2 productos",IF('Pegar ML'!O857="",0,'Pegar ML'!O857),IF('Pegar ML'!O858="",0,'Pegar ML'!O858))</f>
        <v>0</v>
      </c>
      <c r="J862" s="14">
        <f>IF('Pegar ML'!C857="Paquete de 2 productos",IF('Pegar ML'!O857="",0,'Pegar ML'!O857),IF('Pegar ML'!O858="",0,'Pegar ML'!O858))</f>
        <v>0</v>
      </c>
      <c r="K862" s="14">
        <f t="shared" si="41"/>
        <v>0</v>
      </c>
      <c r="L862" s="27">
        <f>IF('Pegar ML'!AB858=" ",'Pegar ML'!AB857,'Pegar ML'!AB858)</f>
        <v>0</v>
      </c>
      <c r="M862" s="27" t="str">
        <f>IF('Pegar ML'!AC858=" ",RIGHT('Pegar ML'!AC857,8),RIGHT('Pegar ML'!AC858,8))</f>
        <v/>
      </c>
      <c r="N862" s="27" t="s">
        <v>80</v>
      </c>
      <c r="O862" s="27">
        <f t="shared" si="39"/>
        <v>0</v>
      </c>
      <c r="P862" s="27" t="s">
        <v>80</v>
      </c>
      <c r="Q862" s="55">
        <f>IF('Pegar ML'!AD858=" ",'Pegar ML'!AD857,'Pegar ML'!AD858)</f>
        <v>0</v>
      </c>
      <c r="R862" s="27" t="s">
        <v>80</v>
      </c>
      <c r="S862" s="27" t="s">
        <v>80</v>
      </c>
      <c r="T862" s="27" t="s">
        <v>80</v>
      </c>
      <c r="U862" s="55">
        <f>IF('Pegar ML'!AI858=" ",'Pegar ML'!AI857,'Pegar ML'!AI858)</f>
        <v>0</v>
      </c>
      <c r="V862" s="55">
        <f>IF('Pegar ML'!AK858=" ",'Pegar ML'!AK857,'Pegar ML'!AK858)</f>
        <v>0</v>
      </c>
      <c r="W862" s="55">
        <f>IF('Pegar ML'!AJ858=" ",'Pegar ML'!AJ857,'Pegar ML'!AJ858)</f>
        <v>0</v>
      </c>
      <c r="X862" s="55">
        <f>IF('Pegar ML'!AL858=" ",'Pegar ML'!AL857,'Pegar ML'!AL858)</f>
        <v>0</v>
      </c>
      <c r="Y862" s="27"/>
      <c r="Z862" s="27"/>
      <c r="AA862" s="27"/>
      <c r="AB862" s="27"/>
      <c r="AC862" s="27"/>
      <c r="AD862" s="27"/>
      <c r="AF862" s="8"/>
      <c r="AG862" s="27"/>
      <c r="AH862" s="14">
        <f>+'Pegar ML'!Y858</f>
        <v>0</v>
      </c>
      <c r="AI862" s="13">
        <f t="shared" si="40"/>
        <v>1</v>
      </c>
      <c r="AJ862" s="7">
        <f>+'Pegar ML'!T858</f>
        <v>0</v>
      </c>
      <c r="AK862" s="27"/>
      <c r="AL862" s="27"/>
      <c r="AM862" s="27"/>
      <c r="AN862" s="27"/>
      <c r="AO862" s="27"/>
      <c r="AP862" s="27"/>
      <c r="AQ862" s="27"/>
      <c r="AR862" s="27"/>
      <c r="AS862" s="27">
        <v>17</v>
      </c>
    </row>
    <row r="863" spans="1:45" ht="15" customHeight="1" x14ac:dyDescent="0.25">
      <c r="A863" s="27">
        <f>IF('Pegar ML'!C858="Paquete de 2 productos",'Pegar ML'!A858,IF('Pegar ML'!C857="Paquete de 2 productos",'Pegar ML'!A857,'Pegar ML'!A859))</f>
        <v>0</v>
      </c>
      <c r="B863" s="27"/>
      <c r="C863" s="30" t="str">
        <f>IF(AjusteFecha!I859=0,"",AjusteFecha!I859)</f>
        <v/>
      </c>
      <c r="D863" s="27"/>
      <c r="E863" s="27"/>
      <c r="F863" s="27" t="str">
        <f>IF('Pegar ML'!C859="","",'Pegar ML'!C859)</f>
        <v/>
      </c>
      <c r="G863" s="27" t="str">
        <f>IF('Pegar ML'!G854="ARS","PS","PS")</f>
        <v>PS</v>
      </c>
      <c r="H863" s="14">
        <f>IF('Pegar ML'!C858="Paquete de 2 productos",IF('Pegar ML'!H858="",0,'Pegar ML'!H858),IF('Pegar ML'!H859="",0,'Pegar ML'!H859))</f>
        <v>0</v>
      </c>
      <c r="I863" s="14">
        <f>IF('Pegar ML'!C858="Paquete de 2 productos",IF('Pegar ML'!O858="",0,'Pegar ML'!O858),IF('Pegar ML'!O859="",0,'Pegar ML'!O859))</f>
        <v>0</v>
      </c>
      <c r="J863" s="14">
        <f>IF('Pegar ML'!C858="Paquete de 2 productos",IF('Pegar ML'!O858="",0,'Pegar ML'!O858),IF('Pegar ML'!O859="",0,'Pegar ML'!O859))</f>
        <v>0</v>
      </c>
      <c r="K863" s="14">
        <f t="shared" si="41"/>
        <v>0</v>
      </c>
      <c r="L863" s="27">
        <f>IF('Pegar ML'!AB859=" ",'Pegar ML'!AB858,'Pegar ML'!AB859)</f>
        <v>0</v>
      </c>
      <c r="M863" s="27" t="str">
        <f>IF('Pegar ML'!AC859=" ",RIGHT('Pegar ML'!AC858,8),RIGHT('Pegar ML'!AC859,8))</f>
        <v/>
      </c>
      <c r="N863" s="27" t="s">
        <v>80</v>
      </c>
      <c r="O863" s="27">
        <f t="shared" si="39"/>
        <v>0</v>
      </c>
      <c r="P863" s="27" t="s">
        <v>80</v>
      </c>
      <c r="Q863" s="55">
        <f>IF('Pegar ML'!AD859=" ",'Pegar ML'!AD858,'Pegar ML'!AD859)</f>
        <v>0</v>
      </c>
      <c r="R863" s="27" t="s">
        <v>80</v>
      </c>
      <c r="S863" s="27" t="s">
        <v>80</v>
      </c>
      <c r="T863" s="27" t="s">
        <v>80</v>
      </c>
      <c r="U863" s="55">
        <f>IF('Pegar ML'!AI859=" ",'Pegar ML'!AI858,'Pegar ML'!AI859)</f>
        <v>0</v>
      </c>
      <c r="V863" s="55">
        <f>IF('Pegar ML'!AK859=" ",'Pegar ML'!AK858,'Pegar ML'!AK859)</f>
        <v>0</v>
      </c>
      <c r="W863" s="55">
        <f>IF('Pegar ML'!AJ859=" ",'Pegar ML'!AJ858,'Pegar ML'!AJ859)</f>
        <v>0</v>
      </c>
      <c r="X863" s="55">
        <f>IF('Pegar ML'!AL859=" ",'Pegar ML'!AL858,'Pegar ML'!AL859)</f>
        <v>0</v>
      </c>
      <c r="Y863" s="27"/>
      <c r="Z863" s="27"/>
      <c r="AA863" s="27"/>
      <c r="AB863" s="27"/>
      <c r="AC863" s="27"/>
      <c r="AD863" s="27"/>
      <c r="AF863" s="8"/>
      <c r="AG863" s="27"/>
      <c r="AH863" s="14">
        <f>+'Pegar ML'!Y859</f>
        <v>0</v>
      </c>
      <c r="AI863" s="13">
        <f t="shared" si="40"/>
        <v>1</v>
      </c>
      <c r="AJ863" s="7">
        <f>+'Pegar ML'!T859</f>
        <v>0</v>
      </c>
      <c r="AK863" s="27"/>
      <c r="AL863" s="27"/>
      <c r="AM863" s="27"/>
      <c r="AN863" s="27"/>
      <c r="AO863" s="27"/>
      <c r="AP863" s="27"/>
      <c r="AQ863" s="27"/>
      <c r="AR863" s="27"/>
      <c r="AS863" s="27">
        <v>17</v>
      </c>
    </row>
    <row r="864" spans="1:45" ht="15" customHeight="1" x14ac:dyDescent="0.25">
      <c r="A864" s="27">
        <f>IF('Pegar ML'!C859="Paquete de 2 productos",'Pegar ML'!A859,IF('Pegar ML'!C858="Paquete de 2 productos",'Pegar ML'!A858,'Pegar ML'!A860))</f>
        <v>0</v>
      </c>
      <c r="B864" s="27"/>
      <c r="C864" s="30" t="str">
        <f>IF(AjusteFecha!I860=0,"",AjusteFecha!I860)</f>
        <v/>
      </c>
      <c r="D864" s="27"/>
      <c r="E864" s="27"/>
      <c r="F864" s="27" t="str">
        <f>IF('Pegar ML'!C860="","",'Pegar ML'!C860)</f>
        <v/>
      </c>
      <c r="G864" s="27" t="str">
        <f>IF('Pegar ML'!G855="ARS","PS","PS")</f>
        <v>PS</v>
      </c>
      <c r="H864" s="14">
        <f>IF('Pegar ML'!C859="Paquete de 2 productos",IF('Pegar ML'!H859="",0,'Pegar ML'!H859),IF('Pegar ML'!H860="",0,'Pegar ML'!H860))</f>
        <v>0</v>
      </c>
      <c r="I864" s="14">
        <f>IF('Pegar ML'!C859="Paquete de 2 productos",IF('Pegar ML'!O859="",0,'Pegar ML'!O859),IF('Pegar ML'!O860="",0,'Pegar ML'!O860))</f>
        <v>0</v>
      </c>
      <c r="J864" s="14">
        <f>IF('Pegar ML'!C859="Paquete de 2 productos",IF('Pegar ML'!O859="",0,'Pegar ML'!O859),IF('Pegar ML'!O860="",0,'Pegar ML'!O860))</f>
        <v>0</v>
      </c>
      <c r="K864" s="14">
        <f t="shared" si="41"/>
        <v>0</v>
      </c>
      <c r="L864" s="27">
        <f>IF('Pegar ML'!AB860=" ",'Pegar ML'!AB859,'Pegar ML'!AB860)</f>
        <v>0</v>
      </c>
      <c r="M864" s="27" t="str">
        <f>IF('Pegar ML'!AC860=" ",RIGHT('Pegar ML'!AC859,8),RIGHT('Pegar ML'!AC860,8))</f>
        <v/>
      </c>
      <c r="N864" s="27" t="s">
        <v>80</v>
      </c>
      <c r="O864" s="27">
        <f t="shared" si="39"/>
        <v>0</v>
      </c>
      <c r="P864" s="27" t="s">
        <v>80</v>
      </c>
      <c r="Q864" s="55">
        <f>IF('Pegar ML'!AD860=" ",'Pegar ML'!AD859,'Pegar ML'!AD860)</f>
        <v>0</v>
      </c>
      <c r="R864" s="27" t="s">
        <v>80</v>
      </c>
      <c r="S864" s="27" t="s">
        <v>80</v>
      </c>
      <c r="T864" s="27" t="s">
        <v>80</v>
      </c>
      <c r="U864" s="55">
        <f>IF('Pegar ML'!AI860=" ",'Pegar ML'!AI859,'Pegar ML'!AI860)</f>
        <v>0</v>
      </c>
      <c r="V864" s="55">
        <f>IF('Pegar ML'!AK860=" ",'Pegar ML'!AK859,'Pegar ML'!AK860)</f>
        <v>0</v>
      </c>
      <c r="W864" s="55">
        <f>IF('Pegar ML'!AJ860=" ",'Pegar ML'!AJ859,'Pegar ML'!AJ860)</f>
        <v>0</v>
      </c>
      <c r="X864" s="55">
        <f>IF('Pegar ML'!AL860=" ",'Pegar ML'!AL859,'Pegar ML'!AL860)</f>
        <v>0</v>
      </c>
      <c r="Y864" s="27"/>
      <c r="Z864" s="27"/>
      <c r="AA864" s="27"/>
      <c r="AB864" s="27"/>
      <c r="AC864" s="27"/>
      <c r="AD864" s="27"/>
      <c r="AF864" s="8"/>
      <c r="AG864" s="27"/>
      <c r="AH864" s="14">
        <f>+'Pegar ML'!Y860</f>
        <v>0</v>
      </c>
      <c r="AI864" s="13">
        <f t="shared" si="40"/>
        <v>1</v>
      </c>
      <c r="AJ864" s="7">
        <f>+'Pegar ML'!T860</f>
        <v>0</v>
      </c>
      <c r="AK864" s="27"/>
      <c r="AL864" s="27"/>
      <c r="AM864" s="27"/>
      <c r="AN864" s="27"/>
      <c r="AO864" s="27"/>
      <c r="AP864" s="27"/>
      <c r="AQ864" s="27"/>
      <c r="AR864" s="27"/>
      <c r="AS864" s="27">
        <v>17</v>
      </c>
    </row>
    <row r="865" spans="1:45" ht="15" customHeight="1" x14ac:dyDescent="0.25">
      <c r="A865" s="27">
        <f>IF('Pegar ML'!C860="Paquete de 2 productos",'Pegar ML'!A860,IF('Pegar ML'!C859="Paquete de 2 productos",'Pegar ML'!A859,'Pegar ML'!A861))</f>
        <v>0</v>
      </c>
      <c r="B865" s="27"/>
      <c r="C865" s="30" t="str">
        <f>IF(AjusteFecha!I861=0,"",AjusteFecha!I861)</f>
        <v/>
      </c>
      <c r="D865" s="27"/>
      <c r="E865" s="27"/>
      <c r="F865" s="27" t="str">
        <f>IF('Pegar ML'!C861="","",'Pegar ML'!C861)</f>
        <v/>
      </c>
      <c r="G865" s="27" t="str">
        <f>IF('Pegar ML'!G856="ARS","PS","PS")</f>
        <v>PS</v>
      </c>
      <c r="H865" s="14">
        <f>IF('Pegar ML'!C860="Paquete de 2 productos",IF('Pegar ML'!H860="",0,'Pegar ML'!H860),IF('Pegar ML'!H861="",0,'Pegar ML'!H861))</f>
        <v>0</v>
      </c>
      <c r="I865" s="14">
        <f>IF('Pegar ML'!C860="Paquete de 2 productos",IF('Pegar ML'!O860="",0,'Pegar ML'!O860),IF('Pegar ML'!O861="",0,'Pegar ML'!O861))</f>
        <v>0</v>
      </c>
      <c r="J865" s="14">
        <f>IF('Pegar ML'!C860="Paquete de 2 productos",IF('Pegar ML'!O860="",0,'Pegar ML'!O860),IF('Pegar ML'!O861="",0,'Pegar ML'!O861))</f>
        <v>0</v>
      </c>
      <c r="K865" s="14">
        <f t="shared" si="41"/>
        <v>0</v>
      </c>
      <c r="L865" s="27">
        <f>IF('Pegar ML'!AB861=" ",'Pegar ML'!AB860,'Pegar ML'!AB861)</f>
        <v>0</v>
      </c>
      <c r="M865" s="27" t="str">
        <f>IF('Pegar ML'!AC861=" ",RIGHT('Pegar ML'!AC860,8),RIGHT('Pegar ML'!AC861,8))</f>
        <v/>
      </c>
      <c r="N865" s="27" t="s">
        <v>80</v>
      </c>
      <c r="O865" s="27">
        <f t="shared" si="39"/>
        <v>0</v>
      </c>
      <c r="P865" s="27" t="s">
        <v>80</v>
      </c>
      <c r="Q865" s="55">
        <f>IF('Pegar ML'!AD861=" ",'Pegar ML'!AD860,'Pegar ML'!AD861)</f>
        <v>0</v>
      </c>
      <c r="R865" s="27" t="s">
        <v>80</v>
      </c>
      <c r="S865" s="27" t="s">
        <v>80</v>
      </c>
      <c r="T865" s="27" t="s">
        <v>80</v>
      </c>
      <c r="U865" s="55">
        <f>IF('Pegar ML'!AI861=" ",'Pegar ML'!AI860,'Pegar ML'!AI861)</f>
        <v>0</v>
      </c>
      <c r="V865" s="55">
        <f>IF('Pegar ML'!AK861=" ",'Pegar ML'!AK860,'Pegar ML'!AK861)</f>
        <v>0</v>
      </c>
      <c r="W865" s="55">
        <f>IF('Pegar ML'!AJ861=" ",'Pegar ML'!AJ860,'Pegar ML'!AJ861)</f>
        <v>0</v>
      </c>
      <c r="X865" s="55">
        <f>IF('Pegar ML'!AL861=" ",'Pegar ML'!AL860,'Pegar ML'!AL861)</f>
        <v>0</v>
      </c>
      <c r="Y865" s="27"/>
      <c r="Z865" s="27"/>
      <c r="AA865" s="27"/>
      <c r="AB865" s="27"/>
      <c r="AC865" s="27"/>
      <c r="AD865" s="27"/>
      <c r="AF865" s="8"/>
      <c r="AG865" s="27"/>
      <c r="AH865" s="14">
        <f>+'Pegar ML'!Y861</f>
        <v>0</v>
      </c>
      <c r="AI865" s="13">
        <f t="shared" si="40"/>
        <v>1</v>
      </c>
      <c r="AJ865" s="7">
        <f>+'Pegar ML'!T861</f>
        <v>0</v>
      </c>
      <c r="AK865" s="27"/>
      <c r="AL865" s="27"/>
      <c r="AM865" s="27"/>
      <c r="AN865" s="27"/>
      <c r="AO865" s="27"/>
      <c r="AP865" s="27"/>
      <c r="AQ865" s="27"/>
      <c r="AR865" s="27"/>
      <c r="AS865" s="27">
        <v>17</v>
      </c>
    </row>
    <row r="866" spans="1:45" ht="15" customHeight="1" x14ac:dyDescent="0.25">
      <c r="A866" s="27">
        <f>IF('Pegar ML'!C861="Paquete de 2 productos",'Pegar ML'!A861,IF('Pegar ML'!C860="Paquete de 2 productos",'Pegar ML'!A860,'Pegar ML'!A862))</f>
        <v>0</v>
      </c>
      <c r="B866" s="27"/>
      <c r="C866" s="30" t="str">
        <f>IF(AjusteFecha!I862=0,"",AjusteFecha!I862)</f>
        <v/>
      </c>
      <c r="D866" s="27"/>
      <c r="E866" s="27"/>
      <c r="F866" s="27" t="str">
        <f>IF('Pegar ML'!C862="","",'Pegar ML'!C862)</f>
        <v/>
      </c>
      <c r="G866" s="27" t="str">
        <f>IF('Pegar ML'!G857="ARS","PS","PS")</f>
        <v>PS</v>
      </c>
      <c r="H866" s="14">
        <f>IF('Pegar ML'!C861="Paquete de 2 productos",IF('Pegar ML'!H861="",0,'Pegar ML'!H861),IF('Pegar ML'!H862="",0,'Pegar ML'!H862))</f>
        <v>0</v>
      </c>
      <c r="I866" s="14">
        <f>IF('Pegar ML'!C861="Paquete de 2 productos",IF('Pegar ML'!O861="",0,'Pegar ML'!O861),IF('Pegar ML'!O862="",0,'Pegar ML'!O862))</f>
        <v>0</v>
      </c>
      <c r="J866" s="14">
        <f>IF('Pegar ML'!C861="Paquete de 2 productos",IF('Pegar ML'!O861="",0,'Pegar ML'!O861),IF('Pegar ML'!O862="",0,'Pegar ML'!O862))</f>
        <v>0</v>
      </c>
      <c r="K866" s="14">
        <f t="shared" si="41"/>
        <v>0</v>
      </c>
      <c r="L866" s="27">
        <f>IF('Pegar ML'!AB862=" ",'Pegar ML'!AB861,'Pegar ML'!AB862)</f>
        <v>0</v>
      </c>
      <c r="M866" s="27" t="str">
        <f>IF('Pegar ML'!AC862=" ",RIGHT('Pegar ML'!AC861,8),RIGHT('Pegar ML'!AC862,8))</f>
        <v/>
      </c>
      <c r="N866" s="27" t="s">
        <v>80</v>
      </c>
      <c r="O866" s="27">
        <f t="shared" si="39"/>
        <v>0</v>
      </c>
      <c r="P866" s="27" t="s">
        <v>80</v>
      </c>
      <c r="Q866" s="55">
        <f>IF('Pegar ML'!AD862=" ",'Pegar ML'!AD861,'Pegar ML'!AD862)</f>
        <v>0</v>
      </c>
      <c r="R866" s="27" t="s">
        <v>80</v>
      </c>
      <c r="S866" s="27" t="s">
        <v>80</v>
      </c>
      <c r="T866" s="27" t="s">
        <v>80</v>
      </c>
      <c r="U866" s="55">
        <f>IF('Pegar ML'!AI862=" ",'Pegar ML'!AI861,'Pegar ML'!AI862)</f>
        <v>0</v>
      </c>
      <c r="V866" s="55">
        <f>IF('Pegar ML'!AK862=" ",'Pegar ML'!AK861,'Pegar ML'!AK862)</f>
        <v>0</v>
      </c>
      <c r="W866" s="55">
        <f>IF('Pegar ML'!AJ862=" ",'Pegar ML'!AJ861,'Pegar ML'!AJ862)</f>
        <v>0</v>
      </c>
      <c r="X866" s="55">
        <f>IF('Pegar ML'!AL862=" ",'Pegar ML'!AL861,'Pegar ML'!AL862)</f>
        <v>0</v>
      </c>
      <c r="Y866" s="27"/>
      <c r="Z866" s="27"/>
      <c r="AA866" s="27"/>
      <c r="AB866" s="27"/>
      <c r="AC866" s="27"/>
      <c r="AD866" s="27"/>
      <c r="AF866" s="8"/>
      <c r="AG866" s="27"/>
      <c r="AH866" s="14">
        <f>+'Pegar ML'!Y862</f>
        <v>0</v>
      </c>
      <c r="AI866" s="13">
        <f t="shared" si="40"/>
        <v>1</v>
      </c>
      <c r="AJ866" s="7">
        <f>+'Pegar ML'!T862</f>
        <v>0</v>
      </c>
      <c r="AK866" s="27"/>
      <c r="AL866" s="27"/>
      <c r="AM866" s="27"/>
      <c r="AN866" s="27"/>
      <c r="AO866" s="27"/>
      <c r="AP866" s="27"/>
      <c r="AQ866" s="27"/>
      <c r="AR866" s="27"/>
      <c r="AS866" s="27">
        <v>17</v>
      </c>
    </row>
    <row r="867" spans="1:45" ht="15" customHeight="1" x14ac:dyDescent="0.25">
      <c r="A867" s="27">
        <f>IF('Pegar ML'!C862="Paquete de 2 productos",'Pegar ML'!A862,IF('Pegar ML'!C861="Paquete de 2 productos",'Pegar ML'!A861,'Pegar ML'!A863))</f>
        <v>0</v>
      </c>
      <c r="B867" s="27"/>
      <c r="C867" s="30" t="str">
        <f>IF(AjusteFecha!I863=0,"",AjusteFecha!I863)</f>
        <v/>
      </c>
      <c r="D867" s="27"/>
      <c r="E867" s="27"/>
      <c r="F867" s="27" t="str">
        <f>IF('Pegar ML'!C863="","",'Pegar ML'!C863)</f>
        <v/>
      </c>
      <c r="G867" s="27" t="str">
        <f>IF('Pegar ML'!G858="ARS","PS","PS")</f>
        <v>PS</v>
      </c>
      <c r="H867" s="14">
        <f>IF('Pegar ML'!C862="Paquete de 2 productos",IF('Pegar ML'!H862="",0,'Pegar ML'!H862),IF('Pegar ML'!H863="",0,'Pegar ML'!H863))</f>
        <v>0</v>
      </c>
      <c r="I867" s="14">
        <f>IF('Pegar ML'!C862="Paquete de 2 productos",IF('Pegar ML'!O862="",0,'Pegar ML'!O862),IF('Pegar ML'!O863="",0,'Pegar ML'!O863))</f>
        <v>0</v>
      </c>
      <c r="J867" s="14">
        <f>IF('Pegar ML'!C862="Paquete de 2 productos",IF('Pegar ML'!O862="",0,'Pegar ML'!O862),IF('Pegar ML'!O863="",0,'Pegar ML'!O863))</f>
        <v>0</v>
      </c>
      <c r="K867" s="14">
        <f t="shared" si="41"/>
        <v>0</v>
      </c>
      <c r="L867" s="27">
        <f>IF('Pegar ML'!AB863=" ",'Pegar ML'!AB862,'Pegar ML'!AB863)</f>
        <v>0</v>
      </c>
      <c r="M867" s="27" t="str">
        <f>IF('Pegar ML'!AC863=" ",RIGHT('Pegar ML'!AC862,8),RIGHT('Pegar ML'!AC863,8))</f>
        <v/>
      </c>
      <c r="N867" s="27" t="s">
        <v>80</v>
      </c>
      <c r="O867" s="27">
        <f t="shared" si="39"/>
        <v>0</v>
      </c>
      <c r="P867" s="27" t="s">
        <v>80</v>
      </c>
      <c r="Q867" s="55">
        <f>IF('Pegar ML'!AD863=" ",'Pegar ML'!AD862,'Pegar ML'!AD863)</f>
        <v>0</v>
      </c>
      <c r="R867" s="27" t="s">
        <v>80</v>
      </c>
      <c r="S867" s="27" t="s">
        <v>80</v>
      </c>
      <c r="T867" s="27" t="s">
        <v>80</v>
      </c>
      <c r="U867" s="55">
        <f>IF('Pegar ML'!AI863=" ",'Pegar ML'!AI862,'Pegar ML'!AI863)</f>
        <v>0</v>
      </c>
      <c r="V867" s="55">
        <f>IF('Pegar ML'!AK863=" ",'Pegar ML'!AK862,'Pegar ML'!AK863)</f>
        <v>0</v>
      </c>
      <c r="W867" s="55">
        <f>IF('Pegar ML'!AJ863=" ",'Pegar ML'!AJ862,'Pegar ML'!AJ863)</f>
        <v>0</v>
      </c>
      <c r="X867" s="55">
        <f>IF('Pegar ML'!AL863=" ",'Pegar ML'!AL862,'Pegar ML'!AL863)</f>
        <v>0</v>
      </c>
      <c r="Y867" s="27"/>
      <c r="Z867" s="27"/>
      <c r="AA867" s="27"/>
      <c r="AB867" s="27"/>
      <c r="AC867" s="27"/>
      <c r="AD867" s="27"/>
      <c r="AF867" s="8"/>
      <c r="AG867" s="27"/>
      <c r="AH867" s="14">
        <f>+'Pegar ML'!Y863</f>
        <v>0</v>
      </c>
      <c r="AI867" s="13">
        <f t="shared" si="40"/>
        <v>1</v>
      </c>
      <c r="AJ867" s="7">
        <f>+'Pegar ML'!T863</f>
        <v>0</v>
      </c>
      <c r="AK867" s="27"/>
      <c r="AL867" s="27"/>
      <c r="AM867" s="27"/>
      <c r="AN867" s="27"/>
      <c r="AO867" s="27"/>
      <c r="AP867" s="27"/>
      <c r="AQ867" s="27"/>
      <c r="AR867" s="27"/>
      <c r="AS867" s="27">
        <v>17</v>
      </c>
    </row>
    <row r="868" spans="1:45" ht="15" customHeight="1" x14ac:dyDescent="0.25">
      <c r="A868" s="27">
        <f>IF('Pegar ML'!C863="Paquete de 2 productos",'Pegar ML'!A863,IF('Pegar ML'!C862="Paquete de 2 productos",'Pegar ML'!A862,'Pegar ML'!A864))</f>
        <v>0</v>
      </c>
      <c r="B868" s="27"/>
      <c r="C868" s="30" t="str">
        <f>IF(AjusteFecha!I864=0,"",AjusteFecha!I864)</f>
        <v/>
      </c>
      <c r="D868" s="27"/>
      <c r="E868" s="27"/>
      <c r="F868" s="27" t="str">
        <f>IF('Pegar ML'!C864="","",'Pegar ML'!C864)</f>
        <v/>
      </c>
      <c r="G868" s="27" t="str">
        <f>IF('Pegar ML'!G859="ARS","PS","PS")</f>
        <v>PS</v>
      </c>
      <c r="H868" s="14">
        <f>IF('Pegar ML'!C863="Paquete de 2 productos",IF('Pegar ML'!H863="",0,'Pegar ML'!H863),IF('Pegar ML'!H864="",0,'Pegar ML'!H864))</f>
        <v>0</v>
      </c>
      <c r="I868" s="14">
        <f>IF('Pegar ML'!C863="Paquete de 2 productos",IF('Pegar ML'!O863="",0,'Pegar ML'!O863),IF('Pegar ML'!O864="",0,'Pegar ML'!O864))</f>
        <v>0</v>
      </c>
      <c r="J868" s="14">
        <f>IF('Pegar ML'!C863="Paquete de 2 productos",IF('Pegar ML'!O863="",0,'Pegar ML'!O863),IF('Pegar ML'!O864="",0,'Pegar ML'!O864))</f>
        <v>0</v>
      </c>
      <c r="K868" s="14">
        <f t="shared" si="41"/>
        <v>0</v>
      </c>
      <c r="L868" s="27">
        <f>IF('Pegar ML'!AB864=" ",'Pegar ML'!AB863,'Pegar ML'!AB864)</f>
        <v>0</v>
      </c>
      <c r="M868" s="27" t="str">
        <f>IF('Pegar ML'!AC864=" ",RIGHT('Pegar ML'!AC863,8),RIGHT('Pegar ML'!AC864,8))</f>
        <v/>
      </c>
      <c r="N868" s="27" t="s">
        <v>80</v>
      </c>
      <c r="O868" s="27">
        <f t="shared" si="39"/>
        <v>0</v>
      </c>
      <c r="P868" s="27" t="s">
        <v>80</v>
      </c>
      <c r="Q868" s="55">
        <f>IF('Pegar ML'!AD864=" ",'Pegar ML'!AD863,'Pegar ML'!AD864)</f>
        <v>0</v>
      </c>
      <c r="R868" s="27" t="s">
        <v>80</v>
      </c>
      <c r="S868" s="27" t="s">
        <v>80</v>
      </c>
      <c r="T868" s="27" t="s">
        <v>80</v>
      </c>
      <c r="U868" s="55">
        <f>IF('Pegar ML'!AI864=" ",'Pegar ML'!AI863,'Pegar ML'!AI864)</f>
        <v>0</v>
      </c>
      <c r="V868" s="55">
        <f>IF('Pegar ML'!AK864=" ",'Pegar ML'!AK863,'Pegar ML'!AK864)</f>
        <v>0</v>
      </c>
      <c r="W868" s="55">
        <f>IF('Pegar ML'!AJ864=" ",'Pegar ML'!AJ863,'Pegar ML'!AJ864)</f>
        <v>0</v>
      </c>
      <c r="X868" s="55">
        <f>IF('Pegar ML'!AL864=" ",'Pegar ML'!AL863,'Pegar ML'!AL864)</f>
        <v>0</v>
      </c>
      <c r="Y868" s="27"/>
      <c r="Z868" s="27"/>
      <c r="AA868" s="27"/>
      <c r="AB868" s="27"/>
      <c r="AC868" s="27"/>
      <c r="AD868" s="27"/>
      <c r="AF868" s="8"/>
      <c r="AG868" s="27"/>
      <c r="AH868" s="14">
        <f>+'Pegar ML'!Y864</f>
        <v>0</v>
      </c>
      <c r="AI868" s="13">
        <f t="shared" si="40"/>
        <v>1</v>
      </c>
      <c r="AJ868" s="7">
        <f>+'Pegar ML'!T864</f>
        <v>0</v>
      </c>
      <c r="AK868" s="27"/>
      <c r="AL868" s="27"/>
      <c r="AM868" s="27"/>
      <c r="AN868" s="27"/>
      <c r="AO868" s="27"/>
      <c r="AP868" s="27"/>
      <c r="AQ868" s="27"/>
      <c r="AR868" s="27"/>
      <c r="AS868" s="27">
        <v>17</v>
      </c>
    </row>
    <row r="869" spans="1:45" ht="15" customHeight="1" x14ac:dyDescent="0.25">
      <c r="A869" s="27">
        <f>IF('Pegar ML'!C864="Paquete de 2 productos",'Pegar ML'!A864,IF('Pegar ML'!C863="Paquete de 2 productos",'Pegar ML'!A863,'Pegar ML'!A865))</f>
        <v>0</v>
      </c>
      <c r="B869" s="27"/>
      <c r="C869" s="30" t="str">
        <f>IF(AjusteFecha!I865=0,"",AjusteFecha!I865)</f>
        <v/>
      </c>
      <c r="D869" s="27"/>
      <c r="E869" s="27"/>
      <c r="F869" s="27" t="str">
        <f>IF('Pegar ML'!C865="","",'Pegar ML'!C865)</f>
        <v/>
      </c>
      <c r="G869" s="27" t="str">
        <f>IF('Pegar ML'!G860="ARS","PS","PS")</f>
        <v>PS</v>
      </c>
      <c r="H869" s="14">
        <f>IF('Pegar ML'!C864="Paquete de 2 productos",IF('Pegar ML'!H864="",0,'Pegar ML'!H864),IF('Pegar ML'!H865="",0,'Pegar ML'!H865))</f>
        <v>0</v>
      </c>
      <c r="I869" s="14">
        <f>IF('Pegar ML'!C864="Paquete de 2 productos",IF('Pegar ML'!O864="",0,'Pegar ML'!O864),IF('Pegar ML'!O865="",0,'Pegar ML'!O865))</f>
        <v>0</v>
      </c>
      <c r="J869" s="14">
        <f>IF('Pegar ML'!C864="Paquete de 2 productos",IF('Pegar ML'!O864="",0,'Pegar ML'!O864),IF('Pegar ML'!O865="",0,'Pegar ML'!O865))</f>
        <v>0</v>
      </c>
      <c r="K869" s="14">
        <f t="shared" si="41"/>
        <v>0</v>
      </c>
      <c r="L869" s="27">
        <f>IF('Pegar ML'!AB865=" ",'Pegar ML'!AB864,'Pegar ML'!AB865)</f>
        <v>0</v>
      </c>
      <c r="M869" s="27" t="str">
        <f>IF('Pegar ML'!AC865=" ",RIGHT('Pegar ML'!AC864,8),RIGHT('Pegar ML'!AC865,8))</f>
        <v/>
      </c>
      <c r="N869" s="27" t="s">
        <v>80</v>
      </c>
      <c r="O869" s="27">
        <f t="shared" si="39"/>
        <v>0</v>
      </c>
      <c r="P869" s="27" t="s">
        <v>80</v>
      </c>
      <c r="Q869" s="55">
        <f>IF('Pegar ML'!AD865=" ",'Pegar ML'!AD864,'Pegar ML'!AD865)</f>
        <v>0</v>
      </c>
      <c r="R869" s="27" t="s">
        <v>80</v>
      </c>
      <c r="S869" s="27" t="s">
        <v>80</v>
      </c>
      <c r="T869" s="27" t="s">
        <v>80</v>
      </c>
      <c r="U869" s="55">
        <f>IF('Pegar ML'!AI865=" ",'Pegar ML'!AI864,'Pegar ML'!AI865)</f>
        <v>0</v>
      </c>
      <c r="V869" s="55">
        <f>IF('Pegar ML'!AK865=" ",'Pegar ML'!AK864,'Pegar ML'!AK865)</f>
        <v>0</v>
      </c>
      <c r="W869" s="55">
        <f>IF('Pegar ML'!AJ865=" ",'Pegar ML'!AJ864,'Pegar ML'!AJ865)</f>
        <v>0</v>
      </c>
      <c r="X869" s="55">
        <f>IF('Pegar ML'!AL865=" ",'Pegar ML'!AL864,'Pegar ML'!AL865)</f>
        <v>0</v>
      </c>
      <c r="Y869" s="27"/>
      <c r="Z869" s="27"/>
      <c r="AA869" s="27"/>
      <c r="AB869" s="27"/>
      <c r="AC869" s="27"/>
      <c r="AD869" s="27"/>
      <c r="AF869" s="8"/>
      <c r="AG869" s="27"/>
      <c r="AH869" s="14">
        <f>+'Pegar ML'!Y865</f>
        <v>0</v>
      </c>
      <c r="AI869" s="13">
        <f t="shared" si="40"/>
        <v>1</v>
      </c>
      <c r="AJ869" s="7">
        <f>+'Pegar ML'!T865</f>
        <v>0</v>
      </c>
      <c r="AK869" s="27"/>
      <c r="AL869" s="27"/>
      <c r="AM869" s="27"/>
      <c r="AN869" s="27"/>
      <c r="AO869" s="27"/>
      <c r="AP869" s="27"/>
      <c r="AQ869" s="27"/>
      <c r="AR869" s="27"/>
      <c r="AS869" s="27">
        <v>17</v>
      </c>
    </row>
    <row r="870" spans="1:45" ht="15" customHeight="1" x14ac:dyDescent="0.25">
      <c r="A870" s="27">
        <f>IF('Pegar ML'!C865="Paquete de 2 productos",'Pegar ML'!A865,IF('Pegar ML'!C864="Paquete de 2 productos",'Pegar ML'!A864,'Pegar ML'!A866))</f>
        <v>0</v>
      </c>
      <c r="B870" s="27"/>
      <c r="C870" s="30" t="str">
        <f>IF(AjusteFecha!I866=0,"",AjusteFecha!I866)</f>
        <v/>
      </c>
      <c r="D870" s="27"/>
      <c r="E870" s="27"/>
      <c r="F870" s="27" t="str">
        <f>IF('Pegar ML'!C866="","",'Pegar ML'!C866)</f>
        <v/>
      </c>
      <c r="G870" s="27" t="str">
        <f>IF('Pegar ML'!G861="ARS","PS","PS")</f>
        <v>PS</v>
      </c>
      <c r="H870" s="14">
        <f>IF('Pegar ML'!C865="Paquete de 2 productos",IF('Pegar ML'!H865="",0,'Pegar ML'!H865),IF('Pegar ML'!H866="",0,'Pegar ML'!H866))</f>
        <v>0</v>
      </c>
      <c r="I870" s="14">
        <f>IF('Pegar ML'!C865="Paquete de 2 productos",IF('Pegar ML'!O865="",0,'Pegar ML'!O865),IF('Pegar ML'!O866="",0,'Pegar ML'!O866))</f>
        <v>0</v>
      </c>
      <c r="J870" s="14">
        <f>IF('Pegar ML'!C865="Paquete de 2 productos",IF('Pegar ML'!O865="",0,'Pegar ML'!O865),IF('Pegar ML'!O866="",0,'Pegar ML'!O866))</f>
        <v>0</v>
      </c>
      <c r="K870" s="14">
        <f t="shared" si="41"/>
        <v>0</v>
      </c>
      <c r="L870" s="27">
        <f>IF('Pegar ML'!AB866=" ",'Pegar ML'!AB865,'Pegar ML'!AB866)</f>
        <v>0</v>
      </c>
      <c r="M870" s="27" t="str">
        <f>IF('Pegar ML'!AC866=" ",RIGHT('Pegar ML'!AC865,8),RIGHT('Pegar ML'!AC866,8))</f>
        <v/>
      </c>
      <c r="N870" s="27" t="s">
        <v>80</v>
      </c>
      <c r="O870" s="27">
        <f t="shared" si="39"/>
        <v>0</v>
      </c>
      <c r="P870" s="27" t="s">
        <v>80</v>
      </c>
      <c r="Q870" s="55">
        <f>IF('Pegar ML'!AD866=" ",'Pegar ML'!AD865,'Pegar ML'!AD866)</f>
        <v>0</v>
      </c>
      <c r="R870" s="27" t="s">
        <v>80</v>
      </c>
      <c r="S870" s="27" t="s">
        <v>80</v>
      </c>
      <c r="T870" s="27" t="s">
        <v>80</v>
      </c>
      <c r="U870" s="55">
        <f>IF('Pegar ML'!AI866=" ",'Pegar ML'!AI865,'Pegar ML'!AI866)</f>
        <v>0</v>
      </c>
      <c r="V870" s="55">
        <f>IF('Pegar ML'!AK866=" ",'Pegar ML'!AK865,'Pegar ML'!AK866)</f>
        <v>0</v>
      </c>
      <c r="W870" s="55">
        <f>IF('Pegar ML'!AJ866=" ",'Pegar ML'!AJ865,'Pegar ML'!AJ866)</f>
        <v>0</v>
      </c>
      <c r="X870" s="55">
        <f>IF('Pegar ML'!AL866=" ",'Pegar ML'!AL865,'Pegar ML'!AL866)</f>
        <v>0</v>
      </c>
      <c r="Y870" s="27"/>
      <c r="Z870" s="27"/>
      <c r="AA870" s="27"/>
      <c r="AB870" s="27"/>
      <c r="AC870" s="27"/>
      <c r="AD870" s="27"/>
      <c r="AF870" s="8"/>
      <c r="AG870" s="27"/>
      <c r="AH870" s="14">
        <f>+'Pegar ML'!Y866</f>
        <v>0</v>
      </c>
      <c r="AI870" s="13">
        <f t="shared" si="40"/>
        <v>1</v>
      </c>
      <c r="AJ870" s="7">
        <f>+'Pegar ML'!T866</f>
        <v>0</v>
      </c>
      <c r="AK870" s="27"/>
      <c r="AL870" s="27"/>
      <c r="AM870" s="27"/>
      <c r="AN870" s="27"/>
      <c r="AO870" s="27"/>
      <c r="AP870" s="27"/>
      <c r="AQ870" s="27"/>
      <c r="AR870" s="27"/>
      <c r="AS870" s="27">
        <v>17</v>
      </c>
    </row>
    <row r="871" spans="1:45" ht="15" customHeight="1" x14ac:dyDescent="0.25">
      <c r="A871" s="27">
        <f>IF('Pegar ML'!C866="Paquete de 2 productos",'Pegar ML'!A866,IF('Pegar ML'!C865="Paquete de 2 productos",'Pegar ML'!A865,'Pegar ML'!A867))</f>
        <v>0</v>
      </c>
      <c r="B871" s="27"/>
      <c r="C871" s="30" t="str">
        <f>IF(AjusteFecha!I867=0,"",AjusteFecha!I867)</f>
        <v/>
      </c>
      <c r="D871" s="27"/>
      <c r="E871" s="27"/>
      <c r="F871" s="27" t="str">
        <f>IF('Pegar ML'!C867="","",'Pegar ML'!C867)</f>
        <v/>
      </c>
      <c r="G871" s="27" t="str">
        <f>IF('Pegar ML'!G862="ARS","PS","PS")</f>
        <v>PS</v>
      </c>
      <c r="H871" s="14">
        <f>IF('Pegar ML'!C866="Paquete de 2 productos",IF('Pegar ML'!H866="",0,'Pegar ML'!H866),IF('Pegar ML'!H867="",0,'Pegar ML'!H867))</f>
        <v>0</v>
      </c>
      <c r="I871" s="14">
        <f>IF('Pegar ML'!C866="Paquete de 2 productos",IF('Pegar ML'!O866="",0,'Pegar ML'!O866),IF('Pegar ML'!O867="",0,'Pegar ML'!O867))</f>
        <v>0</v>
      </c>
      <c r="J871" s="14">
        <f>IF('Pegar ML'!C866="Paquete de 2 productos",IF('Pegar ML'!O866="",0,'Pegar ML'!O866),IF('Pegar ML'!O867="",0,'Pegar ML'!O867))</f>
        <v>0</v>
      </c>
      <c r="K871" s="14">
        <f t="shared" si="41"/>
        <v>0</v>
      </c>
      <c r="L871" s="27">
        <f>IF('Pegar ML'!AB867=" ",'Pegar ML'!AB866,'Pegar ML'!AB867)</f>
        <v>0</v>
      </c>
      <c r="M871" s="27" t="str">
        <f>IF('Pegar ML'!AC867=" ",RIGHT('Pegar ML'!AC866,8),RIGHT('Pegar ML'!AC867,8))</f>
        <v/>
      </c>
      <c r="N871" s="27" t="s">
        <v>80</v>
      </c>
      <c r="O871" s="27">
        <f t="shared" si="39"/>
        <v>0</v>
      </c>
      <c r="P871" s="27" t="s">
        <v>80</v>
      </c>
      <c r="Q871" s="55">
        <f>IF('Pegar ML'!AD867=" ",'Pegar ML'!AD866,'Pegar ML'!AD867)</f>
        <v>0</v>
      </c>
      <c r="R871" s="27" t="s">
        <v>80</v>
      </c>
      <c r="S871" s="27" t="s">
        <v>80</v>
      </c>
      <c r="T871" s="27" t="s">
        <v>80</v>
      </c>
      <c r="U871" s="55">
        <f>IF('Pegar ML'!AI867=" ",'Pegar ML'!AI866,'Pegar ML'!AI867)</f>
        <v>0</v>
      </c>
      <c r="V871" s="55">
        <f>IF('Pegar ML'!AK867=" ",'Pegar ML'!AK866,'Pegar ML'!AK867)</f>
        <v>0</v>
      </c>
      <c r="W871" s="55">
        <f>IF('Pegar ML'!AJ867=" ",'Pegar ML'!AJ866,'Pegar ML'!AJ867)</f>
        <v>0</v>
      </c>
      <c r="X871" s="55">
        <f>IF('Pegar ML'!AL867=" ",'Pegar ML'!AL866,'Pegar ML'!AL867)</f>
        <v>0</v>
      </c>
      <c r="Y871" s="27"/>
      <c r="Z871" s="27"/>
      <c r="AA871" s="27"/>
      <c r="AB871" s="27"/>
      <c r="AC871" s="27"/>
      <c r="AD871" s="27"/>
      <c r="AF871" s="8"/>
      <c r="AG871" s="27"/>
      <c r="AH871" s="14">
        <f>+'Pegar ML'!Y867</f>
        <v>0</v>
      </c>
      <c r="AI871" s="13">
        <f t="shared" si="40"/>
        <v>1</v>
      </c>
      <c r="AJ871" s="7">
        <f>+'Pegar ML'!T867</f>
        <v>0</v>
      </c>
      <c r="AK871" s="27"/>
      <c r="AL871" s="27"/>
      <c r="AM871" s="27"/>
      <c r="AN871" s="27"/>
      <c r="AO871" s="27"/>
      <c r="AP871" s="27"/>
      <c r="AQ871" s="27"/>
      <c r="AR871" s="27"/>
      <c r="AS871" s="27">
        <v>17</v>
      </c>
    </row>
    <row r="872" spans="1:45" ht="15" customHeight="1" x14ac:dyDescent="0.25">
      <c r="A872" s="27">
        <f>IF('Pegar ML'!C867="Paquete de 2 productos",'Pegar ML'!A867,IF('Pegar ML'!C866="Paquete de 2 productos",'Pegar ML'!A866,'Pegar ML'!A868))</f>
        <v>0</v>
      </c>
      <c r="B872" s="27"/>
      <c r="C872" s="30" t="str">
        <f>IF(AjusteFecha!I868=0,"",AjusteFecha!I868)</f>
        <v/>
      </c>
      <c r="D872" s="27"/>
      <c r="E872" s="27"/>
      <c r="F872" s="27" t="str">
        <f>IF('Pegar ML'!C868="","",'Pegar ML'!C868)</f>
        <v/>
      </c>
      <c r="G872" s="27" t="str">
        <f>IF('Pegar ML'!G863="ARS","PS","PS")</f>
        <v>PS</v>
      </c>
      <c r="H872" s="14">
        <f>IF('Pegar ML'!C867="Paquete de 2 productos",IF('Pegar ML'!H867="",0,'Pegar ML'!H867),IF('Pegar ML'!H868="",0,'Pegar ML'!H868))</f>
        <v>0</v>
      </c>
      <c r="I872" s="14">
        <f>IF('Pegar ML'!C867="Paquete de 2 productos",IF('Pegar ML'!O867="",0,'Pegar ML'!O867),IF('Pegar ML'!O868="",0,'Pegar ML'!O868))</f>
        <v>0</v>
      </c>
      <c r="J872" s="14">
        <f>IF('Pegar ML'!C867="Paquete de 2 productos",IF('Pegar ML'!O867="",0,'Pegar ML'!O867),IF('Pegar ML'!O868="",0,'Pegar ML'!O868))</f>
        <v>0</v>
      </c>
      <c r="K872" s="14">
        <f t="shared" si="41"/>
        <v>0</v>
      </c>
      <c r="L872" s="27">
        <f>IF('Pegar ML'!AB868=" ",'Pegar ML'!AB867,'Pegar ML'!AB868)</f>
        <v>0</v>
      </c>
      <c r="M872" s="27" t="str">
        <f>IF('Pegar ML'!AC868=" ",RIGHT('Pegar ML'!AC867,8),RIGHT('Pegar ML'!AC868,8))</f>
        <v/>
      </c>
      <c r="N872" s="27" t="s">
        <v>80</v>
      </c>
      <c r="O872" s="27">
        <f t="shared" si="39"/>
        <v>0</v>
      </c>
      <c r="P872" s="27" t="s">
        <v>80</v>
      </c>
      <c r="Q872" s="55">
        <f>IF('Pegar ML'!AD868=" ",'Pegar ML'!AD867,'Pegar ML'!AD868)</f>
        <v>0</v>
      </c>
      <c r="R872" s="27" t="s">
        <v>80</v>
      </c>
      <c r="S872" s="27" t="s">
        <v>80</v>
      </c>
      <c r="T872" s="27" t="s">
        <v>80</v>
      </c>
      <c r="U872" s="55">
        <f>IF('Pegar ML'!AI868=" ",'Pegar ML'!AI867,'Pegar ML'!AI868)</f>
        <v>0</v>
      </c>
      <c r="V872" s="55">
        <f>IF('Pegar ML'!AK868=" ",'Pegar ML'!AK867,'Pegar ML'!AK868)</f>
        <v>0</v>
      </c>
      <c r="W872" s="55">
        <f>IF('Pegar ML'!AJ868=" ",'Pegar ML'!AJ867,'Pegar ML'!AJ868)</f>
        <v>0</v>
      </c>
      <c r="X872" s="55">
        <f>IF('Pegar ML'!AL868=" ",'Pegar ML'!AL867,'Pegar ML'!AL868)</f>
        <v>0</v>
      </c>
      <c r="Y872" s="27"/>
      <c r="Z872" s="27"/>
      <c r="AA872" s="27"/>
      <c r="AB872" s="27"/>
      <c r="AC872" s="27"/>
      <c r="AD872" s="27"/>
      <c r="AF872" s="8"/>
      <c r="AG872" s="27"/>
      <c r="AH872" s="14">
        <f>+'Pegar ML'!Y868</f>
        <v>0</v>
      </c>
      <c r="AI872" s="13">
        <f t="shared" si="40"/>
        <v>1</v>
      </c>
      <c r="AJ872" s="7">
        <f>+'Pegar ML'!T868</f>
        <v>0</v>
      </c>
      <c r="AK872" s="27"/>
      <c r="AL872" s="27"/>
      <c r="AM872" s="27"/>
      <c r="AN872" s="27"/>
      <c r="AO872" s="27"/>
      <c r="AP872" s="27"/>
      <c r="AQ872" s="27"/>
      <c r="AR872" s="27"/>
      <c r="AS872" s="27">
        <v>17</v>
      </c>
    </row>
    <row r="873" spans="1:45" ht="15" customHeight="1" x14ac:dyDescent="0.25">
      <c r="A873" s="27">
        <f>IF('Pegar ML'!C868="Paquete de 2 productos",'Pegar ML'!A868,IF('Pegar ML'!C867="Paquete de 2 productos",'Pegar ML'!A867,'Pegar ML'!A869))</f>
        <v>0</v>
      </c>
      <c r="B873" s="27"/>
      <c r="C873" s="30" t="str">
        <f>IF(AjusteFecha!I869=0,"",AjusteFecha!I869)</f>
        <v/>
      </c>
      <c r="D873" s="27"/>
      <c r="E873" s="27"/>
      <c r="F873" s="27" t="str">
        <f>IF('Pegar ML'!C869="","",'Pegar ML'!C869)</f>
        <v/>
      </c>
      <c r="G873" s="27" t="str">
        <f>IF('Pegar ML'!G864="ARS","PS","PS")</f>
        <v>PS</v>
      </c>
      <c r="H873" s="14">
        <f>IF('Pegar ML'!C868="Paquete de 2 productos",IF('Pegar ML'!H868="",0,'Pegar ML'!H868),IF('Pegar ML'!H869="",0,'Pegar ML'!H869))</f>
        <v>0</v>
      </c>
      <c r="I873" s="14">
        <f>IF('Pegar ML'!C868="Paquete de 2 productos",IF('Pegar ML'!O868="",0,'Pegar ML'!O868),IF('Pegar ML'!O869="",0,'Pegar ML'!O869))</f>
        <v>0</v>
      </c>
      <c r="J873" s="14">
        <f>IF('Pegar ML'!C868="Paquete de 2 productos",IF('Pegar ML'!O868="",0,'Pegar ML'!O868),IF('Pegar ML'!O869="",0,'Pegar ML'!O869))</f>
        <v>0</v>
      </c>
      <c r="K873" s="14">
        <f t="shared" si="41"/>
        <v>0</v>
      </c>
      <c r="L873" s="27">
        <f>IF('Pegar ML'!AB869=" ",'Pegar ML'!AB868,'Pegar ML'!AB869)</f>
        <v>0</v>
      </c>
      <c r="M873" s="27" t="str">
        <f>IF('Pegar ML'!AC869=" ",RIGHT('Pegar ML'!AC868,8),RIGHT('Pegar ML'!AC869,8))</f>
        <v/>
      </c>
      <c r="N873" s="27" t="s">
        <v>80</v>
      </c>
      <c r="O873" s="27">
        <f t="shared" si="39"/>
        <v>0</v>
      </c>
      <c r="P873" s="27" t="s">
        <v>80</v>
      </c>
      <c r="Q873" s="55">
        <f>IF('Pegar ML'!AD869=" ",'Pegar ML'!AD868,'Pegar ML'!AD869)</f>
        <v>0</v>
      </c>
      <c r="R873" s="27" t="s">
        <v>80</v>
      </c>
      <c r="S873" s="27" t="s">
        <v>80</v>
      </c>
      <c r="T873" s="27" t="s">
        <v>80</v>
      </c>
      <c r="U873" s="55">
        <f>IF('Pegar ML'!AI869=" ",'Pegar ML'!AI868,'Pegar ML'!AI869)</f>
        <v>0</v>
      </c>
      <c r="V873" s="55">
        <f>IF('Pegar ML'!AK869=" ",'Pegar ML'!AK868,'Pegar ML'!AK869)</f>
        <v>0</v>
      </c>
      <c r="W873" s="55">
        <f>IF('Pegar ML'!AJ869=" ",'Pegar ML'!AJ868,'Pegar ML'!AJ869)</f>
        <v>0</v>
      </c>
      <c r="X873" s="55">
        <f>IF('Pegar ML'!AL869=" ",'Pegar ML'!AL868,'Pegar ML'!AL869)</f>
        <v>0</v>
      </c>
      <c r="Y873" s="27"/>
      <c r="Z873" s="27"/>
      <c r="AA873" s="27"/>
      <c r="AB873" s="27"/>
      <c r="AC873" s="27"/>
      <c r="AD873" s="27"/>
      <c r="AF873" s="8"/>
      <c r="AG873" s="27"/>
      <c r="AH873" s="14">
        <f>+'Pegar ML'!Y869</f>
        <v>0</v>
      </c>
      <c r="AI873" s="13">
        <f t="shared" si="40"/>
        <v>1</v>
      </c>
      <c r="AJ873" s="7">
        <f>+'Pegar ML'!T869</f>
        <v>0</v>
      </c>
      <c r="AK873" s="27"/>
      <c r="AL873" s="27"/>
      <c r="AM873" s="27"/>
      <c r="AN873" s="27"/>
      <c r="AO873" s="27"/>
      <c r="AP873" s="27"/>
      <c r="AQ873" s="27"/>
      <c r="AR873" s="27"/>
      <c r="AS873" s="27">
        <v>17</v>
      </c>
    </row>
    <row r="874" spans="1:45" ht="15" customHeight="1" x14ac:dyDescent="0.25">
      <c r="A874" s="27">
        <f>IF('Pegar ML'!C869="Paquete de 2 productos",'Pegar ML'!A869,IF('Pegar ML'!C868="Paquete de 2 productos",'Pegar ML'!A868,'Pegar ML'!A870))</f>
        <v>0</v>
      </c>
      <c r="B874" s="27"/>
      <c r="C874" s="30" t="str">
        <f>IF(AjusteFecha!I870=0,"",AjusteFecha!I870)</f>
        <v/>
      </c>
      <c r="D874" s="27"/>
      <c r="E874" s="27"/>
      <c r="F874" s="27" t="str">
        <f>IF('Pegar ML'!C870="","",'Pegar ML'!C870)</f>
        <v/>
      </c>
      <c r="G874" s="27" t="str">
        <f>IF('Pegar ML'!G865="ARS","PS","PS")</f>
        <v>PS</v>
      </c>
      <c r="H874" s="14">
        <f>IF('Pegar ML'!C869="Paquete de 2 productos",IF('Pegar ML'!H869="",0,'Pegar ML'!H869),IF('Pegar ML'!H870="",0,'Pegar ML'!H870))</f>
        <v>0</v>
      </c>
      <c r="I874" s="14">
        <f>IF('Pegar ML'!C869="Paquete de 2 productos",IF('Pegar ML'!O869="",0,'Pegar ML'!O869),IF('Pegar ML'!O870="",0,'Pegar ML'!O870))</f>
        <v>0</v>
      </c>
      <c r="J874" s="14">
        <f>IF('Pegar ML'!C869="Paquete de 2 productos",IF('Pegar ML'!O869="",0,'Pegar ML'!O869),IF('Pegar ML'!O870="",0,'Pegar ML'!O870))</f>
        <v>0</v>
      </c>
      <c r="K874" s="14">
        <f t="shared" si="41"/>
        <v>0</v>
      </c>
      <c r="L874" s="27">
        <f>IF('Pegar ML'!AB870=" ",'Pegar ML'!AB869,'Pegar ML'!AB870)</f>
        <v>0</v>
      </c>
      <c r="M874" s="27" t="str">
        <f>IF('Pegar ML'!AC870=" ",RIGHT('Pegar ML'!AC869,8),RIGHT('Pegar ML'!AC870,8))</f>
        <v/>
      </c>
      <c r="N874" s="27" t="s">
        <v>80</v>
      </c>
      <c r="O874" s="27">
        <f t="shared" si="39"/>
        <v>0</v>
      </c>
      <c r="P874" s="27" t="s">
        <v>80</v>
      </c>
      <c r="Q874" s="55">
        <f>IF('Pegar ML'!AD870=" ",'Pegar ML'!AD869,'Pegar ML'!AD870)</f>
        <v>0</v>
      </c>
      <c r="R874" s="27" t="s">
        <v>80</v>
      </c>
      <c r="S874" s="27" t="s">
        <v>80</v>
      </c>
      <c r="T874" s="27" t="s">
        <v>80</v>
      </c>
      <c r="U874" s="55">
        <f>IF('Pegar ML'!AI870=" ",'Pegar ML'!AI869,'Pegar ML'!AI870)</f>
        <v>0</v>
      </c>
      <c r="V874" s="55">
        <f>IF('Pegar ML'!AK870=" ",'Pegar ML'!AK869,'Pegar ML'!AK870)</f>
        <v>0</v>
      </c>
      <c r="W874" s="55">
        <f>IF('Pegar ML'!AJ870=" ",'Pegar ML'!AJ869,'Pegar ML'!AJ870)</f>
        <v>0</v>
      </c>
      <c r="X874" s="55">
        <f>IF('Pegar ML'!AL870=" ",'Pegar ML'!AL869,'Pegar ML'!AL870)</f>
        <v>0</v>
      </c>
      <c r="Y874" s="27"/>
      <c r="Z874" s="27"/>
      <c r="AA874" s="27"/>
      <c r="AB874" s="27"/>
      <c r="AC874" s="27"/>
      <c r="AD874" s="27"/>
      <c r="AF874" s="8"/>
      <c r="AG874" s="27"/>
      <c r="AH874" s="14">
        <f>+'Pegar ML'!Y870</f>
        <v>0</v>
      </c>
      <c r="AI874" s="13">
        <f t="shared" si="40"/>
        <v>1</v>
      </c>
      <c r="AJ874" s="7">
        <f>+'Pegar ML'!T870</f>
        <v>0</v>
      </c>
      <c r="AK874" s="27"/>
      <c r="AL874" s="27"/>
      <c r="AM874" s="27"/>
      <c r="AN874" s="27"/>
      <c r="AO874" s="27"/>
      <c r="AP874" s="27"/>
      <c r="AQ874" s="27"/>
      <c r="AR874" s="27"/>
      <c r="AS874" s="27">
        <v>17</v>
      </c>
    </row>
    <row r="875" spans="1:45" ht="15" customHeight="1" x14ac:dyDescent="0.25">
      <c r="A875" s="27">
        <f>IF('Pegar ML'!C870="Paquete de 2 productos",'Pegar ML'!A870,IF('Pegar ML'!C869="Paquete de 2 productos",'Pegar ML'!A869,'Pegar ML'!A871))</f>
        <v>0</v>
      </c>
      <c r="B875" s="27"/>
      <c r="C875" s="30" t="str">
        <f>IF(AjusteFecha!I871=0,"",AjusteFecha!I871)</f>
        <v/>
      </c>
      <c r="D875" s="27"/>
      <c r="E875" s="27"/>
      <c r="F875" s="27" t="str">
        <f>IF('Pegar ML'!C871="","",'Pegar ML'!C871)</f>
        <v/>
      </c>
      <c r="G875" s="27" t="str">
        <f>IF('Pegar ML'!G866="ARS","PS","PS")</f>
        <v>PS</v>
      </c>
      <c r="H875" s="14">
        <f>IF('Pegar ML'!C870="Paquete de 2 productos",IF('Pegar ML'!H870="",0,'Pegar ML'!H870),IF('Pegar ML'!H871="",0,'Pegar ML'!H871))</f>
        <v>0</v>
      </c>
      <c r="I875" s="14">
        <f>IF('Pegar ML'!C870="Paquete de 2 productos",IF('Pegar ML'!O870="",0,'Pegar ML'!O870),IF('Pegar ML'!O871="",0,'Pegar ML'!O871))</f>
        <v>0</v>
      </c>
      <c r="J875" s="14">
        <f>IF('Pegar ML'!C870="Paquete de 2 productos",IF('Pegar ML'!O870="",0,'Pegar ML'!O870),IF('Pegar ML'!O871="",0,'Pegar ML'!O871))</f>
        <v>0</v>
      </c>
      <c r="K875" s="14">
        <f t="shared" si="41"/>
        <v>0</v>
      </c>
      <c r="L875" s="27">
        <f>IF('Pegar ML'!AB871=" ",'Pegar ML'!AB870,'Pegar ML'!AB871)</f>
        <v>0</v>
      </c>
      <c r="M875" s="27" t="str">
        <f>IF('Pegar ML'!AC871=" ",RIGHT('Pegar ML'!AC870,8),RIGHT('Pegar ML'!AC871,8))</f>
        <v/>
      </c>
      <c r="N875" s="27" t="s">
        <v>80</v>
      </c>
      <c r="O875" s="27">
        <f t="shared" si="39"/>
        <v>0</v>
      </c>
      <c r="P875" s="27" t="s">
        <v>80</v>
      </c>
      <c r="Q875" s="55">
        <f>IF('Pegar ML'!AD871=" ",'Pegar ML'!AD870,'Pegar ML'!AD871)</f>
        <v>0</v>
      </c>
      <c r="R875" s="27" t="s">
        <v>80</v>
      </c>
      <c r="S875" s="27" t="s">
        <v>80</v>
      </c>
      <c r="T875" s="27" t="s">
        <v>80</v>
      </c>
      <c r="U875" s="55">
        <f>IF('Pegar ML'!AI871=" ",'Pegar ML'!AI870,'Pegar ML'!AI871)</f>
        <v>0</v>
      </c>
      <c r="V875" s="55">
        <f>IF('Pegar ML'!AK871=" ",'Pegar ML'!AK870,'Pegar ML'!AK871)</f>
        <v>0</v>
      </c>
      <c r="W875" s="55">
        <f>IF('Pegar ML'!AJ871=" ",'Pegar ML'!AJ870,'Pegar ML'!AJ871)</f>
        <v>0</v>
      </c>
      <c r="X875" s="55">
        <f>IF('Pegar ML'!AL871=" ",'Pegar ML'!AL870,'Pegar ML'!AL871)</f>
        <v>0</v>
      </c>
      <c r="Y875" s="27"/>
      <c r="Z875" s="27"/>
      <c r="AA875" s="27"/>
      <c r="AB875" s="27"/>
      <c r="AC875" s="27"/>
      <c r="AD875" s="27"/>
      <c r="AF875" s="8"/>
      <c r="AG875" s="27"/>
      <c r="AH875" s="14">
        <f>+'Pegar ML'!Y871</f>
        <v>0</v>
      </c>
      <c r="AI875" s="13">
        <f t="shared" si="40"/>
        <v>1</v>
      </c>
      <c r="AJ875" s="7">
        <f>+'Pegar ML'!T871</f>
        <v>0</v>
      </c>
      <c r="AK875" s="27"/>
      <c r="AL875" s="27"/>
      <c r="AM875" s="27"/>
      <c r="AN875" s="27"/>
      <c r="AO875" s="27"/>
      <c r="AP875" s="27"/>
      <c r="AQ875" s="27"/>
      <c r="AR875" s="27"/>
      <c r="AS875" s="27">
        <v>17</v>
      </c>
    </row>
    <row r="876" spans="1:45" ht="15" customHeight="1" x14ac:dyDescent="0.25">
      <c r="A876" s="27">
        <f>IF('Pegar ML'!C871="Paquete de 2 productos",'Pegar ML'!A871,IF('Pegar ML'!C870="Paquete de 2 productos",'Pegar ML'!A870,'Pegar ML'!A872))</f>
        <v>0</v>
      </c>
      <c r="B876" s="27"/>
      <c r="C876" s="30" t="str">
        <f>IF(AjusteFecha!I872=0,"",AjusteFecha!I872)</f>
        <v/>
      </c>
      <c r="D876" s="27"/>
      <c r="E876" s="27"/>
      <c r="F876" s="27" t="str">
        <f>IF('Pegar ML'!C872="","",'Pegar ML'!C872)</f>
        <v/>
      </c>
      <c r="G876" s="27" t="str">
        <f>IF('Pegar ML'!G867="ARS","PS","PS")</f>
        <v>PS</v>
      </c>
      <c r="H876" s="14">
        <f>IF('Pegar ML'!C871="Paquete de 2 productos",IF('Pegar ML'!H871="",0,'Pegar ML'!H871),IF('Pegar ML'!H872="",0,'Pegar ML'!H872))</f>
        <v>0</v>
      </c>
      <c r="I876" s="14">
        <f>IF('Pegar ML'!C871="Paquete de 2 productos",IF('Pegar ML'!O871="",0,'Pegar ML'!O871),IF('Pegar ML'!O872="",0,'Pegar ML'!O872))</f>
        <v>0</v>
      </c>
      <c r="J876" s="14">
        <f>IF('Pegar ML'!C871="Paquete de 2 productos",IF('Pegar ML'!O871="",0,'Pegar ML'!O871),IF('Pegar ML'!O872="",0,'Pegar ML'!O872))</f>
        <v>0</v>
      </c>
      <c r="K876" s="14">
        <f t="shared" si="41"/>
        <v>0</v>
      </c>
      <c r="L876" s="27">
        <f>IF('Pegar ML'!AB872=" ",'Pegar ML'!AB871,'Pegar ML'!AB872)</f>
        <v>0</v>
      </c>
      <c r="M876" s="27" t="str">
        <f>IF('Pegar ML'!AC872=" ",RIGHT('Pegar ML'!AC871,8),RIGHT('Pegar ML'!AC872,8))</f>
        <v/>
      </c>
      <c r="N876" s="27" t="s">
        <v>80</v>
      </c>
      <c r="O876" s="27">
        <f t="shared" si="39"/>
        <v>0</v>
      </c>
      <c r="P876" s="27" t="s">
        <v>80</v>
      </c>
      <c r="Q876" s="55">
        <f>IF('Pegar ML'!AD872=" ",'Pegar ML'!AD871,'Pegar ML'!AD872)</f>
        <v>0</v>
      </c>
      <c r="R876" s="27" t="s">
        <v>80</v>
      </c>
      <c r="S876" s="27" t="s">
        <v>80</v>
      </c>
      <c r="T876" s="27" t="s">
        <v>80</v>
      </c>
      <c r="U876" s="55">
        <f>IF('Pegar ML'!AI872=" ",'Pegar ML'!AI871,'Pegar ML'!AI872)</f>
        <v>0</v>
      </c>
      <c r="V876" s="55">
        <f>IF('Pegar ML'!AK872=" ",'Pegar ML'!AK871,'Pegar ML'!AK872)</f>
        <v>0</v>
      </c>
      <c r="W876" s="55">
        <f>IF('Pegar ML'!AJ872=" ",'Pegar ML'!AJ871,'Pegar ML'!AJ872)</f>
        <v>0</v>
      </c>
      <c r="X876" s="55">
        <f>IF('Pegar ML'!AL872=" ",'Pegar ML'!AL871,'Pegar ML'!AL872)</f>
        <v>0</v>
      </c>
      <c r="Y876" s="27"/>
      <c r="Z876" s="27"/>
      <c r="AA876" s="27"/>
      <c r="AB876" s="27"/>
      <c r="AC876" s="27"/>
      <c r="AD876" s="27"/>
      <c r="AF876" s="8"/>
      <c r="AG876" s="27"/>
      <c r="AH876" s="14">
        <f>+'Pegar ML'!Y872</f>
        <v>0</v>
      </c>
      <c r="AI876" s="13">
        <f t="shared" si="40"/>
        <v>1</v>
      </c>
      <c r="AJ876" s="7">
        <f>+'Pegar ML'!T872</f>
        <v>0</v>
      </c>
      <c r="AK876" s="27"/>
      <c r="AL876" s="27"/>
      <c r="AM876" s="27"/>
      <c r="AN876" s="27"/>
      <c r="AO876" s="27"/>
      <c r="AP876" s="27"/>
      <c r="AQ876" s="27"/>
      <c r="AR876" s="27"/>
      <c r="AS876" s="27">
        <v>17</v>
      </c>
    </row>
    <row r="877" spans="1:45" ht="15" customHeight="1" x14ac:dyDescent="0.25">
      <c r="A877" s="27">
        <f>IF('Pegar ML'!C872="Paquete de 2 productos",'Pegar ML'!A872,IF('Pegar ML'!C871="Paquete de 2 productos",'Pegar ML'!A871,'Pegar ML'!A873))</f>
        <v>0</v>
      </c>
      <c r="B877" s="27"/>
      <c r="C877" s="30" t="str">
        <f>IF(AjusteFecha!I873=0,"",AjusteFecha!I873)</f>
        <v/>
      </c>
      <c r="D877" s="27"/>
      <c r="E877" s="27"/>
      <c r="F877" s="27" t="str">
        <f>IF('Pegar ML'!C873="","",'Pegar ML'!C873)</f>
        <v/>
      </c>
      <c r="G877" s="27" t="str">
        <f>IF('Pegar ML'!G868="ARS","PS","PS")</f>
        <v>PS</v>
      </c>
      <c r="H877" s="14">
        <f>IF('Pegar ML'!C872="Paquete de 2 productos",IF('Pegar ML'!H872="",0,'Pegar ML'!H872),IF('Pegar ML'!H873="",0,'Pegar ML'!H873))</f>
        <v>0</v>
      </c>
      <c r="I877" s="14">
        <f>IF('Pegar ML'!C872="Paquete de 2 productos",IF('Pegar ML'!O872="",0,'Pegar ML'!O872),IF('Pegar ML'!O873="",0,'Pegar ML'!O873))</f>
        <v>0</v>
      </c>
      <c r="J877" s="14">
        <f>IF('Pegar ML'!C872="Paquete de 2 productos",IF('Pegar ML'!O872="",0,'Pegar ML'!O872),IF('Pegar ML'!O873="",0,'Pegar ML'!O873))</f>
        <v>0</v>
      </c>
      <c r="K877" s="14">
        <f t="shared" si="41"/>
        <v>0</v>
      </c>
      <c r="L877" s="27">
        <f>IF('Pegar ML'!AB873=" ",'Pegar ML'!AB872,'Pegar ML'!AB873)</f>
        <v>0</v>
      </c>
      <c r="M877" s="27" t="str">
        <f>IF('Pegar ML'!AC873=" ",RIGHT('Pegar ML'!AC872,8),RIGHT('Pegar ML'!AC873,8))</f>
        <v/>
      </c>
      <c r="N877" s="27" t="s">
        <v>80</v>
      </c>
      <c r="O877" s="27">
        <f t="shared" si="39"/>
        <v>0</v>
      </c>
      <c r="P877" s="27" t="s">
        <v>80</v>
      </c>
      <c r="Q877" s="55">
        <f>IF('Pegar ML'!AD873=" ",'Pegar ML'!AD872,'Pegar ML'!AD873)</f>
        <v>0</v>
      </c>
      <c r="R877" s="27" t="s">
        <v>80</v>
      </c>
      <c r="S877" s="27" t="s">
        <v>80</v>
      </c>
      <c r="T877" s="27" t="s">
        <v>80</v>
      </c>
      <c r="U877" s="55">
        <f>IF('Pegar ML'!AI873=" ",'Pegar ML'!AI872,'Pegar ML'!AI873)</f>
        <v>0</v>
      </c>
      <c r="V877" s="55">
        <f>IF('Pegar ML'!AK873=" ",'Pegar ML'!AK872,'Pegar ML'!AK873)</f>
        <v>0</v>
      </c>
      <c r="W877" s="55">
        <f>IF('Pegar ML'!AJ873=" ",'Pegar ML'!AJ872,'Pegar ML'!AJ873)</f>
        <v>0</v>
      </c>
      <c r="X877" s="55">
        <f>IF('Pegar ML'!AL873=" ",'Pegar ML'!AL872,'Pegar ML'!AL873)</f>
        <v>0</v>
      </c>
      <c r="Y877" s="27"/>
      <c r="Z877" s="27"/>
      <c r="AA877" s="27"/>
      <c r="AB877" s="27"/>
      <c r="AC877" s="27"/>
      <c r="AD877" s="27"/>
      <c r="AF877" s="8"/>
      <c r="AG877" s="27"/>
      <c r="AH877" s="14">
        <f>+'Pegar ML'!Y873</f>
        <v>0</v>
      </c>
      <c r="AI877" s="13">
        <f t="shared" si="40"/>
        <v>1</v>
      </c>
      <c r="AJ877" s="7">
        <f>+'Pegar ML'!T873</f>
        <v>0</v>
      </c>
      <c r="AK877" s="27"/>
      <c r="AL877" s="27"/>
      <c r="AM877" s="27"/>
      <c r="AN877" s="27"/>
      <c r="AO877" s="27"/>
      <c r="AP877" s="27"/>
      <c r="AQ877" s="27"/>
      <c r="AR877" s="27"/>
      <c r="AS877" s="27">
        <v>17</v>
      </c>
    </row>
    <row r="878" spans="1:45" ht="15" customHeight="1" x14ac:dyDescent="0.25">
      <c r="A878" s="27">
        <f>IF('Pegar ML'!C873="Paquete de 2 productos",'Pegar ML'!A873,IF('Pegar ML'!C872="Paquete de 2 productos",'Pegar ML'!A872,'Pegar ML'!A874))</f>
        <v>0</v>
      </c>
      <c r="B878" s="27"/>
      <c r="C878" s="30" t="str">
        <f>IF(AjusteFecha!I874=0,"",AjusteFecha!I874)</f>
        <v/>
      </c>
      <c r="D878" s="27"/>
      <c r="E878" s="27"/>
      <c r="F878" s="27" t="str">
        <f>IF('Pegar ML'!C874="","",'Pegar ML'!C874)</f>
        <v/>
      </c>
      <c r="G878" s="27" t="str">
        <f>IF('Pegar ML'!G869="ARS","PS","PS")</f>
        <v>PS</v>
      </c>
      <c r="H878" s="14">
        <f>IF('Pegar ML'!C873="Paquete de 2 productos",IF('Pegar ML'!H873="",0,'Pegar ML'!H873),IF('Pegar ML'!H874="",0,'Pegar ML'!H874))</f>
        <v>0</v>
      </c>
      <c r="I878" s="14">
        <f>IF('Pegar ML'!C873="Paquete de 2 productos",IF('Pegar ML'!O873="",0,'Pegar ML'!O873),IF('Pegar ML'!O874="",0,'Pegar ML'!O874))</f>
        <v>0</v>
      </c>
      <c r="J878" s="14">
        <f>IF('Pegar ML'!C873="Paquete de 2 productos",IF('Pegar ML'!O873="",0,'Pegar ML'!O873),IF('Pegar ML'!O874="",0,'Pegar ML'!O874))</f>
        <v>0</v>
      </c>
      <c r="K878" s="14">
        <f t="shared" si="41"/>
        <v>0</v>
      </c>
      <c r="L878" s="27">
        <f>IF('Pegar ML'!AB874=" ",'Pegar ML'!AB873,'Pegar ML'!AB874)</f>
        <v>0</v>
      </c>
      <c r="M878" s="27" t="str">
        <f>IF('Pegar ML'!AC874=" ",RIGHT('Pegar ML'!AC873,8),RIGHT('Pegar ML'!AC874,8))</f>
        <v/>
      </c>
      <c r="N878" s="27" t="s">
        <v>80</v>
      </c>
      <c r="O878" s="27">
        <f t="shared" si="39"/>
        <v>0</v>
      </c>
      <c r="P878" s="27" t="s">
        <v>80</v>
      </c>
      <c r="Q878" s="55">
        <f>IF('Pegar ML'!AD874=" ",'Pegar ML'!AD873,'Pegar ML'!AD874)</f>
        <v>0</v>
      </c>
      <c r="R878" s="27" t="s">
        <v>80</v>
      </c>
      <c r="S878" s="27" t="s">
        <v>80</v>
      </c>
      <c r="T878" s="27" t="s">
        <v>80</v>
      </c>
      <c r="U878" s="55">
        <f>IF('Pegar ML'!AI874=" ",'Pegar ML'!AI873,'Pegar ML'!AI874)</f>
        <v>0</v>
      </c>
      <c r="V878" s="55">
        <f>IF('Pegar ML'!AK874=" ",'Pegar ML'!AK873,'Pegar ML'!AK874)</f>
        <v>0</v>
      </c>
      <c r="W878" s="55">
        <f>IF('Pegar ML'!AJ874=" ",'Pegar ML'!AJ873,'Pegar ML'!AJ874)</f>
        <v>0</v>
      </c>
      <c r="X878" s="55">
        <f>IF('Pegar ML'!AL874=" ",'Pegar ML'!AL873,'Pegar ML'!AL874)</f>
        <v>0</v>
      </c>
      <c r="Y878" s="27"/>
      <c r="Z878" s="27"/>
      <c r="AA878" s="27"/>
      <c r="AB878" s="27"/>
      <c r="AC878" s="27"/>
      <c r="AD878" s="27"/>
      <c r="AF878" s="8"/>
      <c r="AG878" s="27"/>
      <c r="AH878" s="14">
        <f>+'Pegar ML'!Y874</f>
        <v>0</v>
      </c>
      <c r="AI878" s="13">
        <f t="shared" si="40"/>
        <v>1</v>
      </c>
      <c r="AJ878" s="7">
        <f>+'Pegar ML'!T874</f>
        <v>0</v>
      </c>
      <c r="AK878" s="27"/>
      <c r="AL878" s="27"/>
      <c r="AM878" s="27"/>
      <c r="AN878" s="27"/>
      <c r="AO878" s="27"/>
      <c r="AP878" s="27"/>
      <c r="AQ878" s="27"/>
      <c r="AR878" s="27"/>
      <c r="AS878" s="27">
        <v>17</v>
      </c>
    </row>
    <row r="879" spans="1:45" ht="15" customHeight="1" x14ac:dyDescent="0.25">
      <c r="A879" s="27">
        <f>IF('Pegar ML'!C874="Paquete de 2 productos",'Pegar ML'!A874,IF('Pegar ML'!C873="Paquete de 2 productos",'Pegar ML'!A873,'Pegar ML'!A875))</f>
        <v>0</v>
      </c>
      <c r="B879" s="27"/>
      <c r="C879" s="30" t="str">
        <f>IF(AjusteFecha!I875=0,"",AjusteFecha!I875)</f>
        <v/>
      </c>
      <c r="D879" s="27"/>
      <c r="E879" s="27"/>
      <c r="F879" s="27" t="str">
        <f>IF('Pegar ML'!C875="","",'Pegar ML'!C875)</f>
        <v/>
      </c>
      <c r="G879" s="27" t="str">
        <f>IF('Pegar ML'!G870="ARS","PS","PS")</f>
        <v>PS</v>
      </c>
      <c r="H879" s="14">
        <f>IF('Pegar ML'!C874="Paquete de 2 productos",IF('Pegar ML'!H874="",0,'Pegar ML'!H874),IF('Pegar ML'!H875="",0,'Pegar ML'!H875))</f>
        <v>0</v>
      </c>
      <c r="I879" s="14">
        <f>IF('Pegar ML'!C874="Paquete de 2 productos",IF('Pegar ML'!O874="",0,'Pegar ML'!O874),IF('Pegar ML'!O875="",0,'Pegar ML'!O875))</f>
        <v>0</v>
      </c>
      <c r="J879" s="14">
        <f>IF('Pegar ML'!C874="Paquete de 2 productos",IF('Pegar ML'!O874="",0,'Pegar ML'!O874),IF('Pegar ML'!O875="",0,'Pegar ML'!O875))</f>
        <v>0</v>
      </c>
      <c r="K879" s="14">
        <f t="shared" si="41"/>
        <v>0</v>
      </c>
      <c r="L879" s="27">
        <f>IF('Pegar ML'!AB875=" ",'Pegar ML'!AB874,'Pegar ML'!AB875)</f>
        <v>0</v>
      </c>
      <c r="M879" s="27" t="str">
        <f>IF('Pegar ML'!AC875=" ",RIGHT('Pegar ML'!AC874,8),RIGHT('Pegar ML'!AC875,8))</f>
        <v/>
      </c>
      <c r="N879" s="27" t="s">
        <v>80</v>
      </c>
      <c r="O879" s="27">
        <f t="shared" si="39"/>
        <v>0</v>
      </c>
      <c r="P879" s="27" t="s">
        <v>80</v>
      </c>
      <c r="Q879" s="55">
        <f>IF('Pegar ML'!AD875=" ",'Pegar ML'!AD874,'Pegar ML'!AD875)</f>
        <v>0</v>
      </c>
      <c r="R879" s="27" t="s">
        <v>80</v>
      </c>
      <c r="S879" s="27" t="s">
        <v>80</v>
      </c>
      <c r="T879" s="27" t="s">
        <v>80</v>
      </c>
      <c r="U879" s="55">
        <f>IF('Pegar ML'!AI875=" ",'Pegar ML'!AI874,'Pegar ML'!AI875)</f>
        <v>0</v>
      </c>
      <c r="V879" s="55">
        <f>IF('Pegar ML'!AK875=" ",'Pegar ML'!AK874,'Pegar ML'!AK875)</f>
        <v>0</v>
      </c>
      <c r="W879" s="55">
        <f>IF('Pegar ML'!AJ875=" ",'Pegar ML'!AJ874,'Pegar ML'!AJ875)</f>
        <v>0</v>
      </c>
      <c r="X879" s="55">
        <f>IF('Pegar ML'!AL875=" ",'Pegar ML'!AL874,'Pegar ML'!AL875)</f>
        <v>0</v>
      </c>
      <c r="Y879" s="27"/>
      <c r="Z879" s="27"/>
      <c r="AA879" s="27"/>
      <c r="AB879" s="27"/>
      <c r="AC879" s="27"/>
      <c r="AD879" s="27"/>
      <c r="AF879" s="8"/>
      <c r="AG879" s="27"/>
      <c r="AH879" s="14">
        <f>+'Pegar ML'!Y875</f>
        <v>0</v>
      </c>
      <c r="AI879" s="13">
        <f t="shared" si="40"/>
        <v>1</v>
      </c>
      <c r="AJ879" s="7">
        <f>+'Pegar ML'!T875</f>
        <v>0</v>
      </c>
      <c r="AK879" s="27"/>
      <c r="AL879" s="27"/>
      <c r="AM879" s="27"/>
      <c r="AN879" s="27"/>
      <c r="AO879" s="27"/>
      <c r="AP879" s="27"/>
      <c r="AQ879" s="27"/>
      <c r="AR879" s="27"/>
      <c r="AS879" s="27">
        <v>17</v>
      </c>
    </row>
    <row r="880" spans="1:45" ht="15" customHeight="1" x14ac:dyDescent="0.25">
      <c r="A880" s="27">
        <f>IF('Pegar ML'!C875="Paquete de 2 productos",'Pegar ML'!A875,IF('Pegar ML'!C874="Paquete de 2 productos",'Pegar ML'!A874,'Pegar ML'!A876))</f>
        <v>0</v>
      </c>
      <c r="B880" s="27"/>
      <c r="C880" s="30" t="str">
        <f>IF(AjusteFecha!I876=0,"",AjusteFecha!I876)</f>
        <v/>
      </c>
      <c r="D880" s="27"/>
      <c r="E880" s="27"/>
      <c r="F880" s="27" t="str">
        <f>IF('Pegar ML'!C876="","",'Pegar ML'!C876)</f>
        <v/>
      </c>
      <c r="G880" s="27" t="str">
        <f>IF('Pegar ML'!G871="ARS","PS","PS")</f>
        <v>PS</v>
      </c>
      <c r="H880" s="14">
        <f>IF('Pegar ML'!C875="Paquete de 2 productos",IF('Pegar ML'!H875="",0,'Pegar ML'!H875),IF('Pegar ML'!H876="",0,'Pegar ML'!H876))</f>
        <v>0</v>
      </c>
      <c r="I880" s="14">
        <f>IF('Pegar ML'!C875="Paquete de 2 productos",IF('Pegar ML'!O875="",0,'Pegar ML'!O875),IF('Pegar ML'!O876="",0,'Pegar ML'!O876))</f>
        <v>0</v>
      </c>
      <c r="J880" s="14">
        <f>IF('Pegar ML'!C875="Paquete de 2 productos",IF('Pegar ML'!O875="",0,'Pegar ML'!O875),IF('Pegar ML'!O876="",0,'Pegar ML'!O876))</f>
        <v>0</v>
      </c>
      <c r="K880" s="14">
        <f t="shared" si="41"/>
        <v>0</v>
      </c>
      <c r="L880" s="27">
        <f>IF('Pegar ML'!AB876=" ",'Pegar ML'!AB875,'Pegar ML'!AB876)</f>
        <v>0</v>
      </c>
      <c r="M880" s="27" t="str">
        <f>IF('Pegar ML'!AC876=" ",RIGHT('Pegar ML'!AC875,8),RIGHT('Pegar ML'!AC876,8))</f>
        <v/>
      </c>
      <c r="N880" s="27" t="s">
        <v>80</v>
      </c>
      <c r="O880" s="27">
        <f t="shared" si="39"/>
        <v>0</v>
      </c>
      <c r="P880" s="27" t="s">
        <v>80</v>
      </c>
      <c r="Q880" s="55">
        <f>IF('Pegar ML'!AD876=" ",'Pegar ML'!AD875,'Pegar ML'!AD876)</f>
        <v>0</v>
      </c>
      <c r="R880" s="27" t="s">
        <v>80</v>
      </c>
      <c r="S880" s="27" t="s">
        <v>80</v>
      </c>
      <c r="T880" s="27" t="s">
        <v>80</v>
      </c>
      <c r="U880" s="55">
        <f>IF('Pegar ML'!AI876=" ",'Pegar ML'!AI875,'Pegar ML'!AI876)</f>
        <v>0</v>
      </c>
      <c r="V880" s="55">
        <f>IF('Pegar ML'!AK876=" ",'Pegar ML'!AK875,'Pegar ML'!AK876)</f>
        <v>0</v>
      </c>
      <c r="W880" s="55">
        <f>IF('Pegar ML'!AJ876=" ",'Pegar ML'!AJ875,'Pegar ML'!AJ876)</f>
        <v>0</v>
      </c>
      <c r="X880" s="55">
        <f>IF('Pegar ML'!AL876=" ",'Pegar ML'!AL875,'Pegar ML'!AL876)</f>
        <v>0</v>
      </c>
      <c r="Y880" s="27"/>
      <c r="Z880" s="27"/>
      <c r="AA880" s="27"/>
      <c r="AB880" s="27"/>
      <c r="AC880" s="27"/>
      <c r="AD880" s="27"/>
      <c r="AF880" s="8"/>
      <c r="AG880" s="27"/>
      <c r="AH880" s="14">
        <f>+'Pegar ML'!Y876</f>
        <v>0</v>
      </c>
      <c r="AI880" s="13">
        <f t="shared" si="40"/>
        <v>1</v>
      </c>
      <c r="AJ880" s="7">
        <f>+'Pegar ML'!T876</f>
        <v>0</v>
      </c>
      <c r="AK880" s="27"/>
      <c r="AL880" s="27"/>
      <c r="AM880" s="27"/>
      <c r="AN880" s="27"/>
      <c r="AO880" s="27"/>
      <c r="AP880" s="27"/>
      <c r="AQ880" s="27"/>
      <c r="AR880" s="27"/>
      <c r="AS880" s="27">
        <v>17</v>
      </c>
    </row>
    <row r="881" spans="1:45" ht="15" customHeight="1" x14ac:dyDescent="0.25">
      <c r="A881" s="27">
        <f>IF('Pegar ML'!C876="Paquete de 2 productos",'Pegar ML'!A876,IF('Pegar ML'!C875="Paquete de 2 productos",'Pegar ML'!A875,'Pegar ML'!A877))</f>
        <v>0</v>
      </c>
      <c r="B881" s="27"/>
      <c r="C881" s="30" t="str">
        <f>IF(AjusteFecha!I877=0,"",AjusteFecha!I877)</f>
        <v/>
      </c>
      <c r="D881" s="27"/>
      <c r="E881" s="27"/>
      <c r="F881" s="27" t="str">
        <f>IF('Pegar ML'!C877="","",'Pegar ML'!C877)</f>
        <v/>
      </c>
      <c r="G881" s="27" t="str">
        <f>IF('Pegar ML'!G872="ARS","PS","PS")</f>
        <v>PS</v>
      </c>
      <c r="H881" s="14">
        <f>IF('Pegar ML'!C876="Paquete de 2 productos",IF('Pegar ML'!H876="",0,'Pegar ML'!H876),IF('Pegar ML'!H877="",0,'Pegar ML'!H877))</f>
        <v>0</v>
      </c>
      <c r="I881" s="14">
        <f>IF('Pegar ML'!C876="Paquete de 2 productos",IF('Pegar ML'!O876="",0,'Pegar ML'!O876),IF('Pegar ML'!O877="",0,'Pegar ML'!O877))</f>
        <v>0</v>
      </c>
      <c r="J881" s="14">
        <f>IF('Pegar ML'!C876="Paquete de 2 productos",IF('Pegar ML'!O876="",0,'Pegar ML'!O876),IF('Pegar ML'!O877="",0,'Pegar ML'!O877))</f>
        <v>0</v>
      </c>
      <c r="K881" s="14">
        <f t="shared" si="41"/>
        <v>0</v>
      </c>
      <c r="L881" s="27">
        <f>IF('Pegar ML'!AB877=" ",'Pegar ML'!AB876,'Pegar ML'!AB877)</f>
        <v>0</v>
      </c>
      <c r="M881" s="27" t="str">
        <f>IF('Pegar ML'!AC877=" ",RIGHT('Pegar ML'!AC876,8),RIGHT('Pegar ML'!AC877,8))</f>
        <v/>
      </c>
      <c r="N881" s="27" t="s">
        <v>80</v>
      </c>
      <c r="O881" s="27">
        <f t="shared" si="39"/>
        <v>0</v>
      </c>
      <c r="P881" s="27" t="s">
        <v>80</v>
      </c>
      <c r="Q881" s="55">
        <f>IF('Pegar ML'!AD877=" ",'Pegar ML'!AD876,'Pegar ML'!AD877)</f>
        <v>0</v>
      </c>
      <c r="R881" s="27" t="s">
        <v>80</v>
      </c>
      <c r="S881" s="27" t="s">
        <v>80</v>
      </c>
      <c r="T881" s="27" t="s">
        <v>80</v>
      </c>
      <c r="U881" s="55">
        <f>IF('Pegar ML'!AI877=" ",'Pegar ML'!AI876,'Pegar ML'!AI877)</f>
        <v>0</v>
      </c>
      <c r="V881" s="55">
        <f>IF('Pegar ML'!AK877=" ",'Pegar ML'!AK876,'Pegar ML'!AK877)</f>
        <v>0</v>
      </c>
      <c r="W881" s="55">
        <f>IF('Pegar ML'!AJ877=" ",'Pegar ML'!AJ876,'Pegar ML'!AJ877)</f>
        <v>0</v>
      </c>
      <c r="X881" s="55">
        <f>IF('Pegar ML'!AL877=" ",'Pegar ML'!AL876,'Pegar ML'!AL877)</f>
        <v>0</v>
      </c>
      <c r="Y881" s="27"/>
      <c r="Z881" s="27"/>
      <c r="AA881" s="27"/>
      <c r="AB881" s="27"/>
      <c r="AC881" s="27"/>
      <c r="AD881" s="27"/>
      <c r="AF881" s="8"/>
      <c r="AG881" s="27"/>
      <c r="AH881" s="14">
        <f>+'Pegar ML'!Y877</f>
        <v>0</v>
      </c>
      <c r="AI881" s="13">
        <f t="shared" si="40"/>
        <v>1</v>
      </c>
      <c r="AJ881" s="7">
        <f>+'Pegar ML'!T877</f>
        <v>0</v>
      </c>
      <c r="AK881" s="27"/>
      <c r="AL881" s="27"/>
      <c r="AM881" s="27"/>
      <c r="AN881" s="27"/>
      <c r="AO881" s="27"/>
      <c r="AP881" s="27"/>
      <c r="AQ881" s="27"/>
      <c r="AR881" s="27"/>
      <c r="AS881" s="27">
        <v>17</v>
      </c>
    </row>
    <row r="882" spans="1:45" ht="15" customHeight="1" x14ac:dyDescent="0.25">
      <c r="A882" s="27">
        <f>IF('Pegar ML'!C877="Paquete de 2 productos",'Pegar ML'!A877,IF('Pegar ML'!C876="Paquete de 2 productos",'Pegar ML'!A876,'Pegar ML'!A878))</f>
        <v>0</v>
      </c>
      <c r="B882" s="27"/>
      <c r="C882" s="30" t="str">
        <f>IF(AjusteFecha!I878=0,"",AjusteFecha!I878)</f>
        <v/>
      </c>
      <c r="D882" s="27"/>
      <c r="E882" s="27"/>
      <c r="F882" s="27" t="str">
        <f>IF('Pegar ML'!C878="","",'Pegar ML'!C878)</f>
        <v/>
      </c>
      <c r="G882" s="27" t="str">
        <f>IF('Pegar ML'!G873="ARS","PS","PS")</f>
        <v>PS</v>
      </c>
      <c r="H882" s="14">
        <f>IF('Pegar ML'!C877="Paquete de 2 productos",IF('Pegar ML'!H877="",0,'Pegar ML'!H877),IF('Pegar ML'!H878="",0,'Pegar ML'!H878))</f>
        <v>0</v>
      </c>
      <c r="I882" s="14">
        <f>IF('Pegar ML'!C877="Paquete de 2 productos",IF('Pegar ML'!O877="",0,'Pegar ML'!O877),IF('Pegar ML'!O878="",0,'Pegar ML'!O878))</f>
        <v>0</v>
      </c>
      <c r="J882" s="14">
        <f>IF('Pegar ML'!C877="Paquete de 2 productos",IF('Pegar ML'!O877="",0,'Pegar ML'!O877),IF('Pegar ML'!O878="",0,'Pegar ML'!O878))</f>
        <v>0</v>
      </c>
      <c r="K882" s="14">
        <f t="shared" si="41"/>
        <v>0</v>
      </c>
      <c r="L882" s="27">
        <f>IF('Pegar ML'!AB878=" ",'Pegar ML'!AB877,'Pegar ML'!AB878)</f>
        <v>0</v>
      </c>
      <c r="M882" s="27" t="str">
        <f>IF('Pegar ML'!AC878=" ",RIGHT('Pegar ML'!AC877,8),RIGHT('Pegar ML'!AC878,8))</f>
        <v/>
      </c>
      <c r="N882" s="27" t="s">
        <v>80</v>
      </c>
      <c r="O882" s="27">
        <f t="shared" si="39"/>
        <v>0</v>
      </c>
      <c r="P882" s="27" t="s">
        <v>80</v>
      </c>
      <c r="Q882" s="55">
        <f>IF('Pegar ML'!AD878=" ",'Pegar ML'!AD877,'Pegar ML'!AD878)</f>
        <v>0</v>
      </c>
      <c r="R882" s="27" t="s">
        <v>80</v>
      </c>
      <c r="S882" s="27" t="s">
        <v>80</v>
      </c>
      <c r="T882" s="27" t="s">
        <v>80</v>
      </c>
      <c r="U882" s="55">
        <f>IF('Pegar ML'!AI878=" ",'Pegar ML'!AI877,'Pegar ML'!AI878)</f>
        <v>0</v>
      </c>
      <c r="V882" s="55">
        <f>IF('Pegar ML'!AK878=" ",'Pegar ML'!AK877,'Pegar ML'!AK878)</f>
        <v>0</v>
      </c>
      <c r="W882" s="55">
        <f>IF('Pegar ML'!AJ878=" ",'Pegar ML'!AJ877,'Pegar ML'!AJ878)</f>
        <v>0</v>
      </c>
      <c r="X882" s="55">
        <f>IF('Pegar ML'!AL878=" ",'Pegar ML'!AL877,'Pegar ML'!AL878)</f>
        <v>0</v>
      </c>
      <c r="Y882" s="27"/>
      <c r="Z882" s="27"/>
      <c r="AA882" s="27"/>
      <c r="AB882" s="27"/>
      <c r="AC882" s="27"/>
      <c r="AD882" s="27"/>
      <c r="AF882" s="8"/>
      <c r="AG882" s="27"/>
      <c r="AH882" s="14">
        <f>+'Pegar ML'!Y878</f>
        <v>0</v>
      </c>
      <c r="AI882" s="13">
        <f t="shared" si="40"/>
        <v>1</v>
      </c>
      <c r="AJ882" s="7">
        <f>+'Pegar ML'!T878</f>
        <v>0</v>
      </c>
      <c r="AK882" s="27"/>
      <c r="AL882" s="27"/>
      <c r="AM882" s="27"/>
      <c r="AN882" s="27"/>
      <c r="AO882" s="27"/>
      <c r="AP882" s="27"/>
      <c r="AQ882" s="27"/>
      <c r="AR882" s="27"/>
      <c r="AS882" s="27">
        <v>17</v>
      </c>
    </row>
    <row r="883" spans="1:45" ht="15" customHeight="1" x14ac:dyDescent="0.25">
      <c r="A883" s="27">
        <f>IF('Pegar ML'!C878="Paquete de 2 productos",'Pegar ML'!A878,IF('Pegar ML'!C877="Paquete de 2 productos",'Pegar ML'!A877,'Pegar ML'!A879))</f>
        <v>0</v>
      </c>
      <c r="B883" s="27"/>
      <c r="C883" s="30" t="str">
        <f>IF(AjusteFecha!I879=0,"",AjusteFecha!I879)</f>
        <v/>
      </c>
      <c r="D883" s="27"/>
      <c r="E883" s="27"/>
      <c r="F883" s="27" t="str">
        <f>IF('Pegar ML'!C879="","",'Pegar ML'!C879)</f>
        <v/>
      </c>
      <c r="G883" s="27" t="str">
        <f>IF('Pegar ML'!G874="ARS","PS","PS")</f>
        <v>PS</v>
      </c>
      <c r="H883" s="14">
        <f>IF('Pegar ML'!C878="Paquete de 2 productos",IF('Pegar ML'!H878="",0,'Pegar ML'!H878),IF('Pegar ML'!H879="",0,'Pegar ML'!H879))</f>
        <v>0</v>
      </c>
      <c r="I883" s="14">
        <f>IF('Pegar ML'!C878="Paquete de 2 productos",IF('Pegar ML'!O878="",0,'Pegar ML'!O878),IF('Pegar ML'!O879="",0,'Pegar ML'!O879))</f>
        <v>0</v>
      </c>
      <c r="J883" s="14">
        <f>IF('Pegar ML'!C878="Paquete de 2 productos",IF('Pegar ML'!O878="",0,'Pegar ML'!O878),IF('Pegar ML'!O879="",0,'Pegar ML'!O879))</f>
        <v>0</v>
      </c>
      <c r="K883" s="14">
        <f t="shared" si="41"/>
        <v>0</v>
      </c>
      <c r="L883" s="27">
        <f>IF('Pegar ML'!AB879=" ",'Pegar ML'!AB878,'Pegar ML'!AB879)</f>
        <v>0</v>
      </c>
      <c r="M883" s="27" t="str">
        <f>IF('Pegar ML'!AC879=" ",RIGHT('Pegar ML'!AC878,8),RIGHT('Pegar ML'!AC879,8))</f>
        <v/>
      </c>
      <c r="N883" s="27" t="s">
        <v>80</v>
      </c>
      <c r="O883" s="27">
        <f t="shared" si="39"/>
        <v>0</v>
      </c>
      <c r="P883" s="27" t="s">
        <v>80</v>
      </c>
      <c r="Q883" s="55">
        <f>IF('Pegar ML'!AD879=" ",'Pegar ML'!AD878,'Pegar ML'!AD879)</f>
        <v>0</v>
      </c>
      <c r="R883" s="27" t="s">
        <v>80</v>
      </c>
      <c r="S883" s="27" t="s">
        <v>80</v>
      </c>
      <c r="T883" s="27" t="s">
        <v>80</v>
      </c>
      <c r="U883" s="55">
        <f>IF('Pegar ML'!AI879=" ",'Pegar ML'!AI878,'Pegar ML'!AI879)</f>
        <v>0</v>
      </c>
      <c r="V883" s="55">
        <f>IF('Pegar ML'!AK879=" ",'Pegar ML'!AK878,'Pegar ML'!AK879)</f>
        <v>0</v>
      </c>
      <c r="W883" s="55">
        <f>IF('Pegar ML'!AJ879=" ",'Pegar ML'!AJ878,'Pegar ML'!AJ879)</f>
        <v>0</v>
      </c>
      <c r="X883" s="55">
        <f>IF('Pegar ML'!AL879=" ",'Pegar ML'!AL878,'Pegar ML'!AL879)</f>
        <v>0</v>
      </c>
      <c r="Y883" s="27"/>
      <c r="Z883" s="27"/>
      <c r="AA883" s="27"/>
      <c r="AB883" s="27"/>
      <c r="AC883" s="27"/>
      <c r="AD883" s="27"/>
      <c r="AF883" s="8"/>
      <c r="AG883" s="27"/>
      <c r="AH883" s="14">
        <f>+'Pegar ML'!Y879</f>
        <v>0</v>
      </c>
      <c r="AI883" s="13">
        <f t="shared" si="40"/>
        <v>1</v>
      </c>
      <c r="AJ883" s="7">
        <f>+'Pegar ML'!T879</f>
        <v>0</v>
      </c>
      <c r="AK883" s="27"/>
      <c r="AL883" s="27"/>
      <c r="AM883" s="27"/>
      <c r="AN883" s="27"/>
      <c r="AO883" s="27"/>
      <c r="AP883" s="27"/>
      <c r="AQ883" s="27"/>
      <c r="AR883" s="27"/>
      <c r="AS883" s="27">
        <v>17</v>
      </c>
    </row>
    <row r="884" spans="1:45" ht="15" customHeight="1" x14ac:dyDescent="0.25">
      <c r="A884" s="27">
        <f>IF('Pegar ML'!C879="Paquete de 2 productos",'Pegar ML'!A879,IF('Pegar ML'!C878="Paquete de 2 productos",'Pegar ML'!A878,'Pegar ML'!A880))</f>
        <v>0</v>
      </c>
      <c r="B884" s="27"/>
      <c r="C884" s="30" t="str">
        <f>IF(AjusteFecha!I880=0,"",AjusteFecha!I880)</f>
        <v/>
      </c>
      <c r="D884" s="27"/>
      <c r="E884" s="27"/>
      <c r="F884" s="27" t="str">
        <f>IF('Pegar ML'!C880="","",'Pegar ML'!C880)</f>
        <v/>
      </c>
      <c r="G884" s="27" t="str">
        <f>IF('Pegar ML'!G875="ARS","PS","PS")</f>
        <v>PS</v>
      </c>
      <c r="H884" s="14">
        <f>IF('Pegar ML'!C879="Paquete de 2 productos",IF('Pegar ML'!H879="",0,'Pegar ML'!H879),IF('Pegar ML'!H880="",0,'Pegar ML'!H880))</f>
        <v>0</v>
      </c>
      <c r="I884" s="14">
        <f>IF('Pegar ML'!C879="Paquete de 2 productos",IF('Pegar ML'!O879="",0,'Pegar ML'!O879),IF('Pegar ML'!O880="",0,'Pegar ML'!O880))</f>
        <v>0</v>
      </c>
      <c r="J884" s="14">
        <f>IF('Pegar ML'!C879="Paquete de 2 productos",IF('Pegar ML'!O879="",0,'Pegar ML'!O879),IF('Pegar ML'!O880="",0,'Pegar ML'!O880))</f>
        <v>0</v>
      </c>
      <c r="K884" s="14">
        <f t="shared" si="41"/>
        <v>0</v>
      </c>
      <c r="L884" s="27">
        <f>IF('Pegar ML'!AB880=" ",'Pegar ML'!AB879,'Pegar ML'!AB880)</f>
        <v>0</v>
      </c>
      <c r="M884" s="27" t="str">
        <f>IF('Pegar ML'!AC880=" ",RIGHT('Pegar ML'!AC879,8),RIGHT('Pegar ML'!AC880,8))</f>
        <v/>
      </c>
      <c r="N884" s="27" t="s">
        <v>80</v>
      </c>
      <c r="O884" s="27">
        <f t="shared" si="39"/>
        <v>0</v>
      </c>
      <c r="P884" s="27" t="s">
        <v>80</v>
      </c>
      <c r="Q884" s="55">
        <f>IF('Pegar ML'!AD880=" ",'Pegar ML'!AD879,'Pegar ML'!AD880)</f>
        <v>0</v>
      </c>
      <c r="R884" s="27" t="s">
        <v>80</v>
      </c>
      <c r="S884" s="27" t="s">
        <v>80</v>
      </c>
      <c r="T884" s="27" t="s">
        <v>80</v>
      </c>
      <c r="U884" s="55">
        <f>IF('Pegar ML'!AI880=" ",'Pegar ML'!AI879,'Pegar ML'!AI880)</f>
        <v>0</v>
      </c>
      <c r="V884" s="55">
        <f>IF('Pegar ML'!AK880=" ",'Pegar ML'!AK879,'Pegar ML'!AK880)</f>
        <v>0</v>
      </c>
      <c r="W884" s="55">
        <f>IF('Pegar ML'!AJ880=" ",'Pegar ML'!AJ879,'Pegar ML'!AJ880)</f>
        <v>0</v>
      </c>
      <c r="X884" s="55">
        <f>IF('Pegar ML'!AL880=" ",'Pegar ML'!AL879,'Pegar ML'!AL880)</f>
        <v>0</v>
      </c>
      <c r="Y884" s="27"/>
      <c r="Z884" s="27"/>
      <c r="AA884" s="27"/>
      <c r="AB884" s="27"/>
      <c r="AC884" s="27"/>
      <c r="AD884" s="27"/>
      <c r="AF884" s="8"/>
      <c r="AG884" s="27"/>
      <c r="AH884" s="14">
        <f>+'Pegar ML'!Y880</f>
        <v>0</v>
      </c>
      <c r="AI884" s="13">
        <f t="shared" si="40"/>
        <v>1</v>
      </c>
      <c r="AJ884" s="7">
        <f>+'Pegar ML'!T880</f>
        <v>0</v>
      </c>
      <c r="AK884" s="27"/>
      <c r="AL884" s="27"/>
      <c r="AM884" s="27"/>
      <c r="AN884" s="27"/>
      <c r="AO884" s="27"/>
      <c r="AP884" s="27"/>
      <c r="AQ884" s="27"/>
      <c r="AR884" s="27"/>
      <c r="AS884" s="27">
        <v>17</v>
      </c>
    </row>
    <row r="885" spans="1:45" ht="15" customHeight="1" x14ac:dyDescent="0.25">
      <c r="A885" s="27">
        <f>IF('Pegar ML'!C880="Paquete de 2 productos",'Pegar ML'!A880,IF('Pegar ML'!C879="Paquete de 2 productos",'Pegar ML'!A879,'Pegar ML'!A881))</f>
        <v>0</v>
      </c>
      <c r="B885" s="27"/>
      <c r="C885" s="30" t="str">
        <f>IF(AjusteFecha!I881=0,"",AjusteFecha!I881)</f>
        <v/>
      </c>
      <c r="D885" s="27"/>
      <c r="E885" s="27"/>
      <c r="F885" s="27" t="str">
        <f>IF('Pegar ML'!C881="","",'Pegar ML'!C881)</f>
        <v/>
      </c>
      <c r="G885" s="27" t="str">
        <f>IF('Pegar ML'!G876="ARS","PS","PS")</f>
        <v>PS</v>
      </c>
      <c r="H885" s="14">
        <f>IF('Pegar ML'!C880="Paquete de 2 productos",IF('Pegar ML'!H880="",0,'Pegar ML'!H880),IF('Pegar ML'!H881="",0,'Pegar ML'!H881))</f>
        <v>0</v>
      </c>
      <c r="I885" s="14">
        <f>IF('Pegar ML'!C880="Paquete de 2 productos",IF('Pegar ML'!O880="",0,'Pegar ML'!O880),IF('Pegar ML'!O881="",0,'Pegar ML'!O881))</f>
        <v>0</v>
      </c>
      <c r="J885" s="14">
        <f>IF('Pegar ML'!C880="Paquete de 2 productos",IF('Pegar ML'!O880="",0,'Pegar ML'!O880),IF('Pegar ML'!O881="",0,'Pegar ML'!O881))</f>
        <v>0</v>
      </c>
      <c r="K885" s="14">
        <f t="shared" si="41"/>
        <v>0</v>
      </c>
      <c r="L885" s="27">
        <f>IF('Pegar ML'!AB881=" ",'Pegar ML'!AB880,'Pegar ML'!AB881)</f>
        <v>0</v>
      </c>
      <c r="M885" s="27" t="str">
        <f>IF('Pegar ML'!AC881=" ",RIGHT('Pegar ML'!AC880,8),RIGHT('Pegar ML'!AC881,8))</f>
        <v/>
      </c>
      <c r="N885" s="27" t="s">
        <v>80</v>
      </c>
      <c r="O885" s="27">
        <f t="shared" si="39"/>
        <v>0</v>
      </c>
      <c r="P885" s="27" t="s">
        <v>80</v>
      </c>
      <c r="Q885" s="55">
        <f>IF('Pegar ML'!AD881=" ",'Pegar ML'!AD880,'Pegar ML'!AD881)</f>
        <v>0</v>
      </c>
      <c r="R885" s="27" t="s">
        <v>80</v>
      </c>
      <c r="S885" s="27" t="s">
        <v>80</v>
      </c>
      <c r="T885" s="27" t="s">
        <v>80</v>
      </c>
      <c r="U885" s="55">
        <f>IF('Pegar ML'!AI881=" ",'Pegar ML'!AI880,'Pegar ML'!AI881)</f>
        <v>0</v>
      </c>
      <c r="V885" s="55">
        <f>IF('Pegar ML'!AK881=" ",'Pegar ML'!AK880,'Pegar ML'!AK881)</f>
        <v>0</v>
      </c>
      <c r="W885" s="55">
        <f>IF('Pegar ML'!AJ881=" ",'Pegar ML'!AJ880,'Pegar ML'!AJ881)</f>
        <v>0</v>
      </c>
      <c r="X885" s="55">
        <f>IF('Pegar ML'!AL881=" ",'Pegar ML'!AL880,'Pegar ML'!AL881)</f>
        <v>0</v>
      </c>
      <c r="Y885" s="27"/>
      <c r="Z885" s="27"/>
      <c r="AA885" s="27"/>
      <c r="AB885" s="27"/>
      <c r="AC885" s="27"/>
      <c r="AD885" s="27"/>
      <c r="AF885" s="8"/>
      <c r="AG885" s="27"/>
      <c r="AH885" s="14">
        <f>+'Pegar ML'!Y881</f>
        <v>0</v>
      </c>
      <c r="AI885" s="13">
        <f t="shared" si="40"/>
        <v>1</v>
      </c>
      <c r="AJ885" s="7">
        <f>+'Pegar ML'!T881</f>
        <v>0</v>
      </c>
      <c r="AK885" s="27"/>
      <c r="AL885" s="27"/>
      <c r="AM885" s="27"/>
      <c r="AN885" s="27"/>
      <c r="AO885" s="27"/>
      <c r="AP885" s="27"/>
      <c r="AQ885" s="27"/>
      <c r="AR885" s="27"/>
      <c r="AS885" s="27">
        <v>17</v>
      </c>
    </row>
    <row r="886" spans="1:45" ht="15" customHeight="1" x14ac:dyDescent="0.25">
      <c r="A886" s="27">
        <f>IF('Pegar ML'!C881="Paquete de 2 productos",'Pegar ML'!A881,IF('Pegar ML'!C880="Paquete de 2 productos",'Pegar ML'!A880,'Pegar ML'!A882))</f>
        <v>0</v>
      </c>
      <c r="B886" s="27"/>
      <c r="C886" s="30" t="str">
        <f>IF(AjusteFecha!I882=0,"",AjusteFecha!I882)</f>
        <v/>
      </c>
      <c r="D886" s="27"/>
      <c r="E886" s="27"/>
      <c r="F886" s="27" t="str">
        <f>IF('Pegar ML'!C882="","",'Pegar ML'!C882)</f>
        <v/>
      </c>
      <c r="G886" s="27" t="str">
        <f>IF('Pegar ML'!G877="ARS","PS","PS")</f>
        <v>PS</v>
      </c>
      <c r="H886" s="14">
        <f>IF('Pegar ML'!C881="Paquete de 2 productos",IF('Pegar ML'!H881="",0,'Pegar ML'!H881),IF('Pegar ML'!H882="",0,'Pegar ML'!H882))</f>
        <v>0</v>
      </c>
      <c r="I886" s="14">
        <f>IF('Pegar ML'!C881="Paquete de 2 productos",IF('Pegar ML'!O881="",0,'Pegar ML'!O881),IF('Pegar ML'!O882="",0,'Pegar ML'!O882))</f>
        <v>0</v>
      </c>
      <c r="J886" s="14">
        <f>IF('Pegar ML'!C881="Paquete de 2 productos",IF('Pegar ML'!O881="",0,'Pegar ML'!O881),IF('Pegar ML'!O882="",0,'Pegar ML'!O882))</f>
        <v>0</v>
      </c>
      <c r="K886" s="14">
        <f t="shared" si="41"/>
        <v>0</v>
      </c>
      <c r="L886" s="27">
        <f>IF('Pegar ML'!AB882=" ",'Pegar ML'!AB881,'Pegar ML'!AB882)</f>
        <v>0</v>
      </c>
      <c r="M886" s="27" t="str">
        <f>IF('Pegar ML'!AC882=" ",RIGHT('Pegar ML'!AC881,8),RIGHT('Pegar ML'!AC882,8))</f>
        <v/>
      </c>
      <c r="N886" s="27" t="s">
        <v>80</v>
      </c>
      <c r="O886" s="27">
        <f t="shared" si="39"/>
        <v>0</v>
      </c>
      <c r="P886" s="27" t="s">
        <v>80</v>
      </c>
      <c r="Q886" s="55">
        <f>IF('Pegar ML'!AD882=" ",'Pegar ML'!AD881,'Pegar ML'!AD882)</f>
        <v>0</v>
      </c>
      <c r="R886" s="27" t="s">
        <v>80</v>
      </c>
      <c r="S886" s="27" t="s">
        <v>80</v>
      </c>
      <c r="T886" s="27" t="s">
        <v>80</v>
      </c>
      <c r="U886" s="55">
        <f>IF('Pegar ML'!AI882=" ",'Pegar ML'!AI881,'Pegar ML'!AI882)</f>
        <v>0</v>
      </c>
      <c r="V886" s="55">
        <f>IF('Pegar ML'!AK882=" ",'Pegar ML'!AK881,'Pegar ML'!AK882)</f>
        <v>0</v>
      </c>
      <c r="W886" s="55">
        <f>IF('Pegar ML'!AJ882=" ",'Pegar ML'!AJ881,'Pegar ML'!AJ882)</f>
        <v>0</v>
      </c>
      <c r="X886" s="55">
        <f>IF('Pegar ML'!AL882=" ",'Pegar ML'!AL881,'Pegar ML'!AL882)</f>
        <v>0</v>
      </c>
      <c r="Y886" s="27"/>
      <c r="Z886" s="27"/>
      <c r="AA886" s="27"/>
      <c r="AB886" s="27"/>
      <c r="AC886" s="27"/>
      <c r="AD886" s="27"/>
      <c r="AF886" s="8"/>
      <c r="AG886" s="27"/>
      <c r="AH886" s="14">
        <f>+'Pegar ML'!Y882</f>
        <v>0</v>
      </c>
      <c r="AI886" s="13">
        <f t="shared" si="40"/>
        <v>1</v>
      </c>
      <c r="AJ886" s="7">
        <f>+'Pegar ML'!T882</f>
        <v>0</v>
      </c>
      <c r="AK886" s="27"/>
      <c r="AL886" s="27"/>
      <c r="AM886" s="27"/>
      <c r="AN886" s="27"/>
      <c r="AO886" s="27"/>
      <c r="AP886" s="27"/>
      <c r="AQ886" s="27"/>
      <c r="AR886" s="27"/>
      <c r="AS886" s="27">
        <v>17</v>
      </c>
    </row>
    <row r="887" spans="1:45" ht="15" customHeight="1" x14ac:dyDescent="0.25">
      <c r="A887" s="27">
        <f>IF('Pegar ML'!C882="Paquete de 2 productos",'Pegar ML'!A882,IF('Pegar ML'!C881="Paquete de 2 productos",'Pegar ML'!A881,'Pegar ML'!A883))</f>
        <v>0</v>
      </c>
      <c r="B887" s="27"/>
      <c r="C887" s="30" t="str">
        <f>IF(AjusteFecha!I883=0,"",AjusteFecha!I883)</f>
        <v/>
      </c>
      <c r="D887" s="27"/>
      <c r="E887" s="27"/>
      <c r="F887" s="27" t="str">
        <f>IF('Pegar ML'!C883="","",'Pegar ML'!C883)</f>
        <v/>
      </c>
      <c r="G887" s="27" t="str">
        <f>IF('Pegar ML'!G878="ARS","PS","PS")</f>
        <v>PS</v>
      </c>
      <c r="H887" s="14">
        <f>IF('Pegar ML'!C882="Paquete de 2 productos",IF('Pegar ML'!H882="",0,'Pegar ML'!H882),IF('Pegar ML'!H883="",0,'Pegar ML'!H883))</f>
        <v>0</v>
      </c>
      <c r="I887" s="14">
        <f>IF('Pegar ML'!C882="Paquete de 2 productos",IF('Pegar ML'!O882="",0,'Pegar ML'!O882),IF('Pegar ML'!O883="",0,'Pegar ML'!O883))</f>
        <v>0</v>
      </c>
      <c r="J887" s="14">
        <f>IF('Pegar ML'!C882="Paquete de 2 productos",IF('Pegar ML'!O882="",0,'Pegar ML'!O882),IF('Pegar ML'!O883="",0,'Pegar ML'!O883))</f>
        <v>0</v>
      </c>
      <c r="K887" s="14">
        <f t="shared" si="41"/>
        <v>0</v>
      </c>
      <c r="L887" s="27">
        <f>IF('Pegar ML'!AB883=" ",'Pegar ML'!AB882,'Pegar ML'!AB883)</f>
        <v>0</v>
      </c>
      <c r="M887" s="27" t="str">
        <f>IF('Pegar ML'!AC883=" ",RIGHT('Pegar ML'!AC882,8),RIGHT('Pegar ML'!AC883,8))</f>
        <v/>
      </c>
      <c r="N887" s="27" t="s">
        <v>80</v>
      </c>
      <c r="O887" s="27">
        <f t="shared" si="39"/>
        <v>0</v>
      </c>
      <c r="P887" s="27" t="s">
        <v>80</v>
      </c>
      <c r="Q887" s="55">
        <f>IF('Pegar ML'!AD883=" ",'Pegar ML'!AD882,'Pegar ML'!AD883)</f>
        <v>0</v>
      </c>
      <c r="R887" s="27" t="s">
        <v>80</v>
      </c>
      <c r="S887" s="27" t="s">
        <v>80</v>
      </c>
      <c r="T887" s="27" t="s">
        <v>80</v>
      </c>
      <c r="U887" s="55">
        <f>IF('Pegar ML'!AI883=" ",'Pegar ML'!AI882,'Pegar ML'!AI883)</f>
        <v>0</v>
      </c>
      <c r="V887" s="55">
        <f>IF('Pegar ML'!AK883=" ",'Pegar ML'!AK882,'Pegar ML'!AK883)</f>
        <v>0</v>
      </c>
      <c r="W887" s="55">
        <f>IF('Pegar ML'!AJ883=" ",'Pegar ML'!AJ882,'Pegar ML'!AJ883)</f>
        <v>0</v>
      </c>
      <c r="X887" s="55">
        <f>IF('Pegar ML'!AL883=" ",'Pegar ML'!AL882,'Pegar ML'!AL883)</f>
        <v>0</v>
      </c>
      <c r="Y887" s="27"/>
      <c r="Z887" s="27"/>
      <c r="AA887" s="27"/>
      <c r="AB887" s="27"/>
      <c r="AC887" s="27"/>
      <c r="AD887" s="27"/>
      <c r="AF887" s="8"/>
      <c r="AG887" s="27"/>
      <c r="AH887" s="14">
        <f>+'Pegar ML'!Y883</f>
        <v>0</v>
      </c>
      <c r="AI887" s="13">
        <f t="shared" si="40"/>
        <v>1</v>
      </c>
      <c r="AJ887" s="7">
        <f>+'Pegar ML'!T883</f>
        <v>0</v>
      </c>
      <c r="AK887" s="27"/>
      <c r="AL887" s="27"/>
      <c r="AM887" s="27"/>
      <c r="AN887" s="27"/>
      <c r="AO887" s="27"/>
      <c r="AP887" s="27"/>
      <c r="AQ887" s="27"/>
      <c r="AR887" s="27"/>
      <c r="AS887" s="27">
        <v>17</v>
      </c>
    </row>
    <row r="888" spans="1:45" ht="15" customHeight="1" x14ac:dyDescent="0.25">
      <c r="A888" s="27">
        <f>IF('Pegar ML'!C883="Paquete de 2 productos",'Pegar ML'!A883,IF('Pegar ML'!C882="Paquete de 2 productos",'Pegar ML'!A882,'Pegar ML'!A884))</f>
        <v>0</v>
      </c>
      <c r="B888" s="27"/>
      <c r="C888" s="30" t="str">
        <f>IF(AjusteFecha!I884=0,"",AjusteFecha!I884)</f>
        <v/>
      </c>
      <c r="D888" s="27"/>
      <c r="E888" s="27"/>
      <c r="F888" s="27" t="str">
        <f>IF('Pegar ML'!C884="","",'Pegar ML'!C884)</f>
        <v/>
      </c>
      <c r="G888" s="27" t="str">
        <f>IF('Pegar ML'!G879="ARS","PS","PS")</f>
        <v>PS</v>
      </c>
      <c r="H888" s="14">
        <f>IF('Pegar ML'!C883="Paquete de 2 productos",IF('Pegar ML'!H883="",0,'Pegar ML'!H883),IF('Pegar ML'!H884="",0,'Pegar ML'!H884))</f>
        <v>0</v>
      </c>
      <c r="I888" s="14">
        <f>IF('Pegar ML'!C883="Paquete de 2 productos",IF('Pegar ML'!O883="",0,'Pegar ML'!O883),IF('Pegar ML'!O884="",0,'Pegar ML'!O884))</f>
        <v>0</v>
      </c>
      <c r="J888" s="14">
        <f>IF('Pegar ML'!C883="Paquete de 2 productos",IF('Pegar ML'!O883="",0,'Pegar ML'!O883),IF('Pegar ML'!O884="",0,'Pegar ML'!O884))</f>
        <v>0</v>
      </c>
      <c r="K888" s="14">
        <f t="shared" si="41"/>
        <v>0</v>
      </c>
      <c r="L888" s="27">
        <f>IF('Pegar ML'!AB884=" ",'Pegar ML'!AB883,'Pegar ML'!AB884)</f>
        <v>0</v>
      </c>
      <c r="M888" s="27" t="str">
        <f>IF('Pegar ML'!AC884=" ",RIGHT('Pegar ML'!AC883,8),RIGHT('Pegar ML'!AC884,8))</f>
        <v/>
      </c>
      <c r="N888" s="27" t="s">
        <v>80</v>
      </c>
      <c r="O888" s="27">
        <f t="shared" si="39"/>
        <v>0</v>
      </c>
      <c r="P888" s="27" t="s">
        <v>80</v>
      </c>
      <c r="Q888" s="55">
        <f>IF('Pegar ML'!AD884=" ",'Pegar ML'!AD883,'Pegar ML'!AD884)</f>
        <v>0</v>
      </c>
      <c r="R888" s="27" t="s">
        <v>80</v>
      </c>
      <c r="S888" s="27" t="s">
        <v>80</v>
      </c>
      <c r="T888" s="27" t="s">
        <v>80</v>
      </c>
      <c r="U888" s="55">
        <f>IF('Pegar ML'!AI884=" ",'Pegar ML'!AI883,'Pegar ML'!AI884)</f>
        <v>0</v>
      </c>
      <c r="V888" s="55">
        <f>IF('Pegar ML'!AK884=" ",'Pegar ML'!AK883,'Pegar ML'!AK884)</f>
        <v>0</v>
      </c>
      <c r="W888" s="55">
        <f>IF('Pegar ML'!AJ884=" ",'Pegar ML'!AJ883,'Pegar ML'!AJ884)</f>
        <v>0</v>
      </c>
      <c r="X888" s="55">
        <f>IF('Pegar ML'!AL884=" ",'Pegar ML'!AL883,'Pegar ML'!AL884)</f>
        <v>0</v>
      </c>
      <c r="Y888" s="27"/>
      <c r="Z888" s="27"/>
      <c r="AA888" s="27"/>
      <c r="AB888" s="27"/>
      <c r="AC888" s="27"/>
      <c r="AD888" s="27"/>
      <c r="AF888" s="8"/>
      <c r="AG888" s="27"/>
      <c r="AH888" s="14">
        <f>+'Pegar ML'!Y884</f>
        <v>0</v>
      </c>
      <c r="AI888" s="13">
        <f t="shared" si="40"/>
        <v>1</v>
      </c>
      <c r="AJ888" s="7">
        <f>+'Pegar ML'!T884</f>
        <v>0</v>
      </c>
      <c r="AK888" s="27"/>
      <c r="AL888" s="27"/>
      <c r="AM888" s="27"/>
      <c r="AN888" s="27"/>
      <c r="AO888" s="27"/>
      <c r="AP888" s="27"/>
      <c r="AQ888" s="27"/>
      <c r="AR888" s="27"/>
      <c r="AS888" s="27">
        <v>17</v>
      </c>
    </row>
    <row r="889" spans="1:45" ht="15" customHeight="1" x14ac:dyDescent="0.25">
      <c r="A889" s="27">
        <f>IF('Pegar ML'!C884="Paquete de 2 productos",'Pegar ML'!A884,IF('Pegar ML'!C883="Paquete de 2 productos",'Pegar ML'!A883,'Pegar ML'!A885))</f>
        <v>0</v>
      </c>
      <c r="B889" s="27"/>
      <c r="C889" s="30" t="str">
        <f>IF(AjusteFecha!I885=0,"",AjusteFecha!I885)</f>
        <v/>
      </c>
      <c r="D889" s="27"/>
      <c r="E889" s="27"/>
      <c r="F889" s="27" t="str">
        <f>IF('Pegar ML'!C885="","",'Pegar ML'!C885)</f>
        <v/>
      </c>
      <c r="G889" s="27" t="str">
        <f>IF('Pegar ML'!G880="ARS","PS","PS")</f>
        <v>PS</v>
      </c>
      <c r="H889" s="14">
        <f>IF('Pegar ML'!C884="Paquete de 2 productos",IF('Pegar ML'!H884="",0,'Pegar ML'!H884),IF('Pegar ML'!H885="",0,'Pegar ML'!H885))</f>
        <v>0</v>
      </c>
      <c r="I889" s="14">
        <f>IF('Pegar ML'!C884="Paquete de 2 productos",IF('Pegar ML'!O884="",0,'Pegar ML'!O884),IF('Pegar ML'!O885="",0,'Pegar ML'!O885))</f>
        <v>0</v>
      </c>
      <c r="J889" s="14">
        <f>IF('Pegar ML'!C884="Paquete de 2 productos",IF('Pegar ML'!O884="",0,'Pegar ML'!O884),IF('Pegar ML'!O885="",0,'Pegar ML'!O885))</f>
        <v>0</v>
      </c>
      <c r="K889" s="14">
        <f t="shared" si="41"/>
        <v>0</v>
      </c>
      <c r="L889" s="27">
        <f>IF('Pegar ML'!AB885=" ",'Pegar ML'!AB884,'Pegar ML'!AB885)</f>
        <v>0</v>
      </c>
      <c r="M889" s="27" t="str">
        <f>IF('Pegar ML'!AC885=" ",RIGHT('Pegar ML'!AC884,8),RIGHT('Pegar ML'!AC885,8))</f>
        <v/>
      </c>
      <c r="N889" s="27" t="s">
        <v>80</v>
      </c>
      <c r="O889" s="27">
        <f t="shared" si="39"/>
        <v>0</v>
      </c>
      <c r="P889" s="27" t="s">
        <v>80</v>
      </c>
      <c r="Q889" s="55">
        <f>IF('Pegar ML'!AD885=" ",'Pegar ML'!AD884,'Pegar ML'!AD885)</f>
        <v>0</v>
      </c>
      <c r="R889" s="27" t="s">
        <v>80</v>
      </c>
      <c r="S889" s="27" t="s">
        <v>80</v>
      </c>
      <c r="T889" s="27" t="s">
        <v>80</v>
      </c>
      <c r="U889" s="55">
        <f>IF('Pegar ML'!AI885=" ",'Pegar ML'!AI884,'Pegar ML'!AI885)</f>
        <v>0</v>
      </c>
      <c r="V889" s="55">
        <f>IF('Pegar ML'!AK885=" ",'Pegar ML'!AK884,'Pegar ML'!AK885)</f>
        <v>0</v>
      </c>
      <c r="W889" s="55">
        <f>IF('Pegar ML'!AJ885=" ",'Pegar ML'!AJ884,'Pegar ML'!AJ885)</f>
        <v>0</v>
      </c>
      <c r="X889" s="55">
        <f>IF('Pegar ML'!AL885=" ",'Pegar ML'!AL884,'Pegar ML'!AL885)</f>
        <v>0</v>
      </c>
      <c r="Y889" s="27"/>
      <c r="Z889" s="27"/>
      <c r="AA889" s="27"/>
      <c r="AB889" s="27"/>
      <c r="AC889" s="27"/>
      <c r="AD889" s="27"/>
      <c r="AF889" s="8"/>
      <c r="AG889" s="27"/>
      <c r="AH889" s="14">
        <f>+'Pegar ML'!Y885</f>
        <v>0</v>
      </c>
      <c r="AI889" s="13">
        <f t="shared" si="40"/>
        <v>1</v>
      </c>
      <c r="AJ889" s="7">
        <f>+'Pegar ML'!T885</f>
        <v>0</v>
      </c>
      <c r="AK889" s="27"/>
      <c r="AL889" s="27"/>
      <c r="AM889" s="27"/>
      <c r="AN889" s="27"/>
      <c r="AO889" s="27"/>
      <c r="AP889" s="27"/>
      <c r="AQ889" s="27"/>
      <c r="AR889" s="27"/>
      <c r="AS889" s="27">
        <v>17</v>
      </c>
    </row>
    <row r="890" spans="1:45" ht="15" customHeight="1" x14ac:dyDescent="0.25">
      <c r="A890" s="27">
        <f>IF('Pegar ML'!C885="Paquete de 2 productos",'Pegar ML'!A885,IF('Pegar ML'!C884="Paquete de 2 productos",'Pegar ML'!A884,'Pegar ML'!A886))</f>
        <v>0</v>
      </c>
      <c r="B890" s="27"/>
      <c r="C890" s="30" t="str">
        <f>IF(AjusteFecha!I886=0,"",AjusteFecha!I886)</f>
        <v/>
      </c>
      <c r="D890" s="27"/>
      <c r="E890" s="27"/>
      <c r="F890" s="27" t="str">
        <f>IF('Pegar ML'!C886="","",'Pegar ML'!C886)</f>
        <v/>
      </c>
      <c r="G890" s="27" t="str">
        <f>IF('Pegar ML'!G881="ARS","PS","PS")</f>
        <v>PS</v>
      </c>
      <c r="H890" s="14">
        <f>IF('Pegar ML'!C885="Paquete de 2 productos",IF('Pegar ML'!H885="",0,'Pegar ML'!H885),IF('Pegar ML'!H886="",0,'Pegar ML'!H886))</f>
        <v>0</v>
      </c>
      <c r="I890" s="14">
        <f>IF('Pegar ML'!C885="Paquete de 2 productos",IF('Pegar ML'!O885="",0,'Pegar ML'!O885),IF('Pegar ML'!O886="",0,'Pegar ML'!O886))</f>
        <v>0</v>
      </c>
      <c r="J890" s="14">
        <f>IF('Pegar ML'!C885="Paquete de 2 productos",IF('Pegar ML'!O885="",0,'Pegar ML'!O885),IF('Pegar ML'!O886="",0,'Pegar ML'!O886))</f>
        <v>0</v>
      </c>
      <c r="K890" s="14">
        <f t="shared" si="41"/>
        <v>0</v>
      </c>
      <c r="L890" s="27">
        <f>IF('Pegar ML'!AB886=" ",'Pegar ML'!AB885,'Pegar ML'!AB886)</f>
        <v>0</v>
      </c>
      <c r="M890" s="27" t="str">
        <f>IF('Pegar ML'!AC886=" ",RIGHT('Pegar ML'!AC885,8),RIGHT('Pegar ML'!AC886,8))</f>
        <v/>
      </c>
      <c r="N890" s="27" t="s">
        <v>80</v>
      </c>
      <c r="O890" s="27">
        <f t="shared" si="39"/>
        <v>0</v>
      </c>
      <c r="P890" s="27" t="s">
        <v>80</v>
      </c>
      <c r="Q890" s="55">
        <f>IF('Pegar ML'!AD886=" ",'Pegar ML'!AD885,'Pegar ML'!AD886)</f>
        <v>0</v>
      </c>
      <c r="R890" s="27" t="s">
        <v>80</v>
      </c>
      <c r="S890" s="27" t="s">
        <v>80</v>
      </c>
      <c r="T890" s="27" t="s">
        <v>80</v>
      </c>
      <c r="U890" s="55">
        <f>IF('Pegar ML'!AI886=" ",'Pegar ML'!AI885,'Pegar ML'!AI886)</f>
        <v>0</v>
      </c>
      <c r="V890" s="55">
        <f>IF('Pegar ML'!AK886=" ",'Pegar ML'!AK885,'Pegar ML'!AK886)</f>
        <v>0</v>
      </c>
      <c r="W890" s="55">
        <f>IF('Pegar ML'!AJ886=" ",'Pegar ML'!AJ885,'Pegar ML'!AJ886)</f>
        <v>0</v>
      </c>
      <c r="X890" s="55">
        <f>IF('Pegar ML'!AL886=" ",'Pegar ML'!AL885,'Pegar ML'!AL886)</f>
        <v>0</v>
      </c>
      <c r="Y890" s="27"/>
      <c r="Z890" s="27"/>
      <c r="AA890" s="27"/>
      <c r="AB890" s="27"/>
      <c r="AC890" s="27"/>
      <c r="AD890" s="27"/>
      <c r="AF890" s="8"/>
      <c r="AG890" s="27"/>
      <c r="AH890" s="14">
        <f>+'Pegar ML'!Y886</f>
        <v>0</v>
      </c>
      <c r="AI890" s="13">
        <f t="shared" si="40"/>
        <v>1</v>
      </c>
      <c r="AJ890" s="7">
        <f>+'Pegar ML'!T886</f>
        <v>0</v>
      </c>
      <c r="AK890" s="27"/>
      <c r="AL890" s="27"/>
      <c r="AM890" s="27"/>
      <c r="AN890" s="27"/>
      <c r="AO890" s="27"/>
      <c r="AP890" s="27"/>
      <c r="AQ890" s="27"/>
      <c r="AR890" s="27"/>
      <c r="AS890" s="27">
        <v>17</v>
      </c>
    </row>
    <row r="891" spans="1:45" ht="15" customHeight="1" x14ac:dyDescent="0.25">
      <c r="A891" s="27">
        <f>IF('Pegar ML'!C886="Paquete de 2 productos",'Pegar ML'!A886,IF('Pegar ML'!C885="Paquete de 2 productos",'Pegar ML'!A885,'Pegar ML'!A887))</f>
        <v>0</v>
      </c>
      <c r="B891" s="27"/>
      <c r="C891" s="30" t="str">
        <f>IF(AjusteFecha!I887=0,"",AjusteFecha!I887)</f>
        <v/>
      </c>
      <c r="D891" s="27"/>
      <c r="E891" s="27"/>
      <c r="F891" s="27" t="str">
        <f>IF('Pegar ML'!C887="","",'Pegar ML'!C887)</f>
        <v/>
      </c>
      <c r="G891" s="27" t="str">
        <f>IF('Pegar ML'!G882="ARS","PS","PS")</f>
        <v>PS</v>
      </c>
      <c r="H891" s="14">
        <f>IF('Pegar ML'!C886="Paquete de 2 productos",IF('Pegar ML'!H886="",0,'Pegar ML'!H886),IF('Pegar ML'!H887="",0,'Pegar ML'!H887))</f>
        <v>0</v>
      </c>
      <c r="I891" s="14">
        <f>IF('Pegar ML'!C886="Paquete de 2 productos",IF('Pegar ML'!O886="",0,'Pegar ML'!O886),IF('Pegar ML'!O887="",0,'Pegar ML'!O887))</f>
        <v>0</v>
      </c>
      <c r="J891" s="14">
        <f>IF('Pegar ML'!C886="Paquete de 2 productos",IF('Pegar ML'!O886="",0,'Pegar ML'!O886),IF('Pegar ML'!O887="",0,'Pegar ML'!O887))</f>
        <v>0</v>
      </c>
      <c r="K891" s="14">
        <f t="shared" si="41"/>
        <v>0</v>
      </c>
      <c r="L891" s="27">
        <f>IF('Pegar ML'!AB887=" ",'Pegar ML'!AB886,'Pegar ML'!AB887)</f>
        <v>0</v>
      </c>
      <c r="M891" s="27" t="str">
        <f>IF('Pegar ML'!AC887=" ",RIGHT('Pegar ML'!AC886,8),RIGHT('Pegar ML'!AC887,8))</f>
        <v/>
      </c>
      <c r="N891" s="27" t="s">
        <v>80</v>
      </c>
      <c r="O891" s="27">
        <f t="shared" si="39"/>
        <v>0</v>
      </c>
      <c r="P891" s="27" t="s">
        <v>80</v>
      </c>
      <c r="Q891" s="55">
        <f>IF('Pegar ML'!AD887=" ",'Pegar ML'!AD886,'Pegar ML'!AD887)</f>
        <v>0</v>
      </c>
      <c r="R891" s="27" t="s">
        <v>80</v>
      </c>
      <c r="S891" s="27" t="s">
        <v>80</v>
      </c>
      <c r="T891" s="27" t="s">
        <v>80</v>
      </c>
      <c r="U891" s="55">
        <f>IF('Pegar ML'!AI887=" ",'Pegar ML'!AI886,'Pegar ML'!AI887)</f>
        <v>0</v>
      </c>
      <c r="V891" s="55">
        <f>IF('Pegar ML'!AK887=" ",'Pegar ML'!AK886,'Pegar ML'!AK887)</f>
        <v>0</v>
      </c>
      <c r="W891" s="55">
        <f>IF('Pegar ML'!AJ887=" ",'Pegar ML'!AJ886,'Pegar ML'!AJ887)</f>
        <v>0</v>
      </c>
      <c r="X891" s="55">
        <f>IF('Pegar ML'!AL887=" ",'Pegar ML'!AL886,'Pegar ML'!AL887)</f>
        <v>0</v>
      </c>
      <c r="Y891" s="27"/>
      <c r="Z891" s="27"/>
      <c r="AA891" s="27"/>
      <c r="AB891" s="27"/>
      <c r="AC891" s="27"/>
      <c r="AD891" s="27"/>
      <c r="AF891" s="8"/>
      <c r="AG891" s="27"/>
      <c r="AH891" s="14">
        <f>+'Pegar ML'!Y887</f>
        <v>0</v>
      </c>
      <c r="AI891" s="13">
        <f t="shared" si="40"/>
        <v>1</v>
      </c>
      <c r="AJ891" s="7">
        <f>+'Pegar ML'!T887</f>
        <v>0</v>
      </c>
      <c r="AK891" s="27"/>
      <c r="AL891" s="27"/>
      <c r="AM891" s="27"/>
      <c r="AN891" s="27"/>
      <c r="AO891" s="27"/>
      <c r="AP891" s="27"/>
      <c r="AQ891" s="27"/>
      <c r="AR891" s="27"/>
      <c r="AS891" s="27">
        <v>17</v>
      </c>
    </row>
    <row r="892" spans="1:45" ht="15" customHeight="1" x14ac:dyDescent="0.25">
      <c r="A892" s="27">
        <f>IF('Pegar ML'!C887="Paquete de 2 productos",'Pegar ML'!A887,IF('Pegar ML'!C886="Paquete de 2 productos",'Pegar ML'!A886,'Pegar ML'!A888))</f>
        <v>0</v>
      </c>
      <c r="B892" s="27"/>
      <c r="C892" s="30" t="str">
        <f>IF(AjusteFecha!I888=0,"",AjusteFecha!I888)</f>
        <v/>
      </c>
      <c r="D892" s="27"/>
      <c r="E892" s="27"/>
      <c r="F892" s="27" t="str">
        <f>IF('Pegar ML'!C888="","",'Pegar ML'!C888)</f>
        <v/>
      </c>
      <c r="G892" s="27" t="str">
        <f>IF('Pegar ML'!G883="ARS","PS","PS")</f>
        <v>PS</v>
      </c>
      <c r="H892" s="14">
        <f>IF('Pegar ML'!C887="Paquete de 2 productos",IF('Pegar ML'!H887="",0,'Pegar ML'!H887),IF('Pegar ML'!H888="",0,'Pegar ML'!H888))</f>
        <v>0</v>
      </c>
      <c r="I892" s="14">
        <f>IF('Pegar ML'!C887="Paquete de 2 productos",IF('Pegar ML'!O887="",0,'Pegar ML'!O887),IF('Pegar ML'!O888="",0,'Pegar ML'!O888))</f>
        <v>0</v>
      </c>
      <c r="J892" s="14">
        <f>IF('Pegar ML'!C887="Paquete de 2 productos",IF('Pegar ML'!O887="",0,'Pegar ML'!O887),IF('Pegar ML'!O888="",0,'Pegar ML'!O888))</f>
        <v>0</v>
      </c>
      <c r="K892" s="14">
        <f t="shared" si="41"/>
        <v>0</v>
      </c>
      <c r="L892" s="27">
        <f>IF('Pegar ML'!AB888=" ",'Pegar ML'!AB887,'Pegar ML'!AB888)</f>
        <v>0</v>
      </c>
      <c r="M892" s="27" t="str">
        <f>IF('Pegar ML'!AC888=" ",RIGHT('Pegar ML'!AC887,8),RIGHT('Pegar ML'!AC888,8))</f>
        <v/>
      </c>
      <c r="N892" s="27" t="s">
        <v>80</v>
      </c>
      <c r="O892" s="27">
        <f t="shared" si="39"/>
        <v>0</v>
      </c>
      <c r="P892" s="27" t="s">
        <v>80</v>
      </c>
      <c r="Q892" s="55">
        <f>IF('Pegar ML'!AD888=" ",'Pegar ML'!AD887,'Pegar ML'!AD888)</f>
        <v>0</v>
      </c>
      <c r="R892" s="27" t="s">
        <v>80</v>
      </c>
      <c r="S892" s="27" t="s">
        <v>80</v>
      </c>
      <c r="T892" s="27" t="s">
        <v>80</v>
      </c>
      <c r="U892" s="55">
        <f>IF('Pegar ML'!AI888=" ",'Pegar ML'!AI887,'Pegar ML'!AI888)</f>
        <v>0</v>
      </c>
      <c r="V892" s="55">
        <f>IF('Pegar ML'!AK888=" ",'Pegar ML'!AK887,'Pegar ML'!AK888)</f>
        <v>0</v>
      </c>
      <c r="W892" s="55">
        <f>IF('Pegar ML'!AJ888=" ",'Pegar ML'!AJ887,'Pegar ML'!AJ888)</f>
        <v>0</v>
      </c>
      <c r="X892" s="55">
        <f>IF('Pegar ML'!AL888=" ",'Pegar ML'!AL887,'Pegar ML'!AL888)</f>
        <v>0</v>
      </c>
      <c r="Y892" s="27"/>
      <c r="Z892" s="27"/>
      <c r="AA892" s="27"/>
      <c r="AB892" s="27"/>
      <c r="AC892" s="27"/>
      <c r="AD892" s="27"/>
      <c r="AF892" s="8"/>
      <c r="AG892" s="27"/>
      <c r="AH892" s="14">
        <f>+'Pegar ML'!Y888</f>
        <v>0</v>
      </c>
      <c r="AI892" s="13">
        <f t="shared" si="40"/>
        <v>1</v>
      </c>
      <c r="AJ892" s="7">
        <f>+'Pegar ML'!T888</f>
        <v>0</v>
      </c>
      <c r="AK892" s="27"/>
      <c r="AL892" s="27"/>
      <c r="AM892" s="27"/>
      <c r="AN892" s="27"/>
      <c r="AO892" s="27"/>
      <c r="AP892" s="27"/>
      <c r="AQ892" s="27"/>
      <c r="AR892" s="27"/>
      <c r="AS892" s="27">
        <v>17</v>
      </c>
    </row>
    <row r="893" spans="1:45" ht="15" customHeight="1" x14ac:dyDescent="0.25">
      <c r="A893" s="27">
        <f>IF('Pegar ML'!C888="Paquete de 2 productos",'Pegar ML'!A888,IF('Pegar ML'!C887="Paquete de 2 productos",'Pegar ML'!A887,'Pegar ML'!A889))</f>
        <v>0</v>
      </c>
      <c r="B893" s="27"/>
      <c r="C893" s="30" t="str">
        <f>IF(AjusteFecha!I889=0,"",AjusteFecha!I889)</f>
        <v/>
      </c>
      <c r="D893" s="27"/>
      <c r="E893" s="27"/>
      <c r="F893" s="27" t="str">
        <f>IF('Pegar ML'!C889="","",'Pegar ML'!C889)</f>
        <v/>
      </c>
      <c r="G893" s="27" t="str">
        <f>IF('Pegar ML'!G884="ARS","PS","PS")</f>
        <v>PS</v>
      </c>
      <c r="H893" s="14">
        <f>IF('Pegar ML'!C888="Paquete de 2 productos",IF('Pegar ML'!H888="",0,'Pegar ML'!H888),IF('Pegar ML'!H889="",0,'Pegar ML'!H889))</f>
        <v>0</v>
      </c>
      <c r="I893" s="14">
        <f>IF('Pegar ML'!C888="Paquete de 2 productos",IF('Pegar ML'!O888="",0,'Pegar ML'!O888),IF('Pegar ML'!O889="",0,'Pegar ML'!O889))</f>
        <v>0</v>
      </c>
      <c r="J893" s="14">
        <f>IF('Pegar ML'!C888="Paquete de 2 productos",IF('Pegar ML'!O888="",0,'Pegar ML'!O888),IF('Pegar ML'!O889="",0,'Pegar ML'!O889))</f>
        <v>0</v>
      </c>
      <c r="K893" s="14">
        <f t="shared" si="41"/>
        <v>0</v>
      </c>
      <c r="L893" s="27">
        <f>IF('Pegar ML'!AB889=" ",'Pegar ML'!AB888,'Pegar ML'!AB889)</f>
        <v>0</v>
      </c>
      <c r="M893" s="27" t="str">
        <f>IF('Pegar ML'!AC889=" ",RIGHT('Pegar ML'!AC888,8),RIGHT('Pegar ML'!AC889,8))</f>
        <v/>
      </c>
      <c r="N893" s="27" t="s">
        <v>80</v>
      </c>
      <c r="O893" s="27">
        <f t="shared" si="39"/>
        <v>0</v>
      </c>
      <c r="P893" s="27" t="s">
        <v>80</v>
      </c>
      <c r="Q893" s="55">
        <f>IF('Pegar ML'!AD889=" ",'Pegar ML'!AD888,'Pegar ML'!AD889)</f>
        <v>0</v>
      </c>
      <c r="R893" s="27" t="s">
        <v>80</v>
      </c>
      <c r="S893" s="27" t="s">
        <v>80</v>
      </c>
      <c r="T893" s="27" t="s">
        <v>80</v>
      </c>
      <c r="U893" s="55">
        <f>IF('Pegar ML'!AI889=" ",'Pegar ML'!AI888,'Pegar ML'!AI889)</f>
        <v>0</v>
      </c>
      <c r="V893" s="55">
        <f>IF('Pegar ML'!AK889=" ",'Pegar ML'!AK888,'Pegar ML'!AK889)</f>
        <v>0</v>
      </c>
      <c r="W893" s="55">
        <f>IF('Pegar ML'!AJ889=" ",'Pegar ML'!AJ888,'Pegar ML'!AJ889)</f>
        <v>0</v>
      </c>
      <c r="X893" s="55">
        <f>IF('Pegar ML'!AL889=" ",'Pegar ML'!AL888,'Pegar ML'!AL889)</f>
        <v>0</v>
      </c>
      <c r="Y893" s="27"/>
      <c r="Z893" s="27"/>
      <c r="AA893" s="27"/>
      <c r="AB893" s="27"/>
      <c r="AC893" s="27"/>
      <c r="AD893" s="27"/>
      <c r="AF893" s="8"/>
      <c r="AG893" s="27"/>
      <c r="AH893" s="14">
        <f>+'Pegar ML'!Y889</f>
        <v>0</v>
      </c>
      <c r="AI893" s="13">
        <f t="shared" si="40"/>
        <v>1</v>
      </c>
      <c r="AJ893" s="7">
        <f>+'Pegar ML'!T889</f>
        <v>0</v>
      </c>
      <c r="AK893" s="27"/>
      <c r="AL893" s="27"/>
      <c r="AM893" s="27"/>
      <c r="AN893" s="27"/>
      <c r="AO893" s="27"/>
      <c r="AP893" s="27"/>
      <c r="AQ893" s="27"/>
      <c r="AR893" s="27"/>
      <c r="AS893" s="27">
        <v>17</v>
      </c>
    </row>
    <row r="894" spans="1:45" ht="15" customHeight="1" x14ac:dyDescent="0.25">
      <c r="A894" s="27">
        <f>IF('Pegar ML'!C889="Paquete de 2 productos",'Pegar ML'!A889,IF('Pegar ML'!C888="Paquete de 2 productos",'Pegar ML'!A888,'Pegar ML'!A890))</f>
        <v>0</v>
      </c>
      <c r="B894" s="27"/>
      <c r="C894" s="30" t="str">
        <f>IF(AjusteFecha!I890=0,"",AjusteFecha!I890)</f>
        <v/>
      </c>
      <c r="D894" s="27"/>
      <c r="E894" s="27"/>
      <c r="F894" s="27" t="str">
        <f>IF('Pegar ML'!C890="","",'Pegar ML'!C890)</f>
        <v/>
      </c>
      <c r="G894" s="27" t="str">
        <f>IF('Pegar ML'!G885="ARS","PS","PS")</f>
        <v>PS</v>
      </c>
      <c r="H894" s="14">
        <f>IF('Pegar ML'!C889="Paquete de 2 productos",IF('Pegar ML'!H889="",0,'Pegar ML'!H889),IF('Pegar ML'!H890="",0,'Pegar ML'!H890))</f>
        <v>0</v>
      </c>
      <c r="I894" s="14">
        <f>IF('Pegar ML'!C889="Paquete de 2 productos",IF('Pegar ML'!O889="",0,'Pegar ML'!O889),IF('Pegar ML'!O890="",0,'Pegar ML'!O890))</f>
        <v>0</v>
      </c>
      <c r="J894" s="14">
        <f>IF('Pegar ML'!C889="Paquete de 2 productos",IF('Pegar ML'!O889="",0,'Pegar ML'!O889),IF('Pegar ML'!O890="",0,'Pegar ML'!O890))</f>
        <v>0</v>
      </c>
      <c r="K894" s="14">
        <f t="shared" si="41"/>
        <v>0</v>
      </c>
      <c r="L894" s="27">
        <f>IF('Pegar ML'!AB890=" ",'Pegar ML'!AB889,'Pegar ML'!AB890)</f>
        <v>0</v>
      </c>
      <c r="M894" s="27" t="str">
        <f>IF('Pegar ML'!AC890=" ",RIGHT('Pegar ML'!AC889,8),RIGHT('Pegar ML'!AC890,8))</f>
        <v/>
      </c>
      <c r="N894" s="27" t="s">
        <v>80</v>
      </c>
      <c r="O894" s="27">
        <f t="shared" si="39"/>
        <v>0</v>
      </c>
      <c r="P894" s="27" t="s">
        <v>80</v>
      </c>
      <c r="Q894" s="55">
        <f>IF('Pegar ML'!AD890=" ",'Pegar ML'!AD889,'Pegar ML'!AD890)</f>
        <v>0</v>
      </c>
      <c r="R894" s="27" t="s">
        <v>80</v>
      </c>
      <c r="S894" s="27" t="s">
        <v>80</v>
      </c>
      <c r="T894" s="27" t="s">
        <v>80</v>
      </c>
      <c r="U894" s="55">
        <f>IF('Pegar ML'!AI890=" ",'Pegar ML'!AI889,'Pegar ML'!AI890)</f>
        <v>0</v>
      </c>
      <c r="V894" s="55">
        <f>IF('Pegar ML'!AK890=" ",'Pegar ML'!AK889,'Pegar ML'!AK890)</f>
        <v>0</v>
      </c>
      <c r="W894" s="55">
        <f>IF('Pegar ML'!AJ890=" ",'Pegar ML'!AJ889,'Pegar ML'!AJ890)</f>
        <v>0</v>
      </c>
      <c r="X894" s="55">
        <f>IF('Pegar ML'!AL890=" ",'Pegar ML'!AL889,'Pegar ML'!AL890)</f>
        <v>0</v>
      </c>
      <c r="Y894" s="27"/>
      <c r="Z894" s="27"/>
      <c r="AA894" s="27"/>
      <c r="AB894" s="27"/>
      <c r="AC894" s="27"/>
      <c r="AD894" s="27"/>
      <c r="AF894" s="8"/>
      <c r="AG894" s="27"/>
      <c r="AH894" s="14">
        <f>+'Pegar ML'!Y890</f>
        <v>0</v>
      </c>
      <c r="AI894" s="13">
        <f t="shared" si="40"/>
        <v>1</v>
      </c>
      <c r="AJ894" s="7">
        <f>+'Pegar ML'!T890</f>
        <v>0</v>
      </c>
      <c r="AK894" s="27"/>
      <c r="AL894" s="27"/>
      <c r="AM894" s="27"/>
      <c r="AN894" s="27"/>
      <c r="AO894" s="27"/>
      <c r="AP894" s="27"/>
      <c r="AQ894" s="27"/>
      <c r="AR894" s="27"/>
      <c r="AS894" s="27">
        <v>17</v>
      </c>
    </row>
    <row r="895" spans="1:45" ht="15" customHeight="1" x14ac:dyDescent="0.25">
      <c r="A895" s="27">
        <f>IF('Pegar ML'!C890="Paquete de 2 productos",'Pegar ML'!A890,IF('Pegar ML'!C889="Paquete de 2 productos",'Pegar ML'!A889,'Pegar ML'!A891))</f>
        <v>0</v>
      </c>
      <c r="B895" s="27"/>
      <c r="C895" s="30" t="str">
        <f>IF(AjusteFecha!I891=0,"",AjusteFecha!I891)</f>
        <v/>
      </c>
      <c r="D895" s="27"/>
      <c r="E895" s="27"/>
      <c r="F895" s="27" t="str">
        <f>IF('Pegar ML'!C891="","",'Pegar ML'!C891)</f>
        <v/>
      </c>
      <c r="G895" s="27" t="str">
        <f>IF('Pegar ML'!G886="ARS","PS","PS")</f>
        <v>PS</v>
      </c>
      <c r="H895" s="14">
        <f>IF('Pegar ML'!C890="Paquete de 2 productos",IF('Pegar ML'!H890="",0,'Pegar ML'!H890),IF('Pegar ML'!H891="",0,'Pegar ML'!H891))</f>
        <v>0</v>
      </c>
      <c r="I895" s="14">
        <f>IF('Pegar ML'!C890="Paquete de 2 productos",IF('Pegar ML'!O890="",0,'Pegar ML'!O890),IF('Pegar ML'!O891="",0,'Pegar ML'!O891))</f>
        <v>0</v>
      </c>
      <c r="J895" s="14">
        <f>IF('Pegar ML'!C890="Paquete de 2 productos",IF('Pegar ML'!O890="",0,'Pegar ML'!O890),IF('Pegar ML'!O891="",0,'Pegar ML'!O891))</f>
        <v>0</v>
      </c>
      <c r="K895" s="14">
        <f t="shared" si="41"/>
        <v>0</v>
      </c>
      <c r="L895" s="27">
        <f>IF('Pegar ML'!AB891=" ",'Pegar ML'!AB890,'Pegar ML'!AB891)</f>
        <v>0</v>
      </c>
      <c r="M895" s="27" t="str">
        <f>IF('Pegar ML'!AC891=" ",RIGHT('Pegar ML'!AC890,8),RIGHT('Pegar ML'!AC891,8))</f>
        <v/>
      </c>
      <c r="N895" s="27" t="s">
        <v>80</v>
      </c>
      <c r="O895" s="27">
        <f t="shared" si="39"/>
        <v>0</v>
      </c>
      <c r="P895" s="27" t="s">
        <v>80</v>
      </c>
      <c r="Q895" s="55">
        <f>IF('Pegar ML'!AD891=" ",'Pegar ML'!AD890,'Pegar ML'!AD891)</f>
        <v>0</v>
      </c>
      <c r="R895" s="27" t="s">
        <v>80</v>
      </c>
      <c r="S895" s="27" t="s">
        <v>80</v>
      </c>
      <c r="T895" s="27" t="s">
        <v>80</v>
      </c>
      <c r="U895" s="55">
        <f>IF('Pegar ML'!AI891=" ",'Pegar ML'!AI890,'Pegar ML'!AI891)</f>
        <v>0</v>
      </c>
      <c r="V895" s="55">
        <f>IF('Pegar ML'!AK891=" ",'Pegar ML'!AK890,'Pegar ML'!AK891)</f>
        <v>0</v>
      </c>
      <c r="W895" s="55">
        <f>IF('Pegar ML'!AJ891=" ",'Pegar ML'!AJ890,'Pegar ML'!AJ891)</f>
        <v>0</v>
      </c>
      <c r="X895" s="55">
        <f>IF('Pegar ML'!AL891=" ",'Pegar ML'!AL890,'Pegar ML'!AL891)</f>
        <v>0</v>
      </c>
      <c r="Y895" s="27"/>
      <c r="Z895" s="27"/>
      <c r="AA895" s="27"/>
      <c r="AB895" s="27"/>
      <c r="AC895" s="27"/>
      <c r="AD895" s="27"/>
      <c r="AF895" s="8"/>
      <c r="AG895" s="27"/>
      <c r="AH895" s="14">
        <f>+'Pegar ML'!Y891</f>
        <v>0</v>
      </c>
      <c r="AI895" s="13">
        <f t="shared" si="40"/>
        <v>1</v>
      </c>
      <c r="AJ895" s="7">
        <f>+'Pegar ML'!T891</f>
        <v>0</v>
      </c>
      <c r="AK895" s="27"/>
      <c r="AL895" s="27"/>
      <c r="AM895" s="27"/>
      <c r="AN895" s="27"/>
      <c r="AO895" s="27"/>
      <c r="AP895" s="27"/>
      <c r="AQ895" s="27"/>
      <c r="AR895" s="27"/>
      <c r="AS895" s="27">
        <v>17</v>
      </c>
    </row>
    <row r="896" spans="1:45" ht="15" customHeight="1" x14ac:dyDescent="0.25">
      <c r="A896" s="27">
        <f>IF('Pegar ML'!C891="Paquete de 2 productos",'Pegar ML'!A891,IF('Pegar ML'!C890="Paquete de 2 productos",'Pegar ML'!A890,'Pegar ML'!A892))</f>
        <v>0</v>
      </c>
      <c r="B896" s="27"/>
      <c r="C896" s="30" t="str">
        <f>IF(AjusteFecha!I892=0,"",AjusteFecha!I892)</f>
        <v/>
      </c>
      <c r="D896" s="27"/>
      <c r="E896" s="27"/>
      <c r="F896" s="27" t="str">
        <f>IF('Pegar ML'!C892="","",'Pegar ML'!C892)</f>
        <v/>
      </c>
      <c r="G896" s="27" t="str">
        <f>IF('Pegar ML'!G887="ARS","PS","PS")</f>
        <v>PS</v>
      </c>
      <c r="H896" s="14">
        <f>IF('Pegar ML'!C891="Paquete de 2 productos",IF('Pegar ML'!H891="",0,'Pegar ML'!H891),IF('Pegar ML'!H892="",0,'Pegar ML'!H892))</f>
        <v>0</v>
      </c>
      <c r="I896" s="14">
        <f>IF('Pegar ML'!C891="Paquete de 2 productos",IF('Pegar ML'!O891="",0,'Pegar ML'!O891),IF('Pegar ML'!O892="",0,'Pegar ML'!O892))</f>
        <v>0</v>
      </c>
      <c r="J896" s="14">
        <f>IF('Pegar ML'!C891="Paquete de 2 productos",IF('Pegar ML'!O891="",0,'Pegar ML'!O891),IF('Pegar ML'!O892="",0,'Pegar ML'!O892))</f>
        <v>0</v>
      </c>
      <c r="K896" s="14">
        <f t="shared" si="41"/>
        <v>0</v>
      </c>
      <c r="L896" s="27">
        <f>IF('Pegar ML'!AB892=" ",'Pegar ML'!AB891,'Pegar ML'!AB892)</f>
        <v>0</v>
      </c>
      <c r="M896" s="27" t="str">
        <f>IF('Pegar ML'!AC892=" ",RIGHT('Pegar ML'!AC891,8),RIGHT('Pegar ML'!AC892,8))</f>
        <v/>
      </c>
      <c r="N896" s="27" t="s">
        <v>80</v>
      </c>
      <c r="O896" s="27">
        <f t="shared" si="39"/>
        <v>0</v>
      </c>
      <c r="P896" s="27" t="s">
        <v>80</v>
      </c>
      <c r="Q896" s="55">
        <f>IF('Pegar ML'!AD892=" ",'Pegar ML'!AD891,'Pegar ML'!AD892)</f>
        <v>0</v>
      </c>
      <c r="R896" s="27" t="s">
        <v>80</v>
      </c>
      <c r="S896" s="27" t="s">
        <v>80</v>
      </c>
      <c r="T896" s="27" t="s">
        <v>80</v>
      </c>
      <c r="U896" s="55">
        <f>IF('Pegar ML'!AI892=" ",'Pegar ML'!AI891,'Pegar ML'!AI892)</f>
        <v>0</v>
      </c>
      <c r="V896" s="55">
        <f>IF('Pegar ML'!AK892=" ",'Pegar ML'!AK891,'Pegar ML'!AK892)</f>
        <v>0</v>
      </c>
      <c r="W896" s="55">
        <f>IF('Pegar ML'!AJ892=" ",'Pegar ML'!AJ891,'Pegar ML'!AJ892)</f>
        <v>0</v>
      </c>
      <c r="X896" s="55">
        <f>IF('Pegar ML'!AL892=" ",'Pegar ML'!AL891,'Pegar ML'!AL892)</f>
        <v>0</v>
      </c>
      <c r="Y896" s="27"/>
      <c r="Z896" s="27"/>
      <c r="AA896" s="27"/>
      <c r="AB896" s="27"/>
      <c r="AC896" s="27"/>
      <c r="AD896" s="27"/>
      <c r="AF896" s="8"/>
      <c r="AG896" s="27"/>
      <c r="AH896" s="14">
        <f>+'Pegar ML'!Y892</f>
        <v>0</v>
      </c>
      <c r="AI896" s="13">
        <f t="shared" si="40"/>
        <v>1</v>
      </c>
      <c r="AJ896" s="7">
        <f>+'Pegar ML'!T892</f>
        <v>0</v>
      </c>
      <c r="AK896" s="27"/>
      <c r="AL896" s="27"/>
      <c r="AM896" s="27"/>
      <c r="AN896" s="27"/>
      <c r="AO896" s="27"/>
      <c r="AP896" s="27"/>
      <c r="AQ896" s="27"/>
      <c r="AR896" s="27"/>
      <c r="AS896" s="27">
        <v>17</v>
      </c>
    </row>
    <row r="897" spans="1:45" ht="15" customHeight="1" x14ac:dyDescent="0.25">
      <c r="A897" s="27">
        <f>IF('Pegar ML'!C892="Paquete de 2 productos",'Pegar ML'!A892,IF('Pegar ML'!C891="Paquete de 2 productos",'Pegar ML'!A891,'Pegar ML'!A893))</f>
        <v>0</v>
      </c>
      <c r="B897" s="27"/>
      <c r="C897" s="30" t="str">
        <f>IF(AjusteFecha!I893=0,"",AjusteFecha!I893)</f>
        <v/>
      </c>
      <c r="D897" s="27"/>
      <c r="E897" s="27"/>
      <c r="F897" s="27" t="str">
        <f>IF('Pegar ML'!C893="","",'Pegar ML'!C893)</f>
        <v/>
      </c>
      <c r="G897" s="27" t="str">
        <f>IF('Pegar ML'!G888="ARS","PS","PS")</f>
        <v>PS</v>
      </c>
      <c r="H897" s="14">
        <f>IF('Pegar ML'!C892="Paquete de 2 productos",IF('Pegar ML'!H892="",0,'Pegar ML'!H892),IF('Pegar ML'!H893="",0,'Pegar ML'!H893))</f>
        <v>0</v>
      </c>
      <c r="I897" s="14">
        <f>IF('Pegar ML'!C892="Paquete de 2 productos",IF('Pegar ML'!O892="",0,'Pegar ML'!O892),IF('Pegar ML'!O893="",0,'Pegar ML'!O893))</f>
        <v>0</v>
      </c>
      <c r="J897" s="14">
        <f>IF('Pegar ML'!C892="Paquete de 2 productos",IF('Pegar ML'!O892="",0,'Pegar ML'!O892),IF('Pegar ML'!O893="",0,'Pegar ML'!O893))</f>
        <v>0</v>
      </c>
      <c r="K897" s="14">
        <f t="shared" si="41"/>
        <v>0</v>
      </c>
      <c r="L897" s="27">
        <f>IF('Pegar ML'!AB893=" ",'Pegar ML'!AB892,'Pegar ML'!AB893)</f>
        <v>0</v>
      </c>
      <c r="M897" s="27" t="str">
        <f>IF('Pegar ML'!AC893=" ",RIGHT('Pegar ML'!AC892,8),RIGHT('Pegar ML'!AC893,8))</f>
        <v/>
      </c>
      <c r="N897" s="27" t="s">
        <v>80</v>
      </c>
      <c r="O897" s="27">
        <f t="shared" si="39"/>
        <v>0</v>
      </c>
      <c r="P897" s="27" t="s">
        <v>80</v>
      </c>
      <c r="Q897" s="55">
        <f>IF('Pegar ML'!AD893=" ",'Pegar ML'!AD892,'Pegar ML'!AD893)</f>
        <v>0</v>
      </c>
      <c r="R897" s="27" t="s">
        <v>80</v>
      </c>
      <c r="S897" s="27" t="s">
        <v>80</v>
      </c>
      <c r="T897" s="27" t="s">
        <v>80</v>
      </c>
      <c r="U897" s="55">
        <f>IF('Pegar ML'!AI893=" ",'Pegar ML'!AI892,'Pegar ML'!AI893)</f>
        <v>0</v>
      </c>
      <c r="V897" s="55">
        <f>IF('Pegar ML'!AK893=" ",'Pegar ML'!AK892,'Pegar ML'!AK893)</f>
        <v>0</v>
      </c>
      <c r="W897" s="55">
        <f>IF('Pegar ML'!AJ893=" ",'Pegar ML'!AJ892,'Pegar ML'!AJ893)</f>
        <v>0</v>
      </c>
      <c r="X897" s="55">
        <f>IF('Pegar ML'!AL893=" ",'Pegar ML'!AL892,'Pegar ML'!AL893)</f>
        <v>0</v>
      </c>
      <c r="Y897" s="27"/>
      <c r="Z897" s="27"/>
      <c r="AA897" s="27"/>
      <c r="AB897" s="27"/>
      <c r="AC897" s="27"/>
      <c r="AD897" s="27"/>
      <c r="AF897" s="8"/>
      <c r="AG897" s="27"/>
      <c r="AH897" s="14">
        <f>+'Pegar ML'!Y893</f>
        <v>0</v>
      </c>
      <c r="AI897" s="13">
        <f t="shared" si="40"/>
        <v>1</v>
      </c>
      <c r="AJ897" s="7">
        <f>+'Pegar ML'!T893</f>
        <v>0</v>
      </c>
      <c r="AK897" s="27"/>
      <c r="AL897" s="27"/>
      <c r="AM897" s="27"/>
      <c r="AN897" s="27"/>
      <c r="AO897" s="27"/>
      <c r="AP897" s="27"/>
      <c r="AQ897" s="27"/>
      <c r="AR897" s="27"/>
      <c r="AS897" s="27">
        <v>17</v>
      </c>
    </row>
    <row r="898" spans="1:45" ht="15" customHeight="1" x14ac:dyDescent="0.25">
      <c r="A898" s="27">
        <f>IF('Pegar ML'!C893="Paquete de 2 productos",'Pegar ML'!A893,IF('Pegar ML'!C892="Paquete de 2 productos",'Pegar ML'!A892,'Pegar ML'!A894))</f>
        <v>0</v>
      </c>
      <c r="B898" s="27"/>
      <c r="C898" s="30" t="str">
        <f>IF(AjusteFecha!I894=0,"",AjusteFecha!I894)</f>
        <v/>
      </c>
      <c r="D898" s="27"/>
      <c r="E898" s="27"/>
      <c r="F898" s="27" t="str">
        <f>IF('Pegar ML'!C894="","",'Pegar ML'!C894)</f>
        <v/>
      </c>
      <c r="G898" s="27" t="str">
        <f>IF('Pegar ML'!G889="ARS","PS","PS")</f>
        <v>PS</v>
      </c>
      <c r="H898" s="14">
        <f>IF('Pegar ML'!C893="Paquete de 2 productos",IF('Pegar ML'!H893="",0,'Pegar ML'!H893),IF('Pegar ML'!H894="",0,'Pegar ML'!H894))</f>
        <v>0</v>
      </c>
      <c r="I898" s="14">
        <f>IF('Pegar ML'!C893="Paquete de 2 productos",IF('Pegar ML'!O893="",0,'Pegar ML'!O893),IF('Pegar ML'!O894="",0,'Pegar ML'!O894))</f>
        <v>0</v>
      </c>
      <c r="J898" s="14">
        <f>IF('Pegar ML'!C893="Paquete de 2 productos",IF('Pegar ML'!O893="",0,'Pegar ML'!O893),IF('Pegar ML'!O894="",0,'Pegar ML'!O894))</f>
        <v>0</v>
      </c>
      <c r="K898" s="14">
        <f t="shared" si="41"/>
        <v>0</v>
      </c>
      <c r="L898" s="27">
        <f>IF('Pegar ML'!AB894=" ",'Pegar ML'!AB893,'Pegar ML'!AB894)</f>
        <v>0</v>
      </c>
      <c r="M898" s="27" t="str">
        <f>IF('Pegar ML'!AC894=" ",RIGHT('Pegar ML'!AC893,8),RIGHT('Pegar ML'!AC894,8))</f>
        <v/>
      </c>
      <c r="N898" s="27" t="s">
        <v>80</v>
      </c>
      <c r="O898" s="27">
        <f t="shared" si="39"/>
        <v>0</v>
      </c>
      <c r="P898" s="27" t="s">
        <v>80</v>
      </c>
      <c r="Q898" s="55">
        <f>IF('Pegar ML'!AD894=" ",'Pegar ML'!AD893,'Pegar ML'!AD894)</f>
        <v>0</v>
      </c>
      <c r="R898" s="27" t="s">
        <v>80</v>
      </c>
      <c r="S898" s="27" t="s">
        <v>80</v>
      </c>
      <c r="T898" s="27" t="s">
        <v>80</v>
      </c>
      <c r="U898" s="55">
        <f>IF('Pegar ML'!AI894=" ",'Pegar ML'!AI893,'Pegar ML'!AI894)</f>
        <v>0</v>
      </c>
      <c r="V898" s="55">
        <f>IF('Pegar ML'!AK894=" ",'Pegar ML'!AK893,'Pegar ML'!AK894)</f>
        <v>0</v>
      </c>
      <c r="W898" s="55">
        <f>IF('Pegar ML'!AJ894=" ",'Pegar ML'!AJ893,'Pegar ML'!AJ894)</f>
        <v>0</v>
      </c>
      <c r="X898" s="55">
        <f>IF('Pegar ML'!AL894=" ",'Pegar ML'!AL893,'Pegar ML'!AL894)</f>
        <v>0</v>
      </c>
      <c r="Y898" s="27"/>
      <c r="Z898" s="27"/>
      <c r="AA898" s="27"/>
      <c r="AB898" s="27"/>
      <c r="AC898" s="27"/>
      <c r="AD898" s="27"/>
      <c r="AF898" s="8"/>
      <c r="AG898" s="27"/>
      <c r="AH898" s="14">
        <f>+'Pegar ML'!Y894</f>
        <v>0</v>
      </c>
      <c r="AI898" s="13">
        <f t="shared" si="40"/>
        <v>1</v>
      </c>
      <c r="AJ898" s="7">
        <f>+'Pegar ML'!T894</f>
        <v>0</v>
      </c>
      <c r="AK898" s="27"/>
      <c r="AL898" s="27"/>
      <c r="AM898" s="27"/>
      <c r="AN898" s="27"/>
      <c r="AO898" s="27"/>
      <c r="AP898" s="27"/>
      <c r="AQ898" s="27"/>
      <c r="AR898" s="27"/>
      <c r="AS898" s="27">
        <v>17</v>
      </c>
    </row>
    <row r="899" spans="1:45" ht="15" customHeight="1" x14ac:dyDescent="0.25">
      <c r="A899" s="27">
        <f>IF('Pegar ML'!C894="Paquete de 2 productos",'Pegar ML'!A894,IF('Pegar ML'!C893="Paquete de 2 productos",'Pegar ML'!A893,'Pegar ML'!A895))</f>
        <v>0</v>
      </c>
      <c r="B899" s="27"/>
      <c r="C899" s="30" t="str">
        <f>IF(AjusteFecha!I895=0,"",AjusteFecha!I895)</f>
        <v/>
      </c>
      <c r="D899" s="27"/>
      <c r="E899" s="27"/>
      <c r="F899" s="27" t="str">
        <f>IF('Pegar ML'!C895="","",'Pegar ML'!C895)</f>
        <v/>
      </c>
      <c r="G899" s="27" t="str">
        <f>IF('Pegar ML'!G890="ARS","PS","PS")</f>
        <v>PS</v>
      </c>
      <c r="H899" s="14">
        <f>IF('Pegar ML'!C894="Paquete de 2 productos",IF('Pegar ML'!H894="",0,'Pegar ML'!H894),IF('Pegar ML'!H895="",0,'Pegar ML'!H895))</f>
        <v>0</v>
      </c>
      <c r="I899" s="14">
        <f>IF('Pegar ML'!C894="Paquete de 2 productos",IF('Pegar ML'!O894="",0,'Pegar ML'!O894),IF('Pegar ML'!O895="",0,'Pegar ML'!O895))</f>
        <v>0</v>
      </c>
      <c r="J899" s="14">
        <f>IF('Pegar ML'!C894="Paquete de 2 productos",IF('Pegar ML'!O894="",0,'Pegar ML'!O894),IF('Pegar ML'!O895="",0,'Pegar ML'!O895))</f>
        <v>0</v>
      </c>
      <c r="K899" s="14">
        <f t="shared" si="41"/>
        <v>0</v>
      </c>
      <c r="L899" s="27">
        <f>IF('Pegar ML'!AB895=" ",'Pegar ML'!AB894,'Pegar ML'!AB895)</f>
        <v>0</v>
      </c>
      <c r="M899" s="27" t="str">
        <f>IF('Pegar ML'!AC895=" ",RIGHT('Pegar ML'!AC894,8),RIGHT('Pegar ML'!AC895,8))</f>
        <v/>
      </c>
      <c r="N899" s="27" t="s">
        <v>80</v>
      </c>
      <c r="O899" s="27">
        <f t="shared" si="39"/>
        <v>0</v>
      </c>
      <c r="P899" s="27" t="s">
        <v>80</v>
      </c>
      <c r="Q899" s="55">
        <f>IF('Pegar ML'!AD895=" ",'Pegar ML'!AD894,'Pegar ML'!AD895)</f>
        <v>0</v>
      </c>
      <c r="R899" s="27" t="s">
        <v>80</v>
      </c>
      <c r="S899" s="27" t="s">
        <v>80</v>
      </c>
      <c r="T899" s="27" t="s">
        <v>80</v>
      </c>
      <c r="U899" s="55">
        <f>IF('Pegar ML'!AI895=" ",'Pegar ML'!AI894,'Pegar ML'!AI895)</f>
        <v>0</v>
      </c>
      <c r="V899" s="55">
        <f>IF('Pegar ML'!AK895=" ",'Pegar ML'!AK894,'Pegar ML'!AK895)</f>
        <v>0</v>
      </c>
      <c r="W899" s="55">
        <f>IF('Pegar ML'!AJ895=" ",'Pegar ML'!AJ894,'Pegar ML'!AJ895)</f>
        <v>0</v>
      </c>
      <c r="X899" s="55">
        <f>IF('Pegar ML'!AL895=" ",'Pegar ML'!AL894,'Pegar ML'!AL895)</f>
        <v>0</v>
      </c>
      <c r="Y899" s="27"/>
      <c r="Z899" s="27"/>
      <c r="AA899" s="27"/>
      <c r="AB899" s="27"/>
      <c r="AC899" s="27"/>
      <c r="AD899" s="27"/>
      <c r="AF899" s="8"/>
      <c r="AG899" s="27"/>
      <c r="AH899" s="14">
        <f>+'Pegar ML'!Y895</f>
        <v>0</v>
      </c>
      <c r="AI899" s="13">
        <f t="shared" si="40"/>
        <v>1</v>
      </c>
      <c r="AJ899" s="7">
        <f>+'Pegar ML'!T895</f>
        <v>0</v>
      </c>
      <c r="AK899" s="27"/>
      <c r="AL899" s="27"/>
      <c r="AM899" s="27"/>
      <c r="AN899" s="27"/>
      <c r="AO899" s="27"/>
      <c r="AP899" s="27"/>
      <c r="AQ899" s="27"/>
      <c r="AR899" s="27"/>
      <c r="AS899" s="27">
        <v>17</v>
      </c>
    </row>
    <row r="900" spans="1:45" ht="15" customHeight="1" x14ac:dyDescent="0.25">
      <c r="A900" s="27">
        <f>IF('Pegar ML'!C895="Paquete de 2 productos",'Pegar ML'!A895,IF('Pegar ML'!C894="Paquete de 2 productos",'Pegar ML'!A894,'Pegar ML'!A896))</f>
        <v>0</v>
      </c>
      <c r="B900" s="27"/>
      <c r="C900" s="30" t="str">
        <f>IF(AjusteFecha!I896=0,"",AjusteFecha!I896)</f>
        <v/>
      </c>
      <c r="D900" s="27"/>
      <c r="E900" s="27"/>
      <c r="F900" s="27" t="str">
        <f>IF('Pegar ML'!C896="","",'Pegar ML'!C896)</f>
        <v/>
      </c>
      <c r="G900" s="27" t="str">
        <f>IF('Pegar ML'!G891="ARS","PS","PS")</f>
        <v>PS</v>
      </c>
      <c r="H900" s="14">
        <f>IF('Pegar ML'!C895="Paquete de 2 productos",IF('Pegar ML'!H895="",0,'Pegar ML'!H895),IF('Pegar ML'!H896="",0,'Pegar ML'!H896))</f>
        <v>0</v>
      </c>
      <c r="I900" s="14">
        <f>IF('Pegar ML'!C895="Paquete de 2 productos",IF('Pegar ML'!O895="",0,'Pegar ML'!O895),IF('Pegar ML'!O896="",0,'Pegar ML'!O896))</f>
        <v>0</v>
      </c>
      <c r="J900" s="14">
        <f>IF('Pegar ML'!C895="Paquete de 2 productos",IF('Pegar ML'!O895="",0,'Pegar ML'!O895),IF('Pegar ML'!O896="",0,'Pegar ML'!O896))</f>
        <v>0</v>
      </c>
      <c r="K900" s="14">
        <f t="shared" si="41"/>
        <v>0</v>
      </c>
      <c r="L900" s="27">
        <f>IF('Pegar ML'!AB896=" ",'Pegar ML'!AB895,'Pegar ML'!AB896)</f>
        <v>0</v>
      </c>
      <c r="M900" s="27" t="str">
        <f>IF('Pegar ML'!AC896=" ",RIGHT('Pegar ML'!AC895,8),RIGHT('Pegar ML'!AC896,8))</f>
        <v/>
      </c>
      <c r="N900" s="27" t="s">
        <v>80</v>
      </c>
      <c r="O900" s="27">
        <f t="shared" si="39"/>
        <v>0</v>
      </c>
      <c r="P900" s="27" t="s">
        <v>80</v>
      </c>
      <c r="Q900" s="55">
        <f>IF('Pegar ML'!AD896=" ",'Pegar ML'!AD895,'Pegar ML'!AD896)</f>
        <v>0</v>
      </c>
      <c r="R900" s="27" t="s">
        <v>80</v>
      </c>
      <c r="S900" s="27" t="s">
        <v>80</v>
      </c>
      <c r="T900" s="27" t="s">
        <v>80</v>
      </c>
      <c r="U900" s="55">
        <f>IF('Pegar ML'!AI896=" ",'Pegar ML'!AI895,'Pegar ML'!AI896)</f>
        <v>0</v>
      </c>
      <c r="V900" s="55">
        <f>IF('Pegar ML'!AK896=" ",'Pegar ML'!AK895,'Pegar ML'!AK896)</f>
        <v>0</v>
      </c>
      <c r="W900" s="55">
        <f>IF('Pegar ML'!AJ896=" ",'Pegar ML'!AJ895,'Pegar ML'!AJ896)</f>
        <v>0</v>
      </c>
      <c r="X900" s="55">
        <f>IF('Pegar ML'!AL896=" ",'Pegar ML'!AL895,'Pegar ML'!AL896)</f>
        <v>0</v>
      </c>
      <c r="Y900" s="27"/>
      <c r="Z900" s="27"/>
      <c r="AA900" s="27"/>
      <c r="AB900" s="27"/>
      <c r="AC900" s="27"/>
      <c r="AD900" s="27"/>
      <c r="AF900" s="8"/>
      <c r="AG900" s="27"/>
      <c r="AH900" s="14">
        <f>+'Pegar ML'!Y896</f>
        <v>0</v>
      </c>
      <c r="AI900" s="13">
        <f t="shared" si="40"/>
        <v>1</v>
      </c>
      <c r="AJ900" s="7">
        <f>+'Pegar ML'!T896</f>
        <v>0</v>
      </c>
      <c r="AK900" s="27"/>
      <c r="AL900" s="27"/>
      <c r="AM900" s="27"/>
      <c r="AN900" s="27"/>
      <c r="AO900" s="27"/>
      <c r="AP900" s="27"/>
      <c r="AQ900" s="27"/>
      <c r="AR900" s="27"/>
      <c r="AS900" s="27">
        <v>17</v>
      </c>
    </row>
    <row r="901" spans="1:45" ht="15" customHeight="1" x14ac:dyDescent="0.25">
      <c r="A901" s="27">
        <f>IF('Pegar ML'!C896="Paquete de 2 productos",'Pegar ML'!A896,IF('Pegar ML'!C895="Paquete de 2 productos",'Pegar ML'!A895,'Pegar ML'!A897))</f>
        <v>0</v>
      </c>
      <c r="B901" s="27"/>
      <c r="C901" s="30" t="str">
        <f>IF(AjusteFecha!I897=0,"",AjusteFecha!I897)</f>
        <v/>
      </c>
      <c r="D901" s="27"/>
      <c r="E901" s="27"/>
      <c r="F901" s="27" t="str">
        <f>IF('Pegar ML'!C897="","",'Pegar ML'!C897)</f>
        <v/>
      </c>
      <c r="G901" s="27" t="str">
        <f>IF('Pegar ML'!G892="ARS","PS","PS")</f>
        <v>PS</v>
      </c>
      <c r="H901" s="14">
        <f>IF('Pegar ML'!C896="Paquete de 2 productos",IF('Pegar ML'!H896="",0,'Pegar ML'!H896),IF('Pegar ML'!H897="",0,'Pegar ML'!H897))</f>
        <v>0</v>
      </c>
      <c r="I901" s="14">
        <f>IF('Pegar ML'!C896="Paquete de 2 productos",IF('Pegar ML'!O896="",0,'Pegar ML'!O896),IF('Pegar ML'!O897="",0,'Pegar ML'!O897))</f>
        <v>0</v>
      </c>
      <c r="J901" s="14">
        <f>IF('Pegar ML'!C896="Paquete de 2 productos",IF('Pegar ML'!O896="",0,'Pegar ML'!O896),IF('Pegar ML'!O897="",0,'Pegar ML'!O897))</f>
        <v>0</v>
      </c>
      <c r="K901" s="14">
        <f t="shared" si="41"/>
        <v>0</v>
      </c>
      <c r="L901" s="27">
        <f>IF('Pegar ML'!AB897=" ",'Pegar ML'!AB896,'Pegar ML'!AB897)</f>
        <v>0</v>
      </c>
      <c r="M901" s="27" t="str">
        <f>IF('Pegar ML'!AC897=" ",RIGHT('Pegar ML'!AC896,8),RIGHT('Pegar ML'!AC897,8))</f>
        <v/>
      </c>
      <c r="N901" s="27" t="s">
        <v>80</v>
      </c>
      <c r="O901" s="27">
        <f t="shared" si="39"/>
        <v>0</v>
      </c>
      <c r="P901" s="27" t="s">
        <v>80</v>
      </c>
      <c r="Q901" s="55">
        <f>IF('Pegar ML'!AD897=" ",'Pegar ML'!AD896,'Pegar ML'!AD897)</f>
        <v>0</v>
      </c>
      <c r="R901" s="27" t="s">
        <v>80</v>
      </c>
      <c r="S901" s="27" t="s">
        <v>80</v>
      </c>
      <c r="T901" s="27" t="s">
        <v>80</v>
      </c>
      <c r="U901" s="55">
        <f>IF('Pegar ML'!AI897=" ",'Pegar ML'!AI896,'Pegar ML'!AI897)</f>
        <v>0</v>
      </c>
      <c r="V901" s="55">
        <f>IF('Pegar ML'!AK897=" ",'Pegar ML'!AK896,'Pegar ML'!AK897)</f>
        <v>0</v>
      </c>
      <c r="W901" s="55">
        <f>IF('Pegar ML'!AJ897=" ",'Pegar ML'!AJ896,'Pegar ML'!AJ897)</f>
        <v>0</v>
      </c>
      <c r="X901" s="55">
        <f>IF('Pegar ML'!AL897=" ",'Pegar ML'!AL896,'Pegar ML'!AL897)</f>
        <v>0</v>
      </c>
      <c r="Y901" s="27"/>
      <c r="Z901" s="27"/>
      <c r="AA901" s="27"/>
      <c r="AB901" s="27"/>
      <c r="AC901" s="27"/>
      <c r="AD901" s="27"/>
      <c r="AF901" s="8"/>
      <c r="AG901" s="27"/>
      <c r="AH901" s="14">
        <f>+'Pegar ML'!Y897</f>
        <v>0</v>
      </c>
      <c r="AI901" s="13">
        <f t="shared" si="40"/>
        <v>1</v>
      </c>
      <c r="AJ901" s="7">
        <f>+'Pegar ML'!T897</f>
        <v>0</v>
      </c>
      <c r="AK901" s="27"/>
      <c r="AL901" s="27"/>
      <c r="AM901" s="27"/>
      <c r="AN901" s="27"/>
      <c r="AO901" s="27"/>
      <c r="AP901" s="27"/>
      <c r="AQ901" s="27"/>
      <c r="AR901" s="27"/>
      <c r="AS901" s="27">
        <v>17</v>
      </c>
    </row>
    <row r="902" spans="1:45" ht="15" customHeight="1" x14ac:dyDescent="0.25">
      <c r="A902" s="27">
        <f>IF('Pegar ML'!C897="Paquete de 2 productos",'Pegar ML'!A897,IF('Pegar ML'!C896="Paquete de 2 productos",'Pegar ML'!A896,'Pegar ML'!A898))</f>
        <v>0</v>
      </c>
      <c r="B902" s="27"/>
      <c r="C902" s="30" t="str">
        <f>IF(AjusteFecha!I898=0,"",AjusteFecha!I898)</f>
        <v/>
      </c>
      <c r="D902" s="27"/>
      <c r="E902" s="27"/>
      <c r="F902" s="27" t="str">
        <f>IF('Pegar ML'!C898="","",'Pegar ML'!C898)</f>
        <v/>
      </c>
      <c r="G902" s="27" t="str">
        <f>IF('Pegar ML'!G893="ARS","PS","PS")</f>
        <v>PS</v>
      </c>
      <c r="H902" s="14">
        <f>IF('Pegar ML'!C897="Paquete de 2 productos",IF('Pegar ML'!H897="",0,'Pegar ML'!H897),IF('Pegar ML'!H898="",0,'Pegar ML'!H898))</f>
        <v>0</v>
      </c>
      <c r="I902" s="14">
        <f>IF('Pegar ML'!C897="Paquete de 2 productos",IF('Pegar ML'!O897="",0,'Pegar ML'!O897),IF('Pegar ML'!O898="",0,'Pegar ML'!O898))</f>
        <v>0</v>
      </c>
      <c r="J902" s="14">
        <f>IF('Pegar ML'!C897="Paquete de 2 productos",IF('Pegar ML'!O897="",0,'Pegar ML'!O897),IF('Pegar ML'!O898="",0,'Pegar ML'!O898))</f>
        <v>0</v>
      </c>
      <c r="K902" s="14">
        <f t="shared" si="41"/>
        <v>0</v>
      </c>
      <c r="L902" s="27">
        <f>IF('Pegar ML'!AB898=" ",'Pegar ML'!AB897,'Pegar ML'!AB898)</f>
        <v>0</v>
      </c>
      <c r="M902" s="27" t="str">
        <f>IF('Pegar ML'!AC898=" ",RIGHT('Pegar ML'!AC897,8),RIGHT('Pegar ML'!AC898,8))</f>
        <v/>
      </c>
      <c r="N902" s="27" t="s">
        <v>80</v>
      </c>
      <c r="O902" s="27">
        <f t="shared" si="39"/>
        <v>0</v>
      </c>
      <c r="P902" s="27" t="s">
        <v>80</v>
      </c>
      <c r="Q902" s="55">
        <f>IF('Pegar ML'!AD898=" ",'Pegar ML'!AD897,'Pegar ML'!AD898)</f>
        <v>0</v>
      </c>
      <c r="R902" s="27" t="s">
        <v>80</v>
      </c>
      <c r="S902" s="27" t="s">
        <v>80</v>
      </c>
      <c r="T902" s="27" t="s">
        <v>80</v>
      </c>
      <c r="U902" s="55">
        <f>IF('Pegar ML'!AI898=" ",'Pegar ML'!AI897,'Pegar ML'!AI898)</f>
        <v>0</v>
      </c>
      <c r="V902" s="55">
        <f>IF('Pegar ML'!AK898=" ",'Pegar ML'!AK897,'Pegar ML'!AK898)</f>
        <v>0</v>
      </c>
      <c r="W902" s="55">
        <f>IF('Pegar ML'!AJ898=" ",'Pegar ML'!AJ897,'Pegar ML'!AJ898)</f>
        <v>0</v>
      </c>
      <c r="X902" s="55">
        <f>IF('Pegar ML'!AL898=" ",'Pegar ML'!AL897,'Pegar ML'!AL898)</f>
        <v>0</v>
      </c>
      <c r="Y902" s="27"/>
      <c r="Z902" s="27"/>
      <c r="AA902" s="27"/>
      <c r="AB902" s="27"/>
      <c r="AC902" s="27"/>
      <c r="AD902" s="27"/>
      <c r="AF902" s="8"/>
      <c r="AG902" s="27"/>
      <c r="AH902" s="14">
        <f>+'Pegar ML'!Y898</f>
        <v>0</v>
      </c>
      <c r="AI902" s="13">
        <f t="shared" si="40"/>
        <v>1</v>
      </c>
      <c r="AJ902" s="7">
        <f>+'Pegar ML'!T898</f>
        <v>0</v>
      </c>
      <c r="AK902" s="27"/>
      <c r="AL902" s="27"/>
      <c r="AM902" s="27"/>
      <c r="AN902" s="27"/>
      <c r="AO902" s="27"/>
      <c r="AP902" s="27"/>
      <c r="AQ902" s="27"/>
      <c r="AR902" s="27"/>
      <c r="AS902" s="27">
        <v>17</v>
      </c>
    </row>
    <row r="903" spans="1:45" ht="15" customHeight="1" x14ac:dyDescent="0.25">
      <c r="A903" s="27">
        <f>IF('Pegar ML'!C898="Paquete de 2 productos",'Pegar ML'!A898,IF('Pegar ML'!C897="Paquete de 2 productos",'Pegar ML'!A897,'Pegar ML'!A899))</f>
        <v>0</v>
      </c>
      <c r="B903" s="27"/>
      <c r="C903" s="30" t="str">
        <f>IF(AjusteFecha!I899=0,"",AjusteFecha!I899)</f>
        <v/>
      </c>
      <c r="D903" s="27"/>
      <c r="E903" s="27"/>
      <c r="F903" s="27" t="str">
        <f>IF('Pegar ML'!C899="","",'Pegar ML'!C899)</f>
        <v/>
      </c>
      <c r="G903" s="27" t="str">
        <f>IF('Pegar ML'!G894="ARS","PS","PS")</f>
        <v>PS</v>
      </c>
      <c r="H903" s="14">
        <f>IF('Pegar ML'!C898="Paquete de 2 productos",IF('Pegar ML'!H898="",0,'Pegar ML'!H898),IF('Pegar ML'!H899="",0,'Pegar ML'!H899))</f>
        <v>0</v>
      </c>
      <c r="I903" s="14">
        <f>IF('Pegar ML'!C898="Paquete de 2 productos",IF('Pegar ML'!O898="",0,'Pegar ML'!O898),IF('Pegar ML'!O899="",0,'Pegar ML'!O899))</f>
        <v>0</v>
      </c>
      <c r="J903" s="14">
        <f>IF('Pegar ML'!C898="Paquete de 2 productos",IF('Pegar ML'!O898="",0,'Pegar ML'!O898),IF('Pegar ML'!O899="",0,'Pegar ML'!O899))</f>
        <v>0</v>
      </c>
      <c r="K903" s="14">
        <f t="shared" si="41"/>
        <v>0</v>
      </c>
      <c r="L903" s="27">
        <f>IF('Pegar ML'!AB899=" ",'Pegar ML'!AB898,'Pegar ML'!AB899)</f>
        <v>0</v>
      </c>
      <c r="M903" s="27" t="str">
        <f>IF('Pegar ML'!AC899=" ",RIGHT('Pegar ML'!AC898,8),RIGHT('Pegar ML'!AC899,8))</f>
        <v/>
      </c>
      <c r="N903" s="27" t="s">
        <v>80</v>
      </c>
      <c r="O903" s="27">
        <f t="shared" si="39"/>
        <v>0</v>
      </c>
      <c r="P903" s="27" t="s">
        <v>80</v>
      </c>
      <c r="Q903" s="55">
        <f>IF('Pegar ML'!AD899=" ",'Pegar ML'!AD898,'Pegar ML'!AD899)</f>
        <v>0</v>
      </c>
      <c r="R903" s="27" t="s">
        <v>80</v>
      </c>
      <c r="S903" s="27" t="s">
        <v>80</v>
      </c>
      <c r="T903" s="27" t="s">
        <v>80</v>
      </c>
      <c r="U903" s="55">
        <f>IF('Pegar ML'!AI899=" ",'Pegar ML'!AI898,'Pegar ML'!AI899)</f>
        <v>0</v>
      </c>
      <c r="V903" s="55">
        <f>IF('Pegar ML'!AK899=" ",'Pegar ML'!AK898,'Pegar ML'!AK899)</f>
        <v>0</v>
      </c>
      <c r="W903" s="55">
        <f>IF('Pegar ML'!AJ899=" ",'Pegar ML'!AJ898,'Pegar ML'!AJ899)</f>
        <v>0</v>
      </c>
      <c r="X903" s="55">
        <f>IF('Pegar ML'!AL899=" ",'Pegar ML'!AL898,'Pegar ML'!AL899)</f>
        <v>0</v>
      </c>
      <c r="Y903" s="27"/>
      <c r="Z903" s="27"/>
      <c r="AA903" s="27"/>
      <c r="AB903" s="27"/>
      <c r="AC903" s="27"/>
      <c r="AD903" s="27"/>
      <c r="AF903" s="8"/>
      <c r="AG903" s="27"/>
      <c r="AH903" s="14">
        <f>+'Pegar ML'!Y899</f>
        <v>0</v>
      </c>
      <c r="AI903" s="13">
        <f t="shared" si="40"/>
        <v>1</v>
      </c>
      <c r="AJ903" s="7">
        <f>+'Pegar ML'!T899</f>
        <v>0</v>
      </c>
      <c r="AK903" s="27"/>
      <c r="AL903" s="27"/>
      <c r="AM903" s="27"/>
      <c r="AN903" s="27"/>
      <c r="AO903" s="27"/>
      <c r="AP903" s="27"/>
      <c r="AQ903" s="27"/>
      <c r="AR903" s="27"/>
      <c r="AS903" s="27">
        <v>17</v>
      </c>
    </row>
    <row r="904" spans="1:45" ht="15" customHeight="1" x14ac:dyDescent="0.25">
      <c r="A904" s="27">
        <f>IF('Pegar ML'!C899="Paquete de 2 productos",'Pegar ML'!A899,IF('Pegar ML'!C898="Paquete de 2 productos",'Pegar ML'!A898,'Pegar ML'!A900))</f>
        <v>0</v>
      </c>
      <c r="B904" s="27"/>
      <c r="C904" s="30" t="str">
        <f>IF(AjusteFecha!I900=0,"",AjusteFecha!I900)</f>
        <v/>
      </c>
      <c r="D904" s="27"/>
      <c r="E904" s="27"/>
      <c r="F904" s="27" t="str">
        <f>IF('Pegar ML'!C900="","",'Pegar ML'!C900)</f>
        <v/>
      </c>
      <c r="G904" s="27" t="str">
        <f>IF('Pegar ML'!G895="ARS","PS","PS")</f>
        <v>PS</v>
      </c>
      <c r="H904" s="14">
        <f>IF('Pegar ML'!C899="Paquete de 2 productos",IF('Pegar ML'!H899="",0,'Pegar ML'!H899),IF('Pegar ML'!H900="",0,'Pegar ML'!H900))</f>
        <v>0</v>
      </c>
      <c r="I904" s="14">
        <f>IF('Pegar ML'!C899="Paquete de 2 productos",IF('Pegar ML'!O899="",0,'Pegar ML'!O899),IF('Pegar ML'!O900="",0,'Pegar ML'!O900))</f>
        <v>0</v>
      </c>
      <c r="J904" s="14">
        <f>IF('Pegar ML'!C899="Paquete de 2 productos",IF('Pegar ML'!O899="",0,'Pegar ML'!O899),IF('Pegar ML'!O900="",0,'Pegar ML'!O900))</f>
        <v>0</v>
      </c>
      <c r="K904" s="14">
        <f t="shared" si="41"/>
        <v>0</v>
      </c>
      <c r="L904" s="27">
        <f>IF('Pegar ML'!AB900=" ",'Pegar ML'!AB899,'Pegar ML'!AB900)</f>
        <v>0</v>
      </c>
      <c r="M904" s="27" t="str">
        <f>IF('Pegar ML'!AC900=" ",RIGHT('Pegar ML'!AC899,8),RIGHT('Pegar ML'!AC900,8))</f>
        <v/>
      </c>
      <c r="N904" s="27" t="s">
        <v>80</v>
      </c>
      <c r="O904" s="27">
        <f t="shared" si="39"/>
        <v>0</v>
      </c>
      <c r="P904" s="27" t="s">
        <v>80</v>
      </c>
      <c r="Q904" s="55">
        <f>IF('Pegar ML'!AD900=" ",'Pegar ML'!AD899,'Pegar ML'!AD900)</f>
        <v>0</v>
      </c>
      <c r="R904" s="27" t="s">
        <v>80</v>
      </c>
      <c r="S904" s="27" t="s">
        <v>80</v>
      </c>
      <c r="T904" s="27" t="s">
        <v>80</v>
      </c>
      <c r="U904" s="55">
        <f>IF('Pegar ML'!AI900=" ",'Pegar ML'!AI899,'Pegar ML'!AI900)</f>
        <v>0</v>
      </c>
      <c r="V904" s="55">
        <f>IF('Pegar ML'!AK900=" ",'Pegar ML'!AK899,'Pegar ML'!AK900)</f>
        <v>0</v>
      </c>
      <c r="W904" s="55">
        <f>IF('Pegar ML'!AJ900=" ",'Pegar ML'!AJ899,'Pegar ML'!AJ900)</f>
        <v>0</v>
      </c>
      <c r="X904" s="55">
        <f>IF('Pegar ML'!AL900=" ",'Pegar ML'!AL899,'Pegar ML'!AL900)</f>
        <v>0</v>
      </c>
      <c r="Y904" s="27"/>
      <c r="Z904" s="27"/>
      <c r="AA904" s="27"/>
      <c r="AB904" s="27"/>
      <c r="AC904" s="27"/>
      <c r="AD904" s="27"/>
      <c r="AF904" s="8"/>
      <c r="AG904" s="27"/>
      <c r="AH904" s="14">
        <f>+'Pegar ML'!Y900</f>
        <v>0</v>
      </c>
      <c r="AI904" s="13">
        <f t="shared" si="40"/>
        <v>1</v>
      </c>
      <c r="AJ904" s="7">
        <f>+'Pegar ML'!T900</f>
        <v>0</v>
      </c>
      <c r="AK904" s="27"/>
      <c r="AL904" s="27"/>
      <c r="AM904" s="27"/>
      <c r="AN904" s="27"/>
      <c r="AO904" s="27"/>
      <c r="AP904" s="27"/>
      <c r="AQ904" s="27"/>
      <c r="AR904" s="27"/>
      <c r="AS904" s="27">
        <v>17</v>
      </c>
    </row>
    <row r="905" spans="1:45" ht="15" customHeight="1" x14ac:dyDescent="0.25">
      <c r="A905" s="27">
        <f>IF('Pegar ML'!C900="Paquete de 2 productos",'Pegar ML'!A900,IF('Pegar ML'!C899="Paquete de 2 productos",'Pegar ML'!A899,'Pegar ML'!A901))</f>
        <v>0</v>
      </c>
      <c r="B905" s="27"/>
      <c r="C905" s="30" t="str">
        <f>IF(AjusteFecha!I901=0,"",AjusteFecha!I901)</f>
        <v/>
      </c>
      <c r="D905" s="27"/>
      <c r="E905" s="27"/>
      <c r="F905" s="27" t="str">
        <f>IF('Pegar ML'!C901="","",'Pegar ML'!C901)</f>
        <v/>
      </c>
      <c r="G905" s="27" t="str">
        <f>IF('Pegar ML'!G896="ARS","PS","PS")</f>
        <v>PS</v>
      </c>
      <c r="H905" s="14">
        <f>IF('Pegar ML'!C900="Paquete de 2 productos",IF('Pegar ML'!H900="",0,'Pegar ML'!H900),IF('Pegar ML'!H901="",0,'Pegar ML'!H901))</f>
        <v>0</v>
      </c>
      <c r="I905" s="14">
        <f>IF('Pegar ML'!C900="Paquete de 2 productos",IF('Pegar ML'!O900="",0,'Pegar ML'!O900),IF('Pegar ML'!O901="",0,'Pegar ML'!O901))</f>
        <v>0</v>
      </c>
      <c r="J905" s="14">
        <f>IF('Pegar ML'!C900="Paquete de 2 productos",IF('Pegar ML'!O900="",0,'Pegar ML'!O900),IF('Pegar ML'!O901="",0,'Pegar ML'!O901))</f>
        <v>0</v>
      </c>
      <c r="K905" s="14">
        <f t="shared" si="41"/>
        <v>0</v>
      </c>
      <c r="L905" s="27">
        <f>IF('Pegar ML'!AB901=" ",'Pegar ML'!AB900,'Pegar ML'!AB901)</f>
        <v>0</v>
      </c>
      <c r="M905" s="27" t="str">
        <f>IF('Pegar ML'!AC901=" ",RIGHT('Pegar ML'!AC900,8),RIGHT('Pegar ML'!AC901,8))</f>
        <v/>
      </c>
      <c r="N905" s="27" t="s">
        <v>80</v>
      </c>
      <c r="O905" s="27">
        <f t="shared" si="39"/>
        <v>0</v>
      </c>
      <c r="P905" s="27" t="s">
        <v>80</v>
      </c>
      <c r="Q905" s="55">
        <f>IF('Pegar ML'!AD901=" ",'Pegar ML'!AD900,'Pegar ML'!AD901)</f>
        <v>0</v>
      </c>
      <c r="R905" s="27" t="s">
        <v>80</v>
      </c>
      <c r="S905" s="27" t="s">
        <v>80</v>
      </c>
      <c r="T905" s="27" t="s">
        <v>80</v>
      </c>
      <c r="U905" s="55">
        <f>IF('Pegar ML'!AI901=" ",'Pegar ML'!AI900,'Pegar ML'!AI901)</f>
        <v>0</v>
      </c>
      <c r="V905" s="55">
        <f>IF('Pegar ML'!AK901=" ",'Pegar ML'!AK900,'Pegar ML'!AK901)</f>
        <v>0</v>
      </c>
      <c r="W905" s="55">
        <f>IF('Pegar ML'!AJ901=" ",'Pegar ML'!AJ900,'Pegar ML'!AJ901)</f>
        <v>0</v>
      </c>
      <c r="X905" s="55">
        <f>IF('Pegar ML'!AL901=" ",'Pegar ML'!AL900,'Pegar ML'!AL901)</f>
        <v>0</v>
      </c>
      <c r="Y905" s="27"/>
      <c r="Z905" s="27"/>
      <c r="AA905" s="27"/>
      <c r="AB905" s="27"/>
      <c r="AC905" s="27"/>
      <c r="AD905" s="27"/>
      <c r="AF905" s="8"/>
      <c r="AG905" s="27"/>
      <c r="AH905" s="14">
        <f>+'Pegar ML'!Y901</f>
        <v>0</v>
      </c>
      <c r="AI905" s="13">
        <f t="shared" si="40"/>
        <v>1</v>
      </c>
      <c r="AJ905" s="7">
        <f>+'Pegar ML'!T901</f>
        <v>0</v>
      </c>
      <c r="AK905" s="27"/>
      <c r="AL905" s="27"/>
      <c r="AM905" s="27"/>
      <c r="AN905" s="27"/>
      <c r="AO905" s="27"/>
      <c r="AP905" s="27"/>
      <c r="AQ905" s="27"/>
      <c r="AR905" s="27"/>
      <c r="AS905" s="27">
        <v>17</v>
      </c>
    </row>
    <row r="906" spans="1:45" ht="15" customHeight="1" x14ac:dyDescent="0.25">
      <c r="A906" s="27">
        <f>IF('Pegar ML'!C901="Paquete de 2 productos",'Pegar ML'!A901,IF('Pegar ML'!C900="Paquete de 2 productos",'Pegar ML'!A900,'Pegar ML'!A902))</f>
        <v>0</v>
      </c>
      <c r="B906" s="27"/>
      <c r="C906" s="30" t="str">
        <f>IF(AjusteFecha!I902=0,"",AjusteFecha!I902)</f>
        <v/>
      </c>
      <c r="D906" s="27"/>
      <c r="E906" s="27"/>
      <c r="F906" s="27" t="str">
        <f>IF('Pegar ML'!C902="","",'Pegar ML'!C902)</f>
        <v/>
      </c>
      <c r="G906" s="27" t="str">
        <f>IF('Pegar ML'!G897="ARS","PS","PS")</f>
        <v>PS</v>
      </c>
      <c r="H906" s="14">
        <f>IF('Pegar ML'!C901="Paquete de 2 productos",IF('Pegar ML'!H901="",0,'Pegar ML'!H901),IF('Pegar ML'!H902="",0,'Pegar ML'!H902))</f>
        <v>0</v>
      </c>
      <c r="I906" s="14">
        <f>IF('Pegar ML'!C901="Paquete de 2 productos",IF('Pegar ML'!O901="",0,'Pegar ML'!O901),IF('Pegar ML'!O902="",0,'Pegar ML'!O902))</f>
        <v>0</v>
      </c>
      <c r="J906" s="14">
        <f>IF('Pegar ML'!C901="Paquete de 2 productos",IF('Pegar ML'!O901="",0,'Pegar ML'!O901),IF('Pegar ML'!O902="",0,'Pegar ML'!O902))</f>
        <v>0</v>
      </c>
      <c r="K906" s="14">
        <f t="shared" si="41"/>
        <v>0</v>
      </c>
      <c r="L906" s="27">
        <f>IF('Pegar ML'!AB902=" ",'Pegar ML'!AB901,'Pegar ML'!AB902)</f>
        <v>0</v>
      </c>
      <c r="M906" s="27" t="str">
        <f>IF('Pegar ML'!AC902=" ",RIGHT('Pegar ML'!AC901,8),RIGHT('Pegar ML'!AC902,8))</f>
        <v/>
      </c>
      <c r="N906" s="27" t="s">
        <v>80</v>
      </c>
      <c r="O906" s="27">
        <f t="shared" si="39"/>
        <v>0</v>
      </c>
      <c r="P906" s="27" t="s">
        <v>80</v>
      </c>
      <c r="Q906" s="55">
        <f>IF('Pegar ML'!AD902=" ",'Pegar ML'!AD901,'Pegar ML'!AD902)</f>
        <v>0</v>
      </c>
      <c r="R906" s="27" t="s">
        <v>80</v>
      </c>
      <c r="S906" s="27" t="s">
        <v>80</v>
      </c>
      <c r="T906" s="27" t="s">
        <v>80</v>
      </c>
      <c r="U906" s="55">
        <f>IF('Pegar ML'!AI902=" ",'Pegar ML'!AI901,'Pegar ML'!AI902)</f>
        <v>0</v>
      </c>
      <c r="V906" s="55">
        <f>IF('Pegar ML'!AK902=" ",'Pegar ML'!AK901,'Pegar ML'!AK902)</f>
        <v>0</v>
      </c>
      <c r="W906" s="55">
        <f>IF('Pegar ML'!AJ902=" ",'Pegar ML'!AJ901,'Pegar ML'!AJ902)</f>
        <v>0</v>
      </c>
      <c r="X906" s="55">
        <f>IF('Pegar ML'!AL902=" ",'Pegar ML'!AL901,'Pegar ML'!AL902)</f>
        <v>0</v>
      </c>
      <c r="Y906" s="27"/>
      <c r="Z906" s="27"/>
      <c r="AA906" s="27"/>
      <c r="AB906" s="27"/>
      <c r="AC906" s="27"/>
      <c r="AD906" s="27"/>
      <c r="AF906" s="8"/>
      <c r="AG906" s="27"/>
      <c r="AH906" s="14">
        <f>+'Pegar ML'!Y902</f>
        <v>0</v>
      </c>
      <c r="AI906" s="13">
        <f t="shared" si="40"/>
        <v>1</v>
      </c>
      <c r="AJ906" s="7">
        <f>+'Pegar ML'!T902</f>
        <v>0</v>
      </c>
      <c r="AK906" s="27"/>
      <c r="AL906" s="27"/>
      <c r="AM906" s="27"/>
      <c r="AN906" s="27"/>
      <c r="AO906" s="27"/>
      <c r="AP906" s="27"/>
      <c r="AQ906" s="27"/>
      <c r="AR906" s="27"/>
      <c r="AS906" s="27">
        <v>17</v>
      </c>
    </row>
    <row r="907" spans="1:45" ht="15" customHeight="1" x14ac:dyDescent="0.25">
      <c r="A907" s="27">
        <f>IF('Pegar ML'!C902="Paquete de 2 productos",'Pegar ML'!A902,IF('Pegar ML'!C901="Paquete de 2 productos",'Pegar ML'!A901,'Pegar ML'!A903))</f>
        <v>0</v>
      </c>
      <c r="B907" s="27"/>
      <c r="C907" s="30" t="str">
        <f>IF(AjusteFecha!I903=0,"",AjusteFecha!I903)</f>
        <v/>
      </c>
      <c r="D907" s="27"/>
      <c r="E907" s="27"/>
      <c r="F907" s="27" t="str">
        <f>IF('Pegar ML'!C903="","",'Pegar ML'!C903)</f>
        <v/>
      </c>
      <c r="G907" s="27" t="str">
        <f>IF('Pegar ML'!G898="ARS","PS","PS")</f>
        <v>PS</v>
      </c>
      <c r="H907" s="14">
        <f>IF('Pegar ML'!C902="Paquete de 2 productos",IF('Pegar ML'!H902="",0,'Pegar ML'!H902),IF('Pegar ML'!H903="",0,'Pegar ML'!H903))</f>
        <v>0</v>
      </c>
      <c r="I907" s="14">
        <f>IF('Pegar ML'!C902="Paquete de 2 productos",IF('Pegar ML'!O902="",0,'Pegar ML'!O902),IF('Pegar ML'!O903="",0,'Pegar ML'!O903))</f>
        <v>0</v>
      </c>
      <c r="J907" s="14">
        <f>IF('Pegar ML'!C902="Paquete de 2 productos",IF('Pegar ML'!O902="",0,'Pegar ML'!O902),IF('Pegar ML'!O903="",0,'Pegar ML'!O903))</f>
        <v>0</v>
      </c>
      <c r="K907" s="14">
        <f t="shared" si="41"/>
        <v>0</v>
      </c>
      <c r="L907" s="27">
        <f>IF('Pegar ML'!AB903=" ",'Pegar ML'!AB902,'Pegar ML'!AB903)</f>
        <v>0</v>
      </c>
      <c r="M907" s="27" t="str">
        <f>IF('Pegar ML'!AC903=" ",RIGHT('Pegar ML'!AC902,8),RIGHT('Pegar ML'!AC903,8))</f>
        <v/>
      </c>
      <c r="N907" s="27" t="s">
        <v>80</v>
      </c>
      <c r="O907" s="27">
        <f t="shared" ref="O907:O970" si="42">+L907</f>
        <v>0</v>
      </c>
      <c r="P907" s="27" t="s">
        <v>80</v>
      </c>
      <c r="Q907" s="55">
        <f>IF('Pegar ML'!AD903=" ",'Pegar ML'!AD902,'Pegar ML'!AD903)</f>
        <v>0</v>
      </c>
      <c r="R907" s="27" t="s">
        <v>80</v>
      </c>
      <c r="S907" s="27" t="s">
        <v>80</v>
      </c>
      <c r="T907" s="27" t="s">
        <v>80</v>
      </c>
      <c r="U907" s="55">
        <f>IF('Pegar ML'!AI903=" ",'Pegar ML'!AI902,'Pegar ML'!AI903)</f>
        <v>0</v>
      </c>
      <c r="V907" s="55">
        <f>IF('Pegar ML'!AK903=" ",'Pegar ML'!AK902,'Pegar ML'!AK903)</f>
        <v>0</v>
      </c>
      <c r="W907" s="55">
        <f>IF('Pegar ML'!AJ903=" ",'Pegar ML'!AJ902,'Pegar ML'!AJ903)</f>
        <v>0</v>
      </c>
      <c r="X907" s="55">
        <f>IF('Pegar ML'!AL903=" ",'Pegar ML'!AL902,'Pegar ML'!AL903)</f>
        <v>0</v>
      </c>
      <c r="Y907" s="27"/>
      <c r="Z907" s="27"/>
      <c r="AA907" s="27"/>
      <c r="AB907" s="27"/>
      <c r="AC907" s="27"/>
      <c r="AD907" s="27"/>
      <c r="AF907" s="8"/>
      <c r="AG907" s="27"/>
      <c r="AH907" s="14">
        <f>+'Pegar ML'!Y903</f>
        <v>0</v>
      </c>
      <c r="AI907" s="13">
        <f t="shared" ref="AI907:AI970" si="43">IF(F907="Paquete de 2 productos","",1)</f>
        <v>1</v>
      </c>
      <c r="AJ907" s="7">
        <f>+'Pegar ML'!T903</f>
        <v>0</v>
      </c>
      <c r="AK907" s="27"/>
      <c r="AL907" s="27"/>
      <c r="AM907" s="27"/>
      <c r="AN907" s="27"/>
      <c r="AO907" s="27"/>
      <c r="AP907" s="27"/>
      <c r="AQ907" s="27"/>
      <c r="AR907" s="27"/>
      <c r="AS907" s="27">
        <v>17</v>
      </c>
    </row>
    <row r="908" spans="1:45" ht="15" customHeight="1" x14ac:dyDescent="0.25">
      <c r="A908" s="27">
        <f>IF('Pegar ML'!C903="Paquete de 2 productos",'Pegar ML'!A903,IF('Pegar ML'!C902="Paquete de 2 productos",'Pegar ML'!A902,'Pegar ML'!A904))</f>
        <v>0</v>
      </c>
      <c r="B908" s="27"/>
      <c r="C908" s="30" t="str">
        <f>IF(AjusteFecha!I904=0,"",AjusteFecha!I904)</f>
        <v/>
      </c>
      <c r="D908" s="27"/>
      <c r="E908" s="27"/>
      <c r="F908" s="27" t="str">
        <f>IF('Pegar ML'!C904="","",'Pegar ML'!C904)</f>
        <v/>
      </c>
      <c r="G908" s="27" t="str">
        <f>IF('Pegar ML'!G899="ARS","PS","PS")</f>
        <v>PS</v>
      </c>
      <c r="H908" s="14">
        <f>IF('Pegar ML'!C903="Paquete de 2 productos",IF('Pegar ML'!H903="",0,'Pegar ML'!H903),IF('Pegar ML'!H904="",0,'Pegar ML'!H904))</f>
        <v>0</v>
      </c>
      <c r="I908" s="14">
        <f>IF('Pegar ML'!C903="Paquete de 2 productos",IF('Pegar ML'!O903="",0,'Pegar ML'!O903),IF('Pegar ML'!O904="",0,'Pegar ML'!O904))</f>
        <v>0</v>
      </c>
      <c r="J908" s="14">
        <f>IF('Pegar ML'!C903="Paquete de 2 productos",IF('Pegar ML'!O903="",0,'Pegar ML'!O903),IF('Pegar ML'!O904="",0,'Pegar ML'!O904))</f>
        <v>0</v>
      </c>
      <c r="K908" s="14">
        <f t="shared" ref="K908:K971" si="44">+H908-I908+J908</f>
        <v>0</v>
      </c>
      <c r="L908" s="27">
        <f>IF('Pegar ML'!AB904=" ",'Pegar ML'!AB903,'Pegar ML'!AB904)</f>
        <v>0</v>
      </c>
      <c r="M908" s="27" t="str">
        <f>IF('Pegar ML'!AC904=" ",RIGHT('Pegar ML'!AC903,8),RIGHT('Pegar ML'!AC904,8))</f>
        <v/>
      </c>
      <c r="N908" s="27" t="s">
        <v>80</v>
      </c>
      <c r="O908" s="27">
        <f t="shared" si="42"/>
        <v>0</v>
      </c>
      <c r="P908" s="27" t="s">
        <v>80</v>
      </c>
      <c r="Q908" s="55">
        <f>IF('Pegar ML'!AD904=" ",'Pegar ML'!AD903,'Pegar ML'!AD904)</f>
        <v>0</v>
      </c>
      <c r="R908" s="27" t="s">
        <v>80</v>
      </c>
      <c r="S908" s="27" t="s">
        <v>80</v>
      </c>
      <c r="T908" s="27" t="s">
        <v>80</v>
      </c>
      <c r="U908" s="55">
        <f>IF('Pegar ML'!AI904=" ",'Pegar ML'!AI903,'Pegar ML'!AI904)</f>
        <v>0</v>
      </c>
      <c r="V908" s="55">
        <f>IF('Pegar ML'!AK904=" ",'Pegar ML'!AK903,'Pegar ML'!AK904)</f>
        <v>0</v>
      </c>
      <c r="W908" s="55">
        <f>IF('Pegar ML'!AJ904=" ",'Pegar ML'!AJ903,'Pegar ML'!AJ904)</f>
        <v>0</v>
      </c>
      <c r="X908" s="55">
        <f>IF('Pegar ML'!AL904=" ",'Pegar ML'!AL903,'Pegar ML'!AL904)</f>
        <v>0</v>
      </c>
      <c r="Y908" s="27"/>
      <c r="Z908" s="27"/>
      <c r="AA908" s="27"/>
      <c r="AB908" s="27"/>
      <c r="AC908" s="27"/>
      <c r="AD908" s="27"/>
      <c r="AF908" s="8"/>
      <c r="AG908" s="27"/>
      <c r="AH908" s="14">
        <f>+'Pegar ML'!Y904</f>
        <v>0</v>
      </c>
      <c r="AI908" s="13">
        <f t="shared" si="43"/>
        <v>1</v>
      </c>
      <c r="AJ908" s="7">
        <f>+'Pegar ML'!T904</f>
        <v>0</v>
      </c>
      <c r="AK908" s="27"/>
      <c r="AL908" s="27"/>
      <c r="AM908" s="27"/>
      <c r="AN908" s="27"/>
      <c r="AO908" s="27"/>
      <c r="AP908" s="27"/>
      <c r="AQ908" s="27"/>
      <c r="AR908" s="27"/>
      <c r="AS908" s="27">
        <v>17</v>
      </c>
    </row>
    <row r="909" spans="1:45" ht="15" customHeight="1" x14ac:dyDescent="0.25">
      <c r="A909" s="27">
        <f>IF('Pegar ML'!C904="Paquete de 2 productos",'Pegar ML'!A904,IF('Pegar ML'!C903="Paquete de 2 productos",'Pegar ML'!A903,'Pegar ML'!A905))</f>
        <v>0</v>
      </c>
      <c r="B909" s="27"/>
      <c r="C909" s="30" t="str">
        <f>IF(AjusteFecha!I905=0,"",AjusteFecha!I905)</f>
        <v/>
      </c>
      <c r="D909" s="27"/>
      <c r="E909" s="27"/>
      <c r="F909" s="27" t="str">
        <f>IF('Pegar ML'!C905="","",'Pegar ML'!C905)</f>
        <v/>
      </c>
      <c r="G909" s="27" t="str">
        <f>IF('Pegar ML'!G900="ARS","PS","PS")</f>
        <v>PS</v>
      </c>
      <c r="H909" s="14">
        <f>IF('Pegar ML'!C904="Paquete de 2 productos",IF('Pegar ML'!H904="",0,'Pegar ML'!H904),IF('Pegar ML'!H905="",0,'Pegar ML'!H905))</f>
        <v>0</v>
      </c>
      <c r="I909" s="14">
        <f>IF('Pegar ML'!C904="Paquete de 2 productos",IF('Pegar ML'!O904="",0,'Pegar ML'!O904),IF('Pegar ML'!O905="",0,'Pegar ML'!O905))</f>
        <v>0</v>
      </c>
      <c r="J909" s="14">
        <f>IF('Pegar ML'!C904="Paquete de 2 productos",IF('Pegar ML'!O904="",0,'Pegar ML'!O904),IF('Pegar ML'!O905="",0,'Pegar ML'!O905))</f>
        <v>0</v>
      </c>
      <c r="K909" s="14">
        <f t="shared" si="44"/>
        <v>0</v>
      </c>
      <c r="L909" s="27">
        <f>IF('Pegar ML'!AB905=" ",'Pegar ML'!AB904,'Pegar ML'!AB905)</f>
        <v>0</v>
      </c>
      <c r="M909" s="27" t="str">
        <f>IF('Pegar ML'!AC905=" ",RIGHT('Pegar ML'!AC904,8),RIGHT('Pegar ML'!AC905,8))</f>
        <v/>
      </c>
      <c r="N909" s="27" t="s">
        <v>80</v>
      </c>
      <c r="O909" s="27">
        <f t="shared" si="42"/>
        <v>0</v>
      </c>
      <c r="P909" s="27" t="s">
        <v>80</v>
      </c>
      <c r="Q909" s="55">
        <f>IF('Pegar ML'!AD905=" ",'Pegar ML'!AD904,'Pegar ML'!AD905)</f>
        <v>0</v>
      </c>
      <c r="R909" s="27" t="s">
        <v>80</v>
      </c>
      <c r="S909" s="27" t="s">
        <v>80</v>
      </c>
      <c r="T909" s="27" t="s">
        <v>80</v>
      </c>
      <c r="U909" s="55">
        <f>IF('Pegar ML'!AI905=" ",'Pegar ML'!AI904,'Pegar ML'!AI905)</f>
        <v>0</v>
      </c>
      <c r="V909" s="55">
        <f>IF('Pegar ML'!AK905=" ",'Pegar ML'!AK904,'Pegar ML'!AK905)</f>
        <v>0</v>
      </c>
      <c r="W909" s="55">
        <f>IF('Pegar ML'!AJ905=" ",'Pegar ML'!AJ904,'Pegar ML'!AJ905)</f>
        <v>0</v>
      </c>
      <c r="X909" s="55">
        <f>IF('Pegar ML'!AL905=" ",'Pegar ML'!AL904,'Pegar ML'!AL905)</f>
        <v>0</v>
      </c>
      <c r="Y909" s="27"/>
      <c r="Z909" s="27"/>
      <c r="AA909" s="27"/>
      <c r="AB909" s="27"/>
      <c r="AC909" s="27"/>
      <c r="AD909" s="27"/>
      <c r="AF909" s="8"/>
      <c r="AG909" s="27"/>
      <c r="AH909" s="14">
        <f>+'Pegar ML'!Y905</f>
        <v>0</v>
      </c>
      <c r="AI909" s="13">
        <f t="shared" si="43"/>
        <v>1</v>
      </c>
      <c r="AJ909" s="7">
        <f>+'Pegar ML'!T905</f>
        <v>0</v>
      </c>
      <c r="AK909" s="27"/>
      <c r="AL909" s="27"/>
      <c r="AM909" s="27"/>
      <c r="AN909" s="27"/>
      <c r="AO909" s="27"/>
      <c r="AP909" s="27"/>
      <c r="AQ909" s="27"/>
      <c r="AR909" s="27"/>
      <c r="AS909" s="27">
        <v>17</v>
      </c>
    </row>
    <row r="910" spans="1:45" ht="15" customHeight="1" x14ac:dyDescent="0.25">
      <c r="A910" s="27">
        <f>IF('Pegar ML'!C905="Paquete de 2 productos",'Pegar ML'!A905,IF('Pegar ML'!C904="Paquete de 2 productos",'Pegar ML'!A904,'Pegar ML'!A906))</f>
        <v>0</v>
      </c>
      <c r="B910" s="27"/>
      <c r="C910" s="30" t="str">
        <f>IF(AjusteFecha!I906=0,"",AjusteFecha!I906)</f>
        <v/>
      </c>
      <c r="D910" s="27"/>
      <c r="E910" s="27"/>
      <c r="F910" s="27" t="str">
        <f>IF('Pegar ML'!C906="","",'Pegar ML'!C906)</f>
        <v/>
      </c>
      <c r="G910" s="27" t="str">
        <f>IF('Pegar ML'!G901="ARS","PS","PS")</f>
        <v>PS</v>
      </c>
      <c r="H910" s="14">
        <f>IF('Pegar ML'!C905="Paquete de 2 productos",IF('Pegar ML'!H905="",0,'Pegar ML'!H905),IF('Pegar ML'!H906="",0,'Pegar ML'!H906))</f>
        <v>0</v>
      </c>
      <c r="I910" s="14">
        <f>IF('Pegar ML'!C905="Paquete de 2 productos",IF('Pegar ML'!O905="",0,'Pegar ML'!O905),IF('Pegar ML'!O906="",0,'Pegar ML'!O906))</f>
        <v>0</v>
      </c>
      <c r="J910" s="14">
        <f>IF('Pegar ML'!C905="Paquete de 2 productos",IF('Pegar ML'!O905="",0,'Pegar ML'!O905),IF('Pegar ML'!O906="",0,'Pegar ML'!O906))</f>
        <v>0</v>
      </c>
      <c r="K910" s="14">
        <f t="shared" si="44"/>
        <v>0</v>
      </c>
      <c r="L910" s="27">
        <f>IF('Pegar ML'!AB906=" ",'Pegar ML'!AB905,'Pegar ML'!AB906)</f>
        <v>0</v>
      </c>
      <c r="M910" s="27" t="str">
        <f>IF('Pegar ML'!AC906=" ",RIGHT('Pegar ML'!AC905,8),RIGHT('Pegar ML'!AC906,8))</f>
        <v/>
      </c>
      <c r="N910" s="27" t="s">
        <v>80</v>
      </c>
      <c r="O910" s="27">
        <f t="shared" si="42"/>
        <v>0</v>
      </c>
      <c r="P910" s="27" t="s">
        <v>80</v>
      </c>
      <c r="Q910" s="55">
        <f>IF('Pegar ML'!AD906=" ",'Pegar ML'!AD905,'Pegar ML'!AD906)</f>
        <v>0</v>
      </c>
      <c r="R910" s="27" t="s">
        <v>80</v>
      </c>
      <c r="S910" s="27" t="s">
        <v>80</v>
      </c>
      <c r="T910" s="27" t="s">
        <v>80</v>
      </c>
      <c r="U910" s="55">
        <f>IF('Pegar ML'!AI906=" ",'Pegar ML'!AI905,'Pegar ML'!AI906)</f>
        <v>0</v>
      </c>
      <c r="V910" s="55">
        <f>IF('Pegar ML'!AK906=" ",'Pegar ML'!AK905,'Pegar ML'!AK906)</f>
        <v>0</v>
      </c>
      <c r="W910" s="55">
        <f>IF('Pegar ML'!AJ906=" ",'Pegar ML'!AJ905,'Pegar ML'!AJ906)</f>
        <v>0</v>
      </c>
      <c r="X910" s="55">
        <f>IF('Pegar ML'!AL906=" ",'Pegar ML'!AL905,'Pegar ML'!AL906)</f>
        <v>0</v>
      </c>
      <c r="Y910" s="27"/>
      <c r="Z910" s="27"/>
      <c r="AA910" s="27"/>
      <c r="AB910" s="27"/>
      <c r="AC910" s="27"/>
      <c r="AD910" s="27"/>
      <c r="AF910" s="8"/>
      <c r="AG910" s="27"/>
      <c r="AH910" s="14">
        <f>+'Pegar ML'!Y906</f>
        <v>0</v>
      </c>
      <c r="AI910" s="13">
        <f t="shared" si="43"/>
        <v>1</v>
      </c>
      <c r="AJ910" s="7">
        <f>+'Pegar ML'!T906</f>
        <v>0</v>
      </c>
      <c r="AK910" s="27"/>
      <c r="AL910" s="27"/>
      <c r="AM910" s="27"/>
      <c r="AN910" s="27"/>
      <c r="AO910" s="27"/>
      <c r="AP910" s="27"/>
      <c r="AQ910" s="27"/>
      <c r="AR910" s="27"/>
      <c r="AS910" s="27">
        <v>17</v>
      </c>
    </row>
    <row r="911" spans="1:45" ht="15" customHeight="1" x14ac:dyDescent="0.25">
      <c r="A911" s="27">
        <f>IF('Pegar ML'!C906="Paquete de 2 productos",'Pegar ML'!A906,IF('Pegar ML'!C905="Paquete de 2 productos",'Pegar ML'!A905,'Pegar ML'!A907))</f>
        <v>0</v>
      </c>
      <c r="B911" s="27"/>
      <c r="C911" s="30" t="str">
        <f>IF(AjusteFecha!I907=0,"",AjusteFecha!I907)</f>
        <v/>
      </c>
      <c r="D911" s="27"/>
      <c r="E911" s="27"/>
      <c r="F911" s="27" t="str">
        <f>IF('Pegar ML'!C907="","",'Pegar ML'!C907)</f>
        <v/>
      </c>
      <c r="G911" s="27" t="str">
        <f>IF('Pegar ML'!G902="ARS","PS","PS")</f>
        <v>PS</v>
      </c>
      <c r="H911" s="14">
        <f>IF('Pegar ML'!C906="Paquete de 2 productos",IF('Pegar ML'!H906="",0,'Pegar ML'!H906),IF('Pegar ML'!H907="",0,'Pegar ML'!H907))</f>
        <v>0</v>
      </c>
      <c r="I911" s="14">
        <f>IF('Pegar ML'!C906="Paquete de 2 productos",IF('Pegar ML'!O906="",0,'Pegar ML'!O906),IF('Pegar ML'!O907="",0,'Pegar ML'!O907))</f>
        <v>0</v>
      </c>
      <c r="J911" s="14">
        <f>IF('Pegar ML'!C906="Paquete de 2 productos",IF('Pegar ML'!O906="",0,'Pegar ML'!O906),IF('Pegar ML'!O907="",0,'Pegar ML'!O907))</f>
        <v>0</v>
      </c>
      <c r="K911" s="14">
        <f t="shared" si="44"/>
        <v>0</v>
      </c>
      <c r="L911" s="27">
        <f>IF('Pegar ML'!AB907=" ",'Pegar ML'!AB906,'Pegar ML'!AB907)</f>
        <v>0</v>
      </c>
      <c r="M911" s="27" t="str">
        <f>IF('Pegar ML'!AC907=" ",RIGHT('Pegar ML'!AC906,8),RIGHT('Pegar ML'!AC907,8))</f>
        <v/>
      </c>
      <c r="N911" s="27" t="s">
        <v>80</v>
      </c>
      <c r="O911" s="27">
        <f t="shared" si="42"/>
        <v>0</v>
      </c>
      <c r="P911" s="27" t="s">
        <v>80</v>
      </c>
      <c r="Q911" s="55">
        <f>IF('Pegar ML'!AD907=" ",'Pegar ML'!AD906,'Pegar ML'!AD907)</f>
        <v>0</v>
      </c>
      <c r="R911" s="27" t="s">
        <v>80</v>
      </c>
      <c r="S911" s="27" t="s">
        <v>80</v>
      </c>
      <c r="T911" s="27" t="s">
        <v>80</v>
      </c>
      <c r="U911" s="55">
        <f>IF('Pegar ML'!AI907=" ",'Pegar ML'!AI906,'Pegar ML'!AI907)</f>
        <v>0</v>
      </c>
      <c r="V911" s="55">
        <f>IF('Pegar ML'!AK907=" ",'Pegar ML'!AK906,'Pegar ML'!AK907)</f>
        <v>0</v>
      </c>
      <c r="W911" s="55">
        <f>IF('Pegar ML'!AJ907=" ",'Pegar ML'!AJ906,'Pegar ML'!AJ907)</f>
        <v>0</v>
      </c>
      <c r="X911" s="55">
        <f>IF('Pegar ML'!AL907=" ",'Pegar ML'!AL906,'Pegar ML'!AL907)</f>
        <v>0</v>
      </c>
      <c r="Y911" s="27"/>
      <c r="Z911" s="27"/>
      <c r="AA911" s="27"/>
      <c r="AB911" s="27"/>
      <c r="AC911" s="27"/>
      <c r="AD911" s="27"/>
      <c r="AF911" s="8"/>
      <c r="AG911" s="27"/>
      <c r="AH911" s="14">
        <f>+'Pegar ML'!Y907</f>
        <v>0</v>
      </c>
      <c r="AI911" s="13">
        <f t="shared" si="43"/>
        <v>1</v>
      </c>
      <c r="AJ911" s="7">
        <f>+'Pegar ML'!T907</f>
        <v>0</v>
      </c>
      <c r="AK911" s="27"/>
      <c r="AL911" s="27"/>
      <c r="AM911" s="27"/>
      <c r="AN911" s="27"/>
      <c r="AO911" s="27"/>
      <c r="AP911" s="27"/>
      <c r="AQ911" s="27"/>
      <c r="AR911" s="27"/>
      <c r="AS911" s="27">
        <v>17</v>
      </c>
    </row>
    <row r="912" spans="1:45" ht="15" customHeight="1" x14ac:dyDescent="0.25">
      <c r="A912" s="27">
        <f>IF('Pegar ML'!C907="Paquete de 2 productos",'Pegar ML'!A907,IF('Pegar ML'!C906="Paquete de 2 productos",'Pegar ML'!A906,'Pegar ML'!A908))</f>
        <v>0</v>
      </c>
      <c r="B912" s="27"/>
      <c r="C912" s="30" t="str">
        <f>IF(AjusteFecha!I908=0,"",AjusteFecha!I908)</f>
        <v/>
      </c>
      <c r="D912" s="27"/>
      <c r="E912" s="27"/>
      <c r="F912" s="27" t="str">
        <f>IF('Pegar ML'!C908="","",'Pegar ML'!C908)</f>
        <v/>
      </c>
      <c r="G912" s="27" t="str">
        <f>IF('Pegar ML'!G903="ARS","PS","PS")</f>
        <v>PS</v>
      </c>
      <c r="H912" s="14">
        <f>IF('Pegar ML'!C907="Paquete de 2 productos",IF('Pegar ML'!H907="",0,'Pegar ML'!H907),IF('Pegar ML'!H908="",0,'Pegar ML'!H908))</f>
        <v>0</v>
      </c>
      <c r="I912" s="14">
        <f>IF('Pegar ML'!C907="Paquete de 2 productos",IF('Pegar ML'!O907="",0,'Pegar ML'!O907),IF('Pegar ML'!O908="",0,'Pegar ML'!O908))</f>
        <v>0</v>
      </c>
      <c r="J912" s="14">
        <f>IF('Pegar ML'!C907="Paquete de 2 productos",IF('Pegar ML'!O907="",0,'Pegar ML'!O907),IF('Pegar ML'!O908="",0,'Pegar ML'!O908))</f>
        <v>0</v>
      </c>
      <c r="K912" s="14">
        <f t="shared" si="44"/>
        <v>0</v>
      </c>
      <c r="L912" s="27">
        <f>IF('Pegar ML'!AB908=" ",'Pegar ML'!AB907,'Pegar ML'!AB908)</f>
        <v>0</v>
      </c>
      <c r="M912" s="27" t="str">
        <f>IF('Pegar ML'!AC908=" ",RIGHT('Pegar ML'!AC907,8),RIGHT('Pegar ML'!AC908,8))</f>
        <v/>
      </c>
      <c r="N912" s="27" t="s">
        <v>80</v>
      </c>
      <c r="O912" s="27">
        <f t="shared" si="42"/>
        <v>0</v>
      </c>
      <c r="P912" s="27" t="s">
        <v>80</v>
      </c>
      <c r="Q912" s="55">
        <f>IF('Pegar ML'!AD908=" ",'Pegar ML'!AD907,'Pegar ML'!AD908)</f>
        <v>0</v>
      </c>
      <c r="R912" s="27" t="s">
        <v>80</v>
      </c>
      <c r="S912" s="27" t="s">
        <v>80</v>
      </c>
      <c r="T912" s="27" t="s">
        <v>80</v>
      </c>
      <c r="U912" s="55">
        <f>IF('Pegar ML'!AI908=" ",'Pegar ML'!AI907,'Pegar ML'!AI908)</f>
        <v>0</v>
      </c>
      <c r="V912" s="55">
        <f>IF('Pegar ML'!AK908=" ",'Pegar ML'!AK907,'Pegar ML'!AK908)</f>
        <v>0</v>
      </c>
      <c r="W912" s="55">
        <f>IF('Pegar ML'!AJ908=" ",'Pegar ML'!AJ907,'Pegar ML'!AJ908)</f>
        <v>0</v>
      </c>
      <c r="X912" s="55">
        <f>IF('Pegar ML'!AL908=" ",'Pegar ML'!AL907,'Pegar ML'!AL908)</f>
        <v>0</v>
      </c>
      <c r="Y912" s="27"/>
      <c r="Z912" s="27"/>
      <c r="AA912" s="27"/>
      <c r="AB912" s="27"/>
      <c r="AC912" s="27"/>
      <c r="AD912" s="27"/>
      <c r="AF912" s="8"/>
      <c r="AG912" s="27"/>
      <c r="AH912" s="14">
        <f>+'Pegar ML'!Y908</f>
        <v>0</v>
      </c>
      <c r="AI912" s="13">
        <f t="shared" si="43"/>
        <v>1</v>
      </c>
      <c r="AJ912" s="7">
        <f>+'Pegar ML'!T908</f>
        <v>0</v>
      </c>
      <c r="AK912" s="27"/>
      <c r="AL912" s="27"/>
      <c r="AM912" s="27"/>
      <c r="AN912" s="27"/>
      <c r="AO912" s="27"/>
      <c r="AP912" s="27"/>
      <c r="AQ912" s="27"/>
      <c r="AR912" s="27"/>
      <c r="AS912" s="27">
        <v>17</v>
      </c>
    </row>
    <row r="913" spans="1:45" ht="15" customHeight="1" x14ac:dyDescent="0.25">
      <c r="A913" s="27">
        <f>IF('Pegar ML'!C908="Paquete de 2 productos",'Pegar ML'!A908,IF('Pegar ML'!C907="Paquete de 2 productos",'Pegar ML'!A907,'Pegar ML'!A909))</f>
        <v>0</v>
      </c>
      <c r="B913" s="27"/>
      <c r="C913" s="30" t="str">
        <f>IF(AjusteFecha!I909=0,"",AjusteFecha!I909)</f>
        <v/>
      </c>
      <c r="D913" s="27"/>
      <c r="E913" s="27"/>
      <c r="F913" s="27" t="str">
        <f>IF('Pegar ML'!C909="","",'Pegar ML'!C909)</f>
        <v/>
      </c>
      <c r="G913" s="27" t="str">
        <f>IF('Pegar ML'!G904="ARS","PS","PS")</f>
        <v>PS</v>
      </c>
      <c r="H913" s="14">
        <f>IF('Pegar ML'!C908="Paquete de 2 productos",IF('Pegar ML'!H908="",0,'Pegar ML'!H908),IF('Pegar ML'!H909="",0,'Pegar ML'!H909))</f>
        <v>0</v>
      </c>
      <c r="I913" s="14">
        <f>IF('Pegar ML'!C908="Paquete de 2 productos",IF('Pegar ML'!O908="",0,'Pegar ML'!O908),IF('Pegar ML'!O909="",0,'Pegar ML'!O909))</f>
        <v>0</v>
      </c>
      <c r="J913" s="14">
        <f>IF('Pegar ML'!C908="Paquete de 2 productos",IF('Pegar ML'!O908="",0,'Pegar ML'!O908),IF('Pegar ML'!O909="",0,'Pegar ML'!O909))</f>
        <v>0</v>
      </c>
      <c r="K913" s="14">
        <f t="shared" si="44"/>
        <v>0</v>
      </c>
      <c r="L913" s="27">
        <f>IF('Pegar ML'!AB909=" ",'Pegar ML'!AB908,'Pegar ML'!AB909)</f>
        <v>0</v>
      </c>
      <c r="M913" s="27" t="str">
        <f>IF('Pegar ML'!AC909=" ",RIGHT('Pegar ML'!AC908,8),RIGHT('Pegar ML'!AC909,8))</f>
        <v/>
      </c>
      <c r="N913" s="27" t="s">
        <v>80</v>
      </c>
      <c r="O913" s="27">
        <f t="shared" si="42"/>
        <v>0</v>
      </c>
      <c r="P913" s="27" t="s">
        <v>80</v>
      </c>
      <c r="Q913" s="55">
        <f>IF('Pegar ML'!AD909=" ",'Pegar ML'!AD908,'Pegar ML'!AD909)</f>
        <v>0</v>
      </c>
      <c r="R913" s="27" t="s">
        <v>80</v>
      </c>
      <c r="S913" s="27" t="s">
        <v>80</v>
      </c>
      <c r="T913" s="27" t="s">
        <v>80</v>
      </c>
      <c r="U913" s="55">
        <f>IF('Pegar ML'!AI909=" ",'Pegar ML'!AI908,'Pegar ML'!AI909)</f>
        <v>0</v>
      </c>
      <c r="V913" s="55">
        <f>IF('Pegar ML'!AK909=" ",'Pegar ML'!AK908,'Pegar ML'!AK909)</f>
        <v>0</v>
      </c>
      <c r="W913" s="55">
        <f>IF('Pegar ML'!AJ909=" ",'Pegar ML'!AJ908,'Pegar ML'!AJ909)</f>
        <v>0</v>
      </c>
      <c r="X913" s="55">
        <f>IF('Pegar ML'!AL909=" ",'Pegar ML'!AL908,'Pegar ML'!AL909)</f>
        <v>0</v>
      </c>
      <c r="Y913" s="27"/>
      <c r="Z913" s="27"/>
      <c r="AA913" s="27"/>
      <c r="AB913" s="27"/>
      <c r="AC913" s="27"/>
      <c r="AD913" s="27"/>
      <c r="AF913" s="8"/>
      <c r="AG913" s="27"/>
      <c r="AH913" s="14">
        <f>+'Pegar ML'!Y909</f>
        <v>0</v>
      </c>
      <c r="AI913" s="13">
        <f t="shared" si="43"/>
        <v>1</v>
      </c>
      <c r="AJ913" s="7">
        <f>+'Pegar ML'!T909</f>
        <v>0</v>
      </c>
      <c r="AK913" s="27"/>
      <c r="AL913" s="27"/>
      <c r="AM913" s="27"/>
      <c r="AN913" s="27"/>
      <c r="AO913" s="27"/>
      <c r="AP913" s="27"/>
      <c r="AQ913" s="27"/>
      <c r="AR913" s="27"/>
      <c r="AS913" s="27">
        <v>17</v>
      </c>
    </row>
    <row r="914" spans="1:45" ht="15" customHeight="1" x14ac:dyDescent="0.25">
      <c r="A914" s="27">
        <f>IF('Pegar ML'!C909="Paquete de 2 productos",'Pegar ML'!A909,IF('Pegar ML'!C908="Paquete de 2 productos",'Pegar ML'!A908,'Pegar ML'!A910))</f>
        <v>0</v>
      </c>
      <c r="B914" s="27"/>
      <c r="C914" s="30" t="str">
        <f>IF(AjusteFecha!I910=0,"",AjusteFecha!I910)</f>
        <v/>
      </c>
      <c r="D914" s="27"/>
      <c r="E914" s="27"/>
      <c r="F914" s="27" t="str">
        <f>IF('Pegar ML'!C910="","",'Pegar ML'!C910)</f>
        <v/>
      </c>
      <c r="G914" s="27" t="str">
        <f>IF('Pegar ML'!G905="ARS","PS","PS")</f>
        <v>PS</v>
      </c>
      <c r="H914" s="14">
        <f>IF('Pegar ML'!C909="Paquete de 2 productos",IF('Pegar ML'!H909="",0,'Pegar ML'!H909),IF('Pegar ML'!H910="",0,'Pegar ML'!H910))</f>
        <v>0</v>
      </c>
      <c r="I914" s="14">
        <f>IF('Pegar ML'!C909="Paquete de 2 productos",IF('Pegar ML'!O909="",0,'Pegar ML'!O909),IF('Pegar ML'!O910="",0,'Pegar ML'!O910))</f>
        <v>0</v>
      </c>
      <c r="J914" s="14">
        <f>IF('Pegar ML'!C909="Paquete de 2 productos",IF('Pegar ML'!O909="",0,'Pegar ML'!O909),IF('Pegar ML'!O910="",0,'Pegar ML'!O910))</f>
        <v>0</v>
      </c>
      <c r="K914" s="14">
        <f t="shared" si="44"/>
        <v>0</v>
      </c>
      <c r="L914" s="27">
        <f>IF('Pegar ML'!AB910=" ",'Pegar ML'!AB909,'Pegar ML'!AB910)</f>
        <v>0</v>
      </c>
      <c r="M914" s="27" t="str">
        <f>IF('Pegar ML'!AC910=" ",RIGHT('Pegar ML'!AC909,8),RIGHT('Pegar ML'!AC910,8))</f>
        <v/>
      </c>
      <c r="N914" s="27" t="s">
        <v>80</v>
      </c>
      <c r="O914" s="27">
        <f t="shared" si="42"/>
        <v>0</v>
      </c>
      <c r="P914" s="27" t="s">
        <v>80</v>
      </c>
      <c r="Q914" s="55">
        <f>IF('Pegar ML'!AD910=" ",'Pegar ML'!AD909,'Pegar ML'!AD910)</f>
        <v>0</v>
      </c>
      <c r="R914" s="27" t="s">
        <v>80</v>
      </c>
      <c r="S914" s="27" t="s">
        <v>80</v>
      </c>
      <c r="T914" s="27" t="s">
        <v>80</v>
      </c>
      <c r="U914" s="55">
        <f>IF('Pegar ML'!AI910=" ",'Pegar ML'!AI909,'Pegar ML'!AI910)</f>
        <v>0</v>
      </c>
      <c r="V914" s="55">
        <f>IF('Pegar ML'!AK910=" ",'Pegar ML'!AK909,'Pegar ML'!AK910)</f>
        <v>0</v>
      </c>
      <c r="W914" s="55">
        <f>IF('Pegar ML'!AJ910=" ",'Pegar ML'!AJ909,'Pegar ML'!AJ910)</f>
        <v>0</v>
      </c>
      <c r="X914" s="55">
        <f>IF('Pegar ML'!AL910=" ",'Pegar ML'!AL909,'Pegar ML'!AL910)</f>
        <v>0</v>
      </c>
      <c r="Y914" s="27"/>
      <c r="Z914" s="27"/>
      <c r="AA914" s="27"/>
      <c r="AB914" s="27"/>
      <c r="AC914" s="27"/>
      <c r="AD914" s="27"/>
      <c r="AF914" s="8"/>
      <c r="AG914" s="27"/>
      <c r="AH914" s="14">
        <f>+'Pegar ML'!Y910</f>
        <v>0</v>
      </c>
      <c r="AI914" s="13">
        <f t="shared" si="43"/>
        <v>1</v>
      </c>
      <c r="AJ914" s="7">
        <f>+'Pegar ML'!T910</f>
        <v>0</v>
      </c>
      <c r="AK914" s="27"/>
      <c r="AL914" s="27"/>
      <c r="AM914" s="27"/>
      <c r="AN914" s="27"/>
      <c r="AO914" s="27"/>
      <c r="AP914" s="27"/>
      <c r="AQ914" s="27"/>
      <c r="AR914" s="27"/>
      <c r="AS914" s="27">
        <v>17</v>
      </c>
    </row>
    <row r="915" spans="1:45" ht="15" customHeight="1" x14ac:dyDescent="0.25">
      <c r="A915" s="27">
        <f>IF('Pegar ML'!C910="Paquete de 2 productos",'Pegar ML'!A910,IF('Pegar ML'!C909="Paquete de 2 productos",'Pegar ML'!A909,'Pegar ML'!A911))</f>
        <v>0</v>
      </c>
      <c r="B915" s="27"/>
      <c r="C915" s="30" t="str">
        <f>IF(AjusteFecha!I911=0,"",AjusteFecha!I911)</f>
        <v/>
      </c>
      <c r="D915" s="27"/>
      <c r="E915" s="27"/>
      <c r="F915" s="27" t="str">
        <f>IF('Pegar ML'!C911="","",'Pegar ML'!C911)</f>
        <v/>
      </c>
      <c r="G915" s="27" t="str">
        <f>IF('Pegar ML'!G906="ARS","PS","PS")</f>
        <v>PS</v>
      </c>
      <c r="H915" s="14">
        <f>IF('Pegar ML'!C910="Paquete de 2 productos",IF('Pegar ML'!H910="",0,'Pegar ML'!H910),IF('Pegar ML'!H911="",0,'Pegar ML'!H911))</f>
        <v>0</v>
      </c>
      <c r="I915" s="14">
        <f>IF('Pegar ML'!C910="Paquete de 2 productos",IF('Pegar ML'!O910="",0,'Pegar ML'!O910),IF('Pegar ML'!O911="",0,'Pegar ML'!O911))</f>
        <v>0</v>
      </c>
      <c r="J915" s="14">
        <f>IF('Pegar ML'!C910="Paquete de 2 productos",IF('Pegar ML'!O910="",0,'Pegar ML'!O910),IF('Pegar ML'!O911="",0,'Pegar ML'!O911))</f>
        <v>0</v>
      </c>
      <c r="K915" s="14">
        <f t="shared" si="44"/>
        <v>0</v>
      </c>
      <c r="L915" s="27">
        <f>IF('Pegar ML'!AB911=" ",'Pegar ML'!AB910,'Pegar ML'!AB911)</f>
        <v>0</v>
      </c>
      <c r="M915" s="27" t="str">
        <f>IF('Pegar ML'!AC911=" ",RIGHT('Pegar ML'!AC910,8),RIGHT('Pegar ML'!AC911,8))</f>
        <v/>
      </c>
      <c r="N915" s="27" t="s">
        <v>80</v>
      </c>
      <c r="O915" s="27">
        <f t="shared" si="42"/>
        <v>0</v>
      </c>
      <c r="P915" s="27" t="s">
        <v>80</v>
      </c>
      <c r="Q915" s="55">
        <f>IF('Pegar ML'!AD911=" ",'Pegar ML'!AD910,'Pegar ML'!AD911)</f>
        <v>0</v>
      </c>
      <c r="R915" s="27" t="s">
        <v>80</v>
      </c>
      <c r="S915" s="27" t="s">
        <v>80</v>
      </c>
      <c r="T915" s="27" t="s">
        <v>80</v>
      </c>
      <c r="U915" s="55">
        <f>IF('Pegar ML'!AI911=" ",'Pegar ML'!AI910,'Pegar ML'!AI911)</f>
        <v>0</v>
      </c>
      <c r="V915" s="55">
        <f>IF('Pegar ML'!AK911=" ",'Pegar ML'!AK910,'Pegar ML'!AK911)</f>
        <v>0</v>
      </c>
      <c r="W915" s="55">
        <f>IF('Pegar ML'!AJ911=" ",'Pegar ML'!AJ910,'Pegar ML'!AJ911)</f>
        <v>0</v>
      </c>
      <c r="X915" s="55">
        <f>IF('Pegar ML'!AL911=" ",'Pegar ML'!AL910,'Pegar ML'!AL911)</f>
        <v>0</v>
      </c>
      <c r="Y915" s="27"/>
      <c r="Z915" s="27"/>
      <c r="AA915" s="27"/>
      <c r="AB915" s="27"/>
      <c r="AC915" s="27"/>
      <c r="AD915" s="27"/>
      <c r="AF915" s="8"/>
      <c r="AG915" s="27"/>
      <c r="AH915" s="14">
        <f>+'Pegar ML'!Y911</f>
        <v>0</v>
      </c>
      <c r="AI915" s="13">
        <f t="shared" si="43"/>
        <v>1</v>
      </c>
      <c r="AJ915" s="7">
        <f>+'Pegar ML'!T911</f>
        <v>0</v>
      </c>
      <c r="AK915" s="27"/>
      <c r="AL915" s="27"/>
      <c r="AM915" s="27"/>
      <c r="AN915" s="27"/>
      <c r="AO915" s="27"/>
      <c r="AP915" s="27"/>
      <c r="AQ915" s="27"/>
      <c r="AR915" s="27"/>
      <c r="AS915" s="27">
        <v>17</v>
      </c>
    </row>
    <row r="916" spans="1:45" ht="15" customHeight="1" x14ac:dyDescent="0.25">
      <c r="A916" s="27">
        <f>IF('Pegar ML'!C911="Paquete de 2 productos",'Pegar ML'!A911,IF('Pegar ML'!C910="Paquete de 2 productos",'Pegar ML'!A910,'Pegar ML'!A912))</f>
        <v>0</v>
      </c>
      <c r="B916" s="27"/>
      <c r="C916" s="30" t="str">
        <f>IF(AjusteFecha!I912=0,"",AjusteFecha!I912)</f>
        <v/>
      </c>
      <c r="D916" s="27"/>
      <c r="E916" s="27"/>
      <c r="F916" s="27" t="str">
        <f>IF('Pegar ML'!C912="","",'Pegar ML'!C912)</f>
        <v/>
      </c>
      <c r="G916" s="27" t="str">
        <f>IF('Pegar ML'!G907="ARS","PS","PS")</f>
        <v>PS</v>
      </c>
      <c r="H916" s="14">
        <f>IF('Pegar ML'!C911="Paquete de 2 productos",IF('Pegar ML'!H911="",0,'Pegar ML'!H911),IF('Pegar ML'!H912="",0,'Pegar ML'!H912))</f>
        <v>0</v>
      </c>
      <c r="I916" s="14">
        <f>IF('Pegar ML'!C911="Paquete de 2 productos",IF('Pegar ML'!O911="",0,'Pegar ML'!O911),IF('Pegar ML'!O912="",0,'Pegar ML'!O912))</f>
        <v>0</v>
      </c>
      <c r="J916" s="14">
        <f>IF('Pegar ML'!C911="Paquete de 2 productos",IF('Pegar ML'!O911="",0,'Pegar ML'!O911),IF('Pegar ML'!O912="",0,'Pegar ML'!O912))</f>
        <v>0</v>
      </c>
      <c r="K916" s="14">
        <f t="shared" si="44"/>
        <v>0</v>
      </c>
      <c r="L916" s="27">
        <f>IF('Pegar ML'!AB912=" ",'Pegar ML'!AB911,'Pegar ML'!AB912)</f>
        <v>0</v>
      </c>
      <c r="M916" s="27" t="str">
        <f>IF('Pegar ML'!AC912=" ",RIGHT('Pegar ML'!AC911,8),RIGHT('Pegar ML'!AC912,8))</f>
        <v/>
      </c>
      <c r="N916" s="27" t="s">
        <v>80</v>
      </c>
      <c r="O916" s="27">
        <f t="shared" si="42"/>
        <v>0</v>
      </c>
      <c r="P916" s="27" t="s">
        <v>80</v>
      </c>
      <c r="Q916" s="55">
        <f>IF('Pegar ML'!AD912=" ",'Pegar ML'!AD911,'Pegar ML'!AD912)</f>
        <v>0</v>
      </c>
      <c r="R916" s="27" t="s">
        <v>80</v>
      </c>
      <c r="S916" s="27" t="s">
        <v>80</v>
      </c>
      <c r="T916" s="27" t="s">
        <v>80</v>
      </c>
      <c r="U916" s="55">
        <f>IF('Pegar ML'!AI912=" ",'Pegar ML'!AI911,'Pegar ML'!AI912)</f>
        <v>0</v>
      </c>
      <c r="V916" s="55">
        <f>IF('Pegar ML'!AK912=" ",'Pegar ML'!AK911,'Pegar ML'!AK912)</f>
        <v>0</v>
      </c>
      <c r="W916" s="55">
        <f>IF('Pegar ML'!AJ912=" ",'Pegar ML'!AJ911,'Pegar ML'!AJ912)</f>
        <v>0</v>
      </c>
      <c r="X916" s="55">
        <f>IF('Pegar ML'!AL912=" ",'Pegar ML'!AL911,'Pegar ML'!AL912)</f>
        <v>0</v>
      </c>
      <c r="Y916" s="27"/>
      <c r="Z916" s="27"/>
      <c r="AA916" s="27"/>
      <c r="AB916" s="27"/>
      <c r="AC916" s="27"/>
      <c r="AD916" s="27"/>
      <c r="AF916" s="8"/>
      <c r="AG916" s="27"/>
      <c r="AH916" s="14">
        <f>+'Pegar ML'!Y912</f>
        <v>0</v>
      </c>
      <c r="AI916" s="13">
        <f t="shared" si="43"/>
        <v>1</v>
      </c>
      <c r="AJ916" s="7">
        <f>+'Pegar ML'!T912</f>
        <v>0</v>
      </c>
      <c r="AK916" s="27"/>
      <c r="AL916" s="27"/>
      <c r="AM916" s="27"/>
      <c r="AN916" s="27"/>
      <c r="AO916" s="27"/>
      <c r="AP916" s="27"/>
      <c r="AQ916" s="27"/>
      <c r="AR916" s="27"/>
      <c r="AS916" s="27">
        <v>17</v>
      </c>
    </row>
    <row r="917" spans="1:45" ht="15" customHeight="1" x14ac:dyDescent="0.25">
      <c r="A917" s="27">
        <f>IF('Pegar ML'!C912="Paquete de 2 productos",'Pegar ML'!A912,IF('Pegar ML'!C911="Paquete de 2 productos",'Pegar ML'!A911,'Pegar ML'!A913))</f>
        <v>0</v>
      </c>
      <c r="B917" s="27"/>
      <c r="C917" s="30" t="str">
        <f>IF(AjusteFecha!I913=0,"",AjusteFecha!I913)</f>
        <v/>
      </c>
      <c r="D917" s="27"/>
      <c r="E917" s="27"/>
      <c r="F917" s="27" t="str">
        <f>IF('Pegar ML'!C913="","",'Pegar ML'!C913)</f>
        <v/>
      </c>
      <c r="G917" s="27" t="str">
        <f>IF('Pegar ML'!G908="ARS","PS","PS")</f>
        <v>PS</v>
      </c>
      <c r="H917" s="14">
        <f>IF('Pegar ML'!C912="Paquete de 2 productos",IF('Pegar ML'!H912="",0,'Pegar ML'!H912),IF('Pegar ML'!H913="",0,'Pegar ML'!H913))</f>
        <v>0</v>
      </c>
      <c r="I917" s="14">
        <f>IF('Pegar ML'!C912="Paquete de 2 productos",IF('Pegar ML'!O912="",0,'Pegar ML'!O912),IF('Pegar ML'!O913="",0,'Pegar ML'!O913))</f>
        <v>0</v>
      </c>
      <c r="J917" s="14">
        <f>IF('Pegar ML'!C912="Paquete de 2 productos",IF('Pegar ML'!O912="",0,'Pegar ML'!O912),IF('Pegar ML'!O913="",0,'Pegar ML'!O913))</f>
        <v>0</v>
      </c>
      <c r="K917" s="14">
        <f t="shared" si="44"/>
        <v>0</v>
      </c>
      <c r="L917" s="27">
        <f>IF('Pegar ML'!AB913=" ",'Pegar ML'!AB912,'Pegar ML'!AB913)</f>
        <v>0</v>
      </c>
      <c r="M917" s="27" t="str">
        <f>IF('Pegar ML'!AC913=" ",RIGHT('Pegar ML'!AC912,8),RIGHT('Pegar ML'!AC913,8))</f>
        <v/>
      </c>
      <c r="N917" s="27" t="s">
        <v>80</v>
      </c>
      <c r="O917" s="27">
        <f t="shared" si="42"/>
        <v>0</v>
      </c>
      <c r="P917" s="27" t="s">
        <v>80</v>
      </c>
      <c r="Q917" s="55">
        <f>IF('Pegar ML'!AD913=" ",'Pegar ML'!AD912,'Pegar ML'!AD913)</f>
        <v>0</v>
      </c>
      <c r="R917" s="27" t="s">
        <v>80</v>
      </c>
      <c r="S917" s="27" t="s">
        <v>80</v>
      </c>
      <c r="T917" s="27" t="s">
        <v>80</v>
      </c>
      <c r="U917" s="55">
        <f>IF('Pegar ML'!AI913=" ",'Pegar ML'!AI912,'Pegar ML'!AI913)</f>
        <v>0</v>
      </c>
      <c r="V917" s="55">
        <f>IF('Pegar ML'!AK913=" ",'Pegar ML'!AK912,'Pegar ML'!AK913)</f>
        <v>0</v>
      </c>
      <c r="W917" s="55">
        <f>IF('Pegar ML'!AJ913=" ",'Pegar ML'!AJ912,'Pegar ML'!AJ913)</f>
        <v>0</v>
      </c>
      <c r="X917" s="55">
        <f>IF('Pegar ML'!AL913=" ",'Pegar ML'!AL912,'Pegar ML'!AL913)</f>
        <v>0</v>
      </c>
      <c r="Y917" s="27"/>
      <c r="Z917" s="27"/>
      <c r="AA917" s="27"/>
      <c r="AB917" s="27"/>
      <c r="AC917" s="27"/>
      <c r="AD917" s="27"/>
      <c r="AF917" s="8"/>
      <c r="AG917" s="27"/>
      <c r="AH917" s="14">
        <f>+'Pegar ML'!Y913</f>
        <v>0</v>
      </c>
      <c r="AI917" s="13">
        <f t="shared" si="43"/>
        <v>1</v>
      </c>
      <c r="AJ917" s="7">
        <f>+'Pegar ML'!T913</f>
        <v>0</v>
      </c>
      <c r="AK917" s="27"/>
      <c r="AL917" s="27"/>
      <c r="AM917" s="27"/>
      <c r="AN917" s="27"/>
      <c r="AO917" s="27"/>
      <c r="AP917" s="27"/>
      <c r="AQ917" s="27"/>
      <c r="AR917" s="27"/>
      <c r="AS917" s="27">
        <v>17</v>
      </c>
    </row>
    <row r="918" spans="1:45" ht="15" customHeight="1" x14ac:dyDescent="0.25">
      <c r="A918" s="27">
        <f>IF('Pegar ML'!C913="Paquete de 2 productos",'Pegar ML'!A913,IF('Pegar ML'!C912="Paquete de 2 productos",'Pegar ML'!A912,'Pegar ML'!A914))</f>
        <v>0</v>
      </c>
      <c r="B918" s="27"/>
      <c r="C918" s="30" t="str">
        <f>IF(AjusteFecha!I914=0,"",AjusteFecha!I914)</f>
        <v/>
      </c>
      <c r="D918" s="27"/>
      <c r="E918" s="27"/>
      <c r="F918" s="27" t="str">
        <f>IF('Pegar ML'!C914="","",'Pegar ML'!C914)</f>
        <v/>
      </c>
      <c r="G918" s="27" t="str">
        <f>IF('Pegar ML'!G909="ARS","PS","PS")</f>
        <v>PS</v>
      </c>
      <c r="H918" s="14">
        <f>IF('Pegar ML'!C913="Paquete de 2 productos",IF('Pegar ML'!H913="",0,'Pegar ML'!H913),IF('Pegar ML'!H914="",0,'Pegar ML'!H914))</f>
        <v>0</v>
      </c>
      <c r="I918" s="14">
        <f>IF('Pegar ML'!C913="Paquete de 2 productos",IF('Pegar ML'!O913="",0,'Pegar ML'!O913),IF('Pegar ML'!O914="",0,'Pegar ML'!O914))</f>
        <v>0</v>
      </c>
      <c r="J918" s="14">
        <f>IF('Pegar ML'!C913="Paquete de 2 productos",IF('Pegar ML'!O913="",0,'Pegar ML'!O913),IF('Pegar ML'!O914="",0,'Pegar ML'!O914))</f>
        <v>0</v>
      </c>
      <c r="K918" s="14">
        <f t="shared" si="44"/>
        <v>0</v>
      </c>
      <c r="L918" s="27">
        <f>IF('Pegar ML'!AB914=" ",'Pegar ML'!AB913,'Pegar ML'!AB914)</f>
        <v>0</v>
      </c>
      <c r="M918" s="27" t="str">
        <f>IF('Pegar ML'!AC914=" ",RIGHT('Pegar ML'!AC913,8),RIGHT('Pegar ML'!AC914,8))</f>
        <v/>
      </c>
      <c r="N918" s="27" t="s">
        <v>80</v>
      </c>
      <c r="O918" s="27">
        <f t="shared" si="42"/>
        <v>0</v>
      </c>
      <c r="P918" s="27" t="s">
        <v>80</v>
      </c>
      <c r="Q918" s="55">
        <f>IF('Pegar ML'!AD914=" ",'Pegar ML'!AD913,'Pegar ML'!AD914)</f>
        <v>0</v>
      </c>
      <c r="R918" s="27" t="s">
        <v>80</v>
      </c>
      <c r="S918" s="27" t="s">
        <v>80</v>
      </c>
      <c r="T918" s="27" t="s">
        <v>80</v>
      </c>
      <c r="U918" s="55">
        <f>IF('Pegar ML'!AI914=" ",'Pegar ML'!AI913,'Pegar ML'!AI914)</f>
        <v>0</v>
      </c>
      <c r="V918" s="55">
        <f>IF('Pegar ML'!AK914=" ",'Pegar ML'!AK913,'Pegar ML'!AK914)</f>
        <v>0</v>
      </c>
      <c r="W918" s="55">
        <f>IF('Pegar ML'!AJ914=" ",'Pegar ML'!AJ913,'Pegar ML'!AJ914)</f>
        <v>0</v>
      </c>
      <c r="X918" s="55">
        <f>IF('Pegar ML'!AL914=" ",'Pegar ML'!AL913,'Pegar ML'!AL914)</f>
        <v>0</v>
      </c>
      <c r="Y918" s="27"/>
      <c r="Z918" s="27"/>
      <c r="AA918" s="27"/>
      <c r="AB918" s="27"/>
      <c r="AC918" s="27"/>
      <c r="AD918" s="27"/>
      <c r="AF918" s="8"/>
      <c r="AG918" s="27"/>
      <c r="AH918" s="14">
        <f>+'Pegar ML'!Y914</f>
        <v>0</v>
      </c>
      <c r="AI918" s="13">
        <f t="shared" si="43"/>
        <v>1</v>
      </c>
      <c r="AJ918" s="7">
        <f>+'Pegar ML'!T914</f>
        <v>0</v>
      </c>
      <c r="AK918" s="27"/>
      <c r="AL918" s="27"/>
      <c r="AM918" s="27"/>
      <c r="AN918" s="27"/>
      <c r="AO918" s="27"/>
      <c r="AP918" s="27"/>
      <c r="AQ918" s="27"/>
      <c r="AR918" s="27"/>
      <c r="AS918" s="27">
        <v>17</v>
      </c>
    </row>
    <row r="919" spans="1:45" ht="15" customHeight="1" x14ac:dyDescent="0.25">
      <c r="A919" s="27">
        <f>IF('Pegar ML'!C914="Paquete de 2 productos",'Pegar ML'!A914,IF('Pegar ML'!C913="Paquete de 2 productos",'Pegar ML'!A913,'Pegar ML'!A915))</f>
        <v>0</v>
      </c>
      <c r="B919" s="27"/>
      <c r="C919" s="30" t="str">
        <f>IF(AjusteFecha!I915=0,"",AjusteFecha!I915)</f>
        <v/>
      </c>
      <c r="D919" s="27"/>
      <c r="E919" s="27"/>
      <c r="F919" s="27" t="str">
        <f>IF('Pegar ML'!C915="","",'Pegar ML'!C915)</f>
        <v/>
      </c>
      <c r="G919" s="27" t="str">
        <f>IF('Pegar ML'!G910="ARS","PS","PS")</f>
        <v>PS</v>
      </c>
      <c r="H919" s="14">
        <f>IF('Pegar ML'!C914="Paquete de 2 productos",IF('Pegar ML'!H914="",0,'Pegar ML'!H914),IF('Pegar ML'!H915="",0,'Pegar ML'!H915))</f>
        <v>0</v>
      </c>
      <c r="I919" s="14">
        <f>IF('Pegar ML'!C914="Paquete de 2 productos",IF('Pegar ML'!O914="",0,'Pegar ML'!O914),IF('Pegar ML'!O915="",0,'Pegar ML'!O915))</f>
        <v>0</v>
      </c>
      <c r="J919" s="14">
        <f>IF('Pegar ML'!C914="Paquete de 2 productos",IF('Pegar ML'!O914="",0,'Pegar ML'!O914),IF('Pegar ML'!O915="",0,'Pegar ML'!O915))</f>
        <v>0</v>
      </c>
      <c r="K919" s="14">
        <f t="shared" si="44"/>
        <v>0</v>
      </c>
      <c r="L919" s="27">
        <f>IF('Pegar ML'!AB915=" ",'Pegar ML'!AB914,'Pegar ML'!AB915)</f>
        <v>0</v>
      </c>
      <c r="M919" s="27" t="str">
        <f>IF('Pegar ML'!AC915=" ",RIGHT('Pegar ML'!AC914,8),RIGHT('Pegar ML'!AC915,8))</f>
        <v/>
      </c>
      <c r="N919" s="27" t="s">
        <v>80</v>
      </c>
      <c r="O919" s="27">
        <f t="shared" si="42"/>
        <v>0</v>
      </c>
      <c r="P919" s="27" t="s">
        <v>80</v>
      </c>
      <c r="Q919" s="55">
        <f>IF('Pegar ML'!AD915=" ",'Pegar ML'!AD914,'Pegar ML'!AD915)</f>
        <v>0</v>
      </c>
      <c r="R919" s="27" t="s">
        <v>80</v>
      </c>
      <c r="S919" s="27" t="s">
        <v>80</v>
      </c>
      <c r="T919" s="27" t="s">
        <v>80</v>
      </c>
      <c r="U919" s="55">
        <f>IF('Pegar ML'!AI915=" ",'Pegar ML'!AI914,'Pegar ML'!AI915)</f>
        <v>0</v>
      </c>
      <c r="V919" s="55">
        <f>IF('Pegar ML'!AK915=" ",'Pegar ML'!AK914,'Pegar ML'!AK915)</f>
        <v>0</v>
      </c>
      <c r="W919" s="55">
        <f>IF('Pegar ML'!AJ915=" ",'Pegar ML'!AJ914,'Pegar ML'!AJ915)</f>
        <v>0</v>
      </c>
      <c r="X919" s="55">
        <f>IF('Pegar ML'!AL915=" ",'Pegar ML'!AL914,'Pegar ML'!AL915)</f>
        <v>0</v>
      </c>
      <c r="Y919" s="27"/>
      <c r="Z919" s="27"/>
      <c r="AA919" s="27"/>
      <c r="AB919" s="27"/>
      <c r="AC919" s="27"/>
      <c r="AD919" s="27"/>
      <c r="AF919" s="8"/>
      <c r="AG919" s="27"/>
      <c r="AH919" s="14">
        <f>+'Pegar ML'!Y915</f>
        <v>0</v>
      </c>
      <c r="AI919" s="13">
        <f t="shared" si="43"/>
        <v>1</v>
      </c>
      <c r="AJ919" s="7">
        <f>+'Pegar ML'!T915</f>
        <v>0</v>
      </c>
      <c r="AK919" s="27"/>
      <c r="AL919" s="27"/>
      <c r="AM919" s="27"/>
      <c r="AN919" s="27"/>
      <c r="AO919" s="27"/>
      <c r="AP919" s="27"/>
      <c r="AQ919" s="27"/>
      <c r="AR919" s="27"/>
      <c r="AS919" s="27">
        <v>17</v>
      </c>
    </row>
    <row r="920" spans="1:45" ht="15" customHeight="1" x14ac:dyDescent="0.25">
      <c r="A920" s="27">
        <f>IF('Pegar ML'!C915="Paquete de 2 productos",'Pegar ML'!A915,IF('Pegar ML'!C914="Paquete de 2 productos",'Pegar ML'!A914,'Pegar ML'!A916))</f>
        <v>0</v>
      </c>
      <c r="B920" s="27"/>
      <c r="C920" s="30" t="str">
        <f>IF(AjusteFecha!I916=0,"",AjusteFecha!I916)</f>
        <v/>
      </c>
      <c r="D920" s="27"/>
      <c r="E920" s="27"/>
      <c r="F920" s="27" t="str">
        <f>IF('Pegar ML'!C916="","",'Pegar ML'!C916)</f>
        <v/>
      </c>
      <c r="G920" s="27" t="str">
        <f>IF('Pegar ML'!G911="ARS","PS","PS")</f>
        <v>PS</v>
      </c>
      <c r="H920" s="14">
        <f>IF('Pegar ML'!C915="Paquete de 2 productos",IF('Pegar ML'!H915="",0,'Pegar ML'!H915),IF('Pegar ML'!H916="",0,'Pegar ML'!H916))</f>
        <v>0</v>
      </c>
      <c r="I920" s="14">
        <f>IF('Pegar ML'!C915="Paquete de 2 productos",IF('Pegar ML'!O915="",0,'Pegar ML'!O915),IF('Pegar ML'!O916="",0,'Pegar ML'!O916))</f>
        <v>0</v>
      </c>
      <c r="J920" s="14">
        <f>IF('Pegar ML'!C915="Paquete de 2 productos",IF('Pegar ML'!O915="",0,'Pegar ML'!O915),IF('Pegar ML'!O916="",0,'Pegar ML'!O916))</f>
        <v>0</v>
      </c>
      <c r="K920" s="14">
        <f t="shared" si="44"/>
        <v>0</v>
      </c>
      <c r="L920" s="27">
        <f>IF('Pegar ML'!AB916=" ",'Pegar ML'!AB915,'Pegar ML'!AB916)</f>
        <v>0</v>
      </c>
      <c r="M920" s="27" t="str">
        <f>IF('Pegar ML'!AC916=" ",RIGHT('Pegar ML'!AC915,8),RIGHT('Pegar ML'!AC916,8))</f>
        <v/>
      </c>
      <c r="N920" s="27" t="s">
        <v>80</v>
      </c>
      <c r="O920" s="27">
        <f t="shared" si="42"/>
        <v>0</v>
      </c>
      <c r="P920" s="27" t="s">
        <v>80</v>
      </c>
      <c r="Q920" s="55">
        <f>IF('Pegar ML'!AD916=" ",'Pegar ML'!AD915,'Pegar ML'!AD916)</f>
        <v>0</v>
      </c>
      <c r="R920" s="27" t="s">
        <v>80</v>
      </c>
      <c r="S920" s="27" t="s">
        <v>80</v>
      </c>
      <c r="T920" s="27" t="s">
        <v>80</v>
      </c>
      <c r="U920" s="55">
        <f>IF('Pegar ML'!AI916=" ",'Pegar ML'!AI915,'Pegar ML'!AI916)</f>
        <v>0</v>
      </c>
      <c r="V920" s="55">
        <f>IF('Pegar ML'!AK916=" ",'Pegar ML'!AK915,'Pegar ML'!AK916)</f>
        <v>0</v>
      </c>
      <c r="W920" s="55">
        <f>IF('Pegar ML'!AJ916=" ",'Pegar ML'!AJ915,'Pegar ML'!AJ916)</f>
        <v>0</v>
      </c>
      <c r="X920" s="55">
        <f>IF('Pegar ML'!AL916=" ",'Pegar ML'!AL915,'Pegar ML'!AL916)</f>
        <v>0</v>
      </c>
      <c r="Y920" s="27"/>
      <c r="Z920" s="27"/>
      <c r="AA920" s="27"/>
      <c r="AB920" s="27"/>
      <c r="AC920" s="27"/>
      <c r="AD920" s="27"/>
      <c r="AF920" s="8"/>
      <c r="AG920" s="27"/>
      <c r="AH920" s="14">
        <f>+'Pegar ML'!Y916</f>
        <v>0</v>
      </c>
      <c r="AI920" s="13">
        <f t="shared" si="43"/>
        <v>1</v>
      </c>
      <c r="AJ920" s="7">
        <f>+'Pegar ML'!T916</f>
        <v>0</v>
      </c>
      <c r="AK920" s="27"/>
      <c r="AL920" s="27"/>
      <c r="AM920" s="27"/>
      <c r="AN920" s="27"/>
      <c r="AO920" s="27"/>
      <c r="AP920" s="27"/>
      <c r="AQ920" s="27"/>
      <c r="AR920" s="27"/>
      <c r="AS920" s="27">
        <v>17</v>
      </c>
    </row>
    <row r="921" spans="1:45" ht="15" customHeight="1" x14ac:dyDescent="0.25">
      <c r="A921" s="27">
        <f>IF('Pegar ML'!C916="Paquete de 2 productos",'Pegar ML'!A916,IF('Pegar ML'!C915="Paquete de 2 productos",'Pegar ML'!A915,'Pegar ML'!A917))</f>
        <v>0</v>
      </c>
      <c r="B921" s="27"/>
      <c r="C921" s="30" t="str">
        <f>IF(AjusteFecha!I917=0,"",AjusteFecha!I917)</f>
        <v/>
      </c>
      <c r="D921" s="27"/>
      <c r="E921" s="27"/>
      <c r="F921" s="27" t="str">
        <f>IF('Pegar ML'!C917="","",'Pegar ML'!C917)</f>
        <v/>
      </c>
      <c r="G921" s="27" t="str">
        <f>IF('Pegar ML'!G912="ARS","PS","PS")</f>
        <v>PS</v>
      </c>
      <c r="H921" s="14">
        <f>IF('Pegar ML'!C916="Paquete de 2 productos",IF('Pegar ML'!H916="",0,'Pegar ML'!H916),IF('Pegar ML'!H917="",0,'Pegar ML'!H917))</f>
        <v>0</v>
      </c>
      <c r="I921" s="14">
        <f>IF('Pegar ML'!C916="Paquete de 2 productos",IF('Pegar ML'!O916="",0,'Pegar ML'!O916),IF('Pegar ML'!O917="",0,'Pegar ML'!O917))</f>
        <v>0</v>
      </c>
      <c r="J921" s="14">
        <f>IF('Pegar ML'!C916="Paquete de 2 productos",IF('Pegar ML'!O916="",0,'Pegar ML'!O916),IF('Pegar ML'!O917="",0,'Pegar ML'!O917))</f>
        <v>0</v>
      </c>
      <c r="K921" s="14">
        <f t="shared" si="44"/>
        <v>0</v>
      </c>
      <c r="L921" s="27">
        <f>IF('Pegar ML'!AB917=" ",'Pegar ML'!AB916,'Pegar ML'!AB917)</f>
        <v>0</v>
      </c>
      <c r="M921" s="27" t="str">
        <f>IF('Pegar ML'!AC917=" ",RIGHT('Pegar ML'!AC916,8),RIGHT('Pegar ML'!AC917,8))</f>
        <v/>
      </c>
      <c r="N921" s="27" t="s">
        <v>80</v>
      </c>
      <c r="O921" s="27">
        <f t="shared" si="42"/>
        <v>0</v>
      </c>
      <c r="P921" s="27" t="s">
        <v>80</v>
      </c>
      <c r="Q921" s="55">
        <f>IF('Pegar ML'!AD917=" ",'Pegar ML'!AD916,'Pegar ML'!AD917)</f>
        <v>0</v>
      </c>
      <c r="R921" s="27" t="s">
        <v>80</v>
      </c>
      <c r="S921" s="27" t="s">
        <v>80</v>
      </c>
      <c r="T921" s="27" t="s">
        <v>80</v>
      </c>
      <c r="U921" s="55">
        <f>IF('Pegar ML'!AI917=" ",'Pegar ML'!AI916,'Pegar ML'!AI917)</f>
        <v>0</v>
      </c>
      <c r="V921" s="55">
        <f>IF('Pegar ML'!AK917=" ",'Pegar ML'!AK916,'Pegar ML'!AK917)</f>
        <v>0</v>
      </c>
      <c r="W921" s="55">
        <f>IF('Pegar ML'!AJ917=" ",'Pegar ML'!AJ916,'Pegar ML'!AJ917)</f>
        <v>0</v>
      </c>
      <c r="X921" s="55">
        <f>IF('Pegar ML'!AL917=" ",'Pegar ML'!AL916,'Pegar ML'!AL917)</f>
        <v>0</v>
      </c>
      <c r="Y921" s="27"/>
      <c r="Z921" s="27"/>
      <c r="AA921" s="27"/>
      <c r="AB921" s="27"/>
      <c r="AC921" s="27"/>
      <c r="AD921" s="27"/>
      <c r="AF921" s="8"/>
      <c r="AG921" s="27"/>
      <c r="AH921" s="14">
        <f>+'Pegar ML'!Y917</f>
        <v>0</v>
      </c>
      <c r="AI921" s="13">
        <f t="shared" si="43"/>
        <v>1</v>
      </c>
      <c r="AJ921" s="7">
        <f>+'Pegar ML'!T917</f>
        <v>0</v>
      </c>
      <c r="AK921" s="27"/>
      <c r="AL921" s="27"/>
      <c r="AM921" s="27"/>
      <c r="AN921" s="27"/>
      <c r="AO921" s="27"/>
      <c r="AP921" s="27"/>
      <c r="AQ921" s="27"/>
      <c r="AR921" s="27"/>
      <c r="AS921" s="27">
        <v>17</v>
      </c>
    </row>
    <row r="922" spans="1:45" ht="15" customHeight="1" x14ac:dyDescent="0.25">
      <c r="A922" s="27">
        <f>IF('Pegar ML'!C917="Paquete de 2 productos",'Pegar ML'!A917,IF('Pegar ML'!C916="Paquete de 2 productos",'Pegar ML'!A916,'Pegar ML'!A918))</f>
        <v>0</v>
      </c>
      <c r="B922" s="27"/>
      <c r="C922" s="30" t="str">
        <f>IF(AjusteFecha!I918=0,"",AjusteFecha!I918)</f>
        <v/>
      </c>
      <c r="D922" s="27"/>
      <c r="E922" s="27"/>
      <c r="F922" s="27" t="str">
        <f>IF('Pegar ML'!C918="","",'Pegar ML'!C918)</f>
        <v/>
      </c>
      <c r="G922" s="27" t="str">
        <f>IF('Pegar ML'!G913="ARS","PS","PS")</f>
        <v>PS</v>
      </c>
      <c r="H922" s="14">
        <f>IF('Pegar ML'!C917="Paquete de 2 productos",IF('Pegar ML'!H917="",0,'Pegar ML'!H917),IF('Pegar ML'!H918="",0,'Pegar ML'!H918))</f>
        <v>0</v>
      </c>
      <c r="I922" s="14">
        <f>IF('Pegar ML'!C917="Paquete de 2 productos",IF('Pegar ML'!O917="",0,'Pegar ML'!O917),IF('Pegar ML'!O918="",0,'Pegar ML'!O918))</f>
        <v>0</v>
      </c>
      <c r="J922" s="14">
        <f>IF('Pegar ML'!C917="Paquete de 2 productos",IF('Pegar ML'!O917="",0,'Pegar ML'!O917),IF('Pegar ML'!O918="",0,'Pegar ML'!O918))</f>
        <v>0</v>
      </c>
      <c r="K922" s="14">
        <f t="shared" si="44"/>
        <v>0</v>
      </c>
      <c r="L922" s="27">
        <f>IF('Pegar ML'!AB918=" ",'Pegar ML'!AB917,'Pegar ML'!AB918)</f>
        <v>0</v>
      </c>
      <c r="M922" s="27" t="str">
        <f>IF('Pegar ML'!AC918=" ",RIGHT('Pegar ML'!AC917,8),RIGHT('Pegar ML'!AC918,8))</f>
        <v/>
      </c>
      <c r="N922" s="27" t="s">
        <v>80</v>
      </c>
      <c r="O922" s="27">
        <f t="shared" si="42"/>
        <v>0</v>
      </c>
      <c r="P922" s="27" t="s">
        <v>80</v>
      </c>
      <c r="Q922" s="55">
        <f>IF('Pegar ML'!AD918=" ",'Pegar ML'!AD917,'Pegar ML'!AD918)</f>
        <v>0</v>
      </c>
      <c r="R922" s="27" t="s">
        <v>80</v>
      </c>
      <c r="S922" s="27" t="s">
        <v>80</v>
      </c>
      <c r="T922" s="27" t="s">
        <v>80</v>
      </c>
      <c r="U922" s="55">
        <f>IF('Pegar ML'!AI918=" ",'Pegar ML'!AI917,'Pegar ML'!AI918)</f>
        <v>0</v>
      </c>
      <c r="V922" s="55">
        <f>IF('Pegar ML'!AK918=" ",'Pegar ML'!AK917,'Pegar ML'!AK918)</f>
        <v>0</v>
      </c>
      <c r="W922" s="55">
        <f>IF('Pegar ML'!AJ918=" ",'Pegar ML'!AJ917,'Pegar ML'!AJ918)</f>
        <v>0</v>
      </c>
      <c r="X922" s="55">
        <f>IF('Pegar ML'!AL918=" ",'Pegar ML'!AL917,'Pegar ML'!AL918)</f>
        <v>0</v>
      </c>
      <c r="Y922" s="27"/>
      <c r="Z922" s="27"/>
      <c r="AA922" s="27"/>
      <c r="AB922" s="27"/>
      <c r="AC922" s="27"/>
      <c r="AD922" s="27"/>
      <c r="AF922" s="8"/>
      <c r="AG922" s="27"/>
      <c r="AH922" s="14">
        <f>+'Pegar ML'!Y918</f>
        <v>0</v>
      </c>
      <c r="AI922" s="13">
        <f t="shared" si="43"/>
        <v>1</v>
      </c>
      <c r="AJ922" s="7">
        <f>+'Pegar ML'!T918</f>
        <v>0</v>
      </c>
      <c r="AK922" s="27"/>
      <c r="AL922" s="27"/>
      <c r="AM922" s="27"/>
      <c r="AN922" s="27"/>
      <c r="AO922" s="27"/>
      <c r="AP922" s="27"/>
      <c r="AQ922" s="27"/>
      <c r="AR922" s="27"/>
      <c r="AS922" s="27">
        <v>17</v>
      </c>
    </row>
    <row r="923" spans="1:45" ht="15" customHeight="1" x14ac:dyDescent="0.25">
      <c r="A923" s="27">
        <f>IF('Pegar ML'!C918="Paquete de 2 productos",'Pegar ML'!A918,IF('Pegar ML'!C917="Paquete de 2 productos",'Pegar ML'!A917,'Pegar ML'!A919))</f>
        <v>0</v>
      </c>
      <c r="B923" s="27"/>
      <c r="C923" s="30" t="str">
        <f>IF(AjusteFecha!I919=0,"",AjusteFecha!I919)</f>
        <v/>
      </c>
      <c r="D923" s="27"/>
      <c r="E923" s="27"/>
      <c r="F923" s="27" t="str">
        <f>IF('Pegar ML'!C919="","",'Pegar ML'!C919)</f>
        <v/>
      </c>
      <c r="G923" s="27" t="str">
        <f>IF('Pegar ML'!G914="ARS","PS","PS")</f>
        <v>PS</v>
      </c>
      <c r="H923" s="14">
        <f>IF('Pegar ML'!C918="Paquete de 2 productos",IF('Pegar ML'!H918="",0,'Pegar ML'!H918),IF('Pegar ML'!H919="",0,'Pegar ML'!H919))</f>
        <v>0</v>
      </c>
      <c r="I923" s="14">
        <f>IF('Pegar ML'!C918="Paquete de 2 productos",IF('Pegar ML'!O918="",0,'Pegar ML'!O918),IF('Pegar ML'!O919="",0,'Pegar ML'!O919))</f>
        <v>0</v>
      </c>
      <c r="J923" s="14">
        <f>IF('Pegar ML'!C918="Paquete de 2 productos",IF('Pegar ML'!O918="",0,'Pegar ML'!O918),IF('Pegar ML'!O919="",0,'Pegar ML'!O919))</f>
        <v>0</v>
      </c>
      <c r="K923" s="14">
        <f t="shared" si="44"/>
        <v>0</v>
      </c>
      <c r="L923" s="27">
        <f>IF('Pegar ML'!AB919=" ",'Pegar ML'!AB918,'Pegar ML'!AB919)</f>
        <v>0</v>
      </c>
      <c r="M923" s="27" t="str">
        <f>IF('Pegar ML'!AC919=" ",RIGHT('Pegar ML'!AC918,8),RIGHT('Pegar ML'!AC919,8))</f>
        <v/>
      </c>
      <c r="N923" s="27" t="s">
        <v>80</v>
      </c>
      <c r="O923" s="27">
        <f t="shared" si="42"/>
        <v>0</v>
      </c>
      <c r="P923" s="27" t="s">
        <v>80</v>
      </c>
      <c r="Q923" s="55">
        <f>IF('Pegar ML'!AD919=" ",'Pegar ML'!AD918,'Pegar ML'!AD919)</f>
        <v>0</v>
      </c>
      <c r="R923" s="27" t="s">
        <v>80</v>
      </c>
      <c r="S923" s="27" t="s">
        <v>80</v>
      </c>
      <c r="T923" s="27" t="s">
        <v>80</v>
      </c>
      <c r="U923" s="55">
        <f>IF('Pegar ML'!AI919=" ",'Pegar ML'!AI918,'Pegar ML'!AI919)</f>
        <v>0</v>
      </c>
      <c r="V923" s="55">
        <f>IF('Pegar ML'!AK919=" ",'Pegar ML'!AK918,'Pegar ML'!AK919)</f>
        <v>0</v>
      </c>
      <c r="W923" s="55">
        <f>IF('Pegar ML'!AJ919=" ",'Pegar ML'!AJ918,'Pegar ML'!AJ919)</f>
        <v>0</v>
      </c>
      <c r="X923" s="55">
        <f>IF('Pegar ML'!AL919=" ",'Pegar ML'!AL918,'Pegar ML'!AL919)</f>
        <v>0</v>
      </c>
      <c r="Y923" s="27"/>
      <c r="Z923" s="27"/>
      <c r="AA923" s="27"/>
      <c r="AB923" s="27"/>
      <c r="AC923" s="27"/>
      <c r="AD923" s="27"/>
      <c r="AF923" s="8"/>
      <c r="AG923" s="27"/>
      <c r="AH923" s="14">
        <f>+'Pegar ML'!Y919</f>
        <v>0</v>
      </c>
      <c r="AI923" s="13">
        <f t="shared" si="43"/>
        <v>1</v>
      </c>
      <c r="AJ923" s="7">
        <f>+'Pegar ML'!T919</f>
        <v>0</v>
      </c>
      <c r="AK923" s="27"/>
      <c r="AL923" s="27"/>
      <c r="AM923" s="27"/>
      <c r="AN923" s="27"/>
      <c r="AO923" s="27"/>
      <c r="AP923" s="27"/>
      <c r="AQ923" s="27"/>
      <c r="AR923" s="27"/>
      <c r="AS923" s="27">
        <v>17</v>
      </c>
    </row>
    <row r="924" spans="1:45" ht="15" customHeight="1" x14ac:dyDescent="0.25">
      <c r="A924" s="27">
        <f>IF('Pegar ML'!C919="Paquete de 2 productos",'Pegar ML'!A919,IF('Pegar ML'!C918="Paquete de 2 productos",'Pegar ML'!A918,'Pegar ML'!A920))</f>
        <v>0</v>
      </c>
      <c r="B924" s="27"/>
      <c r="C924" s="30" t="str">
        <f>IF(AjusteFecha!I920=0,"",AjusteFecha!I920)</f>
        <v/>
      </c>
      <c r="D924" s="27"/>
      <c r="E924" s="27"/>
      <c r="F924" s="27" t="str">
        <f>IF('Pegar ML'!C920="","",'Pegar ML'!C920)</f>
        <v/>
      </c>
      <c r="G924" s="27" t="str">
        <f>IF('Pegar ML'!G915="ARS","PS","PS")</f>
        <v>PS</v>
      </c>
      <c r="H924" s="14">
        <f>IF('Pegar ML'!C919="Paquete de 2 productos",IF('Pegar ML'!H919="",0,'Pegar ML'!H919),IF('Pegar ML'!H920="",0,'Pegar ML'!H920))</f>
        <v>0</v>
      </c>
      <c r="I924" s="14">
        <f>IF('Pegar ML'!C919="Paquete de 2 productos",IF('Pegar ML'!O919="",0,'Pegar ML'!O919),IF('Pegar ML'!O920="",0,'Pegar ML'!O920))</f>
        <v>0</v>
      </c>
      <c r="J924" s="14">
        <f>IF('Pegar ML'!C919="Paquete de 2 productos",IF('Pegar ML'!O919="",0,'Pegar ML'!O919),IF('Pegar ML'!O920="",0,'Pegar ML'!O920))</f>
        <v>0</v>
      </c>
      <c r="K924" s="14">
        <f t="shared" si="44"/>
        <v>0</v>
      </c>
      <c r="L924" s="27">
        <f>IF('Pegar ML'!AB920=" ",'Pegar ML'!AB919,'Pegar ML'!AB920)</f>
        <v>0</v>
      </c>
      <c r="M924" s="27" t="str">
        <f>IF('Pegar ML'!AC920=" ",RIGHT('Pegar ML'!AC919,8),RIGHT('Pegar ML'!AC920,8))</f>
        <v/>
      </c>
      <c r="N924" s="27" t="s">
        <v>80</v>
      </c>
      <c r="O924" s="27">
        <f t="shared" si="42"/>
        <v>0</v>
      </c>
      <c r="P924" s="27" t="s">
        <v>80</v>
      </c>
      <c r="Q924" s="55">
        <f>IF('Pegar ML'!AD920=" ",'Pegar ML'!AD919,'Pegar ML'!AD920)</f>
        <v>0</v>
      </c>
      <c r="R924" s="27" t="s">
        <v>80</v>
      </c>
      <c r="S924" s="27" t="s">
        <v>80</v>
      </c>
      <c r="T924" s="27" t="s">
        <v>80</v>
      </c>
      <c r="U924" s="55">
        <f>IF('Pegar ML'!AI920=" ",'Pegar ML'!AI919,'Pegar ML'!AI920)</f>
        <v>0</v>
      </c>
      <c r="V924" s="55">
        <f>IF('Pegar ML'!AK920=" ",'Pegar ML'!AK919,'Pegar ML'!AK920)</f>
        <v>0</v>
      </c>
      <c r="W924" s="55">
        <f>IF('Pegar ML'!AJ920=" ",'Pegar ML'!AJ919,'Pegar ML'!AJ920)</f>
        <v>0</v>
      </c>
      <c r="X924" s="55">
        <f>IF('Pegar ML'!AL920=" ",'Pegar ML'!AL919,'Pegar ML'!AL920)</f>
        <v>0</v>
      </c>
      <c r="Y924" s="27"/>
      <c r="Z924" s="27"/>
      <c r="AA924" s="27"/>
      <c r="AB924" s="27"/>
      <c r="AC924" s="27"/>
      <c r="AD924" s="27"/>
      <c r="AF924" s="8"/>
      <c r="AG924" s="27"/>
      <c r="AH924" s="14">
        <f>+'Pegar ML'!Y920</f>
        <v>0</v>
      </c>
      <c r="AI924" s="13">
        <f t="shared" si="43"/>
        <v>1</v>
      </c>
      <c r="AJ924" s="7">
        <f>+'Pegar ML'!T920</f>
        <v>0</v>
      </c>
      <c r="AK924" s="27"/>
      <c r="AL924" s="27"/>
      <c r="AM924" s="27"/>
      <c r="AN924" s="27"/>
      <c r="AO924" s="27"/>
      <c r="AP924" s="27"/>
      <c r="AQ924" s="27"/>
      <c r="AR924" s="27"/>
      <c r="AS924" s="27">
        <v>17</v>
      </c>
    </row>
    <row r="925" spans="1:45" ht="15" customHeight="1" x14ac:dyDescent="0.25">
      <c r="A925" s="27">
        <f>IF('Pegar ML'!C920="Paquete de 2 productos",'Pegar ML'!A920,IF('Pegar ML'!C919="Paquete de 2 productos",'Pegar ML'!A919,'Pegar ML'!A921))</f>
        <v>0</v>
      </c>
      <c r="B925" s="27"/>
      <c r="C925" s="30" t="str">
        <f>IF(AjusteFecha!I921=0,"",AjusteFecha!I921)</f>
        <v/>
      </c>
      <c r="D925" s="27"/>
      <c r="E925" s="27"/>
      <c r="F925" s="27" t="str">
        <f>IF('Pegar ML'!C921="","",'Pegar ML'!C921)</f>
        <v/>
      </c>
      <c r="G925" s="27" t="str">
        <f>IF('Pegar ML'!G916="ARS","PS","PS")</f>
        <v>PS</v>
      </c>
      <c r="H925" s="14">
        <f>IF('Pegar ML'!C920="Paquete de 2 productos",IF('Pegar ML'!H920="",0,'Pegar ML'!H920),IF('Pegar ML'!H921="",0,'Pegar ML'!H921))</f>
        <v>0</v>
      </c>
      <c r="I925" s="14">
        <f>IF('Pegar ML'!C920="Paquete de 2 productos",IF('Pegar ML'!O920="",0,'Pegar ML'!O920),IF('Pegar ML'!O921="",0,'Pegar ML'!O921))</f>
        <v>0</v>
      </c>
      <c r="J925" s="14">
        <f>IF('Pegar ML'!C920="Paquete de 2 productos",IF('Pegar ML'!O920="",0,'Pegar ML'!O920),IF('Pegar ML'!O921="",0,'Pegar ML'!O921))</f>
        <v>0</v>
      </c>
      <c r="K925" s="14">
        <f t="shared" si="44"/>
        <v>0</v>
      </c>
      <c r="L925" s="27">
        <f>IF('Pegar ML'!AB921=" ",'Pegar ML'!AB920,'Pegar ML'!AB921)</f>
        <v>0</v>
      </c>
      <c r="M925" s="27" t="str">
        <f>IF('Pegar ML'!AC921=" ",RIGHT('Pegar ML'!AC920,8),RIGHT('Pegar ML'!AC921,8))</f>
        <v/>
      </c>
      <c r="N925" s="27" t="s">
        <v>80</v>
      </c>
      <c r="O925" s="27">
        <f t="shared" si="42"/>
        <v>0</v>
      </c>
      <c r="P925" s="27" t="s">
        <v>80</v>
      </c>
      <c r="Q925" s="55">
        <f>IF('Pegar ML'!AD921=" ",'Pegar ML'!AD920,'Pegar ML'!AD921)</f>
        <v>0</v>
      </c>
      <c r="R925" s="27" t="s">
        <v>80</v>
      </c>
      <c r="S925" s="27" t="s">
        <v>80</v>
      </c>
      <c r="T925" s="27" t="s">
        <v>80</v>
      </c>
      <c r="U925" s="55">
        <f>IF('Pegar ML'!AI921=" ",'Pegar ML'!AI920,'Pegar ML'!AI921)</f>
        <v>0</v>
      </c>
      <c r="V925" s="55">
        <f>IF('Pegar ML'!AK921=" ",'Pegar ML'!AK920,'Pegar ML'!AK921)</f>
        <v>0</v>
      </c>
      <c r="W925" s="55">
        <f>IF('Pegar ML'!AJ921=" ",'Pegar ML'!AJ920,'Pegar ML'!AJ921)</f>
        <v>0</v>
      </c>
      <c r="X925" s="55">
        <f>IF('Pegar ML'!AL921=" ",'Pegar ML'!AL920,'Pegar ML'!AL921)</f>
        <v>0</v>
      </c>
      <c r="Y925" s="27"/>
      <c r="Z925" s="27"/>
      <c r="AA925" s="27"/>
      <c r="AB925" s="27"/>
      <c r="AC925" s="27"/>
      <c r="AD925" s="27"/>
      <c r="AF925" s="8"/>
      <c r="AG925" s="27"/>
      <c r="AH925" s="14">
        <f>+'Pegar ML'!Y921</f>
        <v>0</v>
      </c>
      <c r="AI925" s="13">
        <f t="shared" si="43"/>
        <v>1</v>
      </c>
      <c r="AJ925" s="7">
        <f>+'Pegar ML'!T921</f>
        <v>0</v>
      </c>
      <c r="AK925" s="27"/>
      <c r="AL925" s="27"/>
      <c r="AM925" s="27"/>
      <c r="AN925" s="27"/>
      <c r="AO925" s="27"/>
      <c r="AP925" s="27"/>
      <c r="AQ925" s="27"/>
      <c r="AR925" s="27"/>
      <c r="AS925" s="27">
        <v>17</v>
      </c>
    </row>
    <row r="926" spans="1:45" ht="15" customHeight="1" x14ac:dyDescent="0.25">
      <c r="A926" s="27">
        <f>IF('Pegar ML'!C921="Paquete de 2 productos",'Pegar ML'!A921,IF('Pegar ML'!C920="Paquete de 2 productos",'Pegar ML'!A920,'Pegar ML'!A922))</f>
        <v>0</v>
      </c>
      <c r="B926" s="27"/>
      <c r="C926" s="30" t="str">
        <f>IF(AjusteFecha!I922=0,"",AjusteFecha!I922)</f>
        <v/>
      </c>
      <c r="D926" s="27"/>
      <c r="E926" s="27"/>
      <c r="F926" s="27" t="str">
        <f>IF('Pegar ML'!C922="","",'Pegar ML'!C922)</f>
        <v/>
      </c>
      <c r="G926" s="27" t="str">
        <f>IF('Pegar ML'!G917="ARS","PS","PS")</f>
        <v>PS</v>
      </c>
      <c r="H926" s="14">
        <f>IF('Pegar ML'!C921="Paquete de 2 productos",IF('Pegar ML'!H921="",0,'Pegar ML'!H921),IF('Pegar ML'!H922="",0,'Pegar ML'!H922))</f>
        <v>0</v>
      </c>
      <c r="I926" s="14">
        <f>IF('Pegar ML'!C921="Paquete de 2 productos",IF('Pegar ML'!O921="",0,'Pegar ML'!O921),IF('Pegar ML'!O922="",0,'Pegar ML'!O922))</f>
        <v>0</v>
      </c>
      <c r="J926" s="14">
        <f>IF('Pegar ML'!C921="Paquete de 2 productos",IF('Pegar ML'!O921="",0,'Pegar ML'!O921),IF('Pegar ML'!O922="",0,'Pegar ML'!O922))</f>
        <v>0</v>
      </c>
      <c r="K926" s="14">
        <f t="shared" si="44"/>
        <v>0</v>
      </c>
      <c r="L926" s="27">
        <f>IF('Pegar ML'!AB922=" ",'Pegar ML'!AB921,'Pegar ML'!AB922)</f>
        <v>0</v>
      </c>
      <c r="M926" s="27" t="str">
        <f>IF('Pegar ML'!AC922=" ",RIGHT('Pegar ML'!AC921,8),RIGHT('Pegar ML'!AC922,8))</f>
        <v/>
      </c>
      <c r="N926" s="27" t="s">
        <v>80</v>
      </c>
      <c r="O926" s="27">
        <f t="shared" si="42"/>
        <v>0</v>
      </c>
      <c r="P926" s="27" t="s">
        <v>80</v>
      </c>
      <c r="Q926" s="55">
        <f>IF('Pegar ML'!AD922=" ",'Pegar ML'!AD921,'Pegar ML'!AD922)</f>
        <v>0</v>
      </c>
      <c r="R926" s="27" t="s">
        <v>80</v>
      </c>
      <c r="S926" s="27" t="s">
        <v>80</v>
      </c>
      <c r="T926" s="27" t="s">
        <v>80</v>
      </c>
      <c r="U926" s="55">
        <f>IF('Pegar ML'!AI922=" ",'Pegar ML'!AI921,'Pegar ML'!AI922)</f>
        <v>0</v>
      </c>
      <c r="V926" s="55">
        <f>IF('Pegar ML'!AK922=" ",'Pegar ML'!AK921,'Pegar ML'!AK922)</f>
        <v>0</v>
      </c>
      <c r="W926" s="55">
        <f>IF('Pegar ML'!AJ922=" ",'Pegar ML'!AJ921,'Pegar ML'!AJ922)</f>
        <v>0</v>
      </c>
      <c r="X926" s="55">
        <f>IF('Pegar ML'!AL922=" ",'Pegar ML'!AL921,'Pegar ML'!AL922)</f>
        <v>0</v>
      </c>
      <c r="Y926" s="27"/>
      <c r="Z926" s="27"/>
      <c r="AA926" s="27"/>
      <c r="AB926" s="27"/>
      <c r="AC926" s="27"/>
      <c r="AD926" s="27"/>
      <c r="AF926" s="8"/>
      <c r="AG926" s="27"/>
      <c r="AH926" s="14">
        <f>+'Pegar ML'!Y922</f>
        <v>0</v>
      </c>
      <c r="AI926" s="13">
        <f t="shared" si="43"/>
        <v>1</v>
      </c>
      <c r="AJ926" s="7">
        <f>+'Pegar ML'!T922</f>
        <v>0</v>
      </c>
      <c r="AK926" s="27"/>
      <c r="AL926" s="27"/>
      <c r="AM926" s="27"/>
      <c r="AN926" s="27"/>
      <c r="AO926" s="27"/>
      <c r="AP926" s="27"/>
      <c r="AQ926" s="27"/>
      <c r="AR926" s="27"/>
      <c r="AS926" s="27">
        <v>17</v>
      </c>
    </row>
    <row r="927" spans="1:45" ht="15" customHeight="1" x14ac:dyDescent="0.25">
      <c r="A927" s="27">
        <f>IF('Pegar ML'!C922="Paquete de 2 productos",'Pegar ML'!A922,IF('Pegar ML'!C921="Paquete de 2 productos",'Pegar ML'!A921,'Pegar ML'!A923))</f>
        <v>0</v>
      </c>
      <c r="B927" s="27"/>
      <c r="C927" s="30" t="str">
        <f>IF(AjusteFecha!I923=0,"",AjusteFecha!I923)</f>
        <v/>
      </c>
      <c r="D927" s="27"/>
      <c r="E927" s="27"/>
      <c r="F927" s="27" t="str">
        <f>IF('Pegar ML'!C923="","",'Pegar ML'!C923)</f>
        <v/>
      </c>
      <c r="G927" s="27" t="str">
        <f>IF('Pegar ML'!G918="ARS","PS","PS")</f>
        <v>PS</v>
      </c>
      <c r="H927" s="14">
        <f>IF('Pegar ML'!C922="Paquete de 2 productos",IF('Pegar ML'!H922="",0,'Pegar ML'!H922),IF('Pegar ML'!H923="",0,'Pegar ML'!H923))</f>
        <v>0</v>
      </c>
      <c r="I927" s="14">
        <f>IF('Pegar ML'!C922="Paquete de 2 productos",IF('Pegar ML'!O922="",0,'Pegar ML'!O922),IF('Pegar ML'!O923="",0,'Pegar ML'!O923))</f>
        <v>0</v>
      </c>
      <c r="J927" s="14">
        <f>IF('Pegar ML'!C922="Paquete de 2 productos",IF('Pegar ML'!O922="",0,'Pegar ML'!O922),IF('Pegar ML'!O923="",0,'Pegar ML'!O923))</f>
        <v>0</v>
      </c>
      <c r="K927" s="14">
        <f t="shared" si="44"/>
        <v>0</v>
      </c>
      <c r="L927" s="27">
        <f>IF('Pegar ML'!AB923=" ",'Pegar ML'!AB922,'Pegar ML'!AB923)</f>
        <v>0</v>
      </c>
      <c r="M927" s="27" t="str">
        <f>IF('Pegar ML'!AC923=" ",RIGHT('Pegar ML'!AC922,8),RIGHT('Pegar ML'!AC923,8))</f>
        <v/>
      </c>
      <c r="N927" s="27" t="s">
        <v>80</v>
      </c>
      <c r="O927" s="27">
        <f t="shared" si="42"/>
        <v>0</v>
      </c>
      <c r="P927" s="27" t="s">
        <v>80</v>
      </c>
      <c r="Q927" s="55">
        <f>IF('Pegar ML'!AD923=" ",'Pegar ML'!AD922,'Pegar ML'!AD923)</f>
        <v>0</v>
      </c>
      <c r="R927" s="27" t="s">
        <v>80</v>
      </c>
      <c r="S927" s="27" t="s">
        <v>80</v>
      </c>
      <c r="T927" s="27" t="s">
        <v>80</v>
      </c>
      <c r="U927" s="55">
        <f>IF('Pegar ML'!AI923=" ",'Pegar ML'!AI922,'Pegar ML'!AI923)</f>
        <v>0</v>
      </c>
      <c r="V927" s="55">
        <f>IF('Pegar ML'!AK923=" ",'Pegar ML'!AK922,'Pegar ML'!AK923)</f>
        <v>0</v>
      </c>
      <c r="W927" s="55">
        <f>IF('Pegar ML'!AJ923=" ",'Pegar ML'!AJ922,'Pegar ML'!AJ923)</f>
        <v>0</v>
      </c>
      <c r="X927" s="55">
        <f>IF('Pegar ML'!AL923=" ",'Pegar ML'!AL922,'Pegar ML'!AL923)</f>
        <v>0</v>
      </c>
      <c r="Y927" s="27"/>
      <c r="Z927" s="27"/>
      <c r="AA927" s="27"/>
      <c r="AB927" s="27"/>
      <c r="AC927" s="27"/>
      <c r="AD927" s="27"/>
      <c r="AF927" s="8"/>
      <c r="AG927" s="27"/>
      <c r="AH927" s="14">
        <f>+'Pegar ML'!Y923</f>
        <v>0</v>
      </c>
      <c r="AI927" s="13">
        <f t="shared" si="43"/>
        <v>1</v>
      </c>
      <c r="AJ927" s="7">
        <f>+'Pegar ML'!T923</f>
        <v>0</v>
      </c>
      <c r="AK927" s="27"/>
      <c r="AL927" s="27"/>
      <c r="AM927" s="27"/>
      <c r="AN927" s="27"/>
      <c r="AO927" s="27"/>
      <c r="AP927" s="27"/>
      <c r="AQ927" s="27"/>
      <c r="AR927" s="27"/>
      <c r="AS927" s="27">
        <v>17</v>
      </c>
    </row>
    <row r="928" spans="1:45" ht="15" customHeight="1" x14ac:dyDescent="0.25">
      <c r="A928" s="27">
        <f>IF('Pegar ML'!C923="Paquete de 2 productos",'Pegar ML'!A923,IF('Pegar ML'!C922="Paquete de 2 productos",'Pegar ML'!A922,'Pegar ML'!A924))</f>
        <v>0</v>
      </c>
      <c r="B928" s="27"/>
      <c r="C928" s="30" t="str">
        <f>IF(AjusteFecha!I924=0,"",AjusteFecha!I924)</f>
        <v/>
      </c>
      <c r="D928" s="27"/>
      <c r="E928" s="27"/>
      <c r="F928" s="27" t="str">
        <f>IF('Pegar ML'!C924="","",'Pegar ML'!C924)</f>
        <v/>
      </c>
      <c r="G928" s="27" t="str">
        <f>IF('Pegar ML'!G919="ARS","PS","PS")</f>
        <v>PS</v>
      </c>
      <c r="H928" s="14">
        <f>IF('Pegar ML'!C923="Paquete de 2 productos",IF('Pegar ML'!H923="",0,'Pegar ML'!H923),IF('Pegar ML'!H924="",0,'Pegar ML'!H924))</f>
        <v>0</v>
      </c>
      <c r="I928" s="14">
        <f>IF('Pegar ML'!C923="Paquete de 2 productos",IF('Pegar ML'!O923="",0,'Pegar ML'!O923),IF('Pegar ML'!O924="",0,'Pegar ML'!O924))</f>
        <v>0</v>
      </c>
      <c r="J928" s="14">
        <f>IF('Pegar ML'!C923="Paquete de 2 productos",IF('Pegar ML'!O923="",0,'Pegar ML'!O923),IF('Pegar ML'!O924="",0,'Pegar ML'!O924))</f>
        <v>0</v>
      </c>
      <c r="K928" s="14">
        <f t="shared" si="44"/>
        <v>0</v>
      </c>
      <c r="L928" s="27">
        <f>IF('Pegar ML'!AB924=" ",'Pegar ML'!AB923,'Pegar ML'!AB924)</f>
        <v>0</v>
      </c>
      <c r="M928" s="27" t="str">
        <f>IF('Pegar ML'!AC924=" ",RIGHT('Pegar ML'!AC923,8),RIGHT('Pegar ML'!AC924,8))</f>
        <v/>
      </c>
      <c r="N928" s="27" t="s">
        <v>80</v>
      </c>
      <c r="O928" s="27">
        <f t="shared" si="42"/>
        <v>0</v>
      </c>
      <c r="P928" s="27" t="s">
        <v>80</v>
      </c>
      <c r="Q928" s="55">
        <f>IF('Pegar ML'!AD924=" ",'Pegar ML'!AD923,'Pegar ML'!AD924)</f>
        <v>0</v>
      </c>
      <c r="R928" s="27" t="s">
        <v>80</v>
      </c>
      <c r="S928" s="27" t="s">
        <v>80</v>
      </c>
      <c r="T928" s="27" t="s">
        <v>80</v>
      </c>
      <c r="U928" s="55">
        <f>IF('Pegar ML'!AI924=" ",'Pegar ML'!AI923,'Pegar ML'!AI924)</f>
        <v>0</v>
      </c>
      <c r="V928" s="55">
        <f>IF('Pegar ML'!AK924=" ",'Pegar ML'!AK923,'Pegar ML'!AK924)</f>
        <v>0</v>
      </c>
      <c r="W928" s="55">
        <f>IF('Pegar ML'!AJ924=" ",'Pegar ML'!AJ923,'Pegar ML'!AJ924)</f>
        <v>0</v>
      </c>
      <c r="X928" s="55">
        <f>IF('Pegar ML'!AL924=" ",'Pegar ML'!AL923,'Pegar ML'!AL924)</f>
        <v>0</v>
      </c>
      <c r="Y928" s="27"/>
      <c r="Z928" s="27"/>
      <c r="AA928" s="27"/>
      <c r="AB928" s="27"/>
      <c r="AC928" s="27"/>
      <c r="AD928" s="27"/>
      <c r="AF928" s="8"/>
      <c r="AG928" s="27"/>
      <c r="AH928" s="14">
        <f>+'Pegar ML'!Y924</f>
        <v>0</v>
      </c>
      <c r="AI928" s="13">
        <f t="shared" si="43"/>
        <v>1</v>
      </c>
      <c r="AJ928" s="7">
        <f>+'Pegar ML'!T924</f>
        <v>0</v>
      </c>
      <c r="AK928" s="27"/>
      <c r="AL928" s="27"/>
      <c r="AM928" s="27"/>
      <c r="AN928" s="27"/>
      <c r="AO928" s="27"/>
      <c r="AP928" s="27"/>
      <c r="AQ928" s="27"/>
      <c r="AR928" s="27"/>
      <c r="AS928" s="27">
        <v>17</v>
      </c>
    </row>
    <row r="929" spans="1:45" ht="15" customHeight="1" x14ac:dyDescent="0.25">
      <c r="A929" s="27">
        <f>IF('Pegar ML'!C924="Paquete de 2 productos",'Pegar ML'!A924,IF('Pegar ML'!C923="Paquete de 2 productos",'Pegar ML'!A923,'Pegar ML'!A925))</f>
        <v>0</v>
      </c>
      <c r="B929" s="27"/>
      <c r="C929" s="30" t="str">
        <f>IF(AjusteFecha!I925=0,"",AjusteFecha!I925)</f>
        <v/>
      </c>
      <c r="D929" s="27"/>
      <c r="E929" s="27"/>
      <c r="F929" s="27" t="str">
        <f>IF('Pegar ML'!C925="","",'Pegar ML'!C925)</f>
        <v/>
      </c>
      <c r="G929" s="27" t="str">
        <f>IF('Pegar ML'!G920="ARS","PS","PS")</f>
        <v>PS</v>
      </c>
      <c r="H929" s="14">
        <f>IF('Pegar ML'!C924="Paquete de 2 productos",IF('Pegar ML'!H924="",0,'Pegar ML'!H924),IF('Pegar ML'!H925="",0,'Pegar ML'!H925))</f>
        <v>0</v>
      </c>
      <c r="I929" s="14">
        <f>IF('Pegar ML'!C924="Paquete de 2 productos",IF('Pegar ML'!O924="",0,'Pegar ML'!O924),IF('Pegar ML'!O925="",0,'Pegar ML'!O925))</f>
        <v>0</v>
      </c>
      <c r="J929" s="14">
        <f>IF('Pegar ML'!C924="Paquete de 2 productos",IF('Pegar ML'!O924="",0,'Pegar ML'!O924),IF('Pegar ML'!O925="",0,'Pegar ML'!O925))</f>
        <v>0</v>
      </c>
      <c r="K929" s="14">
        <f t="shared" si="44"/>
        <v>0</v>
      </c>
      <c r="L929" s="27">
        <f>IF('Pegar ML'!AB925=" ",'Pegar ML'!AB924,'Pegar ML'!AB925)</f>
        <v>0</v>
      </c>
      <c r="M929" s="27" t="str">
        <f>IF('Pegar ML'!AC925=" ",RIGHT('Pegar ML'!AC924,8),RIGHT('Pegar ML'!AC925,8))</f>
        <v/>
      </c>
      <c r="N929" s="27" t="s">
        <v>80</v>
      </c>
      <c r="O929" s="27">
        <f t="shared" si="42"/>
        <v>0</v>
      </c>
      <c r="P929" s="27" t="s">
        <v>80</v>
      </c>
      <c r="Q929" s="55">
        <f>IF('Pegar ML'!AD925=" ",'Pegar ML'!AD924,'Pegar ML'!AD925)</f>
        <v>0</v>
      </c>
      <c r="R929" s="27" t="s">
        <v>80</v>
      </c>
      <c r="S929" s="27" t="s">
        <v>80</v>
      </c>
      <c r="T929" s="27" t="s">
        <v>80</v>
      </c>
      <c r="U929" s="55">
        <f>IF('Pegar ML'!AI925=" ",'Pegar ML'!AI924,'Pegar ML'!AI925)</f>
        <v>0</v>
      </c>
      <c r="V929" s="55">
        <f>IF('Pegar ML'!AK925=" ",'Pegar ML'!AK924,'Pegar ML'!AK925)</f>
        <v>0</v>
      </c>
      <c r="W929" s="55">
        <f>IF('Pegar ML'!AJ925=" ",'Pegar ML'!AJ924,'Pegar ML'!AJ925)</f>
        <v>0</v>
      </c>
      <c r="X929" s="55">
        <f>IF('Pegar ML'!AL925=" ",'Pegar ML'!AL924,'Pegar ML'!AL925)</f>
        <v>0</v>
      </c>
      <c r="Y929" s="27"/>
      <c r="Z929" s="27"/>
      <c r="AA929" s="27"/>
      <c r="AB929" s="27"/>
      <c r="AC929" s="27"/>
      <c r="AD929" s="27"/>
      <c r="AF929" s="8"/>
      <c r="AG929" s="27"/>
      <c r="AH929" s="14">
        <f>+'Pegar ML'!Y925</f>
        <v>0</v>
      </c>
      <c r="AI929" s="13">
        <f t="shared" si="43"/>
        <v>1</v>
      </c>
      <c r="AJ929" s="7">
        <f>+'Pegar ML'!T925</f>
        <v>0</v>
      </c>
      <c r="AK929" s="27"/>
      <c r="AL929" s="27"/>
      <c r="AM929" s="27"/>
      <c r="AN929" s="27"/>
      <c r="AO929" s="27"/>
      <c r="AP929" s="27"/>
      <c r="AQ929" s="27"/>
      <c r="AR929" s="27"/>
      <c r="AS929" s="27">
        <v>17</v>
      </c>
    </row>
    <row r="930" spans="1:45" ht="15" customHeight="1" x14ac:dyDescent="0.25">
      <c r="A930" s="27">
        <f>IF('Pegar ML'!C925="Paquete de 2 productos",'Pegar ML'!A925,IF('Pegar ML'!C924="Paquete de 2 productos",'Pegar ML'!A924,'Pegar ML'!A926))</f>
        <v>0</v>
      </c>
      <c r="B930" s="27"/>
      <c r="C930" s="30" t="str">
        <f>IF(AjusteFecha!I926=0,"",AjusteFecha!I926)</f>
        <v/>
      </c>
      <c r="D930" s="27"/>
      <c r="E930" s="27"/>
      <c r="F930" s="27" t="str">
        <f>IF('Pegar ML'!C926="","",'Pegar ML'!C926)</f>
        <v/>
      </c>
      <c r="G930" s="27" t="str">
        <f>IF('Pegar ML'!G921="ARS","PS","PS")</f>
        <v>PS</v>
      </c>
      <c r="H930" s="14">
        <f>IF('Pegar ML'!C925="Paquete de 2 productos",IF('Pegar ML'!H925="",0,'Pegar ML'!H925),IF('Pegar ML'!H926="",0,'Pegar ML'!H926))</f>
        <v>0</v>
      </c>
      <c r="I930" s="14">
        <f>IF('Pegar ML'!C925="Paquete de 2 productos",IF('Pegar ML'!O925="",0,'Pegar ML'!O925),IF('Pegar ML'!O926="",0,'Pegar ML'!O926))</f>
        <v>0</v>
      </c>
      <c r="J930" s="14">
        <f>IF('Pegar ML'!C925="Paquete de 2 productos",IF('Pegar ML'!O925="",0,'Pegar ML'!O925),IF('Pegar ML'!O926="",0,'Pegar ML'!O926))</f>
        <v>0</v>
      </c>
      <c r="K930" s="14">
        <f t="shared" si="44"/>
        <v>0</v>
      </c>
      <c r="L930" s="27">
        <f>IF('Pegar ML'!AB926=" ",'Pegar ML'!AB925,'Pegar ML'!AB926)</f>
        <v>0</v>
      </c>
      <c r="M930" s="27" t="str">
        <f>IF('Pegar ML'!AC926=" ",RIGHT('Pegar ML'!AC925,8),RIGHT('Pegar ML'!AC926,8))</f>
        <v/>
      </c>
      <c r="N930" s="27" t="s">
        <v>80</v>
      </c>
      <c r="O930" s="27">
        <f t="shared" si="42"/>
        <v>0</v>
      </c>
      <c r="P930" s="27" t="s">
        <v>80</v>
      </c>
      <c r="Q930" s="55">
        <f>IF('Pegar ML'!AD926=" ",'Pegar ML'!AD925,'Pegar ML'!AD926)</f>
        <v>0</v>
      </c>
      <c r="R930" s="27" t="s">
        <v>80</v>
      </c>
      <c r="S930" s="27" t="s">
        <v>80</v>
      </c>
      <c r="T930" s="27" t="s">
        <v>80</v>
      </c>
      <c r="U930" s="55">
        <f>IF('Pegar ML'!AI926=" ",'Pegar ML'!AI925,'Pegar ML'!AI926)</f>
        <v>0</v>
      </c>
      <c r="V930" s="55">
        <f>IF('Pegar ML'!AK926=" ",'Pegar ML'!AK925,'Pegar ML'!AK926)</f>
        <v>0</v>
      </c>
      <c r="W930" s="55">
        <f>IF('Pegar ML'!AJ926=" ",'Pegar ML'!AJ925,'Pegar ML'!AJ926)</f>
        <v>0</v>
      </c>
      <c r="X930" s="55">
        <f>IF('Pegar ML'!AL926=" ",'Pegar ML'!AL925,'Pegar ML'!AL926)</f>
        <v>0</v>
      </c>
      <c r="Y930" s="27"/>
      <c r="Z930" s="27"/>
      <c r="AA930" s="27"/>
      <c r="AB930" s="27"/>
      <c r="AC930" s="27"/>
      <c r="AD930" s="27"/>
      <c r="AF930" s="8"/>
      <c r="AG930" s="27"/>
      <c r="AH930" s="14">
        <f>+'Pegar ML'!Y926</f>
        <v>0</v>
      </c>
      <c r="AI930" s="13">
        <f t="shared" si="43"/>
        <v>1</v>
      </c>
      <c r="AJ930" s="7">
        <f>+'Pegar ML'!T926</f>
        <v>0</v>
      </c>
      <c r="AK930" s="27"/>
      <c r="AL930" s="27"/>
      <c r="AM930" s="27"/>
      <c r="AN930" s="27"/>
      <c r="AO930" s="27"/>
      <c r="AP930" s="27"/>
      <c r="AQ930" s="27"/>
      <c r="AR930" s="27"/>
      <c r="AS930" s="27">
        <v>17</v>
      </c>
    </row>
    <row r="931" spans="1:45" ht="15" customHeight="1" x14ac:dyDescent="0.25">
      <c r="A931" s="27">
        <f>IF('Pegar ML'!C926="Paquete de 2 productos",'Pegar ML'!A926,IF('Pegar ML'!C925="Paquete de 2 productos",'Pegar ML'!A925,'Pegar ML'!A927))</f>
        <v>0</v>
      </c>
      <c r="B931" s="27"/>
      <c r="C931" s="30" t="str">
        <f>IF(AjusteFecha!I927=0,"",AjusteFecha!I927)</f>
        <v/>
      </c>
      <c r="D931" s="27"/>
      <c r="E931" s="27"/>
      <c r="F931" s="27" t="str">
        <f>IF('Pegar ML'!C927="","",'Pegar ML'!C927)</f>
        <v/>
      </c>
      <c r="G931" s="27" t="str">
        <f>IF('Pegar ML'!G922="ARS","PS","PS")</f>
        <v>PS</v>
      </c>
      <c r="H931" s="14">
        <f>IF('Pegar ML'!C926="Paquete de 2 productos",IF('Pegar ML'!H926="",0,'Pegar ML'!H926),IF('Pegar ML'!H927="",0,'Pegar ML'!H927))</f>
        <v>0</v>
      </c>
      <c r="I931" s="14">
        <f>IF('Pegar ML'!C926="Paquete de 2 productos",IF('Pegar ML'!O926="",0,'Pegar ML'!O926),IF('Pegar ML'!O927="",0,'Pegar ML'!O927))</f>
        <v>0</v>
      </c>
      <c r="J931" s="14">
        <f>IF('Pegar ML'!C926="Paquete de 2 productos",IF('Pegar ML'!O926="",0,'Pegar ML'!O926),IF('Pegar ML'!O927="",0,'Pegar ML'!O927))</f>
        <v>0</v>
      </c>
      <c r="K931" s="14">
        <f t="shared" si="44"/>
        <v>0</v>
      </c>
      <c r="L931" s="27">
        <f>IF('Pegar ML'!AB927=" ",'Pegar ML'!AB926,'Pegar ML'!AB927)</f>
        <v>0</v>
      </c>
      <c r="M931" s="27" t="str">
        <f>IF('Pegar ML'!AC927=" ",RIGHT('Pegar ML'!AC926,8),RIGHT('Pegar ML'!AC927,8))</f>
        <v/>
      </c>
      <c r="N931" s="27" t="s">
        <v>80</v>
      </c>
      <c r="O931" s="27">
        <f t="shared" si="42"/>
        <v>0</v>
      </c>
      <c r="P931" s="27" t="s">
        <v>80</v>
      </c>
      <c r="Q931" s="55">
        <f>IF('Pegar ML'!AD927=" ",'Pegar ML'!AD926,'Pegar ML'!AD927)</f>
        <v>0</v>
      </c>
      <c r="R931" s="27" t="s">
        <v>80</v>
      </c>
      <c r="S931" s="27" t="s">
        <v>80</v>
      </c>
      <c r="T931" s="27" t="s">
        <v>80</v>
      </c>
      <c r="U931" s="55">
        <f>IF('Pegar ML'!AI927=" ",'Pegar ML'!AI926,'Pegar ML'!AI927)</f>
        <v>0</v>
      </c>
      <c r="V931" s="55">
        <f>IF('Pegar ML'!AK927=" ",'Pegar ML'!AK926,'Pegar ML'!AK927)</f>
        <v>0</v>
      </c>
      <c r="W931" s="55">
        <f>IF('Pegar ML'!AJ927=" ",'Pegar ML'!AJ926,'Pegar ML'!AJ927)</f>
        <v>0</v>
      </c>
      <c r="X931" s="55">
        <f>IF('Pegar ML'!AL927=" ",'Pegar ML'!AL926,'Pegar ML'!AL927)</f>
        <v>0</v>
      </c>
      <c r="Y931" s="27"/>
      <c r="Z931" s="27"/>
      <c r="AA931" s="27"/>
      <c r="AB931" s="27"/>
      <c r="AC931" s="27"/>
      <c r="AD931" s="27"/>
      <c r="AF931" s="8"/>
      <c r="AG931" s="27"/>
      <c r="AH931" s="14">
        <f>+'Pegar ML'!Y927</f>
        <v>0</v>
      </c>
      <c r="AI931" s="13">
        <f t="shared" si="43"/>
        <v>1</v>
      </c>
      <c r="AJ931" s="7">
        <f>+'Pegar ML'!T927</f>
        <v>0</v>
      </c>
      <c r="AK931" s="27"/>
      <c r="AL931" s="27"/>
      <c r="AM931" s="27"/>
      <c r="AN931" s="27"/>
      <c r="AO931" s="27"/>
      <c r="AP931" s="27"/>
      <c r="AQ931" s="27"/>
      <c r="AR931" s="27"/>
      <c r="AS931" s="27">
        <v>17</v>
      </c>
    </row>
    <row r="932" spans="1:45" ht="15" customHeight="1" x14ac:dyDescent="0.25">
      <c r="A932" s="27">
        <f>IF('Pegar ML'!C927="Paquete de 2 productos",'Pegar ML'!A927,IF('Pegar ML'!C926="Paquete de 2 productos",'Pegar ML'!A926,'Pegar ML'!A928))</f>
        <v>0</v>
      </c>
      <c r="B932" s="27"/>
      <c r="C932" s="30" t="str">
        <f>IF(AjusteFecha!I928=0,"",AjusteFecha!I928)</f>
        <v/>
      </c>
      <c r="D932" s="27"/>
      <c r="E932" s="27"/>
      <c r="F932" s="27" t="str">
        <f>IF('Pegar ML'!C928="","",'Pegar ML'!C928)</f>
        <v/>
      </c>
      <c r="G932" s="27" t="str">
        <f>IF('Pegar ML'!G923="ARS","PS","PS")</f>
        <v>PS</v>
      </c>
      <c r="H932" s="14">
        <f>IF('Pegar ML'!C927="Paquete de 2 productos",IF('Pegar ML'!H927="",0,'Pegar ML'!H927),IF('Pegar ML'!H928="",0,'Pegar ML'!H928))</f>
        <v>0</v>
      </c>
      <c r="I932" s="14">
        <f>IF('Pegar ML'!C927="Paquete de 2 productos",IF('Pegar ML'!O927="",0,'Pegar ML'!O927),IF('Pegar ML'!O928="",0,'Pegar ML'!O928))</f>
        <v>0</v>
      </c>
      <c r="J932" s="14">
        <f>IF('Pegar ML'!C927="Paquete de 2 productos",IF('Pegar ML'!O927="",0,'Pegar ML'!O927),IF('Pegar ML'!O928="",0,'Pegar ML'!O928))</f>
        <v>0</v>
      </c>
      <c r="K932" s="14">
        <f t="shared" si="44"/>
        <v>0</v>
      </c>
      <c r="L932" s="27">
        <f>IF('Pegar ML'!AB928=" ",'Pegar ML'!AB927,'Pegar ML'!AB928)</f>
        <v>0</v>
      </c>
      <c r="M932" s="27" t="str">
        <f>IF('Pegar ML'!AC928=" ",RIGHT('Pegar ML'!AC927,8),RIGHT('Pegar ML'!AC928,8))</f>
        <v/>
      </c>
      <c r="N932" s="27" t="s">
        <v>80</v>
      </c>
      <c r="O932" s="27">
        <f t="shared" si="42"/>
        <v>0</v>
      </c>
      <c r="P932" s="27" t="s">
        <v>80</v>
      </c>
      <c r="Q932" s="55">
        <f>IF('Pegar ML'!AD928=" ",'Pegar ML'!AD927,'Pegar ML'!AD928)</f>
        <v>0</v>
      </c>
      <c r="R932" s="27" t="s">
        <v>80</v>
      </c>
      <c r="S932" s="27" t="s">
        <v>80</v>
      </c>
      <c r="T932" s="27" t="s">
        <v>80</v>
      </c>
      <c r="U932" s="55">
        <f>IF('Pegar ML'!AI928=" ",'Pegar ML'!AI927,'Pegar ML'!AI928)</f>
        <v>0</v>
      </c>
      <c r="V932" s="55">
        <f>IF('Pegar ML'!AK928=" ",'Pegar ML'!AK927,'Pegar ML'!AK928)</f>
        <v>0</v>
      </c>
      <c r="W932" s="55">
        <f>IF('Pegar ML'!AJ928=" ",'Pegar ML'!AJ927,'Pegar ML'!AJ928)</f>
        <v>0</v>
      </c>
      <c r="X932" s="55">
        <f>IF('Pegar ML'!AL928=" ",'Pegar ML'!AL927,'Pegar ML'!AL928)</f>
        <v>0</v>
      </c>
      <c r="Y932" s="27"/>
      <c r="Z932" s="27"/>
      <c r="AA932" s="27"/>
      <c r="AB932" s="27"/>
      <c r="AC932" s="27"/>
      <c r="AD932" s="27"/>
      <c r="AF932" s="8"/>
      <c r="AG932" s="27"/>
      <c r="AH932" s="14">
        <f>+'Pegar ML'!Y928</f>
        <v>0</v>
      </c>
      <c r="AI932" s="13">
        <f t="shared" si="43"/>
        <v>1</v>
      </c>
      <c r="AJ932" s="7">
        <f>+'Pegar ML'!T928</f>
        <v>0</v>
      </c>
      <c r="AK932" s="27"/>
      <c r="AL932" s="27"/>
      <c r="AM932" s="27"/>
      <c r="AN932" s="27"/>
      <c r="AO932" s="27"/>
      <c r="AP932" s="27"/>
      <c r="AQ932" s="27"/>
      <c r="AR932" s="27"/>
      <c r="AS932" s="27">
        <v>17</v>
      </c>
    </row>
    <row r="933" spans="1:45" ht="15" customHeight="1" x14ac:dyDescent="0.25">
      <c r="A933" s="27">
        <f>IF('Pegar ML'!C928="Paquete de 2 productos",'Pegar ML'!A928,IF('Pegar ML'!C927="Paquete de 2 productos",'Pegar ML'!A927,'Pegar ML'!A929))</f>
        <v>0</v>
      </c>
      <c r="B933" s="27"/>
      <c r="C933" s="30" t="str">
        <f>IF(AjusteFecha!I929=0,"",AjusteFecha!I929)</f>
        <v/>
      </c>
      <c r="D933" s="27"/>
      <c r="E933" s="27"/>
      <c r="F933" s="27" t="str">
        <f>IF('Pegar ML'!C929="","",'Pegar ML'!C929)</f>
        <v/>
      </c>
      <c r="G933" s="27" t="str">
        <f>IF('Pegar ML'!G924="ARS","PS","PS")</f>
        <v>PS</v>
      </c>
      <c r="H933" s="14">
        <f>IF('Pegar ML'!C928="Paquete de 2 productos",IF('Pegar ML'!H928="",0,'Pegar ML'!H928),IF('Pegar ML'!H929="",0,'Pegar ML'!H929))</f>
        <v>0</v>
      </c>
      <c r="I933" s="14">
        <f>IF('Pegar ML'!C928="Paquete de 2 productos",IF('Pegar ML'!O928="",0,'Pegar ML'!O928),IF('Pegar ML'!O929="",0,'Pegar ML'!O929))</f>
        <v>0</v>
      </c>
      <c r="J933" s="14">
        <f>IF('Pegar ML'!C928="Paquete de 2 productos",IF('Pegar ML'!O928="",0,'Pegar ML'!O928),IF('Pegar ML'!O929="",0,'Pegar ML'!O929))</f>
        <v>0</v>
      </c>
      <c r="K933" s="14">
        <f t="shared" si="44"/>
        <v>0</v>
      </c>
      <c r="L933" s="27">
        <f>IF('Pegar ML'!AB929=" ",'Pegar ML'!AB928,'Pegar ML'!AB929)</f>
        <v>0</v>
      </c>
      <c r="M933" s="27" t="str">
        <f>IF('Pegar ML'!AC929=" ",RIGHT('Pegar ML'!AC928,8),RIGHT('Pegar ML'!AC929,8))</f>
        <v/>
      </c>
      <c r="N933" s="27" t="s">
        <v>80</v>
      </c>
      <c r="O933" s="27">
        <f t="shared" si="42"/>
        <v>0</v>
      </c>
      <c r="P933" s="27" t="s">
        <v>80</v>
      </c>
      <c r="Q933" s="55">
        <f>IF('Pegar ML'!AD929=" ",'Pegar ML'!AD928,'Pegar ML'!AD929)</f>
        <v>0</v>
      </c>
      <c r="R933" s="27" t="s">
        <v>80</v>
      </c>
      <c r="S933" s="27" t="s">
        <v>80</v>
      </c>
      <c r="T933" s="27" t="s">
        <v>80</v>
      </c>
      <c r="U933" s="55">
        <f>IF('Pegar ML'!AI929=" ",'Pegar ML'!AI928,'Pegar ML'!AI929)</f>
        <v>0</v>
      </c>
      <c r="V933" s="55">
        <f>IF('Pegar ML'!AK929=" ",'Pegar ML'!AK928,'Pegar ML'!AK929)</f>
        <v>0</v>
      </c>
      <c r="W933" s="55">
        <f>IF('Pegar ML'!AJ929=" ",'Pegar ML'!AJ928,'Pegar ML'!AJ929)</f>
        <v>0</v>
      </c>
      <c r="X933" s="55">
        <f>IF('Pegar ML'!AL929=" ",'Pegar ML'!AL928,'Pegar ML'!AL929)</f>
        <v>0</v>
      </c>
      <c r="Y933" s="27"/>
      <c r="Z933" s="27"/>
      <c r="AA933" s="27"/>
      <c r="AB933" s="27"/>
      <c r="AC933" s="27"/>
      <c r="AD933" s="27"/>
      <c r="AF933" s="8"/>
      <c r="AG933" s="27"/>
      <c r="AH933" s="14">
        <f>+'Pegar ML'!Y929</f>
        <v>0</v>
      </c>
      <c r="AI933" s="13">
        <f t="shared" si="43"/>
        <v>1</v>
      </c>
      <c r="AJ933" s="7">
        <f>+'Pegar ML'!T929</f>
        <v>0</v>
      </c>
      <c r="AK933" s="27"/>
      <c r="AL933" s="27"/>
      <c r="AM933" s="27"/>
      <c r="AN933" s="27"/>
      <c r="AO933" s="27"/>
      <c r="AP933" s="27"/>
      <c r="AQ933" s="27"/>
      <c r="AR933" s="27"/>
      <c r="AS933" s="27">
        <v>17</v>
      </c>
    </row>
    <row r="934" spans="1:45" ht="15" customHeight="1" x14ac:dyDescent="0.25">
      <c r="A934" s="27">
        <f>IF('Pegar ML'!C929="Paquete de 2 productos",'Pegar ML'!A929,IF('Pegar ML'!C928="Paquete de 2 productos",'Pegar ML'!A928,'Pegar ML'!A930))</f>
        <v>0</v>
      </c>
      <c r="B934" s="27"/>
      <c r="C934" s="30" t="str">
        <f>IF(AjusteFecha!I930=0,"",AjusteFecha!I930)</f>
        <v/>
      </c>
      <c r="D934" s="27"/>
      <c r="E934" s="27"/>
      <c r="F934" s="27" t="str">
        <f>IF('Pegar ML'!C930="","",'Pegar ML'!C930)</f>
        <v/>
      </c>
      <c r="G934" s="27" t="str">
        <f>IF('Pegar ML'!G925="ARS","PS","PS")</f>
        <v>PS</v>
      </c>
      <c r="H934" s="14">
        <f>IF('Pegar ML'!C929="Paquete de 2 productos",IF('Pegar ML'!H929="",0,'Pegar ML'!H929),IF('Pegar ML'!H930="",0,'Pegar ML'!H930))</f>
        <v>0</v>
      </c>
      <c r="I934" s="14">
        <f>IF('Pegar ML'!C929="Paquete de 2 productos",IF('Pegar ML'!O929="",0,'Pegar ML'!O929),IF('Pegar ML'!O930="",0,'Pegar ML'!O930))</f>
        <v>0</v>
      </c>
      <c r="J934" s="14">
        <f>IF('Pegar ML'!C929="Paquete de 2 productos",IF('Pegar ML'!O929="",0,'Pegar ML'!O929),IF('Pegar ML'!O930="",0,'Pegar ML'!O930))</f>
        <v>0</v>
      </c>
      <c r="K934" s="14">
        <f t="shared" si="44"/>
        <v>0</v>
      </c>
      <c r="L934" s="27">
        <f>IF('Pegar ML'!AB930=" ",'Pegar ML'!AB929,'Pegar ML'!AB930)</f>
        <v>0</v>
      </c>
      <c r="M934" s="27" t="str">
        <f>IF('Pegar ML'!AC930=" ",RIGHT('Pegar ML'!AC929,8),RIGHT('Pegar ML'!AC930,8))</f>
        <v/>
      </c>
      <c r="N934" s="27" t="s">
        <v>80</v>
      </c>
      <c r="O934" s="27">
        <f t="shared" si="42"/>
        <v>0</v>
      </c>
      <c r="P934" s="27" t="s">
        <v>80</v>
      </c>
      <c r="Q934" s="55">
        <f>IF('Pegar ML'!AD930=" ",'Pegar ML'!AD929,'Pegar ML'!AD930)</f>
        <v>0</v>
      </c>
      <c r="R934" s="27" t="s">
        <v>80</v>
      </c>
      <c r="S934" s="27" t="s">
        <v>80</v>
      </c>
      <c r="T934" s="27" t="s">
        <v>80</v>
      </c>
      <c r="U934" s="55">
        <f>IF('Pegar ML'!AI930=" ",'Pegar ML'!AI929,'Pegar ML'!AI930)</f>
        <v>0</v>
      </c>
      <c r="V934" s="55">
        <f>IF('Pegar ML'!AK930=" ",'Pegar ML'!AK929,'Pegar ML'!AK930)</f>
        <v>0</v>
      </c>
      <c r="W934" s="55">
        <f>IF('Pegar ML'!AJ930=" ",'Pegar ML'!AJ929,'Pegar ML'!AJ930)</f>
        <v>0</v>
      </c>
      <c r="X934" s="55">
        <f>IF('Pegar ML'!AL930=" ",'Pegar ML'!AL929,'Pegar ML'!AL930)</f>
        <v>0</v>
      </c>
      <c r="Y934" s="27"/>
      <c r="Z934" s="27"/>
      <c r="AA934" s="27"/>
      <c r="AB934" s="27"/>
      <c r="AC934" s="27"/>
      <c r="AD934" s="27"/>
      <c r="AF934" s="8"/>
      <c r="AG934" s="27"/>
      <c r="AH934" s="14">
        <f>+'Pegar ML'!Y930</f>
        <v>0</v>
      </c>
      <c r="AI934" s="13">
        <f t="shared" si="43"/>
        <v>1</v>
      </c>
      <c r="AJ934" s="7">
        <f>+'Pegar ML'!T930</f>
        <v>0</v>
      </c>
      <c r="AK934" s="27"/>
      <c r="AL934" s="27"/>
      <c r="AM934" s="27"/>
      <c r="AN934" s="27"/>
      <c r="AO934" s="27"/>
      <c r="AP934" s="27"/>
      <c r="AQ934" s="27"/>
      <c r="AR934" s="27"/>
      <c r="AS934" s="27">
        <v>17</v>
      </c>
    </row>
    <row r="935" spans="1:45" ht="15" customHeight="1" x14ac:dyDescent="0.25">
      <c r="A935" s="27">
        <f>IF('Pegar ML'!C930="Paquete de 2 productos",'Pegar ML'!A930,IF('Pegar ML'!C929="Paquete de 2 productos",'Pegar ML'!A929,'Pegar ML'!A931))</f>
        <v>0</v>
      </c>
      <c r="B935" s="27"/>
      <c r="C935" s="30" t="str">
        <f>IF(AjusteFecha!I931=0,"",AjusteFecha!I931)</f>
        <v/>
      </c>
      <c r="D935" s="27"/>
      <c r="E935" s="27"/>
      <c r="F935" s="27" t="str">
        <f>IF('Pegar ML'!C931="","",'Pegar ML'!C931)</f>
        <v/>
      </c>
      <c r="G935" s="27" t="str">
        <f>IF('Pegar ML'!G926="ARS","PS","PS")</f>
        <v>PS</v>
      </c>
      <c r="H935" s="14">
        <f>IF('Pegar ML'!C930="Paquete de 2 productos",IF('Pegar ML'!H930="",0,'Pegar ML'!H930),IF('Pegar ML'!H931="",0,'Pegar ML'!H931))</f>
        <v>0</v>
      </c>
      <c r="I935" s="14">
        <f>IF('Pegar ML'!C930="Paquete de 2 productos",IF('Pegar ML'!O930="",0,'Pegar ML'!O930),IF('Pegar ML'!O931="",0,'Pegar ML'!O931))</f>
        <v>0</v>
      </c>
      <c r="J935" s="14">
        <f>IF('Pegar ML'!C930="Paquete de 2 productos",IF('Pegar ML'!O930="",0,'Pegar ML'!O930),IF('Pegar ML'!O931="",0,'Pegar ML'!O931))</f>
        <v>0</v>
      </c>
      <c r="K935" s="14">
        <f t="shared" si="44"/>
        <v>0</v>
      </c>
      <c r="L935" s="27">
        <f>IF('Pegar ML'!AB931=" ",'Pegar ML'!AB930,'Pegar ML'!AB931)</f>
        <v>0</v>
      </c>
      <c r="M935" s="27" t="str">
        <f>IF('Pegar ML'!AC931=" ",RIGHT('Pegar ML'!AC930,8),RIGHT('Pegar ML'!AC931,8))</f>
        <v/>
      </c>
      <c r="N935" s="27" t="s">
        <v>80</v>
      </c>
      <c r="O935" s="27">
        <f t="shared" si="42"/>
        <v>0</v>
      </c>
      <c r="P935" s="27" t="s">
        <v>80</v>
      </c>
      <c r="Q935" s="55">
        <f>IF('Pegar ML'!AD931=" ",'Pegar ML'!AD930,'Pegar ML'!AD931)</f>
        <v>0</v>
      </c>
      <c r="R935" s="27" t="s">
        <v>80</v>
      </c>
      <c r="S935" s="27" t="s">
        <v>80</v>
      </c>
      <c r="T935" s="27" t="s">
        <v>80</v>
      </c>
      <c r="U935" s="55">
        <f>IF('Pegar ML'!AI931=" ",'Pegar ML'!AI930,'Pegar ML'!AI931)</f>
        <v>0</v>
      </c>
      <c r="V935" s="55">
        <f>IF('Pegar ML'!AK931=" ",'Pegar ML'!AK930,'Pegar ML'!AK931)</f>
        <v>0</v>
      </c>
      <c r="W935" s="55">
        <f>IF('Pegar ML'!AJ931=" ",'Pegar ML'!AJ930,'Pegar ML'!AJ931)</f>
        <v>0</v>
      </c>
      <c r="X935" s="55">
        <f>IF('Pegar ML'!AL931=" ",'Pegar ML'!AL930,'Pegar ML'!AL931)</f>
        <v>0</v>
      </c>
      <c r="Y935" s="27"/>
      <c r="Z935" s="27"/>
      <c r="AA935" s="27"/>
      <c r="AB935" s="27"/>
      <c r="AC935" s="27"/>
      <c r="AD935" s="27"/>
      <c r="AF935" s="8"/>
      <c r="AG935" s="27"/>
      <c r="AH935" s="14">
        <f>+'Pegar ML'!Y931</f>
        <v>0</v>
      </c>
      <c r="AI935" s="13">
        <f t="shared" si="43"/>
        <v>1</v>
      </c>
      <c r="AJ935" s="7">
        <f>+'Pegar ML'!T931</f>
        <v>0</v>
      </c>
      <c r="AK935" s="27"/>
      <c r="AL935" s="27"/>
      <c r="AM935" s="27"/>
      <c r="AN935" s="27"/>
      <c r="AO935" s="27"/>
      <c r="AP935" s="27"/>
      <c r="AQ935" s="27"/>
      <c r="AR935" s="27"/>
      <c r="AS935" s="27">
        <v>17</v>
      </c>
    </row>
    <row r="936" spans="1:45" ht="15" customHeight="1" x14ac:dyDescent="0.25">
      <c r="A936" s="27">
        <f>IF('Pegar ML'!C931="Paquete de 2 productos",'Pegar ML'!A931,IF('Pegar ML'!C930="Paquete de 2 productos",'Pegar ML'!A930,'Pegar ML'!A932))</f>
        <v>0</v>
      </c>
      <c r="B936" s="27"/>
      <c r="C936" s="30" t="str">
        <f>IF(AjusteFecha!I932=0,"",AjusteFecha!I932)</f>
        <v/>
      </c>
      <c r="D936" s="27"/>
      <c r="E936" s="27"/>
      <c r="F936" s="27" t="str">
        <f>IF('Pegar ML'!C932="","",'Pegar ML'!C932)</f>
        <v/>
      </c>
      <c r="G936" s="27" t="str">
        <f>IF('Pegar ML'!G927="ARS","PS","PS")</f>
        <v>PS</v>
      </c>
      <c r="H936" s="14">
        <f>IF('Pegar ML'!C931="Paquete de 2 productos",IF('Pegar ML'!H931="",0,'Pegar ML'!H931),IF('Pegar ML'!H932="",0,'Pegar ML'!H932))</f>
        <v>0</v>
      </c>
      <c r="I936" s="14">
        <f>IF('Pegar ML'!C931="Paquete de 2 productos",IF('Pegar ML'!O931="",0,'Pegar ML'!O931),IF('Pegar ML'!O932="",0,'Pegar ML'!O932))</f>
        <v>0</v>
      </c>
      <c r="J936" s="14">
        <f>IF('Pegar ML'!C931="Paquete de 2 productos",IF('Pegar ML'!O931="",0,'Pegar ML'!O931),IF('Pegar ML'!O932="",0,'Pegar ML'!O932))</f>
        <v>0</v>
      </c>
      <c r="K936" s="14">
        <f t="shared" si="44"/>
        <v>0</v>
      </c>
      <c r="L936" s="27">
        <f>IF('Pegar ML'!AB932=" ",'Pegar ML'!AB931,'Pegar ML'!AB932)</f>
        <v>0</v>
      </c>
      <c r="M936" s="27" t="str">
        <f>IF('Pegar ML'!AC932=" ",RIGHT('Pegar ML'!AC931,8),RIGHT('Pegar ML'!AC932,8))</f>
        <v/>
      </c>
      <c r="N936" s="27" t="s">
        <v>80</v>
      </c>
      <c r="O936" s="27">
        <f t="shared" si="42"/>
        <v>0</v>
      </c>
      <c r="P936" s="27" t="s">
        <v>80</v>
      </c>
      <c r="Q936" s="55">
        <f>IF('Pegar ML'!AD932=" ",'Pegar ML'!AD931,'Pegar ML'!AD932)</f>
        <v>0</v>
      </c>
      <c r="R936" s="27" t="s">
        <v>80</v>
      </c>
      <c r="S936" s="27" t="s">
        <v>80</v>
      </c>
      <c r="T936" s="27" t="s">
        <v>80</v>
      </c>
      <c r="U936" s="55">
        <f>IF('Pegar ML'!AI932=" ",'Pegar ML'!AI931,'Pegar ML'!AI932)</f>
        <v>0</v>
      </c>
      <c r="V936" s="55">
        <f>IF('Pegar ML'!AK932=" ",'Pegar ML'!AK931,'Pegar ML'!AK932)</f>
        <v>0</v>
      </c>
      <c r="W936" s="55">
        <f>IF('Pegar ML'!AJ932=" ",'Pegar ML'!AJ931,'Pegar ML'!AJ932)</f>
        <v>0</v>
      </c>
      <c r="X936" s="55">
        <f>IF('Pegar ML'!AL932=" ",'Pegar ML'!AL931,'Pegar ML'!AL932)</f>
        <v>0</v>
      </c>
      <c r="Y936" s="27"/>
      <c r="Z936" s="27"/>
      <c r="AA936" s="27"/>
      <c r="AB936" s="27"/>
      <c r="AC936" s="27"/>
      <c r="AD936" s="27"/>
      <c r="AF936" s="8"/>
      <c r="AG936" s="27"/>
      <c r="AH936" s="14">
        <f>+'Pegar ML'!Y932</f>
        <v>0</v>
      </c>
      <c r="AI936" s="13">
        <f t="shared" si="43"/>
        <v>1</v>
      </c>
      <c r="AJ936" s="7">
        <f>+'Pegar ML'!T932</f>
        <v>0</v>
      </c>
      <c r="AK936" s="27"/>
      <c r="AL936" s="27"/>
      <c r="AM936" s="27"/>
      <c r="AN936" s="27"/>
      <c r="AO936" s="27"/>
      <c r="AP936" s="27"/>
      <c r="AQ936" s="27"/>
      <c r="AR936" s="27"/>
      <c r="AS936" s="27">
        <v>17</v>
      </c>
    </row>
    <row r="937" spans="1:45" ht="15" customHeight="1" x14ac:dyDescent="0.25">
      <c r="A937" s="27">
        <f>IF('Pegar ML'!C932="Paquete de 2 productos",'Pegar ML'!A932,IF('Pegar ML'!C931="Paquete de 2 productos",'Pegar ML'!A931,'Pegar ML'!A933))</f>
        <v>0</v>
      </c>
      <c r="B937" s="27"/>
      <c r="C937" s="30" t="str">
        <f>IF(AjusteFecha!I933=0,"",AjusteFecha!I933)</f>
        <v/>
      </c>
      <c r="D937" s="27"/>
      <c r="E937" s="27"/>
      <c r="F937" s="27" t="str">
        <f>IF('Pegar ML'!C933="","",'Pegar ML'!C933)</f>
        <v/>
      </c>
      <c r="G937" s="27" t="str">
        <f>IF('Pegar ML'!G928="ARS","PS","PS")</f>
        <v>PS</v>
      </c>
      <c r="H937" s="14">
        <f>IF('Pegar ML'!C932="Paquete de 2 productos",IF('Pegar ML'!H932="",0,'Pegar ML'!H932),IF('Pegar ML'!H933="",0,'Pegar ML'!H933))</f>
        <v>0</v>
      </c>
      <c r="I937" s="14">
        <f>IF('Pegar ML'!C932="Paquete de 2 productos",IF('Pegar ML'!O932="",0,'Pegar ML'!O932),IF('Pegar ML'!O933="",0,'Pegar ML'!O933))</f>
        <v>0</v>
      </c>
      <c r="J937" s="14">
        <f>IF('Pegar ML'!C932="Paquete de 2 productos",IF('Pegar ML'!O932="",0,'Pegar ML'!O932),IF('Pegar ML'!O933="",0,'Pegar ML'!O933))</f>
        <v>0</v>
      </c>
      <c r="K937" s="14">
        <f t="shared" si="44"/>
        <v>0</v>
      </c>
      <c r="L937" s="27">
        <f>IF('Pegar ML'!AB933=" ",'Pegar ML'!AB932,'Pegar ML'!AB933)</f>
        <v>0</v>
      </c>
      <c r="M937" s="27" t="str">
        <f>IF('Pegar ML'!AC933=" ",RIGHT('Pegar ML'!AC932,8),RIGHT('Pegar ML'!AC933,8))</f>
        <v/>
      </c>
      <c r="N937" s="27" t="s">
        <v>80</v>
      </c>
      <c r="O937" s="27">
        <f t="shared" si="42"/>
        <v>0</v>
      </c>
      <c r="P937" s="27" t="s">
        <v>80</v>
      </c>
      <c r="Q937" s="55">
        <f>IF('Pegar ML'!AD933=" ",'Pegar ML'!AD932,'Pegar ML'!AD933)</f>
        <v>0</v>
      </c>
      <c r="R937" s="27" t="s">
        <v>80</v>
      </c>
      <c r="S937" s="27" t="s">
        <v>80</v>
      </c>
      <c r="T937" s="27" t="s">
        <v>80</v>
      </c>
      <c r="U937" s="55">
        <f>IF('Pegar ML'!AI933=" ",'Pegar ML'!AI932,'Pegar ML'!AI933)</f>
        <v>0</v>
      </c>
      <c r="V937" s="55">
        <f>IF('Pegar ML'!AK933=" ",'Pegar ML'!AK932,'Pegar ML'!AK933)</f>
        <v>0</v>
      </c>
      <c r="W937" s="55">
        <f>IF('Pegar ML'!AJ933=" ",'Pegar ML'!AJ932,'Pegar ML'!AJ933)</f>
        <v>0</v>
      </c>
      <c r="X937" s="55">
        <f>IF('Pegar ML'!AL933=" ",'Pegar ML'!AL932,'Pegar ML'!AL933)</f>
        <v>0</v>
      </c>
      <c r="Y937" s="27"/>
      <c r="Z937" s="27"/>
      <c r="AA937" s="27"/>
      <c r="AB937" s="27"/>
      <c r="AC937" s="27"/>
      <c r="AD937" s="27"/>
      <c r="AF937" s="8"/>
      <c r="AG937" s="27"/>
      <c r="AH937" s="14">
        <f>+'Pegar ML'!Y933</f>
        <v>0</v>
      </c>
      <c r="AI937" s="13">
        <f t="shared" si="43"/>
        <v>1</v>
      </c>
      <c r="AJ937" s="7">
        <f>+'Pegar ML'!T933</f>
        <v>0</v>
      </c>
      <c r="AK937" s="27"/>
      <c r="AL937" s="27"/>
      <c r="AM937" s="27"/>
      <c r="AN937" s="27"/>
      <c r="AO937" s="27"/>
      <c r="AP937" s="27"/>
      <c r="AQ937" s="27"/>
      <c r="AR937" s="27"/>
      <c r="AS937" s="27">
        <v>17</v>
      </c>
    </row>
    <row r="938" spans="1:45" ht="15" customHeight="1" x14ac:dyDescent="0.25">
      <c r="A938" s="27">
        <f>IF('Pegar ML'!C933="Paquete de 2 productos",'Pegar ML'!A933,IF('Pegar ML'!C932="Paquete de 2 productos",'Pegar ML'!A932,'Pegar ML'!A934))</f>
        <v>0</v>
      </c>
      <c r="B938" s="27"/>
      <c r="C938" s="30" t="str">
        <f>IF(AjusteFecha!I934=0,"",AjusteFecha!I934)</f>
        <v/>
      </c>
      <c r="D938" s="27"/>
      <c r="E938" s="27"/>
      <c r="F938" s="27" t="str">
        <f>IF('Pegar ML'!C934="","",'Pegar ML'!C934)</f>
        <v/>
      </c>
      <c r="G938" s="27" t="str">
        <f>IF('Pegar ML'!G929="ARS","PS","PS")</f>
        <v>PS</v>
      </c>
      <c r="H938" s="14">
        <f>IF('Pegar ML'!C933="Paquete de 2 productos",IF('Pegar ML'!H933="",0,'Pegar ML'!H933),IF('Pegar ML'!H934="",0,'Pegar ML'!H934))</f>
        <v>0</v>
      </c>
      <c r="I938" s="14">
        <f>IF('Pegar ML'!C933="Paquete de 2 productos",IF('Pegar ML'!O933="",0,'Pegar ML'!O933),IF('Pegar ML'!O934="",0,'Pegar ML'!O934))</f>
        <v>0</v>
      </c>
      <c r="J938" s="14">
        <f>IF('Pegar ML'!C933="Paquete de 2 productos",IF('Pegar ML'!O933="",0,'Pegar ML'!O933),IF('Pegar ML'!O934="",0,'Pegar ML'!O934))</f>
        <v>0</v>
      </c>
      <c r="K938" s="14">
        <f t="shared" si="44"/>
        <v>0</v>
      </c>
      <c r="L938" s="27">
        <f>IF('Pegar ML'!AB934=" ",'Pegar ML'!AB933,'Pegar ML'!AB934)</f>
        <v>0</v>
      </c>
      <c r="M938" s="27" t="str">
        <f>IF('Pegar ML'!AC934=" ",RIGHT('Pegar ML'!AC933,8),RIGHT('Pegar ML'!AC934,8))</f>
        <v/>
      </c>
      <c r="N938" s="27" t="s">
        <v>80</v>
      </c>
      <c r="O938" s="27">
        <f t="shared" si="42"/>
        <v>0</v>
      </c>
      <c r="P938" s="27" t="s">
        <v>80</v>
      </c>
      <c r="Q938" s="55">
        <f>IF('Pegar ML'!AD934=" ",'Pegar ML'!AD933,'Pegar ML'!AD934)</f>
        <v>0</v>
      </c>
      <c r="R938" s="27" t="s">
        <v>80</v>
      </c>
      <c r="S938" s="27" t="s">
        <v>80</v>
      </c>
      <c r="T938" s="27" t="s">
        <v>80</v>
      </c>
      <c r="U938" s="55">
        <f>IF('Pegar ML'!AI934=" ",'Pegar ML'!AI933,'Pegar ML'!AI934)</f>
        <v>0</v>
      </c>
      <c r="V938" s="55">
        <f>IF('Pegar ML'!AK934=" ",'Pegar ML'!AK933,'Pegar ML'!AK934)</f>
        <v>0</v>
      </c>
      <c r="W938" s="55">
        <f>IF('Pegar ML'!AJ934=" ",'Pegar ML'!AJ933,'Pegar ML'!AJ934)</f>
        <v>0</v>
      </c>
      <c r="X938" s="55">
        <f>IF('Pegar ML'!AL934=" ",'Pegar ML'!AL933,'Pegar ML'!AL934)</f>
        <v>0</v>
      </c>
      <c r="Y938" s="27"/>
      <c r="Z938" s="27"/>
      <c r="AA938" s="27"/>
      <c r="AB938" s="27"/>
      <c r="AC938" s="27"/>
      <c r="AD938" s="27"/>
      <c r="AF938" s="8"/>
      <c r="AG938" s="27"/>
      <c r="AH938" s="14">
        <f>+'Pegar ML'!Y934</f>
        <v>0</v>
      </c>
      <c r="AI938" s="13">
        <f t="shared" si="43"/>
        <v>1</v>
      </c>
      <c r="AJ938" s="7">
        <f>+'Pegar ML'!T934</f>
        <v>0</v>
      </c>
      <c r="AK938" s="27"/>
      <c r="AL938" s="27"/>
      <c r="AM938" s="27"/>
      <c r="AN938" s="27"/>
      <c r="AO938" s="27"/>
      <c r="AP938" s="27"/>
      <c r="AQ938" s="27"/>
      <c r="AR938" s="27"/>
      <c r="AS938" s="27">
        <v>17</v>
      </c>
    </row>
    <row r="939" spans="1:45" ht="15" customHeight="1" x14ac:dyDescent="0.25">
      <c r="A939" s="27">
        <f>IF('Pegar ML'!C934="Paquete de 2 productos",'Pegar ML'!A934,IF('Pegar ML'!C933="Paquete de 2 productos",'Pegar ML'!A933,'Pegar ML'!A935))</f>
        <v>0</v>
      </c>
      <c r="B939" s="27"/>
      <c r="C939" s="30" t="str">
        <f>IF(AjusteFecha!I935=0,"",AjusteFecha!I935)</f>
        <v/>
      </c>
      <c r="D939" s="27"/>
      <c r="E939" s="27"/>
      <c r="F939" s="27" t="str">
        <f>IF('Pegar ML'!C935="","",'Pegar ML'!C935)</f>
        <v/>
      </c>
      <c r="G939" s="27" t="str">
        <f>IF('Pegar ML'!G930="ARS","PS","PS")</f>
        <v>PS</v>
      </c>
      <c r="H939" s="14">
        <f>IF('Pegar ML'!C934="Paquete de 2 productos",IF('Pegar ML'!H934="",0,'Pegar ML'!H934),IF('Pegar ML'!H935="",0,'Pegar ML'!H935))</f>
        <v>0</v>
      </c>
      <c r="I939" s="14">
        <f>IF('Pegar ML'!C934="Paquete de 2 productos",IF('Pegar ML'!O934="",0,'Pegar ML'!O934),IF('Pegar ML'!O935="",0,'Pegar ML'!O935))</f>
        <v>0</v>
      </c>
      <c r="J939" s="14">
        <f>IF('Pegar ML'!C934="Paquete de 2 productos",IF('Pegar ML'!O934="",0,'Pegar ML'!O934),IF('Pegar ML'!O935="",0,'Pegar ML'!O935))</f>
        <v>0</v>
      </c>
      <c r="K939" s="14">
        <f t="shared" si="44"/>
        <v>0</v>
      </c>
      <c r="L939" s="27">
        <f>IF('Pegar ML'!AB935=" ",'Pegar ML'!AB934,'Pegar ML'!AB935)</f>
        <v>0</v>
      </c>
      <c r="M939" s="27" t="str">
        <f>IF('Pegar ML'!AC935=" ",RIGHT('Pegar ML'!AC934,8),RIGHT('Pegar ML'!AC935,8))</f>
        <v/>
      </c>
      <c r="N939" s="27" t="s">
        <v>80</v>
      </c>
      <c r="O939" s="27">
        <f t="shared" si="42"/>
        <v>0</v>
      </c>
      <c r="P939" s="27" t="s">
        <v>80</v>
      </c>
      <c r="Q939" s="55">
        <f>IF('Pegar ML'!AD935=" ",'Pegar ML'!AD934,'Pegar ML'!AD935)</f>
        <v>0</v>
      </c>
      <c r="R939" s="27" t="s">
        <v>80</v>
      </c>
      <c r="S939" s="27" t="s">
        <v>80</v>
      </c>
      <c r="T939" s="27" t="s">
        <v>80</v>
      </c>
      <c r="U939" s="55">
        <f>IF('Pegar ML'!AI935=" ",'Pegar ML'!AI934,'Pegar ML'!AI935)</f>
        <v>0</v>
      </c>
      <c r="V939" s="55">
        <f>IF('Pegar ML'!AK935=" ",'Pegar ML'!AK934,'Pegar ML'!AK935)</f>
        <v>0</v>
      </c>
      <c r="W939" s="55">
        <f>IF('Pegar ML'!AJ935=" ",'Pegar ML'!AJ934,'Pegar ML'!AJ935)</f>
        <v>0</v>
      </c>
      <c r="X939" s="55">
        <f>IF('Pegar ML'!AL935=" ",'Pegar ML'!AL934,'Pegar ML'!AL935)</f>
        <v>0</v>
      </c>
      <c r="Y939" s="27"/>
      <c r="Z939" s="27"/>
      <c r="AA939" s="27"/>
      <c r="AB939" s="27"/>
      <c r="AC939" s="27"/>
      <c r="AD939" s="27"/>
      <c r="AF939" s="8"/>
      <c r="AG939" s="27"/>
      <c r="AH939" s="14">
        <f>+'Pegar ML'!Y935</f>
        <v>0</v>
      </c>
      <c r="AI939" s="13">
        <f t="shared" si="43"/>
        <v>1</v>
      </c>
      <c r="AJ939" s="7">
        <f>+'Pegar ML'!T935</f>
        <v>0</v>
      </c>
      <c r="AK939" s="27"/>
      <c r="AL939" s="27"/>
      <c r="AM939" s="27"/>
      <c r="AN939" s="27"/>
      <c r="AO939" s="27"/>
      <c r="AP939" s="27"/>
      <c r="AQ939" s="27"/>
      <c r="AR939" s="27"/>
      <c r="AS939" s="27">
        <v>17</v>
      </c>
    </row>
    <row r="940" spans="1:45" ht="15" customHeight="1" x14ac:dyDescent="0.25">
      <c r="A940" s="27">
        <f>IF('Pegar ML'!C935="Paquete de 2 productos",'Pegar ML'!A935,IF('Pegar ML'!C934="Paquete de 2 productos",'Pegar ML'!A934,'Pegar ML'!A936))</f>
        <v>0</v>
      </c>
      <c r="B940" s="27"/>
      <c r="C940" s="30" t="str">
        <f>IF(AjusteFecha!I936=0,"",AjusteFecha!I936)</f>
        <v/>
      </c>
      <c r="D940" s="27"/>
      <c r="E940" s="27"/>
      <c r="F940" s="27" t="str">
        <f>IF('Pegar ML'!C936="","",'Pegar ML'!C936)</f>
        <v/>
      </c>
      <c r="G940" s="27" t="str">
        <f>IF('Pegar ML'!G931="ARS","PS","PS")</f>
        <v>PS</v>
      </c>
      <c r="H940" s="14">
        <f>IF('Pegar ML'!C935="Paquete de 2 productos",IF('Pegar ML'!H935="",0,'Pegar ML'!H935),IF('Pegar ML'!H936="",0,'Pegar ML'!H936))</f>
        <v>0</v>
      </c>
      <c r="I940" s="14">
        <f>IF('Pegar ML'!C935="Paquete de 2 productos",IF('Pegar ML'!O935="",0,'Pegar ML'!O935),IF('Pegar ML'!O936="",0,'Pegar ML'!O936))</f>
        <v>0</v>
      </c>
      <c r="J940" s="14">
        <f>IF('Pegar ML'!C935="Paquete de 2 productos",IF('Pegar ML'!O935="",0,'Pegar ML'!O935),IF('Pegar ML'!O936="",0,'Pegar ML'!O936))</f>
        <v>0</v>
      </c>
      <c r="K940" s="14">
        <f t="shared" si="44"/>
        <v>0</v>
      </c>
      <c r="L940" s="27">
        <f>IF('Pegar ML'!AB936=" ",'Pegar ML'!AB935,'Pegar ML'!AB936)</f>
        <v>0</v>
      </c>
      <c r="M940" s="27" t="str">
        <f>IF('Pegar ML'!AC936=" ",RIGHT('Pegar ML'!AC935,8),RIGHT('Pegar ML'!AC936,8))</f>
        <v/>
      </c>
      <c r="N940" s="27" t="s">
        <v>80</v>
      </c>
      <c r="O940" s="27">
        <f t="shared" si="42"/>
        <v>0</v>
      </c>
      <c r="P940" s="27" t="s">
        <v>80</v>
      </c>
      <c r="Q940" s="55">
        <f>IF('Pegar ML'!AD936=" ",'Pegar ML'!AD935,'Pegar ML'!AD936)</f>
        <v>0</v>
      </c>
      <c r="R940" s="27" t="s">
        <v>80</v>
      </c>
      <c r="S940" s="27" t="s">
        <v>80</v>
      </c>
      <c r="T940" s="27" t="s">
        <v>80</v>
      </c>
      <c r="U940" s="55">
        <f>IF('Pegar ML'!AI936=" ",'Pegar ML'!AI935,'Pegar ML'!AI936)</f>
        <v>0</v>
      </c>
      <c r="V940" s="55">
        <f>IF('Pegar ML'!AK936=" ",'Pegar ML'!AK935,'Pegar ML'!AK936)</f>
        <v>0</v>
      </c>
      <c r="W940" s="55">
        <f>IF('Pegar ML'!AJ936=" ",'Pegar ML'!AJ935,'Pegar ML'!AJ936)</f>
        <v>0</v>
      </c>
      <c r="X940" s="55">
        <f>IF('Pegar ML'!AL936=" ",'Pegar ML'!AL935,'Pegar ML'!AL936)</f>
        <v>0</v>
      </c>
      <c r="Y940" s="27"/>
      <c r="Z940" s="27"/>
      <c r="AA940" s="27"/>
      <c r="AB940" s="27"/>
      <c r="AC940" s="27"/>
      <c r="AD940" s="27"/>
      <c r="AF940" s="8"/>
      <c r="AG940" s="27"/>
      <c r="AH940" s="14">
        <f>+'Pegar ML'!Y936</f>
        <v>0</v>
      </c>
      <c r="AI940" s="13">
        <f t="shared" si="43"/>
        <v>1</v>
      </c>
      <c r="AJ940" s="7">
        <f>+'Pegar ML'!T936</f>
        <v>0</v>
      </c>
      <c r="AK940" s="27"/>
      <c r="AL940" s="27"/>
      <c r="AM940" s="27"/>
      <c r="AN940" s="27"/>
      <c r="AO940" s="27"/>
      <c r="AP940" s="27"/>
      <c r="AQ940" s="27"/>
      <c r="AR940" s="27"/>
      <c r="AS940" s="27">
        <v>17</v>
      </c>
    </row>
    <row r="941" spans="1:45" ht="15" customHeight="1" x14ac:dyDescent="0.25">
      <c r="A941" s="27">
        <f>IF('Pegar ML'!C936="Paquete de 2 productos",'Pegar ML'!A936,IF('Pegar ML'!C935="Paquete de 2 productos",'Pegar ML'!A935,'Pegar ML'!A937))</f>
        <v>0</v>
      </c>
      <c r="B941" s="27"/>
      <c r="C941" s="30" t="str">
        <f>IF(AjusteFecha!I937=0,"",AjusteFecha!I937)</f>
        <v/>
      </c>
      <c r="D941" s="27"/>
      <c r="E941" s="27"/>
      <c r="F941" s="27" t="str">
        <f>IF('Pegar ML'!C937="","",'Pegar ML'!C937)</f>
        <v/>
      </c>
      <c r="G941" s="27" t="str">
        <f>IF('Pegar ML'!G932="ARS","PS","PS")</f>
        <v>PS</v>
      </c>
      <c r="H941" s="14">
        <f>IF('Pegar ML'!C936="Paquete de 2 productos",IF('Pegar ML'!H936="",0,'Pegar ML'!H936),IF('Pegar ML'!H937="",0,'Pegar ML'!H937))</f>
        <v>0</v>
      </c>
      <c r="I941" s="14">
        <f>IF('Pegar ML'!C936="Paquete de 2 productos",IF('Pegar ML'!O936="",0,'Pegar ML'!O936),IF('Pegar ML'!O937="",0,'Pegar ML'!O937))</f>
        <v>0</v>
      </c>
      <c r="J941" s="14">
        <f>IF('Pegar ML'!C936="Paquete de 2 productos",IF('Pegar ML'!O936="",0,'Pegar ML'!O936),IF('Pegar ML'!O937="",0,'Pegar ML'!O937))</f>
        <v>0</v>
      </c>
      <c r="K941" s="14">
        <f t="shared" si="44"/>
        <v>0</v>
      </c>
      <c r="L941" s="27">
        <f>IF('Pegar ML'!AB937=" ",'Pegar ML'!AB936,'Pegar ML'!AB937)</f>
        <v>0</v>
      </c>
      <c r="M941" s="27" t="str">
        <f>IF('Pegar ML'!AC937=" ",RIGHT('Pegar ML'!AC936,8),RIGHT('Pegar ML'!AC937,8))</f>
        <v/>
      </c>
      <c r="N941" s="27" t="s">
        <v>80</v>
      </c>
      <c r="O941" s="27">
        <f t="shared" si="42"/>
        <v>0</v>
      </c>
      <c r="P941" s="27" t="s">
        <v>80</v>
      </c>
      <c r="Q941" s="55">
        <f>IF('Pegar ML'!AD937=" ",'Pegar ML'!AD936,'Pegar ML'!AD937)</f>
        <v>0</v>
      </c>
      <c r="R941" s="27" t="s">
        <v>80</v>
      </c>
      <c r="S941" s="27" t="s">
        <v>80</v>
      </c>
      <c r="T941" s="27" t="s">
        <v>80</v>
      </c>
      <c r="U941" s="55">
        <f>IF('Pegar ML'!AI937=" ",'Pegar ML'!AI936,'Pegar ML'!AI937)</f>
        <v>0</v>
      </c>
      <c r="V941" s="55">
        <f>IF('Pegar ML'!AK937=" ",'Pegar ML'!AK936,'Pegar ML'!AK937)</f>
        <v>0</v>
      </c>
      <c r="W941" s="55">
        <f>IF('Pegar ML'!AJ937=" ",'Pegar ML'!AJ936,'Pegar ML'!AJ937)</f>
        <v>0</v>
      </c>
      <c r="X941" s="55">
        <f>IF('Pegar ML'!AL937=" ",'Pegar ML'!AL936,'Pegar ML'!AL937)</f>
        <v>0</v>
      </c>
      <c r="Y941" s="27"/>
      <c r="Z941" s="27"/>
      <c r="AA941" s="27"/>
      <c r="AB941" s="27"/>
      <c r="AC941" s="27"/>
      <c r="AD941" s="27"/>
      <c r="AF941" s="8"/>
      <c r="AG941" s="27"/>
      <c r="AH941" s="14">
        <f>+'Pegar ML'!Y937</f>
        <v>0</v>
      </c>
      <c r="AI941" s="13">
        <f t="shared" si="43"/>
        <v>1</v>
      </c>
      <c r="AJ941" s="7">
        <f>+'Pegar ML'!T937</f>
        <v>0</v>
      </c>
      <c r="AK941" s="27"/>
      <c r="AL941" s="27"/>
      <c r="AM941" s="27"/>
      <c r="AN941" s="27"/>
      <c r="AO941" s="27"/>
      <c r="AP941" s="27"/>
      <c r="AQ941" s="27"/>
      <c r="AR941" s="27"/>
      <c r="AS941" s="27">
        <v>17</v>
      </c>
    </row>
    <row r="942" spans="1:45" ht="15" customHeight="1" x14ac:dyDescent="0.25">
      <c r="A942" s="27">
        <f>IF('Pegar ML'!C937="Paquete de 2 productos",'Pegar ML'!A937,IF('Pegar ML'!C936="Paquete de 2 productos",'Pegar ML'!A936,'Pegar ML'!A938))</f>
        <v>0</v>
      </c>
      <c r="B942" s="27"/>
      <c r="C942" s="30" t="str">
        <f>IF(AjusteFecha!I938=0,"",AjusteFecha!I938)</f>
        <v/>
      </c>
      <c r="D942" s="27"/>
      <c r="E942" s="27"/>
      <c r="F942" s="27" t="str">
        <f>IF('Pegar ML'!C938="","",'Pegar ML'!C938)</f>
        <v/>
      </c>
      <c r="G942" s="27" t="str">
        <f>IF('Pegar ML'!G933="ARS","PS","PS")</f>
        <v>PS</v>
      </c>
      <c r="H942" s="14">
        <f>IF('Pegar ML'!C937="Paquete de 2 productos",IF('Pegar ML'!H937="",0,'Pegar ML'!H937),IF('Pegar ML'!H938="",0,'Pegar ML'!H938))</f>
        <v>0</v>
      </c>
      <c r="I942" s="14">
        <f>IF('Pegar ML'!C937="Paquete de 2 productos",IF('Pegar ML'!O937="",0,'Pegar ML'!O937),IF('Pegar ML'!O938="",0,'Pegar ML'!O938))</f>
        <v>0</v>
      </c>
      <c r="J942" s="14">
        <f>IF('Pegar ML'!C937="Paquete de 2 productos",IF('Pegar ML'!O937="",0,'Pegar ML'!O937),IF('Pegar ML'!O938="",0,'Pegar ML'!O938))</f>
        <v>0</v>
      </c>
      <c r="K942" s="14">
        <f t="shared" si="44"/>
        <v>0</v>
      </c>
      <c r="L942" s="27">
        <f>IF('Pegar ML'!AB938=" ",'Pegar ML'!AB937,'Pegar ML'!AB938)</f>
        <v>0</v>
      </c>
      <c r="M942" s="27" t="str">
        <f>IF('Pegar ML'!AC938=" ",RIGHT('Pegar ML'!AC937,8),RIGHT('Pegar ML'!AC938,8))</f>
        <v/>
      </c>
      <c r="N942" s="27" t="s">
        <v>80</v>
      </c>
      <c r="O942" s="27">
        <f t="shared" si="42"/>
        <v>0</v>
      </c>
      <c r="P942" s="27" t="s">
        <v>80</v>
      </c>
      <c r="Q942" s="55">
        <f>IF('Pegar ML'!AD938=" ",'Pegar ML'!AD937,'Pegar ML'!AD938)</f>
        <v>0</v>
      </c>
      <c r="R942" s="27" t="s">
        <v>80</v>
      </c>
      <c r="S942" s="27" t="s">
        <v>80</v>
      </c>
      <c r="T942" s="27" t="s">
        <v>80</v>
      </c>
      <c r="U942" s="55">
        <f>IF('Pegar ML'!AI938=" ",'Pegar ML'!AI937,'Pegar ML'!AI938)</f>
        <v>0</v>
      </c>
      <c r="V942" s="55">
        <f>IF('Pegar ML'!AK938=" ",'Pegar ML'!AK937,'Pegar ML'!AK938)</f>
        <v>0</v>
      </c>
      <c r="W942" s="55">
        <f>IF('Pegar ML'!AJ938=" ",'Pegar ML'!AJ937,'Pegar ML'!AJ938)</f>
        <v>0</v>
      </c>
      <c r="X942" s="55">
        <f>IF('Pegar ML'!AL938=" ",'Pegar ML'!AL937,'Pegar ML'!AL938)</f>
        <v>0</v>
      </c>
      <c r="Y942" s="27"/>
      <c r="Z942" s="27"/>
      <c r="AA942" s="27"/>
      <c r="AB942" s="27"/>
      <c r="AC942" s="27"/>
      <c r="AD942" s="27"/>
      <c r="AF942" s="8"/>
      <c r="AG942" s="27"/>
      <c r="AH942" s="14">
        <f>+'Pegar ML'!Y938</f>
        <v>0</v>
      </c>
      <c r="AI942" s="13">
        <f t="shared" si="43"/>
        <v>1</v>
      </c>
      <c r="AJ942" s="7">
        <f>+'Pegar ML'!T938</f>
        <v>0</v>
      </c>
      <c r="AK942" s="27"/>
      <c r="AL942" s="27"/>
      <c r="AM942" s="27"/>
      <c r="AN942" s="27"/>
      <c r="AO942" s="27"/>
      <c r="AP942" s="27"/>
      <c r="AQ942" s="27"/>
      <c r="AR942" s="27"/>
      <c r="AS942" s="27">
        <v>17</v>
      </c>
    </row>
    <row r="943" spans="1:45" ht="15" customHeight="1" x14ac:dyDescent="0.25">
      <c r="A943" s="27">
        <f>IF('Pegar ML'!C938="Paquete de 2 productos",'Pegar ML'!A938,IF('Pegar ML'!C937="Paquete de 2 productos",'Pegar ML'!A937,'Pegar ML'!A939))</f>
        <v>0</v>
      </c>
      <c r="B943" s="27"/>
      <c r="C943" s="30" t="str">
        <f>IF(AjusteFecha!I939=0,"",AjusteFecha!I939)</f>
        <v/>
      </c>
      <c r="D943" s="27"/>
      <c r="E943" s="27"/>
      <c r="F943" s="27" t="str">
        <f>IF('Pegar ML'!C939="","",'Pegar ML'!C939)</f>
        <v/>
      </c>
      <c r="G943" s="27" t="str">
        <f>IF('Pegar ML'!G934="ARS","PS","PS")</f>
        <v>PS</v>
      </c>
      <c r="H943" s="14">
        <f>IF('Pegar ML'!C938="Paquete de 2 productos",IF('Pegar ML'!H938="",0,'Pegar ML'!H938),IF('Pegar ML'!H939="",0,'Pegar ML'!H939))</f>
        <v>0</v>
      </c>
      <c r="I943" s="14">
        <f>IF('Pegar ML'!C938="Paquete de 2 productos",IF('Pegar ML'!O938="",0,'Pegar ML'!O938),IF('Pegar ML'!O939="",0,'Pegar ML'!O939))</f>
        <v>0</v>
      </c>
      <c r="J943" s="14">
        <f>IF('Pegar ML'!C938="Paquete de 2 productos",IF('Pegar ML'!O938="",0,'Pegar ML'!O938),IF('Pegar ML'!O939="",0,'Pegar ML'!O939))</f>
        <v>0</v>
      </c>
      <c r="K943" s="14">
        <f t="shared" si="44"/>
        <v>0</v>
      </c>
      <c r="L943" s="27">
        <f>IF('Pegar ML'!AB939=" ",'Pegar ML'!AB938,'Pegar ML'!AB939)</f>
        <v>0</v>
      </c>
      <c r="M943" s="27" t="str">
        <f>IF('Pegar ML'!AC939=" ",RIGHT('Pegar ML'!AC938,8),RIGHT('Pegar ML'!AC939,8))</f>
        <v/>
      </c>
      <c r="N943" s="27" t="s">
        <v>80</v>
      </c>
      <c r="O943" s="27">
        <f t="shared" si="42"/>
        <v>0</v>
      </c>
      <c r="P943" s="27" t="s">
        <v>80</v>
      </c>
      <c r="Q943" s="55">
        <f>IF('Pegar ML'!AD939=" ",'Pegar ML'!AD938,'Pegar ML'!AD939)</f>
        <v>0</v>
      </c>
      <c r="R943" s="27" t="s">
        <v>80</v>
      </c>
      <c r="S943" s="27" t="s">
        <v>80</v>
      </c>
      <c r="T943" s="27" t="s">
        <v>80</v>
      </c>
      <c r="U943" s="55">
        <f>IF('Pegar ML'!AI939=" ",'Pegar ML'!AI938,'Pegar ML'!AI939)</f>
        <v>0</v>
      </c>
      <c r="V943" s="55">
        <f>IF('Pegar ML'!AK939=" ",'Pegar ML'!AK938,'Pegar ML'!AK939)</f>
        <v>0</v>
      </c>
      <c r="W943" s="55">
        <f>IF('Pegar ML'!AJ939=" ",'Pegar ML'!AJ938,'Pegar ML'!AJ939)</f>
        <v>0</v>
      </c>
      <c r="X943" s="55">
        <f>IF('Pegar ML'!AL939=" ",'Pegar ML'!AL938,'Pegar ML'!AL939)</f>
        <v>0</v>
      </c>
      <c r="Y943" s="27"/>
      <c r="Z943" s="27"/>
      <c r="AA943" s="27"/>
      <c r="AB943" s="27"/>
      <c r="AC943" s="27"/>
      <c r="AD943" s="27"/>
      <c r="AF943" s="8"/>
      <c r="AG943" s="27"/>
      <c r="AH943" s="14">
        <f>+'Pegar ML'!Y939</f>
        <v>0</v>
      </c>
      <c r="AI943" s="13">
        <f t="shared" si="43"/>
        <v>1</v>
      </c>
      <c r="AJ943" s="7">
        <f>+'Pegar ML'!T939</f>
        <v>0</v>
      </c>
      <c r="AK943" s="27"/>
      <c r="AL943" s="27"/>
      <c r="AM943" s="27"/>
      <c r="AN943" s="27"/>
      <c r="AO943" s="27"/>
      <c r="AP943" s="27"/>
      <c r="AQ943" s="27"/>
      <c r="AR943" s="27"/>
      <c r="AS943" s="27">
        <v>17</v>
      </c>
    </row>
    <row r="944" spans="1:45" ht="15" customHeight="1" x14ac:dyDescent="0.25">
      <c r="A944" s="27">
        <f>IF('Pegar ML'!C939="Paquete de 2 productos",'Pegar ML'!A939,IF('Pegar ML'!C938="Paquete de 2 productos",'Pegar ML'!A938,'Pegar ML'!A940))</f>
        <v>0</v>
      </c>
      <c r="B944" s="27"/>
      <c r="C944" s="30" t="str">
        <f>IF(AjusteFecha!I940=0,"",AjusteFecha!I940)</f>
        <v/>
      </c>
      <c r="D944" s="27"/>
      <c r="E944" s="27"/>
      <c r="F944" s="27" t="str">
        <f>IF('Pegar ML'!C940="","",'Pegar ML'!C940)</f>
        <v/>
      </c>
      <c r="G944" s="27" t="str">
        <f>IF('Pegar ML'!G935="ARS","PS","PS")</f>
        <v>PS</v>
      </c>
      <c r="H944" s="14">
        <f>IF('Pegar ML'!C939="Paquete de 2 productos",IF('Pegar ML'!H939="",0,'Pegar ML'!H939),IF('Pegar ML'!H940="",0,'Pegar ML'!H940))</f>
        <v>0</v>
      </c>
      <c r="I944" s="14">
        <f>IF('Pegar ML'!C939="Paquete de 2 productos",IF('Pegar ML'!O939="",0,'Pegar ML'!O939),IF('Pegar ML'!O940="",0,'Pegar ML'!O940))</f>
        <v>0</v>
      </c>
      <c r="J944" s="14">
        <f>IF('Pegar ML'!C939="Paquete de 2 productos",IF('Pegar ML'!O939="",0,'Pegar ML'!O939),IF('Pegar ML'!O940="",0,'Pegar ML'!O940))</f>
        <v>0</v>
      </c>
      <c r="K944" s="14">
        <f t="shared" si="44"/>
        <v>0</v>
      </c>
      <c r="L944" s="27">
        <f>IF('Pegar ML'!AB940=" ",'Pegar ML'!AB939,'Pegar ML'!AB940)</f>
        <v>0</v>
      </c>
      <c r="M944" s="27" t="str">
        <f>IF('Pegar ML'!AC940=" ",RIGHT('Pegar ML'!AC939,8),RIGHT('Pegar ML'!AC940,8))</f>
        <v/>
      </c>
      <c r="N944" s="27" t="s">
        <v>80</v>
      </c>
      <c r="O944" s="27">
        <f t="shared" si="42"/>
        <v>0</v>
      </c>
      <c r="P944" s="27" t="s">
        <v>80</v>
      </c>
      <c r="Q944" s="55">
        <f>IF('Pegar ML'!AD940=" ",'Pegar ML'!AD939,'Pegar ML'!AD940)</f>
        <v>0</v>
      </c>
      <c r="R944" s="27" t="s">
        <v>80</v>
      </c>
      <c r="S944" s="27" t="s">
        <v>80</v>
      </c>
      <c r="T944" s="27" t="s">
        <v>80</v>
      </c>
      <c r="U944" s="55">
        <f>IF('Pegar ML'!AI940=" ",'Pegar ML'!AI939,'Pegar ML'!AI940)</f>
        <v>0</v>
      </c>
      <c r="V944" s="55">
        <f>IF('Pegar ML'!AK940=" ",'Pegar ML'!AK939,'Pegar ML'!AK940)</f>
        <v>0</v>
      </c>
      <c r="W944" s="55">
        <f>IF('Pegar ML'!AJ940=" ",'Pegar ML'!AJ939,'Pegar ML'!AJ940)</f>
        <v>0</v>
      </c>
      <c r="X944" s="55">
        <f>IF('Pegar ML'!AL940=" ",'Pegar ML'!AL939,'Pegar ML'!AL940)</f>
        <v>0</v>
      </c>
      <c r="Y944" s="27"/>
      <c r="Z944" s="27"/>
      <c r="AA944" s="27"/>
      <c r="AB944" s="27"/>
      <c r="AC944" s="27"/>
      <c r="AD944" s="27"/>
      <c r="AF944" s="8"/>
      <c r="AG944" s="27"/>
      <c r="AH944" s="14">
        <f>+'Pegar ML'!Y940</f>
        <v>0</v>
      </c>
      <c r="AI944" s="13">
        <f t="shared" si="43"/>
        <v>1</v>
      </c>
      <c r="AJ944" s="7">
        <f>+'Pegar ML'!T940</f>
        <v>0</v>
      </c>
      <c r="AK944" s="27"/>
      <c r="AL944" s="27"/>
      <c r="AM944" s="27"/>
      <c r="AN944" s="27"/>
      <c r="AO944" s="27"/>
      <c r="AP944" s="27"/>
      <c r="AQ944" s="27"/>
      <c r="AR944" s="27"/>
      <c r="AS944" s="27">
        <v>17</v>
      </c>
    </row>
    <row r="945" spans="1:45" ht="15" customHeight="1" x14ac:dyDescent="0.25">
      <c r="A945" s="27">
        <f>IF('Pegar ML'!C940="Paquete de 2 productos",'Pegar ML'!A940,IF('Pegar ML'!C939="Paquete de 2 productos",'Pegar ML'!A939,'Pegar ML'!A941))</f>
        <v>0</v>
      </c>
      <c r="B945" s="27"/>
      <c r="C945" s="30" t="str">
        <f>IF(AjusteFecha!I941=0,"",AjusteFecha!I941)</f>
        <v/>
      </c>
      <c r="D945" s="27"/>
      <c r="E945" s="27"/>
      <c r="F945" s="27" t="str">
        <f>IF('Pegar ML'!C941="","",'Pegar ML'!C941)</f>
        <v/>
      </c>
      <c r="G945" s="27" t="str">
        <f>IF('Pegar ML'!G936="ARS","PS","PS")</f>
        <v>PS</v>
      </c>
      <c r="H945" s="14">
        <f>IF('Pegar ML'!C940="Paquete de 2 productos",IF('Pegar ML'!H940="",0,'Pegar ML'!H940),IF('Pegar ML'!H941="",0,'Pegar ML'!H941))</f>
        <v>0</v>
      </c>
      <c r="I945" s="14">
        <f>IF('Pegar ML'!C940="Paquete de 2 productos",IF('Pegar ML'!O940="",0,'Pegar ML'!O940),IF('Pegar ML'!O941="",0,'Pegar ML'!O941))</f>
        <v>0</v>
      </c>
      <c r="J945" s="14">
        <f>IF('Pegar ML'!C940="Paquete de 2 productos",IF('Pegar ML'!O940="",0,'Pegar ML'!O940),IF('Pegar ML'!O941="",0,'Pegar ML'!O941))</f>
        <v>0</v>
      </c>
      <c r="K945" s="14">
        <f t="shared" si="44"/>
        <v>0</v>
      </c>
      <c r="L945" s="27">
        <f>IF('Pegar ML'!AB941=" ",'Pegar ML'!AB940,'Pegar ML'!AB941)</f>
        <v>0</v>
      </c>
      <c r="M945" s="27" t="str">
        <f>IF('Pegar ML'!AC941=" ",RIGHT('Pegar ML'!AC940,8),RIGHT('Pegar ML'!AC941,8))</f>
        <v/>
      </c>
      <c r="N945" s="27" t="s">
        <v>80</v>
      </c>
      <c r="O945" s="27">
        <f t="shared" si="42"/>
        <v>0</v>
      </c>
      <c r="P945" s="27" t="s">
        <v>80</v>
      </c>
      <c r="Q945" s="55">
        <f>IF('Pegar ML'!AD941=" ",'Pegar ML'!AD940,'Pegar ML'!AD941)</f>
        <v>0</v>
      </c>
      <c r="R945" s="27" t="s">
        <v>80</v>
      </c>
      <c r="S945" s="27" t="s">
        <v>80</v>
      </c>
      <c r="T945" s="27" t="s">
        <v>80</v>
      </c>
      <c r="U945" s="55">
        <f>IF('Pegar ML'!AI941=" ",'Pegar ML'!AI940,'Pegar ML'!AI941)</f>
        <v>0</v>
      </c>
      <c r="V945" s="55">
        <f>IF('Pegar ML'!AK941=" ",'Pegar ML'!AK940,'Pegar ML'!AK941)</f>
        <v>0</v>
      </c>
      <c r="W945" s="55">
        <f>IF('Pegar ML'!AJ941=" ",'Pegar ML'!AJ940,'Pegar ML'!AJ941)</f>
        <v>0</v>
      </c>
      <c r="X945" s="55">
        <f>IF('Pegar ML'!AL941=" ",'Pegar ML'!AL940,'Pegar ML'!AL941)</f>
        <v>0</v>
      </c>
      <c r="Y945" s="27"/>
      <c r="Z945" s="27"/>
      <c r="AA945" s="27"/>
      <c r="AB945" s="27"/>
      <c r="AC945" s="27"/>
      <c r="AD945" s="27"/>
      <c r="AF945" s="8"/>
      <c r="AG945" s="27"/>
      <c r="AH945" s="14">
        <f>+'Pegar ML'!Y941</f>
        <v>0</v>
      </c>
      <c r="AI945" s="13">
        <f t="shared" si="43"/>
        <v>1</v>
      </c>
      <c r="AJ945" s="7">
        <f>+'Pegar ML'!T941</f>
        <v>0</v>
      </c>
      <c r="AK945" s="27"/>
      <c r="AL945" s="27"/>
      <c r="AM945" s="27"/>
      <c r="AN945" s="27"/>
      <c r="AO945" s="27"/>
      <c r="AP945" s="27"/>
      <c r="AQ945" s="27"/>
      <c r="AR945" s="27"/>
      <c r="AS945" s="27">
        <v>17</v>
      </c>
    </row>
    <row r="946" spans="1:45" ht="15" customHeight="1" x14ac:dyDescent="0.25">
      <c r="A946" s="27">
        <f>IF('Pegar ML'!C941="Paquete de 2 productos",'Pegar ML'!A941,IF('Pegar ML'!C940="Paquete de 2 productos",'Pegar ML'!A940,'Pegar ML'!A942))</f>
        <v>0</v>
      </c>
      <c r="B946" s="27"/>
      <c r="C946" s="30" t="str">
        <f>IF(AjusteFecha!I942=0,"",AjusteFecha!I942)</f>
        <v/>
      </c>
      <c r="D946" s="27"/>
      <c r="E946" s="27"/>
      <c r="F946" s="27" t="str">
        <f>IF('Pegar ML'!C942="","",'Pegar ML'!C942)</f>
        <v/>
      </c>
      <c r="G946" s="27" t="str">
        <f>IF('Pegar ML'!G937="ARS","PS","PS")</f>
        <v>PS</v>
      </c>
      <c r="H946" s="14">
        <f>IF('Pegar ML'!C941="Paquete de 2 productos",IF('Pegar ML'!H941="",0,'Pegar ML'!H941),IF('Pegar ML'!H942="",0,'Pegar ML'!H942))</f>
        <v>0</v>
      </c>
      <c r="I946" s="14">
        <f>IF('Pegar ML'!C941="Paquete de 2 productos",IF('Pegar ML'!O941="",0,'Pegar ML'!O941),IF('Pegar ML'!O942="",0,'Pegar ML'!O942))</f>
        <v>0</v>
      </c>
      <c r="J946" s="14">
        <f>IF('Pegar ML'!C941="Paquete de 2 productos",IF('Pegar ML'!O941="",0,'Pegar ML'!O941),IF('Pegar ML'!O942="",0,'Pegar ML'!O942))</f>
        <v>0</v>
      </c>
      <c r="K946" s="14">
        <f t="shared" si="44"/>
        <v>0</v>
      </c>
      <c r="L946" s="27">
        <f>IF('Pegar ML'!AB942=" ",'Pegar ML'!AB941,'Pegar ML'!AB942)</f>
        <v>0</v>
      </c>
      <c r="M946" s="27" t="str">
        <f>IF('Pegar ML'!AC942=" ",RIGHT('Pegar ML'!AC941,8),RIGHT('Pegar ML'!AC942,8))</f>
        <v/>
      </c>
      <c r="N946" s="27" t="s">
        <v>80</v>
      </c>
      <c r="O946" s="27">
        <f t="shared" si="42"/>
        <v>0</v>
      </c>
      <c r="P946" s="27" t="s">
        <v>80</v>
      </c>
      <c r="Q946" s="55">
        <f>IF('Pegar ML'!AD942=" ",'Pegar ML'!AD941,'Pegar ML'!AD942)</f>
        <v>0</v>
      </c>
      <c r="R946" s="27" t="s">
        <v>80</v>
      </c>
      <c r="S946" s="27" t="s">
        <v>80</v>
      </c>
      <c r="T946" s="27" t="s">
        <v>80</v>
      </c>
      <c r="U946" s="55">
        <f>IF('Pegar ML'!AI942=" ",'Pegar ML'!AI941,'Pegar ML'!AI942)</f>
        <v>0</v>
      </c>
      <c r="V946" s="55">
        <f>IF('Pegar ML'!AK942=" ",'Pegar ML'!AK941,'Pegar ML'!AK942)</f>
        <v>0</v>
      </c>
      <c r="W946" s="55">
        <f>IF('Pegar ML'!AJ942=" ",'Pegar ML'!AJ941,'Pegar ML'!AJ942)</f>
        <v>0</v>
      </c>
      <c r="X946" s="55">
        <f>IF('Pegar ML'!AL942=" ",'Pegar ML'!AL941,'Pegar ML'!AL942)</f>
        <v>0</v>
      </c>
      <c r="Y946" s="27"/>
      <c r="Z946" s="27"/>
      <c r="AA946" s="27"/>
      <c r="AB946" s="27"/>
      <c r="AC946" s="27"/>
      <c r="AD946" s="27"/>
      <c r="AF946" s="8"/>
      <c r="AG946" s="27"/>
      <c r="AH946" s="14">
        <f>+'Pegar ML'!Y942</f>
        <v>0</v>
      </c>
      <c r="AI946" s="13">
        <f t="shared" si="43"/>
        <v>1</v>
      </c>
      <c r="AJ946" s="7">
        <f>+'Pegar ML'!T942</f>
        <v>0</v>
      </c>
      <c r="AK946" s="27"/>
      <c r="AL946" s="27"/>
      <c r="AM946" s="27"/>
      <c r="AN946" s="27"/>
      <c r="AO946" s="27"/>
      <c r="AP946" s="27"/>
      <c r="AQ946" s="27"/>
      <c r="AR946" s="27"/>
      <c r="AS946" s="27">
        <v>17</v>
      </c>
    </row>
    <row r="947" spans="1:45" ht="15" customHeight="1" x14ac:dyDescent="0.25">
      <c r="A947" s="27">
        <f>IF('Pegar ML'!C942="Paquete de 2 productos",'Pegar ML'!A942,IF('Pegar ML'!C941="Paquete de 2 productos",'Pegar ML'!A941,'Pegar ML'!A943))</f>
        <v>0</v>
      </c>
      <c r="B947" s="27"/>
      <c r="C947" s="30" t="str">
        <f>IF(AjusteFecha!I943=0,"",AjusteFecha!I943)</f>
        <v/>
      </c>
      <c r="D947" s="27"/>
      <c r="E947" s="27"/>
      <c r="F947" s="27" t="str">
        <f>IF('Pegar ML'!C943="","",'Pegar ML'!C943)</f>
        <v/>
      </c>
      <c r="G947" s="27" t="str">
        <f>IF('Pegar ML'!G938="ARS","PS","PS")</f>
        <v>PS</v>
      </c>
      <c r="H947" s="14">
        <f>IF('Pegar ML'!C942="Paquete de 2 productos",IF('Pegar ML'!H942="",0,'Pegar ML'!H942),IF('Pegar ML'!H943="",0,'Pegar ML'!H943))</f>
        <v>0</v>
      </c>
      <c r="I947" s="14">
        <f>IF('Pegar ML'!C942="Paquete de 2 productos",IF('Pegar ML'!O942="",0,'Pegar ML'!O942),IF('Pegar ML'!O943="",0,'Pegar ML'!O943))</f>
        <v>0</v>
      </c>
      <c r="J947" s="14">
        <f>IF('Pegar ML'!C942="Paquete de 2 productos",IF('Pegar ML'!O942="",0,'Pegar ML'!O942),IF('Pegar ML'!O943="",0,'Pegar ML'!O943))</f>
        <v>0</v>
      </c>
      <c r="K947" s="14">
        <f t="shared" si="44"/>
        <v>0</v>
      </c>
      <c r="L947" s="27">
        <f>IF('Pegar ML'!AB943=" ",'Pegar ML'!AB942,'Pegar ML'!AB943)</f>
        <v>0</v>
      </c>
      <c r="M947" s="27" t="str">
        <f>IF('Pegar ML'!AC943=" ",RIGHT('Pegar ML'!AC942,8),RIGHT('Pegar ML'!AC943,8))</f>
        <v/>
      </c>
      <c r="N947" s="27" t="s">
        <v>80</v>
      </c>
      <c r="O947" s="27">
        <f t="shared" si="42"/>
        <v>0</v>
      </c>
      <c r="P947" s="27" t="s">
        <v>80</v>
      </c>
      <c r="Q947" s="55">
        <f>IF('Pegar ML'!AD943=" ",'Pegar ML'!AD942,'Pegar ML'!AD943)</f>
        <v>0</v>
      </c>
      <c r="R947" s="27" t="s">
        <v>80</v>
      </c>
      <c r="S947" s="27" t="s">
        <v>80</v>
      </c>
      <c r="T947" s="27" t="s">
        <v>80</v>
      </c>
      <c r="U947" s="55">
        <f>IF('Pegar ML'!AI943=" ",'Pegar ML'!AI942,'Pegar ML'!AI943)</f>
        <v>0</v>
      </c>
      <c r="V947" s="55">
        <f>IF('Pegar ML'!AK943=" ",'Pegar ML'!AK942,'Pegar ML'!AK943)</f>
        <v>0</v>
      </c>
      <c r="W947" s="55">
        <f>IF('Pegar ML'!AJ943=" ",'Pegar ML'!AJ942,'Pegar ML'!AJ943)</f>
        <v>0</v>
      </c>
      <c r="X947" s="55">
        <f>IF('Pegar ML'!AL943=" ",'Pegar ML'!AL942,'Pegar ML'!AL943)</f>
        <v>0</v>
      </c>
      <c r="Y947" s="27"/>
      <c r="Z947" s="27"/>
      <c r="AA947" s="27"/>
      <c r="AB947" s="27"/>
      <c r="AC947" s="27"/>
      <c r="AD947" s="27"/>
      <c r="AF947" s="8"/>
      <c r="AG947" s="27"/>
      <c r="AH947" s="14">
        <f>+'Pegar ML'!Y943</f>
        <v>0</v>
      </c>
      <c r="AI947" s="13">
        <f t="shared" si="43"/>
        <v>1</v>
      </c>
      <c r="AJ947" s="7">
        <f>+'Pegar ML'!T943</f>
        <v>0</v>
      </c>
      <c r="AK947" s="27"/>
      <c r="AL947" s="27"/>
      <c r="AM947" s="27"/>
      <c r="AN947" s="27"/>
      <c r="AO947" s="27"/>
      <c r="AP947" s="27"/>
      <c r="AQ947" s="27"/>
      <c r="AR947" s="27"/>
      <c r="AS947" s="27">
        <v>17</v>
      </c>
    </row>
    <row r="948" spans="1:45" ht="15" customHeight="1" x14ac:dyDescent="0.25">
      <c r="A948" s="27">
        <f>IF('Pegar ML'!C943="Paquete de 2 productos",'Pegar ML'!A943,IF('Pegar ML'!C942="Paquete de 2 productos",'Pegar ML'!A942,'Pegar ML'!A944))</f>
        <v>0</v>
      </c>
      <c r="B948" s="27"/>
      <c r="C948" s="30" t="str">
        <f>IF(AjusteFecha!I944=0,"",AjusteFecha!I944)</f>
        <v/>
      </c>
      <c r="D948" s="27"/>
      <c r="E948" s="27"/>
      <c r="F948" s="27" t="str">
        <f>IF('Pegar ML'!C944="","",'Pegar ML'!C944)</f>
        <v/>
      </c>
      <c r="G948" s="27" t="str">
        <f>IF('Pegar ML'!G939="ARS","PS","PS")</f>
        <v>PS</v>
      </c>
      <c r="H948" s="14">
        <f>IF('Pegar ML'!C943="Paquete de 2 productos",IF('Pegar ML'!H943="",0,'Pegar ML'!H943),IF('Pegar ML'!H944="",0,'Pegar ML'!H944))</f>
        <v>0</v>
      </c>
      <c r="I948" s="14">
        <f>IF('Pegar ML'!C943="Paquete de 2 productos",IF('Pegar ML'!O943="",0,'Pegar ML'!O943),IF('Pegar ML'!O944="",0,'Pegar ML'!O944))</f>
        <v>0</v>
      </c>
      <c r="J948" s="14">
        <f>IF('Pegar ML'!C943="Paquete de 2 productos",IF('Pegar ML'!O943="",0,'Pegar ML'!O943),IF('Pegar ML'!O944="",0,'Pegar ML'!O944))</f>
        <v>0</v>
      </c>
      <c r="K948" s="14">
        <f t="shared" si="44"/>
        <v>0</v>
      </c>
      <c r="L948" s="27">
        <f>IF('Pegar ML'!AB944=" ",'Pegar ML'!AB943,'Pegar ML'!AB944)</f>
        <v>0</v>
      </c>
      <c r="M948" s="27" t="str">
        <f>IF('Pegar ML'!AC944=" ",RIGHT('Pegar ML'!AC943,8),RIGHT('Pegar ML'!AC944,8))</f>
        <v/>
      </c>
      <c r="N948" s="27" t="s">
        <v>80</v>
      </c>
      <c r="O948" s="27">
        <f t="shared" si="42"/>
        <v>0</v>
      </c>
      <c r="P948" s="27" t="s">
        <v>80</v>
      </c>
      <c r="Q948" s="55">
        <f>IF('Pegar ML'!AD944=" ",'Pegar ML'!AD943,'Pegar ML'!AD944)</f>
        <v>0</v>
      </c>
      <c r="R948" s="27" t="s">
        <v>80</v>
      </c>
      <c r="S948" s="27" t="s">
        <v>80</v>
      </c>
      <c r="T948" s="27" t="s">
        <v>80</v>
      </c>
      <c r="U948" s="55">
        <f>IF('Pegar ML'!AI944=" ",'Pegar ML'!AI943,'Pegar ML'!AI944)</f>
        <v>0</v>
      </c>
      <c r="V948" s="55">
        <f>IF('Pegar ML'!AK944=" ",'Pegar ML'!AK943,'Pegar ML'!AK944)</f>
        <v>0</v>
      </c>
      <c r="W948" s="55">
        <f>IF('Pegar ML'!AJ944=" ",'Pegar ML'!AJ943,'Pegar ML'!AJ944)</f>
        <v>0</v>
      </c>
      <c r="X948" s="55">
        <f>IF('Pegar ML'!AL944=" ",'Pegar ML'!AL943,'Pegar ML'!AL944)</f>
        <v>0</v>
      </c>
      <c r="Y948" s="27"/>
      <c r="Z948" s="27"/>
      <c r="AA948" s="27"/>
      <c r="AB948" s="27"/>
      <c r="AC948" s="27"/>
      <c r="AD948" s="27"/>
      <c r="AF948" s="8"/>
      <c r="AG948" s="27"/>
      <c r="AH948" s="14">
        <f>+'Pegar ML'!Y944</f>
        <v>0</v>
      </c>
      <c r="AI948" s="13">
        <f t="shared" si="43"/>
        <v>1</v>
      </c>
      <c r="AJ948" s="7">
        <f>+'Pegar ML'!T944</f>
        <v>0</v>
      </c>
      <c r="AK948" s="27"/>
      <c r="AL948" s="27"/>
      <c r="AM948" s="27"/>
      <c r="AN948" s="27"/>
      <c r="AO948" s="27"/>
      <c r="AP948" s="27"/>
      <c r="AQ948" s="27"/>
      <c r="AR948" s="27"/>
      <c r="AS948" s="27">
        <v>17</v>
      </c>
    </row>
    <row r="949" spans="1:45" ht="15" customHeight="1" x14ac:dyDescent="0.25">
      <c r="A949" s="27">
        <f>IF('Pegar ML'!C944="Paquete de 2 productos",'Pegar ML'!A944,IF('Pegar ML'!C943="Paquete de 2 productos",'Pegar ML'!A943,'Pegar ML'!A945))</f>
        <v>0</v>
      </c>
      <c r="B949" s="27"/>
      <c r="C949" s="30" t="str">
        <f>IF(AjusteFecha!I945=0,"",AjusteFecha!I945)</f>
        <v/>
      </c>
      <c r="D949" s="27"/>
      <c r="E949" s="27"/>
      <c r="F949" s="27" t="str">
        <f>IF('Pegar ML'!C945="","",'Pegar ML'!C945)</f>
        <v/>
      </c>
      <c r="G949" s="27" t="str">
        <f>IF('Pegar ML'!G940="ARS","PS","PS")</f>
        <v>PS</v>
      </c>
      <c r="H949" s="14">
        <f>IF('Pegar ML'!C944="Paquete de 2 productos",IF('Pegar ML'!H944="",0,'Pegar ML'!H944),IF('Pegar ML'!H945="",0,'Pegar ML'!H945))</f>
        <v>0</v>
      </c>
      <c r="I949" s="14">
        <f>IF('Pegar ML'!C944="Paquete de 2 productos",IF('Pegar ML'!O944="",0,'Pegar ML'!O944),IF('Pegar ML'!O945="",0,'Pegar ML'!O945))</f>
        <v>0</v>
      </c>
      <c r="J949" s="14">
        <f>IF('Pegar ML'!C944="Paquete de 2 productos",IF('Pegar ML'!O944="",0,'Pegar ML'!O944),IF('Pegar ML'!O945="",0,'Pegar ML'!O945))</f>
        <v>0</v>
      </c>
      <c r="K949" s="14">
        <f t="shared" si="44"/>
        <v>0</v>
      </c>
      <c r="L949" s="27">
        <f>IF('Pegar ML'!AB945=" ",'Pegar ML'!AB944,'Pegar ML'!AB945)</f>
        <v>0</v>
      </c>
      <c r="M949" s="27" t="str">
        <f>IF('Pegar ML'!AC945=" ",RIGHT('Pegar ML'!AC944,8),RIGHT('Pegar ML'!AC945,8))</f>
        <v/>
      </c>
      <c r="N949" s="27" t="s">
        <v>80</v>
      </c>
      <c r="O949" s="27">
        <f t="shared" si="42"/>
        <v>0</v>
      </c>
      <c r="P949" s="27" t="s">
        <v>80</v>
      </c>
      <c r="Q949" s="55">
        <f>IF('Pegar ML'!AD945=" ",'Pegar ML'!AD944,'Pegar ML'!AD945)</f>
        <v>0</v>
      </c>
      <c r="R949" s="27" t="s">
        <v>80</v>
      </c>
      <c r="S949" s="27" t="s">
        <v>80</v>
      </c>
      <c r="T949" s="27" t="s">
        <v>80</v>
      </c>
      <c r="U949" s="55">
        <f>IF('Pegar ML'!AI945=" ",'Pegar ML'!AI944,'Pegar ML'!AI945)</f>
        <v>0</v>
      </c>
      <c r="V949" s="55">
        <f>IF('Pegar ML'!AK945=" ",'Pegar ML'!AK944,'Pegar ML'!AK945)</f>
        <v>0</v>
      </c>
      <c r="W949" s="55">
        <f>IF('Pegar ML'!AJ945=" ",'Pegar ML'!AJ944,'Pegar ML'!AJ945)</f>
        <v>0</v>
      </c>
      <c r="X949" s="55">
        <f>IF('Pegar ML'!AL945=" ",'Pegar ML'!AL944,'Pegar ML'!AL945)</f>
        <v>0</v>
      </c>
      <c r="Y949" s="27"/>
      <c r="Z949" s="27"/>
      <c r="AA949" s="27"/>
      <c r="AB949" s="27"/>
      <c r="AC949" s="27"/>
      <c r="AD949" s="27"/>
      <c r="AF949" s="8"/>
      <c r="AG949" s="27"/>
      <c r="AH949" s="14">
        <f>+'Pegar ML'!Y945</f>
        <v>0</v>
      </c>
      <c r="AI949" s="13">
        <f t="shared" si="43"/>
        <v>1</v>
      </c>
      <c r="AJ949" s="7">
        <f>+'Pegar ML'!T945</f>
        <v>0</v>
      </c>
      <c r="AK949" s="27"/>
      <c r="AL949" s="27"/>
      <c r="AM949" s="27"/>
      <c r="AN949" s="27"/>
      <c r="AO949" s="27"/>
      <c r="AP949" s="27"/>
      <c r="AQ949" s="27"/>
      <c r="AR949" s="27"/>
      <c r="AS949" s="27">
        <v>17</v>
      </c>
    </row>
    <row r="950" spans="1:45" ht="15" customHeight="1" x14ac:dyDescent="0.25">
      <c r="A950" s="27">
        <f>IF('Pegar ML'!C945="Paquete de 2 productos",'Pegar ML'!A945,IF('Pegar ML'!C944="Paquete de 2 productos",'Pegar ML'!A944,'Pegar ML'!A946))</f>
        <v>0</v>
      </c>
      <c r="B950" s="27"/>
      <c r="C950" s="30" t="str">
        <f>IF(AjusteFecha!I946=0,"",AjusteFecha!I946)</f>
        <v/>
      </c>
      <c r="D950" s="27"/>
      <c r="E950" s="27"/>
      <c r="F950" s="27" t="str">
        <f>IF('Pegar ML'!C946="","",'Pegar ML'!C946)</f>
        <v/>
      </c>
      <c r="G950" s="27" t="str">
        <f>IF('Pegar ML'!G941="ARS","PS","PS")</f>
        <v>PS</v>
      </c>
      <c r="H950" s="14">
        <f>IF('Pegar ML'!C945="Paquete de 2 productos",IF('Pegar ML'!H945="",0,'Pegar ML'!H945),IF('Pegar ML'!H946="",0,'Pegar ML'!H946))</f>
        <v>0</v>
      </c>
      <c r="I950" s="14">
        <f>IF('Pegar ML'!C945="Paquete de 2 productos",IF('Pegar ML'!O945="",0,'Pegar ML'!O945),IF('Pegar ML'!O946="",0,'Pegar ML'!O946))</f>
        <v>0</v>
      </c>
      <c r="J950" s="14">
        <f>IF('Pegar ML'!C945="Paquete de 2 productos",IF('Pegar ML'!O945="",0,'Pegar ML'!O945),IF('Pegar ML'!O946="",0,'Pegar ML'!O946))</f>
        <v>0</v>
      </c>
      <c r="K950" s="14">
        <f t="shared" si="44"/>
        <v>0</v>
      </c>
      <c r="L950" s="27">
        <f>IF('Pegar ML'!AB946=" ",'Pegar ML'!AB945,'Pegar ML'!AB946)</f>
        <v>0</v>
      </c>
      <c r="M950" s="27" t="str">
        <f>IF('Pegar ML'!AC946=" ",RIGHT('Pegar ML'!AC945,8),RIGHT('Pegar ML'!AC946,8))</f>
        <v/>
      </c>
      <c r="N950" s="27" t="s">
        <v>80</v>
      </c>
      <c r="O950" s="27">
        <f t="shared" si="42"/>
        <v>0</v>
      </c>
      <c r="P950" s="27" t="s">
        <v>80</v>
      </c>
      <c r="Q950" s="55">
        <f>IF('Pegar ML'!AD946=" ",'Pegar ML'!AD945,'Pegar ML'!AD946)</f>
        <v>0</v>
      </c>
      <c r="R950" s="27" t="s">
        <v>80</v>
      </c>
      <c r="S950" s="27" t="s">
        <v>80</v>
      </c>
      <c r="T950" s="27" t="s">
        <v>80</v>
      </c>
      <c r="U950" s="55">
        <f>IF('Pegar ML'!AI946=" ",'Pegar ML'!AI945,'Pegar ML'!AI946)</f>
        <v>0</v>
      </c>
      <c r="V950" s="55">
        <f>IF('Pegar ML'!AK946=" ",'Pegar ML'!AK945,'Pegar ML'!AK946)</f>
        <v>0</v>
      </c>
      <c r="W950" s="55">
        <f>IF('Pegar ML'!AJ946=" ",'Pegar ML'!AJ945,'Pegar ML'!AJ946)</f>
        <v>0</v>
      </c>
      <c r="X950" s="55">
        <f>IF('Pegar ML'!AL946=" ",'Pegar ML'!AL945,'Pegar ML'!AL946)</f>
        <v>0</v>
      </c>
      <c r="Y950" s="27"/>
      <c r="Z950" s="27"/>
      <c r="AA950" s="27"/>
      <c r="AB950" s="27"/>
      <c r="AC950" s="27"/>
      <c r="AD950" s="27"/>
      <c r="AF950" s="8"/>
      <c r="AG950" s="27"/>
      <c r="AH950" s="14">
        <f>+'Pegar ML'!Y946</f>
        <v>0</v>
      </c>
      <c r="AI950" s="13">
        <f t="shared" si="43"/>
        <v>1</v>
      </c>
      <c r="AJ950" s="7">
        <f>+'Pegar ML'!T946</f>
        <v>0</v>
      </c>
      <c r="AK950" s="27"/>
      <c r="AL950" s="27"/>
      <c r="AM950" s="27"/>
      <c r="AN950" s="27"/>
      <c r="AO950" s="27"/>
      <c r="AP950" s="27"/>
      <c r="AQ950" s="27"/>
      <c r="AR950" s="27"/>
      <c r="AS950" s="27">
        <v>17</v>
      </c>
    </row>
    <row r="951" spans="1:45" ht="15" customHeight="1" x14ac:dyDescent="0.25">
      <c r="A951" s="27">
        <f>IF('Pegar ML'!C946="Paquete de 2 productos",'Pegar ML'!A946,IF('Pegar ML'!C945="Paquete de 2 productos",'Pegar ML'!A945,'Pegar ML'!A947))</f>
        <v>0</v>
      </c>
      <c r="B951" s="27"/>
      <c r="C951" s="30" t="str">
        <f>IF(AjusteFecha!I947=0,"",AjusteFecha!I947)</f>
        <v/>
      </c>
      <c r="D951" s="27"/>
      <c r="E951" s="27"/>
      <c r="F951" s="27" t="str">
        <f>IF('Pegar ML'!C947="","",'Pegar ML'!C947)</f>
        <v/>
      </c>
      <c r="G951" s="27" t="str">
        <f>IF('Pegar ML'!G942="ARS","PS","PS")</f>
        <v>PS</v>
      </c>
      <c r="H951" s="14">
        <f>IF('Pegar ML'!C946="Paquete de 2 productos",IF('Pegar ML'!H946="",0,'Pegar ML'!H946),IF('Pegar ML'!H947="",0,'Pegar ML'!H947))</f>
        <v>0</v>
      </c>
      <c r="I951" s="14">
        <f>IF('Pegar ML'!C946="Paquete de 2 productos",IF('Pegar ML'!O946="",0,'Pegar ML'!O946),IF('Pegar ML'!O947="",0,'Pegar ML'!O947))</f>
        <v>0</v>
      </c>
      <c r="J951" s="14">
        <f>IF('Pegar ML'!C946="Paquete de 2 productos",IF('Pegar ML'!O946="",0,'Pegar ML'!O946),IF('Pegar ML'!O947="",0,'Pegar ML'!O947))</f>
        <v>0</v>
      </c>
      <c r="K951" s="14">
        <f t="shared" si="44"/>
        <v>0</v>
      </c>
      <c r="L951" s="27">
        <f>IF('Pegar ML'!AB947=" ",'Pegar ML'!AB946,'Pegar ML'!AB947)</f>
        <v>0</v>
      </c>
      <c r="M951" s="27" t="str">
        <f>IF('Pegar ML'!AC947=" ",RIGHT('Pegar ML'!AC946,8),RIGHT('Pegar ML'!AC947,8))</f>
        <v/>
      </c>
      <c r="N951" s="27" t="s">
        <v>80</v>
      </c>
      <c r="O951" s="27">
        <f t="shared" si="42"/>
        <v>0</v>
      </c>
      <c r="P951" s="27" t="s">
        <v>80</v>
      </c>
      <c r="Q951" s="55">
        <f>IF('Pegar ML'!AD947=" ",'Pegar ML'!AD946,'Pegar ML'!AD947)</f>
        <v>0</v>
      </c>
      <c r="R951" s="27" t="s">
        <v>80</v>
      </c>
      <c r="S951" s="27" t="s">
        <v>80</v>
      </c>
      <c r="T951" s="27" t="s">
        <v>80</v>
      </c>
      <c r="U951" s="55">
        <f>IF('Pegar ML'!AI947=" ",'Pegar ML'!AI946,'Pegar ML'!AI947)</f>
        <v>0</v>
      </c>
      <c r="V951" s="55">
        <f>IF('Pegar ML'!AK947=" ",'Pegar ML'!AK946,'Pegar ML'!AK947)</f>
        <v>0</v>
      </c>
      <c r="W951" s="55">
        <f>IF('Pegar ML'!AJ947=" ",'Pegar ML'!AJ946,'Pegar ML'!AJ947)</f>
        <v>0</v>
      </c>
      <c r="X951" s="55">
        <f>IF('Pegar ML'!AL947=" ",'Pegar ML'!AL946,'Pegar ML'!AL947)</f>
        <v>0</v>
      </c>
      <c r="Y951" s="27"/>
      <c r="Z951" s="27"/>
      <c r="AA951" s="27"/>
      <c r="AB951" s="27"/>
      <c r="AC951" s="27"/>
      <c r="AD951" s="27"/>
      <c r="AF951" s="8"/>
      <c r="AG951" s="27"/>
      <c r="AH951" s="14">
        <f>+'Pegar ML'!Y947</f>
        <v>0</v>
      </c>
      <c r="AI951" s="13">
        <f t="shared" si="43"/>
        <v>1</v>
      </c>
      <c r="AJ951" s="7">
        <f>+'Pegar ML'!T947</f>
        <v>0</v>
      </c>
      <c r="AK951" s="27"/>
      <c r="AL951" s="27"/>
      <c r="AM951" s="27"/>
      <c r="AN951" s="27"/>
      <c r="AO951" s="27"/>
      <c r="AP951" s="27"/>
      <c r="AQ951" s="27"/>
      <c r="AR951" s="27"/>
      <c r="AS951" s="27">
        <v>17</v>
      </c>
    </row>
    <row r="952" spans="1:45" ht="15" customHeight="1" x14ac:dyDescent="0.25">
      <c r="A952" s="27">
        <f>IF('Pegar ML'!C947="Paquete de 2 productos",'Pegar ML'!A947,IF('Pegar ML'!C946="Paquete de 2 productos",'Pegar ML'!A946,'Pegar ML'!A948))</f>
        <v>0</v>
      </c>
      <c r="B952" s="27"/>
      <c r="C952" s="30" t="str">
        <f>IF(AjusteFecha!I948=0,"",AjusteFecha!I948)</f>
        <v/>
      </c>
      <c r="D952" s="27"/>
      <c r="E952" s="27"/>
      <c r="F952" s="27" t="str">
        <f>IF('Pegar ML'!C948="","",'Pegar ML'!C948)</f>
        <v/>
      </c>
      <c r="G952" s="27" t="str">
        <f>IF('Pegar ML'!G943="ARS","PS","PS")</f>
        <v>PS</v>
      </c>
      <c r="H952" s="14">
        <f>IF('Pegar ML'!C947="Paquete de 2 productos",IF('Pegar ML'!H947="",0,'Pegar ML'!H947),IF('Pegar ML'!H948="",0,'Pegar ML'!H948))</f>
        <v>0</v>
      </c>
      <c r="I952" s="14">
        <f>IF('Pegar ML'!C947="Paquete de 2 productos",IF('Pegar ML'!O947="",0,'Pegar ML'!O947),IF('Pegar ML'!O948="",0,'Pegar ML'!O948))</f>
        <v>0</v>
      </c>
      <c r="J952" s="14">
        <f>IF('Pegar ML'!C947="Paquete de 2 productos",IF('Pegar ML'!O947="",0,'Pegar ML'!O947),IF('Pegar ML'!O948="",0,'Pegar ML'!O948))</f>
        <v>0</v>
      </c>
      <c r="K952" s="14">
        <f t="shared" si="44"/>
        <v>0</v>
      </c>
      <c r="L952" s="27">
        <f>IF('Pegar ML'!AB948=" ",'Pegar ML'!AB947,'Pegar ML'!AB948)</f>
        <v>0</v>
      </c>
      <c r="M952" s="27" t="str">
        <f>IF('Pegar ML'!AC948=" ",RIGHT('Pegar ML'!AC947,8),RIGHT('Pegar ML'!AC948,8))</f>
        <v/>
      </c>
      <c r="N952" s="27" t="s">
        <v>80</v>
      </c>
      <c r="O952" s="27">
        <f t="shared" si="42"/>
        <v>0</v>
      </c>
      <c r="P952" s="27" t="s">
        <v>80</v>
      </c>
      <c r="Q952" s="55">
        <f>IF('Pegar ML'!AD948=" ",'Pegar ML'!AD947,'Pegar ML'!AD948)</f>
        <v>0</v>
      </c>
      <c r="R952" s="27" t="s">
        <v>80</v>
      </c>
      <c r="S952" s="27" t="s">
        <v>80</v>
      </c>
      <c r="T952" s="27" t="s">
        <v>80</v>
      </c>
      <c r="U952" s="55">
        <f>IF('Pegar ML'!AI948=" ",'Pegar ML'!AI947,'Pegar ML'!AI948)</f>
        <v>0</v>
      </c>
      <c r="V952" s="55">
        <f>IF('Pegar ML'!AK948=" ",'Pegar ML'!AK947,'Pegar ML'!AK948)</f>
        <v>0</v>
      </c>
      <c r="W952" s="55">
        <f>IF('Pegar ML'!AJ948=" ",'Pegar ML'!AJ947,'Pegar ML'!AJ948)</f>
        <v>0</v>
      </c>
      <c r="X952" s="55">
        <f>IF('Pegar ML'!AL948=" ",'Pegar ML'!AL947,'Pegar ML'!AL948)</f>
        <v>0</v>
      </c>
      <c r="Y952" s="27"/>
      <c r="Z952" s="27"/>
      <c r="AA952" s="27"/>
      <c r="AB952" s="27"/>
      <c r="AC952" s="27"/>
      <c r="AD952" s="27"/>
      <c r="AF952" s="8"/>
      <c r="AG952" s="27"/>
      <c r="AH952" s="14">
        <f>+'Pegar ML'!Y948</f>
        <v>0</v>
      </c>
      <c r="AI952" s="13">
        <f t="shared" si="43"/>
        <v>1</v>
      </c>
      <c r="AJ952" s="7">
        <f>+'Pegar ML'!T948</f>
        <v>0</v>
      </c>
      <c r="AK952" s="27"/>
      <c r="AL952" s="27"/>
      <c r="AM952" s="27"/>
      <c r="AN952" s="27"/>
      <c r="AO952" s="27"/>
      <c r="AP952" s="27"/>
      <c r="AQ952" s="27"/>
      <c r="AR952" s="27"/>
      <c r="AS952" s="27">
        <v>17</v>
      </c>
    </row>
    <row r="953" spans="1:45" ht="15" customHeight="1" x14ac:dyDescent="0.25">
      <c r="A953" s="27">
        <f>IF('Pegar ML'!C948="Paquete de 2 productos",'Pegar ML'!A948,IF('Pegar ML'!C947="Paquete de 2 productos",'Pegar ML'!A947,'Pegar ML'!A949))</f>
        <v>0</v>
      </c>
      <c r="B953" s="27"/>
      <c r="C953" s="30" t="str">
        <f>IF(AjusteFecha!I949=0,"",AjusteFecha!I949)</f>
        <v/>
      </c>
      <c r="D953" s="27"/>
      <c r="E953" s="27"/>
      <c r="F953" s="27" t="str">
        <f>IF('Pegar ML'!C949="","",'Pegar ML'!C949)</f>
        <v/>
      </c>
      <c r="G953" s="27" t="str">
        <f>IF('Pegar ML'!G944="ARS","PS","PS")</f>
        <v>PS</v>
      </c>
      <c r="H953" s="14">
        <f>IF('Pegar ML'!C948="Paquete de 2 productos",IF('Pegar ML'!H948="",0,'Pegar ML'!H948),IF('Pegar ML'!H949="",0,'Pegar ML'!H949))</f>
        <v>0</v>
      </c>
      <c r="I953" s="14">
        <f>IF('Pegar ML'!C948="Paquete de 2 productos",IF('Pegar ML'!O948="",0,'Pegar ML'!O948),IF('Pegar ML'!O949="",0,'Pegar ML'!O949))</f>
        <v>0</v>
      </c>
      <c r="J953" s="14">
        <f>IF('Pegar ML'!C948="Paquete de 2 productos",IF('Pegar ML'!O948="",0,'Pegar ML'!O948),IF('Pegar ML'!O949="",0,'Pegar ML'!O949))</f>
        <v>0</v>
      </c>
      <c r="K953" s="14">
        <f t="shared" si="44"/>
        <v>0</v>
      </c>
      <c r="L953" s="27">
        <f>IF('Pegar ML'!AB949=" ",'Pegar ML'!AB948,'Pegar ML'!AB949)</f>
        <v>0</v>
      </c>
      <c r="M953" s="27" t="str">
        <f>IF('Pegar ML'!AC949=" ",RIGHT('Pegar ML'!AC948,8),RIGHT('Pegar ML'!AC949,8))</f>
        <v/>
      </c>
      <c r="N953" s="27" t="s">
        <v>80</v>
      </c>
      <c r="O953" s="27">
        <f t="shared" si="42"/>
        <v>0</v>
      </c>
      <c r="P953" s="27" t="s">
        <v>80</v>
      </c>
      <c r="Q953" s="55">
        <f>IF('Pegar ML'!AD949=" ",'Pegar ML'!AD948,'Pegar ML'!AD949)</f>
        <v>0</v>
      </c>
      <c r="R953" s="27" t="s">
        <v>80</v>
      </c>
      <c r="S953" s="27" t="s">
        <v>80</v>
      </c>
      <c r="T953" s="27" t="s">
        <v>80</v>
      </c>
      <c r="U953" s="55">
        <f>IF('Pegar ML'!AI949=" ",'Pegar ML'!AI948,'Pegar ML'!AI949)</f>
        <v>0</v>
      </c>
      <c r="V953" s="55">
        <f>IF('Pegar ML'!AK949=" ",'Pegar ML'!AK948,'Pegar ML'!AK949)</f>
        <v>0</v>
      </c>
      <c r="W953" s="55">
        <f>IF('Pegar ML'!AJ949=" ",'Pegar ML'!AJ948,'Pegar ML'!AJ949)</f>
        <v>0</v>
      </c>
      <c r="X953" s="55">
        <f>IF('Pegar ML'!AL949=" ",'Pegar ML'!AL948,'Pegar ML'!AL949)</f>
        <v>0</v>
      </c>
      <c r="Y953" s="27"/>
      <c r="Z953" s="27"/>
      <c r="AA953" s="27"/>
      <c r="AB953" s="27"/>
      <c r="AC953" s="27"/>
      <c r="AD953" s="27"/>
      <c r="AF953" s="8"/>
      <c r="AG953" s="27"/>
      <c r="AH953" s="14">
        <f>+'Pegar ML'!Y949</f>
        <v>0</v>
      </c>
      <c r="AI953" s="13">
        <f t="shared" si="43"/>
        <v>1</v>
      </c>
      <c r="AJ953" s="7">
        <f>+'Pegar ML'!T949</f>
        <v>0</v>
      </c>
      <c r="AK953" s="27"/>
      <c r="AL953" s="27"/>
      <c r="AM953" s="27"/>
      <c r="AN953" s="27"/>
      <c r="AO953" s="27"/>
      <c r="AP953" s="27"/>
      <c r="AQ953" s="27"/>
      <c r="AR953" s="27"/>
      <c r="AS953" s="27">
        <v>17</v>
      </c>
    </row>
    <row r="954" spans="1:45" ht="15" customHeight="1" x14ac:dyDescent="0.25">
      <c r="A954" s="27">
        <f>IF('Pegar ML'!C949="Paquete de 2 productos",'Pegar ML'!A949,IF('Pegar ML'!C948="Paquete de 2 productos",'Pegar ML'!A948,'Pegar ML'!A950))</f>
        <v>0</v>
      </c>
      <c r="B954" s="27"/>
      <c r="C954" s="30" t="str">
        <f>IF(AjusteFecha!I950=0,"",AjusteFecha!I950)</f>
        <v/>
      </c>
      <c r="D954" s="27"/>
      <c r="E954" s="27"/>
      <c r="F954" s="27" t="str">
        <f>IF('Pegar ML'!C950="","",'Pegar ML'!C950)</f>
        <v/>
      </c>
      <c r="G954" s="27" t="str">
        <f>IF('Pegar ML'!G945="ARS","PS","PS")</f>
        <v>PS</v>
      </c>
      <c r="H954" s="14">
        <f>IF('Pegar ML'!C949="Paquete de 2 productos",IF('Pegar ML'!H949="",0,'Pegar ML'!H949),IF('Pegar ML'!H950="",0,'Pegar ML'!H950))</f>
        <v>0</v>
      </c>
      <c r="I954" s="14">
        <f>IF('Pegar ML'!C949="Paquete de 2 productos",IF('Pegar ML'!O949="",0,'Pegar ML'!O949),IF('Pegar ML'!O950="",0,'Pegar ML'!O950))</f>
        <v>0</v>
      </c>
      <c r="J954" s="14">
        <f>IF('Pegar ML'!C949="Paquete de 2 productos",IF('Pegar ML'!O949="",0,'Pegar ML'!O949),IF('Pegar ML'!O950="",0,'Pegar ML'!O950))</f>
        <v>0</v>
      </c>
      <c r="K954" s="14">
        <f t="shared" si="44"/>
        <v>0</v>
      </c>
      <c r="L954" s="27">
        <f>IF('Pegar ML'!AB950=" ",'Pegar ML'!AB949,'Pegar ML'!AB950)</f>
        <v>0</v>
      </c>
      <c r="M954" s="27" t="str">
        <f>IF('Pegar ML'!AC950=" ",RIGHT('Pegar ML'!AC949,8),RIGHT('Pegar ML'!AC950,8))</f>
        <v/>
      </c>
      <c r="N954" s="27" t="s">
        <v>80</v>
      </c>
      <c r="O954" s="27">
        <f t="shared" si="42"/>
        <v>0</v>
      </c>
      <c r="P954" s="27" t="s">
        <v>80</v>
      </c>
      <c r="Q954" s="55">
        <f>IF('Pegar ML'!AD950=" ",'Pegar ML'!AD949,'Pegar ML'!AD950)</f>
        <v>0</v>
      </c>
      <c r="R954" s="27" t="s">
        <v>80</v>
      </c>
      <c r="S954" s="27" t="s">
        <v>80</v>
      </c>
      <c r="T954" s="27" t="s">
        <v>80</v>
      </c>
      <c r="U954" s="55">
        <f>IF('Pegar ML'!AI950=" ",'Pegar ML'!AI949,'Pegar ML'!AI950)</f>
        <v>0</v>
      </c>
      <c r="V954" s="55">
        <f>IF('Pegar ML'!AK950=" ",'Pegar ML'!AK949,'Pegar ML'!AK950)</f>
        <v>0</v>
      </c>
      <c r="W954" s="55">
        <f>IF('Pegar ML'!AJ950=" ",'Pegar ML'!AJ949,'Pegar ML'!AJ950)</f>
        <v>0</v>
      </c>
      <c r="X954" s="55">
        <f>IF('Pegar ML'!AL950=" ",'Pegar ML'!AL949,'Pegar ML'!AL950)</f>
        <v>0</v>
      </c>
      <c r="Y954" s="27"/>
      <c r="Z954" s="27"/>
      <c r="AA954" s="27"/>
      <c r="AB954" s="27"/>
      <c r="AC954" s="27"/>
      <c r="AD954" s="27"/>
      <c r="AF954" s="8"/>
      <c r="AG954" s="27"/>
      <c r="AH954" s="14">
        <f>+'Pegar ML'!Y950</f>
        <v>0</v>
      </c>
      <c r="AI954" s="13">
        <f t="shared" si="43"/>
        <v>1</v>
      </c>
      <c r="AJ954" s="7">
        <f>+'Pegar ML'!T950</f>
        <v>0</v>
      </c>
      <c r="AK954" s="27"/>
      <c r="AL954" s="27"/>
      <c r="AM954" s="27"/>
      <c r="AN954" s="27"/>
      <c r="AO954" s="27"/>
      <c r="AP954" s="27"/>
      <c r="AQ954" s="27"/>
      <c r="AR954" s="27"/>
      <c r="AS954" s="27">
        <v>17</v>
      </c>
    </row>
    <row r="955" spans="1:45" ht="15" customHeight="1" x14ac:dyDescent="0.25">
      <c r="A955" s="27">
        <f>IF('Pegar ML'!C950="Paquete de 2 productos",'Pegar ML'!A950,IF('Pegar ML'!C949="Paquete de 2 productos",'Pegar ML'!A949,'Pegar ML'!A951))</f>
        <v>0</v>
      </c>
      <c r="B955" s="27"/>
      <c r="C955" s="30" t="str">
        <f>IF(AjusteFecha!I951=0,"",AjusteFecha!I951)</f>
        <v/>
      </c>
      <c r="D955" s="27"/>
      <c r="E955" s="27"/>
      <c r="F955" s="27" t="str">
        <f>IF('Pegar ML'!C951="","",'Pegar ML'!C951)</f>
        <v/>
      </c>
      <c r="G955" s="27" t="str">
        <f>IF('Pegar ML'!G946="ARS","PS","PS")</f>
        <v>PS</v>
      </c>
      <c r="H955" s="14">
        <f>IF('Pegar ML'!C950="Paquete de 2 productos",IF('Pegar ML'!H950="",0,'Pegar ML'!H950),IF('Pegar ML'!H951="",0,'Pegar ML'!H951))</f>
        <v>0</v>
      </c>
      <c r="I955" s="14">
        <f>IF('Pegar ML'!C950="Paquete de 2 productos",IF('Pegar ML'!O950="",0,'Pegar ML'!O950),IF('Pegar ML'!O951="",0,'Pegar ML'!O951))</f>
        <v>0</v>
      </c>
      <c r="J955" s="14">
        <f>IF('Pegar ML'!C950="Paquete de 2 productos",IF('Pegar ML'!O950="",0,'Pegar ML'!O950),IF('Pegar ML'!O951="",0,'Pegar ML'!O951))</f>
        <v>0</v>
      </c>
      <c r="K955" s="14">
        <f t="shared" si="44"/>
        <v>0</v>
      </c>
      <c r="L955" s="27">
        <f>IF('Pegar ML'!AB951=" ",'Pegar ML'!AB950,'Pegar ML'!AB951)</f>
        <v>0</v>
      </c>
      <c r="M955" s="27" t="str">
        <f>IF('Pegar ML'!AC951=" ",RIGHT('Pegar ML'!AC950,8),RIGHT('Pegar ML'!AC951,8))</f>
        <v/>
      </c>
      <c r="N955" s="27" t="s">
        <v>80</v>
      </c>
      <c r="O955" s="27">
        <f t="shared" si="42"/>
        <v>0</v>
      </c>
      <c r="P955" s="27" t="s">
        <v>80</v>
      </c>
      <c r="Q955" s="55">
        <f>IF('Pegar ML'!AD951=" ",'Pegar ML'!AD950,'Pegar ML'!AD951)</f>
        <v>0</v>
      </c>
      <c r="R955" s="27" t="s">
        <v>80</v>
      </c>
      <c r="S955" s="27" t="s">
        <v>80</v>
      </c>
      <c r="T955" s="27" t="s">
        <v>80</v>
      </c>
      <c r="U955" s="55">
        <f>IF('Pegar ML'!AI951=" ",'Pegar ML'!AI950,'Pegar ML'!AI951)</f>
        <v>0</v>
      </c>
      <c r="V955" s="55">
        <f>IF('Pegar ML'!AK951=" ",'Pegar ML'!AK950,'Pegar ML'!AK951)</f>
        <v>0</v>
      </c>
      <c r="W955" s="55">
        <f>IF('Pegar ML'!AJ951=" ",'Pegar ML'!AJ950,'Pegar ML'!AJ951)</f>
        <v>0</v>
      </c>
      <c r="X955" s="55">
        <f>IF('Pegar ML'!AL951=" ",'Pegar ML'!AL950,'Pegar ML'!AL951)</f>
        <v>0</v>
      </c>
      <c r="Y955" s="27"/>
      <c r="Z955" s="27"/>
      <c r="AA955" s="27"/>
      <c r="AB955" s="27"/>
      <c r="AC955" s="27"/>
      <c r="AD955" s="27"/>
      <c r="AF955" s="8"/>
      <c r="AG955" s="27"/>
      <c r="AH955" s="14">
        <f>+'Pegar ML'!Y951</f>
        <v>0</v>
      </c>
      <c r="AI955" s="13">
        <f t="shared" si="43"/>
        <v>1</v>
      </c>
      <c r="AJ955" s="7">
        <f>+'Pegar ML'!T951</f>
        <v>0</v>
      </c>
      <c r="AK955" s="27"/>
      <c r="AL955" s="27"/>
      <c r="AM955" s="27"/>
      <c r="AN955" s="27"/>
      <c r="AO955" s="27"/>
      <c r="AP955" s="27"/>
      <c r="AQ955" s="27"/>
      <c r="AR955" s="27"/>
      <c r="AS955" s="27">
        <v>17</v>
      </c>
    </row>
    <row r="956" spans="1:45" ht="15" customHeight="1" x14ac:dyDescent="0.25">
      <c r="A956" s="27">
        <f>IF('Pegar ML'!C951="Paquete de 2 productos",'Pegar ML'!A951,IF('Pegar ML'!C950="Paquete de 2 productos",'Pegar ML'!A950,'Pegar ML'!A952))</f>
        <v>0</v>
      </c>
      <c r="B956" s="27"/>
      <c r="C956" s="30" t="str">
        <f>IF(AjusteFecha!I952=0,"",AjusteFecha!I952)</f>
        <v/>
      </c>
      <c r="D956" s="27"/>
      <c r="E956" s="27"/>
      <c r="F956" s="27" t="str">
        <f>IF('Pegar ML'!C952="","",'Pegar ML'!C952)</f>
        <v/>
      </c>
      <c r="G956" s="27" t="str">
        <f>IF('Pegar ML'!G947="ARS","PS","PS")</f>
        <v>PS</v>
      </c>
      <c r="H956" s="14">
        <f>IF('Pegar ML'!C951="Paquete de 2 productos",IF('Pegar ML'!H951="",0,'Pegar ML'!H951),IF('Pegar ML'!H952="",0,'Pegar ML'!H952))</f>
        <v>0</v>
      </c>
      <c r="I956" s="14">
        <f>IF('Pegar ML'!C951="Paquete de 2 productos",IF('Pegar ML'!O951="",0,'Pegar ML'!O951),IF('Pegar ML'!O952="",0,'Pegar ML'!O952))</f>
        <v>0</v>
      </c>
      <c r="J956" s="14">
        <f>IF('Pegar ML'!C951="Paquete de 2 productos",IF('Pegar ML'!O951="",0,'Pegar ML'!O951),IF('Pegar ML'!O952="",0,'Pegar ML'!O952))</f>
        <v>0</v>
      </c>
      <c r="K956" s="14">
        <f t="shared" si="44"/>
        <v>0</v>
      </c>
      <c r="L956" s="27">
        <f>IF('Pegar ML'!AB952=" ",'Pegar ML'!AB951,'Pegar ML'!AB952)</f>
        <v>0</v>
      </c>
      <c r="M956" s="27" t="str">
        <f>IF('Pegar ML'!AC952=" ",RIGHT('Pegar ML'!AC951,8),RIGHT('Pegar ML'!AC952,8))</f>
        <v/>
      </c>
      <c r="N956" s="27" t="s">
        <v>80</v>
      </c>
      <c r="O956" s="27">
        <f t="shared" si="42"/>
        <v>0</v>
      </c>
      <c r="P956" s="27" t="s">
        <v>80</v>
      </c>
      <c r="Q956" s="55">
        <f>IF('Pegar ML'!AD952=" ",'Pegar ML'!AD951,'Pegar ML'!AD952)</f>
        <v>0</v>
      </c>
      <c r="R956" s="27" t="s">
        <v>80</v>
      </c>
      <c r="S956" s="27" t="s">
        <v>80</v>
      </c>
      <c r="T956" s="27" t="s">
        <v>80</v>
      </c>
      <c r="U956" s="55">
        <f>IF('Pegar ML'!AI952=" ",'Pegar ML'!AI951,'Pegar ML'!AI952)</f>
        <v>0</v>
      </c>
      <c r="V956" s="55">
        <f>IF('Pegar ML'!AK952=" ",'Pegar ML'!AK951,'Pegar ML'!AK952)</f>
        <v>0</v>
      </c>
      <c r="W956" s="55">
        <f>IF('Pegar ML'!AJ952=" ",'Pegar ML'!AJ951,'Pegar ML'!AJ952)</f>
        <v>0</v>
      </c>
      <c r="X956" s="55">
        <f>IF('Pegar ML'!AL952=" ",'Pegar ML'!AL951,'Pegar ML'!AL952)</f>
        <v>0</v>
      </c>
      <c r="Y956" s="27"/>
      <c r="Z956" s="27"/>
      <c r="AA956" s="27"/>
      <c r="AB956" s="27"/>
      <c r="AC956" s="27"/>
      <c r="AD956" s="27"/>
      <c r="AF956" s="8"/>
      <c r="AG956" s="27"/>
      <c r="AH956" s="14">
        <f>+'Pegar ML'!Y952</f>
        <v>0</v>
      </c>
      <c r="AI956" s="13">
        <f t="shared" si="43"/>
        <v>1</v>
      </c>
      <c r="AJ956" s="7">
        <f>+'Pegar ML'!T952</f>
        <v>0</v>
      </c>
      <c r="AK956" s="27"/>
      <c r="AL956" s="27"/>
      <c r="AM956" s="27"/>
      <c r="AN956" s="27"/>
      <c r="AO956" s="27"/>
      <c r="AP956" s="27"/>
      <c r="AQ956" s="27"/>
      <c r="AR956" s="27"/>
      <c r="AS956" s="27">
        <v>17</v>
      </c>
    </row>
    <row r="957" spans="1:45" ht="15" customHeight="1" x14ac:dyDescent="0.25">
      <c r="A957" s="27">
        <f>IF('Pegar ML'!C952="Paquete de 2 productos",'Pegar ML'!A952,IF('Pegar ML'!C951="Paquete de 2 productos",'Pegar ML'!A951,'Pegar ML'!A953))</f>
        <v>0</v>
      </c>
      <c r="B957" s="27"/>
      <c r="C957" s="30" t="str">
        <f>IF(AjusteFecha!I953=0,"",AjusteFecha!I953)</f>
        <v/>
      </c>
      <c r="D957" s="27"/>
      <c r="E957" s="27"/>
      <c r="F957" s="27" t="str">
        <f>IF('Pegar ML'!C953="","",'Pegar ML'!C953)</f>
        <v/>
      </c>
      <c r="G957" s="27" t="str">
        <f>IF('Pegar ML'!G948="ARS","PS","PS")</f>
        <v>PS</v>
      </c>
      <c r="H957" s="14">
        <f>IF('Pegar ML'!C952="Paquete de 2 productos",IF('Pegar ML'!H952="",0,'Pegar ML'!H952),IF('Pegar ML'!H953="",0,'Pegar ML'!H953))</f>
        <v>0</v>
      </c>
      <c r="I957" s="14">
        <f>IF('Pegar ML'!C952="Paquete de 2 productos",IF('Pegar ML'!O952="",0,'Pegar ML'!O952),IF('Pegar ML'!O953="",0,'Pegar ML'!O953))</f>
        <v>0</v>
      </c>
      <c r="J957" s="14">
        <f>IF('Pegar ML'!C952="Paquete de 2 productos",IF('Pegar ML'!O952="",0,'Pegar ML'!O952),IF('Pegar ML'!O953="",0,'Pegar ML'!O953))</f>
        <v>0</v>
      </c>
      <c r="K957" s="14">
        <f t="shared" si="44"/>
        <v>0</v>
      </c>
      <c r="L957" s="27">
        <f>IF('Pegar ML'!AB953=" ",'Pegar ML'!AB952,'Pegar ML'!AB953)</f>
        <v>0</v>
      </c>
      <c r="M957" s="27" t="str">
        <f>IF('Pegar ML'!AC953=" ",RIGHT('Pegar ML'!AC952,8),RIGHT('Pegar ML'!AC953,8))</f>
        <v/>
      </c>
      <c r="N957" s="27" t="s">
        <v>80</v>
      </c>
      <c r="O957" s="27">
        <f t="shared" si="42"/>
        <v>0</v>
      </c>
      <c r="P957" s="27" t="s">
        <v>80</v>
      </c>
      <c r="Q957" s="55">
        <f>IF('Pegar ML'!AD953=" ",'Pegar ML'!AD952,'Pegar ML'!AD953)</f>
        <v>0</v>
      </c>
      <c r="R957" s="27" t="s">
        <v>80</v>
      </c>
      <c r="S957" s="27" t="s">
        <v>80</v>
      </c>
      <c r="T957" s="27" t="s">
        <v>80</v>
      </c>
      <c r="U957" s="55">
        <f>IF('Pegar ML'!AI953=" ",'Pegar ML'!AI952,'Pegar ML'!AI953)</f>
        <v>0</v>
      </c>
      <c r="V957" s="55">
        <f>IF('Pegar ML'!AK953=" ",'Pegar ML'!AK952,'Pegar ML'!AK953)</f>
        <v>0</v>
      </c>
      <c r="W957" s="55">
        <f>IF('Pegar ML'!AJ953=" ",'Pegar ML'!AJ952,'Pegar ML'!AJ953)</f>
        <v>0</v>
      </c>
      <c r="X957" s="55">
        <f>IF('Pegar ML'!AL953=" ",'Pegar ML'!AL952,'Pegar ML'!AL953)</f>
        <v>0</v>
      </c>
      <c r="Y957" s="27"/>
      <c r="Z957" s="27"/>
      <c r="AA957" s="27"/>
      <c r="AB957" s="27"/>
      <c r="AC957" s="27"/>
      <c r="AD957" s="27"/>
      <c r="AF957" s="8"/>
      <c r="AG957" s="27"/>
      <c r="AH957" s="14">
        <f>+'Pegar ML'!Y953</f>
        <v>0</v>
      </c>
      <c r="AI957" s="13">
        <f t="shared" si="43"/>
        <v>1</v>
      </c>
      <c r="AJ957" s="7">
        <f>+'Pegar ML'!T953</f>
        <v>0</v>
      </c>
      <c r="AK957" s="27"/>
      <c r="AL957" s="27"/>
      <c r="AM957" s="27"/>
      <c r="AN957" s="27"/>
      <c r="AO957" s="27"/>
      <c r="AP957" s="27"/>
      <c r="AQ957" s="27"/>
      <c r="AR957" s="27"/>
      <c r="AS957" s="27">
        <v>17</v>
      </c>
    </row>
    <row r="958" spans="1:45" ht="15" customHeight="1" x14ac:dyDescent="0.25">
      <c r="A958" s="27">
        <f>IF('Pegar ML'!C953="Paquete de 2 productos",'Pegar ML'!A953,IF('Pegar ML'!C952="Paquete de 2 productos",'Pegar ML'!A952,'Pegar ML'!A954))</f>
        <v>0</v>
      </c>
      <c r="B958" s="27"/>
      <c r="C958" s="30" t="str">
        <f>IF(AjusteFecha!I954=0,"",AjusteFecha!I954)</f>
        <v/>
      </c>
      <c r="D958" s="27"/>
      <c r="E958" s="27"/>
      <c r="F958" s="27" t="str">
        <f>IF('Pegar ML'!C954="","",'Pegar ML'!C954)</f>
        <v/>
      </c>
      <c r="G958" s="27" t="str">
        <f>IF('Pegar ML'!G949="ARS","PS","PS")</f>
        <v>PS</v>
      </c>
      <c r="H958" s="14">
        <f>IF('Pegar ML'!C953="Paquete de 2 productos",IF('Pegar ML'!H953="",0,'Pegar ML'!H953),IF('Pegar ML'!H954="",0,'Pegar ML'!H954))</f>
        <v>0</v>
      </c>
      <c r="I958" s="14">
        <f>IF('Pegar ML'!C953="Paquete de 2 productos",IF('Pegar ML'!O953="",0,'Pegar ML'!O953),IF('Pegar ML'!O954="",0,'Pegar ML'!O954))</f>
        <v>0</v>
      </c>
      <c r="J958" s="14">
        <f>IF('Pegar ML'!C953="Paquete de 2 productos",IF('Pegar ML'!O953="",0,'Pegar ML'!O953),IF('Pegar ML'!O954="",0,'Pegar ML'!O954))</f>
        <v>0</v>
      </c>
      <c r="K958" s="14">
        <f t="shared" si="44"/>
        <v>0</v>
      </c>
      <c r="L958" s="27">
        <f>IF('Pegar ML'!AB954=" ",'Pegar ML'!AB953,'Pegar ML'!AB954)</f>
        <v>0</v>
      </c>
      <c r="M958" s="27" t="str">
        <f>IF('Pegar ML'!AC954=" ",RIGHT('Pegar ML'!AC953,8),RIGHT('Pegar ML'!AC954,8))</f>
        <v/>
      </c>
      <c r="N958" s="27" t="s">
        <v>80</v>
      </c>
      <c r="O958" s="27">
        <f t="shared" si="42"/>
        <v>0</v>
      </c>
      <c r="P958" s="27" t="s">
        <v>80</v>
      </c>
      <c r="Q958" s="55">
        <f>IF('Pegar ML'!AD954=" ",'Pegar ML'!AD953,'Pegar ML'!AD954)</f>
        <v>0</v>
      </c>
      <c r="R958" s="27" t="s">
        <v>80</v>
      </c>
      <c r="S958" s="27" t="s">
        <v>80</v>
      </c>
      <c r="T958" s="27" t="s">
        <v>80</v>
      </c>
      <c r="U958" s="55">
        <f>IF('Pegar ML'!AI954=" ",'Pegar ML'!AI953,'Pegar ML'!AI954)</f>
        <v>0</v>
      </c>
      <c r="V958" s="55">
        <f>IF('Pegar ML'!AK954=" ",'Pegar ML'!AK953,'Pegar ML'!AK954)</f>
        <v>0</v>
      </c>
      <c r="W958" s="55">
        <f>IF('Pegar ML'!AJ954=" ",'Pegar ML'!AJ953,'Pegar ML'!AJ954)</f>
        <v>0</v>
      </c>
      <c r="X958" s="55">
        <f>IF('Pegar ML'!AL954=" ",'Pegar ML'!AL953,'Pegar ML'!AL954)</f>
        <v>0</v>
      </c>
      <c r="Y958" s="27"/>
      <c r="Z958" s="27"/>
      <c r="AA958" s="27"/>
      <c r="AB958" s="27"/>
      <c r="AC958" s="27"/>
      <c r="AD958" s="27"/>
      <c r="AF958" s="8"/>
      <c r="AG958" s="27"/>
      <c r="AH958" s="14">
        <f>+'Pegar ML'!Y954</f>
        <v>0</v>
      </c>
      <c r="AI958" s="13">
        <f t="shared" si="43"/>
        <v>1</v>
      </c>
      <c r="AJ958" s="7">
        <f>+'Pegar ML'!T954</f>
        <v>0</v>
      </c>
      <c r="AK958" s="27"/>
      <c r="AL958" s="27"/>
      <c r="AM958" s="27"/>
      <c r="AN958" s="27"/>
      <c r="AO958" s="27"/>
      <c r="AP958" s="27"/>
      <c r="AQ958" s="27"/>
      <c r="AR958" s="27"/>
      <c r="AS958" s="27">
        <v>17</v>
      </c>
    </row>
    <row r="959" spans="1:45" ht="15" customHeight="1" x14ac:dyDescent="0.25">
      <c r="A959" s="27">
        <f>IF('Pegar ML'!C954="Paquete de 2 productos",'Pegar ML'!A954,IF('Pegar ML'!C953="Paquete de 2 productos",'Pegar ML'!A953,'Pegar ML'!A955))</f>
        <v>0</v>
      </c>
      <c r="B959" s="27"/>
      <c r="C959" s="30" t="str">
        <f>IF(AjusteFecha!I955=0,"",AjusteFecha!I955)</f>
        <v/>
      </c>
      <c r="D959" s="27"/>
      <c r="E959" s="27"/>
      <c r="F959" s="27" t="str">
        <f>IF('Pegar ML'!C955="","",'Pegar ML'!C955)</f>
        <v/>
      </c>
      <c r="G959" s="27" t="str">
        <f>IF('Pegar ML'!G950="ARS","PS","PS")</f>
        <v>PS</v>
      </c>
      <c r="H959" s="14">
        <f>IF('Pegar ML'!C954="Paquete de 2 productos",IF('Pegar ML'!H954="",0,'Pegar ML'!H954),IF('Pegar ML'!H955="",0,'Pegar ML'!H955))</f>
        <v>0</v>
      </c>
      <c r="I959" s="14">
        <f>IF('Pegar ML'!C954="Paquete de 2 productos",IF('Pegar ML'!O954="",0,'Pegar ML'!O954),IF('Pegar ML'!O955="",0,'Pegar ML'!O955))</f>
        <v>0</v>
      </c>
      <c r="J959" s="14">
        <f>IF('Pegar ML'!C954="Paquete de 2 productos",IF('Pegar ML'!O954="",0,'Pegar ML'!O954),IF('Pegar ML'!O955="",0,'Pegar ML'!O955))</f>
        <v>0</v>
      </c>
      <c r="K959" s="14">
        <f t="shared" si="44"/>
        <v>0</v>
      </c>
      <c r="L959" s="27">
        <f>IF('Pegar ML'!AB955=" ",'Pegar ML'!AB954,'Pegar ML'!AB955)</f>
        <v>0</v>
      </c>
      <c r="M959" s="27" t="str">
        <f>IF('Pegar ML'!AC955=" ",RIGHT('Pegar ML'!AC954,8),RIGHT('Pegar ML'!AC955,8))</f>
        <v/>
      </c>
      <c r="N959" s="27" t="s">
        <v>80</v>
      </c>
      <c r="O959" s="27">
        <f t="shared" si="42"/>
        <v>0</v>
      </c>
      <c r="P959" s="27" t="s">
        <v>80</v>
      </c>
      <c r="Q959" s="55">
        <f>IF('Pegar ML'!AD955=" ",'Pegar ML'!AD954,'Pegar ML'!AD955)</f>
        <v>0</v>
      </c>
      <c r="R959" s="27" t="s">
        <v>80</v>
      </c>
      <c r="S959" s="27" t="s">
        <v>80</v>
      </c>
      <c r="T959" s="27" t="s">
        <v>80</v>
      </c>
      <c r="U959" s="55">
        <f>IF('Pegar ML'!AI955=" ",'Pegar ML'!AI954,'Pegar ML'!AI955)</f>
        <v>0</v>
      </c>
      <c r="V959" s="55">
        <f>IF('Pegar ML'!AK955=" ",'Pegar ML'!AK954,'Pegar ML'!AK955)</f>
        <v>0</v>
      </c>
      <c r="W959" s="55">
        <f>IF('Pegar ML'!AJ955=" ",'Pegar ML'!AJ954,'Pegar ML'!AJ955)</f>
        <v>0</v>
      </c>
      <c r="X959" s="55">
        <f>IF('Pegar ML'!AL955=" ",'Pegar ML'!AL954,'Pegar ML'!AL955)</f>
        <v>0</v>
      </c>
      <c r="Y959" s="27"/>
      <c r="Z959" s="27"/>
      <c r="AA959" s="27"/>
      <c r="AB959" s="27"/>
      <c r="AC959" s="27"/>
      <c r="AD959" s="27"/>
      <c r="AF959" s="8"/>
      <c r="AG959" s="27"/>
      <c r="AH959" s="14">
        <f>+'Pegar ML'!Y955</f>
        <v>0</v>
      </c>
      <c r="AI959" s="13">
        <f t="shared" si="43"/>
        <v>1</v>
      </c>
      <c r="AJ959" s="7">
        <f>+'Pegar ML'!T955</f>
        <v>0</v>
      </c>
      <c r="AK959" s="27"/>
      <c r="AL959" s="27"/>
      <c r="AM959" s="27"/>
      <c r="AN959" s="27"/>
      <c r="AO959" s="27"/>
      <c r="AP959" s="27"/>
      <c r="AQ959" s="27"/>
      <c r="AR959" s="27"/>
      <c r="AS959" s="27">
        <v>17</v>
      </c>
    </row>
    <row r="960" spans="1:45" ht="15" customHeight="1" x14ac:dyDescent="0.25">
      <c r="A960" s="27">
        <f>IF('Pegar ML'!C955="Paquete de 2 productos",'Pegar ML'!A955,IF('Pegar ML'!C954="Paquete de 2 productos",'Pegar ML'!A954,'Pegar ML'!A956))</f>
        <v>0</v>
      </c>
      <c r="B960" s="27"/>
      <c r="C960" s="30" t="str">
        <f>IF(AjusteFecha!I956=0,"",AjusteFecha!I956)</f>
        <v/>
      </c>
      <c r="D960" s="27"/>
      <c r="E960" s="27"/>
      <c r="F960" s="27" t="str">
        <f>IF('Pegar ML'!C956="","",'Pegar ML'!C956)</f>
        <v/>
      </c>
      <c r="G960" s="27" t="str">
        <f>IF('Pegar ML'!G951="ARS","PS","PS")</f>
        <v>PS</v>
      </c>
      <c r="H960" s="14">
        <f>IF('Pegar ML'!C955="Paquete de 2 productos",IF('Pegar ML'!H955="",0,'Pegar ML'!H955),IF('Pegar ML'!H956="",0,'Pegar ML'!H956))</f>
        <v>0</v>
      </c>
      <c r="I960" s="14">
        <f>IF('Pegar ML'!C955="Paquete de 2 productos",IF('Pegar ML'!O955="",0,'Pegar ML'!O955),IF('Pegar ML'!O956="",0,'Pegar ML'!O956))</f>
        <v>0</v>
      </c>
      <c r="J960" s="14">
        <f>IF('Pegar ML'!C955="Paquete de 2 productos",IF('Pegar ML'!O955="",0,'Pegar ML'!O955),IF('Pegar ML'!O956="",0,'Pegar ML'!O956))</f>
        <v>0</v>
      </c>
      <c r="K960" s="14">
        <f t="shared" si="44"/>
        <v>0</v>
      </c>
      <c r="L960" s="27">
        <f>IF('Pegar ML'!AB956=" ",'Pegar ML'!AB955,'Pegar ML'!AB956)</f>
        <v>0</v>
      </c>
      <c r="M960" s="27" t="str">
        <f>IF('Pegar ML'!AC956=" ",RIGHT('Pegar ML'!AC955,8),RIGHT('Pegar ML'!AC956,8))</f>
        <v/>
      </c>
      <c r="N960" s="27" t="s">
        <v>80</v>
      </c>
      <c r="O960" s="27">
        <f t="shared" si="42"/>
        <v>0</v>
      </c>
      <c r="P960" s="27" t="s">
        <v>80</v>
      </c>
      <c r="Q960" s="55">
        <f>IF('Pegar ML'!AD956=" ",'Pegar ML'!AD955,'Pegar ML'!AD956)</f>
        <v>0</v>
      </c>
      <c r="R960" s="27" t="s">
        <v>80</v>
      </c>
      <c r="S960" s="27" t="s">
        <v>80</v>
      </c>
      <c r="T960" s="27" t="s">
        <v>80</v>
      </c>
      <c r="U960" s="55">
        <f>IF('Pegar ML'!AI956=" ",'Pegar ML'!AI955,'Pegar ML'!AI956)</f>
        <v>0</v>
      </c>
      <c r="V960" s="55">
        <f>IF('Pegar ML'!AK956=" ",'Pegar ML'!AK955,'Pegar ML'!AK956)</f>
        <v>0</v>
      </c>
      <c r="W960" s="55">
        <f>IF('Pegar ML'!AJ956=" ",'Pegar ML'!AJ955,'Pegar ML'!AJ956)</f>
        <v>0</v>
      </c>
      <c r="X960" s="55">
        <f>IF('Pegar ML'!AL956=" ",'Pegar ML'!AL955,'Pegar ML'!AL956)</f>
        <v>0</v>
      </c>
      <c r="Y960" s="27"/>
      <c r="Z960" s="27"/>
      <c r="AA960" s="27"/>
      <c r="AB960" s="27"/>
      <c r="AC960" s="27"/>
      <c r="AD960" s="27"/>
      <c r="AF960" s="8"/>
      <c r="AG960" s="27"/>
      <c r="AH960" s="14">
        <f>+'Pegar ML'!Y956</f>
        <v>0</v>
      </c>
      <c r="AI960" s="13">
        <f t="shared" si="43"/>
        <v>1</v>
      </c>
      <c r="AJ960" s="7">
        <f>+'Pegar ML'!T956</f>
        <v>0</v>
      </c>
      <c r="AK960" s="27"/>
      <c r="AL960" s="27"/>
      <c r="AM960" s="27"/>
      <c r="AN960" s="27"/>
      <c r="AO960" s="27"/>
      <c r="AP960" s="27"/>
      <c r="AQ960" s="27"/>
      <c r="AR960" s="27"/>
      <c r="AS960" s="27">
        <v>17</v>
      </c>
    </row>
    <row r="961" spans="1:45" ht="15" customHeight="1" x14ac:dyDescent="0.25">
      <c r="A961" s="27">
        <f>IF('Pegar ML'!C956="Paquete de 2 productos",'Pegar ML'!A956,IF('Pegar ML'!C955="Paquete de 2 productos",'Pegar ML'!A955,'Pegar ML'!A957))</f>
        <v>0</v>
      </c>
      <c r="B961" s="27"/>
      <c r="C961" s="30" t="str">
        <f>IF(AjusteFecha!I957=0,"",AjusteFecha!I957)</f>
        <v/>
      </c>
      <c r="D961" s="27"/>
      <c r="E961" s="27"/>
      <c r="F961" s="27" t="str">
        <f>IF('Pegar ML'!C957="","",'Pegar ML'!C957)</f>
        <v/>
      </c>
      <c r="G961" s="27" t="str">
        <f>IF('Pegar ML'!G952="ARS","PS","PS")</f>
        <v>PS</v>
      </c>
      <c r="H961" s="14">
        <f>IF('Pegar ML'!C956="Paquete de 2 productos",IF('Pegar ML'!H956="",0,'Pegar ML'!H956),IF('Pegar ML'!H957="",0,'Pegar ML'!H957))</f>
        <v>0</v>
      </c>
      <c r="I961" s="14">
        <f>IF('Pegar ML'!C956="Paquete de 2 productos",IF('Pegar ML'!O956="",0,'Pegar ML'!O956),IF('Pegar ML'!O957="",0,'Pegar ML'!O957))</f>
        <v>0</v>
      </c>
      <c r="J961" s="14">
        <f>IF('Pegar ML'!C956="Paquete de 2 productos",IF('Pegar ML'!O956="",0,'Pegar ML'!O956),IF('Pegar ML'!O957="",0,'Pegar ML'!O957))</f>
        <v>0</v>
      </c>
      <c r="K961" s="14">
        <f t="shared" si="44"/>
        <v>0</v>
      </c>
      <c r="L961" s="27">
        <f>IF('Pegar ML'!AB957=" ",'Pegar ML'!AB956,'Pegar ML'!AB957)</f>
        <v>0</v>
      </c>
      <c r="M961" s="27" t="str">
        <f>IF('Pegar ML'!AC957=" ",RIGHT('Pegar ML'!AC956,8),RIGHT('Pegar ML'!AC957,8))</f>
        <v/>
      </c>
      <c r="N961" s="27" t="s">
        <v>80</v>
      </c>
      <c r="O961" s="27">
        <f t="shared" si="42"/>
        <v>0</v>
      </c>
      <c r="P961" s="27" t="s">
        <v>80</v>
      </c>
      <c r="Q961" s="55">
        <f>IF('Pegar ML'!AD957=" ",'Pegar ML'!AD956,'Pegar ML'!AD957)</f>
        <v>0</v>
      </c>
      <c r="R961" s="27" t="s">
        <v>80</v>
      </c>
      <c r="S961" s="27" t="s">
        <v>80</v>
      </c>
      <c r="T961" s="27" t="s">
        <v>80</v>
      </c>
      <c r="U961" s="55">
        <f>IF('Pegar ML'!AI957=" ",'Pegar ML'!AI956,'Pegar ML'!AI957)</f>
        <v>0</v>
      </c>
      <c r="V961" s="55">
        <f>IF('Pegar ML'!AK957=" ",'Pegar ML'!AK956,'Pegar ML'!AK957)</f>
        <v>0</v>
      </c>
      <c r="W961" s="55">
        <f>IF('Pegar ML'!AJ957=" ",'Pegar ML'!AJ956,'Pegar ML'!AJ957)</f>
        <v>0</v>
      </c>
      <c r="X961" s="55">
        <f>IF('Pegar ML'!AL957=" ",'Pegar ML'!AL956,'Pegar ML'!AL957)</f>
        <v>0</v>
      </c>
      <c r="Y961" s="27"/>
      <c r="Z961" s="27"/>
      <c r="AA961" s="27"/>
      <c r="AB961" s="27"/>
      <c r="AC961" s="27"/>
      <c r="AD961" s="27"/>
      <c r="AF961" s="8"/>
      <c r="AG961" s="27"/>
      <c r="AH961" s="14">
        <f>+'Pegar ML'!Y957</f>
        <v>0</v>
      </c>
      <c r="AI961" s="13">
        <f t="shared" si="43"/>
        <v>1</v>
      </c>
      <c r="AJ961" s="7">
        <f>+'Pegar ML'!T957</f>
        <v>0</v>
      </c>
      <c r="AK961" s="27"/>
      <c r="AL961" s="27"/>
      <c r="AM961" s="27"/>
      <c r="AN961" s="27"/>
      <c r="AO961" s="27"/>
      <c r="AP961" s="27"/>
      <c r="AQ961" s="27"/>
      <c r="AR961" s="27"/>
      <c r="AS961" s="27">
        <v>17</v>
      </c>
    </row>
    <row r="962" spans="1:45" ht="15" customHeight="1" x14ac:dyDescent="0.25">
      <c r="A962" s="27">
        <f>IF('Pegar ML'!C957="Paquete de 2 productos",'Pegar ML'!A957,IF('Pegar ML'!C956="Paquete de 2 productos",'Pegar ML'!A956,'Pegar ML'!A958))</f>
        <v>0</v>
      </c>
      <c r="B962" s="27"/>
      <c r="C962" s="30" t="str">
        <f>IF(AjusteFecha!I958=0,"",AjusteFecha!I958)</f>
        <v/>
      </c>
      <c r="D962" s="27"/>
      <c r="E962" s="27"/>
      <c r="F962" s="27" t="str">
        <f>IF('Pegar ML'!C958="","",'Pegar ML'!C958)</f>
        <v/>
      </c>
      <c r="G962" s="27" t="str">
        <f>IF('Pegar ML'!G953="ARS","PS","PS")</f>
        <v>PS</v>
      </c>
      <c r="H962" s="14">
        <f>IF('Pegar ML'!C957="Paquete de 2 productos",IF('Pegar ML'!H957="",0,'Pegar ML'!H957),IF('Pegar ML'!H958="",0,'Pegar ML'!H958))</f>
        <v>0</v>
      </c>
      <c r="I962" s="14">
        <f>IF('Pegar ML'!C957="Paquete de 2 productos",IF('Pegar ML'!O957="",0,'Pegar ML'!O957),IF('Pegar ML'!O958="",0,'Pegar ML'!O958))</f>
        <v>0</v>
      </c>
      <c r="J962" s="14">
        <f>IF('Pegar ML'!C957="Paquete de 2 productos",IF('Pegar ML'!O957="",0,'Pegar ML'!O957),IF('Pegar ML'!O958="",0,'Pegar ML'!O958))</f>
        <v>0</v>
      </c>
      <c r="K962" s="14">
        <f t="shared" si="44"/>
        <v>0</v>
      </c>
      <c r="L962" s="27">
        <f>IF('Pegar ML'!AB958=" ",'Pegar ML'!AB957,'Pegar ML'!AB958)</f>
        <v>0</v>
      </c>
      <c r="M962" s="27" t="str">
        <f>IF('Pegar ML'!AC958=" ",RIGHT('Pegar ML'!AC957,8),RIGHT('Pegar ML'!AC958,8))</f>
        <v/>
      </c>
      <c r="N962" s="27" t="s">
        <v>80</v>
      </c>
      <c r="O962" s="27">
        <f t="shared" si="42"/>
        <v>0</v>
      </c>
      <c r="P962" s="27" t="s">
        <v>80</v>
      </c>
      <c r="Q962" s="55">
        <f>IF('Pegar ML'!AD958=" ",'Pegar ML'!AD957,'Pegar ML'!AD958)</f>
        <v>0</v>
      </c>
      <c r="R962" s="27" t="s">
        <v>80</v>
      </c>
      <c r="S962" s="27" t="s">
        <v>80</v>
      </c>
      <c r="T962" s="27" t="s">
        <v>80</v>
      </c>
      <c r="U962" s="55">
        <f>IF('Pegar ML'!AI958=" ",'Pegar ML'!AI957,'Pegar ML'!AI958)</f>
        <v>0</v>
      </c>
      <c r="V962" s="55">
        <f>IF('Pegar ML'!AK958=" ",'Pegar ML'!AK957,'Pegar ML'!AK958)</f>
        <v>0</v>
      </c>
      <c r="W962" s="55">
        <f>IF('Pegar ML'!AJ958=" ",'Pegar ML'!AJ957,'Pegar ML'!AJ958)</f>
        <v>0</v>
      </c>
      <c r="X962" s="55">
        <f>IF('Pegar ML'!AL958=" ",'Pegar ML'!AL957,'Pegar ML'!AL958)</f>
        <v>0</v>
      </c>
      <c r="Y962" s="27"/>
      <c r="Z962" s="27"/>
      <c r="AA962" s="27"/>
      <c r="AB962" s="27"/>
      <c r="AC962" s="27"/>
      <c r="AD962" s="27"/>
      <c r="AF962" s="8"/>
      <c r="AG962" s="27"/>
      <c r="AH962" s="14">
        <f>+'Pegar ML'!Y958</f>
        <v>0</v>
      </c>
      <c r="AI962" s="13">
        <f t="shared" si="43"/>
        <v>1</v>
      </c>
      <c r="AJ962" s="7">
        <f>+'Pegar ML'!T958</f>
        <v>0</v>
      </c>
      <c r="AK962" s="27"/>
      <c r="AL962" s="27"/>
      <c r="AM962" s="27"/>
      <c r="AN962" s="27"/>
      <c r="AO962" s="27"/>
      <c r="AP962" s="27"/>
      <c r="AQ962" s="27"/>
      <c r="AR962" s="27"/>
      <c r="AS962" s="27">
        <v>17</v>
      </c>
    </row>
    <row r="963" spans="1:45" ht="15" customHeight="1" x14ac:dyDescent="0.25">
      <c r="A963" s="27">
        <f>IF('Pegar ML'!C958="Paquete de 2 productos",'Pegar ML'!A958,IF('Pegar ML'!C957="Paquete de 2 productos",'Pegar ML'!A957,'Pegar ML'!A959))</f>
        <v>0</v>
      </c>
      <c r="B963" s="27"/>
      <c r="C963" s="30" t="str">
        <f>IF(AjusteFecha!I959=0,"",AjusteFecha!I959)</f>
        <v/>
      </c>
      <c r="D963" s="27"/>
      <c r="E963" s="27"/>
      <c r="F963" s="27" t="str">
        <f>IF('Pegar ML'!C959="","",'Pegar ML'!C959)</f>
        <v/>
      </c>
      <c r="G963" s="27" t="str">
        <f>IF('Pegar ML'!G954="ARS","PS","PS")</f>
        <v>PS</v>
      </c>
      <c r="H963" s="14">
        <f>IF('Pegar ML'!C958="Paquete de 2 productos",IF('Pegar ML'!H958="",0,'Pegar ML'!H958),IF('Pegar ML'!H959="",0,'Pegar ML'!H959))</f>
        <v>0</v>
      </c>
      <c r="I963" s="14">
        <f>IF('Pegar ML'!C958="Paquete de 2 productos",IF('Pegar ML'!O958="",0,'Pegar ML'!O958),IF('Pegar ML'!O959="",0,'Pegar ML'!O959))</f>
        <v>0</v>
      </c>
      <c r="J963" s="14">
        <f>IF('Pegar ML'!C958="Paquete de 2 productos",IF('Pegar ML'!O958="",0,'Pegar ML'!O958),IF('Pegar ML'!O959="",0,'Pegar ML'!O959))</f>
        <v>0</v>
      </c>
      <c r="K963" s="14">
        <f t="shared" si="44"/>
        <v>0</v>
      </c>
      <c r="L963" s="27">
        <f>IF('Pegar ML'!AB959=" ",'Pegar ML'!AB958,'Pegar ML'!AB959)</f>
        <v>0</v>
      </c>
      <c r="M963" s="27" t="str">
        <f>IF('Pegar ML'!AC959=" ",RIGHT('Pegar ML'!AC958,8),RIGHT('Pegar ML'!AC959,8))</f>
        <v/>
      </c>
      <c r="N963" s="27" t="s">
        <v>80</v>
      </c>
      <c r="O963" s="27">
        <f t="shared" si="42"/>
        <v>0</v>
      </c>
      <c r="P963" s="27" t="s">
        <v>80</v>
      </c>
      <c r="Q963" s="55">
        <f>IF('Pegar ML'!AD959=" ",'Pegar ML'!AD958,'Pegar ML'!AD959)</f>
        <v>0</v>
      </c>
      <c r="R963" s="27" t="s">
        <v>80</v>
      </c>
      <c r="S963" s="27" t="s">
        <v>80</v>
      </c>
      <c r="T963" s="27" t="s">
        <v>80</v>
      </c>
      <c r="U963" s="55">
        <f>IF('Pegar ML'!AI959=" ",'Pegar ML'!AI958,'Pegar ML'!AI959)</f>
        <v>0</v>
      </c>
      <c r="V963" s="55">
        <f>IF('Pegar ML'!AK959=" ",'Pegar ML'!AK958,'Pegar ML'!AK959)</f>
        <v>0</v>
      </c>
      <c r="W963" s="55">
        <f>IF('Pegar ML'!AJ959=" ",'Pegar ML'!AJ958,'Pegar ML'!AJ959)</f>
        <v>0</v>
      </c>
      <c r="X963" s="55">
        <f>IF('Pegar ML'!AL959=" ",'Pegar ML'!AL958,'Pegar ML'!AL959)</f>
        <v>0</v>
      </c>
      <c r="Y963" s="27"/>
      <c r="Z963" s="27"/>
      <c r="AA963" s="27"/>
      <c r="AB963" s="27"/>
      <c r="AC963" s="27"/>
      <c r="AD963" s="27"/>
      <c r="AF963" s="8"/>
      <c r="AG963" s="27"/>
      <c r="AH963" s="14">
        <f>+'Pegar ML'!Y959</f>
        <v>0</v>
      </c>
      <c r="AI963" s="13">
        <f t="shared" si="43"/>
        <v>1</v>
      </c>
      <c r="AJ963" s="7">
        <f>+'Pegar ML'!T959</f>
        <v>0</v>
      </c>
      <c r="AK963" s="27"/>
      <c r="AL963" s="27"/>
      <c r="AM963" s="27"/>
      <c r="AN963" s="27"/>
      <c r="AO963" s="27"/>
      <c r="AP963" s="27"/>
      <c r="AQ963" s="27"/>
      <c r="AR963" s="27"/>
      <c r="AS963" s="27">
        <v>17</v>
      </c>
    </row>
    <row r="964" spans="1:45" ht="15" customHeight="1" x14ac:dyDescent="0.25">
      <c r="A964" s="27">
        <f>IF('Pegar ML'!C959="Paquete de 2 productos",'Pegar ML'!A959,IF('Pegar ML'!C958="Paquete de 2 productos",'Pegar ML'!A958,'Pegar ML'!A960))</f>
        <v>0</v>
      </c>
      <c r="B964" s="27"/>
      <c r="C964" s="30" t="str">
        <f>IF(AjusteFecha!I960=0,"",AjusteFecha!I960)</f>
        <v/>
      </c>
      <c r="D964" s="27"/>
      <c r="E964" s="27"/>
      <c r="F964" s="27" t="str">
        <f>IF('Pegar ML'!C960="","",'Pegar ML'!C960)</f>
        <v/>
      </c>
      <c r="G964" s="27" t="str">
        <f>IF('Pegar ML'!G955="ARS","PS","PS")</f>
        <v>PS</v>
      </c>
      <c r="H964" s="14">
        <f>IF('Pegar ML'!C959="Paquete de 2 productos",IF('Pegar ML'!H959="",0,'Pegar ML'!H959),IF('Pegar ML'!H960="",0,'Pegar ML'!H960))</f>
        <v>0</v>
      </c>
      <c r="I964" s="14">
        <f>IF('Pegar ML'!C959="Paquete de 2 productos",IF('Pegar ML'!O959="",0,'Pegar ML'!O959),IF('Pegar ML'!O960="",0,'Pegar ML'!O960))</f>
        <v>0</v>
      </c>
      <c r="J964" s="14">
        <f>IF('Pegar ML'!C959="Paquete de 2 productos",IF('Pegar ML'!O959="",0,'Pegar ML'!O959),IF('Pegar ML'!O960="",0,'Pegar ML'!O960))</f>
        <v>0</v>
      </c>
      <c r="K964" s="14">
        <f t="shared" si="44"/>
        <v>0</v>
      </c>
      <c r="L964" s="27">
        <f>IF('Pegar ML'!AB960=" ",'Pegar ML'!AB959,'Pegar ML'!AB960)</f>
        <v>0</v>
      </c>
      <c r="M964" s="27" t="str">
        <f>IF('Pegar ML'!AC960=" ",RIGHT('Pegar ML'!AC959,8),RIGHT('Pegar ML'!AC960,8))</f>
        <v/>
      </c>
      <c r="N964" s="27" t="s">
        <v>80</v>
      </c>
      <c r="O964" s="27">
        <f t="shared" si="42"/>
        <v>0</v>
      </c>
      <c r="P964" s="27" t="s">
        <v>80</v>
      </c>
      <c r="Q964" s="55">
        <f>IF('Pegar ML'!AD960=" ",'Pegar ML'!AD959,'Pegar ML'!AD960)</f>
        <v>0</v>
      </c>
      <c r="R964" s="27" t="s">
        <v>80</v>
      </c>
      <c r="S964" s="27" t="s">
        <v>80</v>
      </c>
      <c r="T964" s="27" t="s">
        <v>80</v>
      </c>
      <c r="U964" s="55">
        <f>IF('Pegar ML'!AI960=" ",'Pegar ML'!AI959,'Pegar ML'!AI960)</f>
        <v>0</v>
      </c>
      <c r="V964" s="55">
        <f>IF('Pegar ML'!AK960=" ",'Pegar ML'!AK959,'Pegar ML'!AK960)</f>
        <v>0</v>
      </c>
      <c r="W964" s="55">
        <f>IF('Pegar ML'!AJ960=" ",'Pegar ML'!AJ959,'Pegar ML'!AJ960)</f>
        <v>0</v>
      </c>
      <c r="X964" s="55">
        <f>IF('Pegar ML'!AL960=" ",'Pegar ML'!AL959,'Pegar ML'!AL960)</f>
        <v>0</v>
      </c>
      <c r="Y964" s="27"/>
      <c r="Z964" s="27"/>
      <c r="AA964" s="27"/>
      <c r="AB964" s="27"/>
      <c r="AC964" s="27"/>
      <c r="AD964" s="27"/>
      <c r="AF964" s="8"/>
      <c r="AG964" s="27"/>
      <c r="AH964" s="14">
        <f>+'Pegar ML'!Y960</f>
        <v>0</v>
      </c>
      <c r="AI964" s="13">
        <f t="shared" si="43"/>
        <v>1</v>
      </c>
      <c r="AJ964" s="7">
        <f>+'Pegar ML'!T960</f>
        <v>0</v>
      </c>
      <c r="AK964" s="27"/>
      <c r="AL964" s="27"/>
      <c r="AM964" s="27"/>
      <c r="AN964" s="27"/>
      <c r="AO964" s="27"/>
      <c r="AP964" s="27"/>
      <c r="AQ964" s="27"/>
      <c r="AR964" s="27"/>
      <c r="AS964" s="27">
        <v>17</v>
      </c>
    </row>
    <row r="965" spans="1:45" ht="15" customHeight="1" x14ac:dyDescent="0.25">
      <c r="A965" s="27">
        <f>IF('Pegar ML'!C960="Paquete de 2 productos",'Pegar ML'!A960,IF('Pegar ML'!C959="Paquete de 2 productos",'Pegar ML'!A959,'Pegar ML'!A961))</f>
        <v>0</v>
      </c>
      <c r="B965" s="27"/>
      <c r="C965" s="30" t="str">
        <f>IF(AjusteFecha!I961=0,"",AjusteFecha!I961)</f>
        <v/>
      </c>
      <c r="D965" s="27"/>
      <c r="E965" s="27"/>
      <c r="F965" s="27" t="str">
        <f>IF('Pegar ML'!C961="","",'Pegar ML'!C961)</f>
        <v/>
      </c>
      <c r="G965" s="27" t="str">
        <f>IF('Pegar ML'!G956="ARS","PS","PS")</f>
        <v>PS</v>
      </c>
      <c r="H965" s="14">
        <f>IF('Pegar ML'!C960="Paquete de 2 productos",IF('Pegar ML'!H960="",0,'Pegar ML'!H960),IF('Pegar ML'!H961="",0,'Pegar ML'!H961))</f>
        <v>0</v>
      </c>
      <c r="I965" s="14">
        <f>IF('Pegar ML'!C960="Paquete de 2 productos",IF('Pegar ML'!O960="",0,'Pegar ML'!O960),IF('Pegar ML'!O961="",0,'Pegar ML'!O961))</f>
        <v>0</v>
      </c>
      <c r="J965" s="14">
        <f>IF('Pegar ML'!C960="Paquete de 2 productos",IF('Pegar ML'!O960="",0,'Pegar ML'!O960),IF('Pegar ML'!O961="",0,'Pegar ML'!O961))</f>
        <v>0</v>
      </c>
      <c r="K965" s="14">
        <f t="shared" si="44"/>
        <v>0</v>
      </c>
      <c r="L965" s="27">
        <f>IF('Pegar ML'!AB961=" ",'Pegar ML'!AB960,'Pegar ML'!AB961)</f>
        <v>0</v>
      </c>
      <c r="M965" s="27" t="str">
        <f>IF('Pegar ML'!AC961=" ",RIGHT('Pegar ML'!AC960,8),RIGHT('Pegar ML'!AC961,8))</f>
        <v/>
      </c>
      <c r="N965" s="27" t="s">
        <v>80</v>
      </c>
      <c r="O965" s="27">
        <f t="shared" si="42"/>
        <v>0</v>
      </c>
      <c r="P965" s="27" t="s">
        <v>80</v>
      </c>
      <c r="Q965" s="55">
        <f>IF('Pegar ML'!AD961=" ",'Pegar ML'!AD960,'Pegar ML'!AD961)</f>
        <v>0</v>
      </c>
      <c r="R965" s="27" t="s">
        <v>80</v>
      </c>
      <c r="S965" s="27" t="s">
        <v>80</v>
      </c>
      <c r="T965" s="27" t="s">
        <v>80</v>
      </c>
      <c r="U965" s="55">
        <f>IF('Pegar ML'!AI961=" ",'Pegar ML'!AI960,'Pegar ML'!AI961)</f>
        <v>0</v>
      </c>
      <c r="V965" s="55">
        <f>IF('Pegar ML'!AK961=" ",'Pegar ML'!AK960,'Pegar ML'!AK961)</f>
        <v>0</v>
      </c>
      <c r="W965" s="55">
        <f>IF('Pegar ML'!AJ961=" ",'Pegar ML'!AJ960,'Pegar ML'!AJ961)</f>
        <v>0</v>
      </c>
      <c r="X965" s="55">
        <f>IF('Pegar ML'!AL961=" ",'Pegar ML'!AL960,'Pegar ML'!AL961)</f>
        <v>0</v>
      </c>
      <c r="Y965" s="27"/>
      <c r="Z965" s="27"/>
      <c r="AA965" s="27"/>
      <c r="AB965" s="27"/>
      <c r="AC965" s="27"/>
      <c r="AD965" s="27"/>
      <c r="AF965" s="8"/>
      <c r="AG965" s="27"/>
      <c r="AH965" s="14">
        <f>+'Pegar ML'!Y961</f>
        <v>0</v>
      </c>
      <c r="AI965" s="13">
        <f t="shared" si="43"/>
        <v>1</v>
      </c>
      <c r="AJ965" s="7">
        <f>+'Pegar ML'!T961</f>
        <v>0</v>
      </c>
      <c r="AK965" s="27"/>
      <c r="AL965" s="27"/>
      <c r="AM965" s="27"/>
      <c r="AN965" s="27"/>
      <c r="AO965" s="27"/>
      <c r="AP965" s="27"/>
      <c r="AQ965" s="27"/>
      <c r="AR965" s="27"/>
      <c r="AS965" s="27">
        <v>17</v>
      </c>
    </row>
    <row r="966" spans="1:45" ht="15" customHeight="1" x14ac:dyDescent="0.25">
      <c r="A966" s="27">
        <f>IF('Pegar ML'!C961="Paquete de 2 productos",'Pegar ML'!A961,IF('Pegar ML'!C960="Paquete de 2 productos",'Pegar ML'!A960,'Pegar ML'!A962))</f>
        <v>0</v>
      </c>
      <c r="B966" s="27"/>
      <c r="C966" s="30" t="str">
        <f>IF(AjusteFecha!I962=0,"",AjusteFecha!I962)</f>
        <v/>
      </c>
      <c r="D966" s="27"/>
      <c r="E966" s="27"/>
      <c r="F966" s="27" t="str">
        <f>IF('Pegar ML'!C962="","",'Pegar ML'!C962)</f>
        <v/>
      </c>
      <c r="G966" s="27" t="str">
        <f>IF('Pegar ML'!G957="ARS","PS","PS")</f>
        <v>PS</v>
      </c>
      <c r="H966" s="14">
        <f>IF('Pegar ML'!C961="Paquete de 2 productos",IF('Pegar ML'!H961="",0,'Pegar ML'!H961),IF('Pegar ML'!H962="",0,'Pegar ML'!H962))</f>
        <v>0</v>
      </c>
      <c r="I966" s="14">
        <f>IF('Pegar ML'!C961="Paquete de 2 productos",IF('Pegar ML'!O961="",0,'Pegar ML'!O961),IF('Pegar ML'!O962="",0,'Pegar ML'!O962))</f>
        <v>0</v>
      </c>
      <c r="J966" s="14">
        <f>IF('Pegar ML'!C961="Paquete de 2 productos",IF('Pegar ML'!O961="",0,'Pegar ML'!O961),IF('Pegar ML'!O962="",0,'Pegar ML'!O962))</f>
        <v>0</v>
      </c>
      <c r="K966" s="14">
        <f t="shared" si="44"/>
        <v>0</v>
      </c>
      <c r="L966" s="27">
        <f>IF('Pegar ML'!AB962=" ",'Pegar ML'!AB961,'Pegar ML'!AB962)</f>
        <v>0</v>
      </c>
      <c r="M966" s="27" t="str">
        <f>IF('Pegar ML'!AC962=" ",RIGHT('Pegar ML'!AC961,8),RIGHT('Pegar ML'!AC962,8))</f>
        <v/>
      </c>
      <c r="N966" s="27" t="s">
        <v>80</v>
      </c>
      <c r="O966" s="27">
        <f t="shared" si="42"/>
        <v>0</v>
      </c>
      <c r="P966" s="27" t="s">
        <v>80</v>
      </c>
      <c r="Q966" s="55">
        <f>IF('Pegar ML'!AD962=" ",'Pegar ML'!AD961,'Pegar ML'!AD962)</f>
        <v>0</v>
      </c>
      <c r="R966" s="27" t="s">
        <v>80</v>
      </c>
      <c r="S966" s="27" t="s">
        <v>80</v>
      </c>
      <c r="T966" s="27" t="s">
        <v>80</v>
      </c>
      <c r="U966" s="55">
        <f>IF('Pegar ML'!AI962=" ",'Pegar ML'!AI961,'Pegar ML'!AI962)</f>
        <v>0</v>
      </c>
      <c r="V966" s="55">
        <f>IF('Pegar ML'!AK962=" ",'Pegar ML'!AK961,'Pegar ML'!AK962)</f>
        <v>0</v>
      </c>
      <c r="W966" s="55">
        <f>IF('Pegar ML'!AJ962=" ",'Pegar ML'!AJ961,'Pegar ML'!AJ962)</f>
        <v>0</v>
      </c>
      <c r="X966" s="55">
        <f>IF('Pegar ML'!AL962=" ",'Pegar ML'!AL961,'Pegar ML'!AL962)</f>
        <v>0</v>
      </c>
      <c r="Y966" s="27"/>
      <c r="Z966" s="27"/>
      <c r="AA966" s="27"/>
      <c r="AB966" s="27"/>
      <c r="AC966" s="27"/>
      <c r="AD966" s="27"/>
      <c r="AF966" s="8"/>
      <c r="AG966" s="27"/>
      <c r="AH966" s="14">
        <f>+'Pegar ML'!Y962</f>
        <v>0</v>
      </c>
      <c r="AI966" s="13">
        <f t="shared" si="43"/>
        <v>1</v>
      </c>
      <c r="AJ966" s="7">
        <f>+'Pegar ML'!T962</f>
        <v>0</v>
      </c>
      <c r="AK966" s="27"/>
      <c r="AL966" s="27"/>
      <c r="AM966" s="27"/>
      <c r="AN966" s="27"/>
      <c r="AO966" s="27"/>
      <c r="AP966" s="27"/>
      <c r="AQ966" s="27"/>
      <c r="AR966" s="27"/>
      <c r="AS966" s="27">
        <v>17</v>
      </c>
    </row>
    <row r="967" spans="1:45" ht="15" customHeight="1" x14ac:dyDescent="0.25">
      <c r="A967" s="27">
        <f>IF('Pegar ML'!C962="Paquete de 2 productos",'Pegar ML'!A962,IF('Pegar ML'!C961="Paquete de 2 productos",'Pegar ML'!A961,'Pegar ML'!A963))</f>
        <v>0</v>
      </c>
      <c r="B967" s="27"/>
      <c r="C967" s="30" t="str">
        <f>IF(AjusteFecha!I963=0,"",AjusteFecha!I963)</f>
        <v/>
      </c>
      <c r="D967" s="27"/>
      <c r="E967" s="27"/>
      <c r="F967" s="27" t="str">
        <f>IF('Pegar ML'!C963="","",'Pegar ML'!C963)</f>
        <v/>
      </c>
      <c r="G967" s="27" t="str">
        <f>IF('Pegar ML'!G958="ARS","PS","PS")</f>
        <v>PS</v>
      </c>
      <c r="H967" s="14">
        <f>IF('Pegar ML'!C962="Paquete de 2 productos",IF('Pegar ML'!H962="",0,'Pegar ML'!H962),IF('Pegar ML'!H963="",0,'Pegar ML'!H963))</f>
        <v>0</v>
      </c>
      <c r="I967" s="14">
        <f>IF('Pegar ML'!C962="Paquete de 2 productos",IF('Pegar ML'!O962="",0,'Pegar ML'!O962),IF('Pegar ML'!O963="",0,'Pegar ML'!O963))</f>
        <v>0</v>
      </c>
      <c r="J967" s="14">
        <f>IF('Pegar ML'!C962="Paquete de 2 productos",IF('Pegar ML'!O962="",0,'Pegar ML'!O962),IF('Pegar ML'!O963="",0,'Pegar ML'!O963))</f>
        <v>0</v>
      </c>
      <c r="K967" s="14">
        <f t="shared" si="44"/>
        <v>0</v>
      </c>
      <c r="L967" s="27">
        <f>IF('Pegar ML'!AB963=" ",'Pegar ML'!AB962,'Pegar ML'!AB963)</f>
        <v>0</v>
      </c>
      <c r="M967" s="27" t="str">
        <f>IF('Pegar ML'!AC963=" ",RIGHT('Pegar ML'!AC962,8),RIGHT('Pegar ML'!AC963,8))</f>
        <v/>
      </c>
      <c r="N967" s="27" t="s">
        <v>80</v>
      </c>
      <c r="O967" s="27">
        <f t="shared" si="42"/>
        <v>0</v>
      </c>
      <c r="P967" s="27" t="s">
        <v>80</v>
      </c>
      <c r="Q967" s="55">
        <f>IF('Pegar ML'!AD963=" ",'Pegar ML'!AD962,'Pegar ML'!AD963)</f>
        <v>0</v>
      </c>
      <c r="R967" s="27" t="s">
        <v>80</v>
      </c>
      <c r="S967" s="27" t="s">
        <v>80</v>
      </c>
      <c r="T967" s="27" t="s">
        <v>80</v>
      </c>
      <c r="U967" s="55">
        <f>IF('Pegar ML'!AI963=" ",'Pegar ML'!AI962,'Pegar ML'!AI963)</f>
        <v>0</v>
      </c>
      <c r="V967" s="55">
        <f>IF('Pegar ML'!AK963=" ",'Pegar ML'!AK962,'Pegar ML'!AK963)</f>
        <v>0</v>
      </c>
      <c r="W967" s="55">
        <f>IF('Pegar ML'!AJ963=" ",'Pegar ML'!AJ962,'Pegar ML'!AJ963)</f>
        <v>0</v>
      </c>
      <c r="X967" s="55">
        <f>IF('Pegar ML'!AL963=" ",'Pegar ML'!AL962,'Pegar ML'!AL963)</f>
        <v>0</v>
      </c>
      <c r="Y967" s="27"/>
      <c r="Z967" s="27"/>
      <c r="AA967" s="27"/>
      <c r="AB967" s="27"/>
      <c r="AC967" s="27"/>
      <c r="AD967" s="27"/>
      <c r="AF967" s="8"/>
      <c r="AG967" s="27"/>
      <c r="AH967" s="14">
        <f>+'Pegar ML'!Y963</f>
        <v>0</v>
      </c>
      <c r="AI967" s="13">
        <f t="shared" si="43"/>
        <v>1</v>
      </c>
      <c r="AJ967" s="7">
        <f>+'Pegar ML'!T963</f>
        <v>0</v>
      </c>
      <c r="AK967" s="27"/>
      <c r="AL967" s="27"/>
      <c r="AM967" s="27"/>
      <c r="AN967" s="27"/>
      <c r="AO967" s="27"/>
      <c r="AP967" s="27"/>
      <c r="AQ967" s="27"/>
      <c r="AR967" s="27"/>
      <c r="AS967" s="27">
        <v>17</v>
      </c>
    </row>
    <row r="968" spans="1:45" ht="15" customHeight="1" x14ac:dyDescent="0.25">
      <c r="A968" s="27">
        <f>IF('Pegar ML'!C963="Paquete de 2 productos",'Pegar ML'!A963,IF('Pegar ML'!C962="Paquete de 2 productos",'Pegar ML'!A962,'Pegar ML'!A964))</f>
        <v>0</v>
      </c>
      <c r="B968" s="27"/>
      <c r="C968" s="30" t="str">
        <f>IF(AjusteFecha!I964=0,"",AjusteFecha!I964)</f>
        <v/>
      </c>
      <c r="D968" s="27"/>
      <c r="E968" s="27"/>
      <c r="F968" s="27" t="str">
        <f>IF('Pegar ML'!C964="","",'Pegar ML'!C964)</f>
        <v/>
      </c>
      <c r="G968" s="27" t="str">
        <f>IF('Pegar ML'!G959="ARS","PS","PS")</f>
        <v>PS</v>
      </c>
      <c r="H968" s="14">
        <f>IF('Pegar ML'!C963="Paquete de 2 productos",IF('Pegar ML'!H963="",0,'Pegar ML'!H963),IF('Pegar ML'!H964="",0,'Pegar ML'!H964))</f>
        <v>0</v>
      </c>
      <c r="I968" s="14">
        <f>IF('Pegar ML'!C963="Paquete de 2 productos",IF('Pegar ML'!O963="",0,'Pegar ML'!O963),IF('Pegar ML'!O964="",0,'Pegar ML'!O964))</f>
        <v>0</v>
      </c>
      <c r="J968" s="14">
        <f>IF('Pegar ML'!C963="Paquete de 2 productos",IF('Pegar ML'!O963="",0,'Pegar ML'!O963),IF('Pegar ML'!O964="",0,'Pegar ML'!O964))</f>
        <v>0</v>
      </c>
      <c r="K968" s="14">
        <f t="shared" si="44"/>
        <v>0</v>
      </c>
      <c r="L968" s="27">
        <f>IF('Pegar ML'!AB964=" ",'Pegar ML'!AB963,'Pegar ML'!AB964)</f>
        <v>0</v>
      </c>
      <c r="M968" s="27" t="str">
        <f>IF('Pegar ML'!AC964=" ",RIGHT('Pegar ML'!AC963,8),RIGHT('Pegar ML'!AC964,8))</f>
        <v/>
      </c>
      <c r="N968" s="27" t="s">
        <v>80</v>
      </c>
      <c r="O968" s="27">
        <f t="shared" si="42"/>
        <v>0</v>
      </c>
      <c r="P968" s="27" t="s">
        <v>80</v>
      </c>
      <c r="Q968" s="55">
        <f>IF('Pegar ML'!AD964=" ",'Pegar ML'!AD963,'Pegar ML'!AD964)</f>
        <v>0</v>
      </c>
      <c r="R968" s="27" t="s">
        <v>80</v>
      </c>
      <c r="S968" s="27" t="s">
        <v>80</v>
      </c>
      <c r="T968" s="27" t="s">
        <v>80</v>
      </c>
      <c r="U968" s="55">
        <f>IF('Pegar ML'!AI964=" ",'Pegar ML'!AI963,'Pegar ML'!AI964)</f>
        <v>0</v>
      </c>
      <c r="V968" s="55">
        <f>IF('Pegar ML'!AK964=" ",'Pegar ML'!AK963,'Pegar ML'!AK964)</f>
        <v>0</v>
      </c>
      <c r="W968" s="55">
        <f>IF('Pegar ML'!AJ964=" ",'Pegar ML'!AJ963,'Pegar ML'!AJ964)</f>
        <v>0</v>
      </c>
      <c r="X968" s="55">
        <f>IF('Pegar ML'!AL964=" ",'Pegar ML'!AL963,'Pegar ML'!AL964)</f>
        <v>0</v>
      </c>
      <c r="Y968" s="27"/>
      <c r="Z968" s="27"/>
      <c r="AA968" s="27"/>
      <c r="AB968" s="27"/>
      <c r="AC968" s="27"/>
      <c r="AD968" s="27"/>
      <c r="AF968" s="8"/>
      <c r="AG968" s="27"/>
      <c r="AH968" s="14">
        <f>+'Pegar ML'!Y964</f>
        <v>0</v>
      </c>
      <c r="AI968" s="13">
        <f t="shared" si="43"/>
        <v>1</v>
      </c>
      <c r="AJ968" s="7">
        <f>+'Pegar ML'!T964</f>
        <v>0</v>
      </c>
      <c r="AK968" s="27"/>
      <c r="AL968" s="27"/>
      <c r="AM968" s="27"/>
      <c r="AN968" s="27"/>
      <c r="AO968" s="27"/>
      <c r="AP968" s="27"/>
      <c r="AQ968" s="27"/>
      <c r="AR968" s="27"/>
      <c r="AS968" s="27">
        <v>17</v>
      </c>
    </row>
    <row r="969" spans="1:45" ht="15" customHeight="1" x14ac:dyDescent="0.25">
      <c r="A969" s="27">
        <f>IF('Pegar ML'!C964="Paquete de 2 productos",'Pegar ML'!A964,IF('Pegar ML'!C963="Paquete de 2 productos",'Pegar ML'!A963,'Pegar ML'!A965))</f>
        <v>0</v>
      </c>
      <c r="B969" s="27"/>
      <c r="C969" s="30" t="str">
        <f>IF(AjusteFecha!I965=0,"",AjusteFecha!I965)</f>
        <v/>
      </c>
      <c r="D969" s="27"/>
      <c r="E969" s="27"/>
      <c r="F969" s="27" t="str">
        <f>IF('Pegar ML'!C965="","",'Pegar ML'!C965)</f>
        <v/>
      </c>
      <c r="G969" s="27" t="str">
        <f>IF('Pegar ML'!G960="ARS","PS","PS")</f>
        <v>PS</v>
      </c>
      <c r="H969" s="14">
        <f>IF('Pegar ML'!C964="Paquete de 2 productos",IF('Pegar ML'!H964="",0,'Pegar ML'!H964),IF('Pegar ML'!H965="",0,'Pegar ML'!H965))</f>
        <v>0</v>
      </c>
      <c r="I969" s="14">
        <f>IF('Pegar ML'!C964="Paquete de 2 productos",IF('Pegar ML'!O964="",0,'Pegar ML'!O964),IF('Pegar ML'!O965="",0,'Pegar ML'!O965))</f>
        <v>0</v>
      </c>
      <c r="J969" s="14">
        <f>IF('Pegar ML'!C964="Paquete de 2 productos",IF('Pegar ML'!O964="",0,'Pegar ML'!O964),IF('Pegar ML'!O965="",0,'Pegar ML'!O965))</f>
        <v>0</v>
      </c>
      <c r="K969" s="14">
        <f t="shared" si="44"/>
        <v>0</v>
      </c>
      <c r="L969" s="27">
        <f>IF('Pegar ML'!AB965=" ",'Pegar ML'!AB964,'Pegar ML'!AB965)</f>
        <v>0</v>
      </c>
      <c r="M969" s="27" t="str">
        <f>IF('Pegar ML'!AC965=" ",RIGHT('Pegar ML'!AC964,8),RIGHT('Pegar ML'!AC965,8))</f>
        <v/>
      </c>
      <c r="N969" s="27" t="s">
        <v>80</v>
      </c>
      <c r="O969" s="27">
        <f t="shared" si="42"/>
        <v>0</v>
      </c>
      <c r="P969" s="27" t="s">
        <v>80</v>
      </c>
      <c r="Q969" s="55">
        <f>IF('Pegar ML'!AD965=" ",'Pegar ML'!AD964,'Pegar ML'!AD965)</f>
        <v>0</v>
      </c>
      <c r="R969" s="27" t="s">
        <v>80</v>
      </c>
      <c r="S969" s="27" t="s">
        <v>80</v>
      </c>
      <c r="T969" s="27" t="s">
        <v>80</v>
      </c>
      <c r="U969" s="55">
        <f>IF('Pegar ML'!AI965=" ",'Pegar ML'!AI964,'Pegar ML'!AI965)</f>
        <v>0</v>
      </c>
      <c r="V969" s="55">
        <f>IF('Pegar ML'!AK965=" ",'Pegar ML'!AK964,'Pegar ML'!AK965)</f>
        <v>0</v>
      </c>
      <c r="W969" s="55">
        <f>IF('Pegar ML'!AJ965=" ",'Pegar ML'!AJ964,'Pegar ML'!AJ965)</f>
        <v>0</v>
      </c>
      <c r="X969" s="55">
        <f>IF('Pegar ML'!AL965=" ",'Pegar ML'!AL964,'Pegar ML'!AL965)</f>
        <v>0</v>
      </c>
      <c r="Y969" s="27"/>
      <c r="Z969" s="27"/>
      <c r="AA969" s="27"/>
      <c r="AB969" s="27"/>
      <c r="AC969" s="27"/>
      <c r="AD969" s="27"/>
      <c r="AF969" s="8"/>
      <c r="AG969" s="27"/>
      <c r="AH969" s="14">
        <f>+'Pegar ML'!Y965</f>
        <v>0</v>
      </c>
      <c r="AI969" s="13">
        <f t="shared" si="43"/>
        <v>1</v>
      </c>
      <c r="AJ969" s="7">
        <f>+'Pegar ML'!T965</f>
        <v>0</v>
      </c>
      <c r="AK969" s="27"/>
      <c r="AL969" s="27"/>
      <c r="AM969" s="27"/>
      <c r="AN969" s="27"/>
      <c r="AO969" s="27"/>
      <c r="AP969" s="27"/>
      <c r="AQ969" s="27"/>
      <c r="AR969" s="27"/>
      <c r="AS969" s="27">
        <v>17</v>
      </c>
    </row>
    <row r="970" spans="1:45" ht="15" customHeight="1" x14ac:dyDescent="0.25">
      <c r="A970" s="27">
        <f>IF('Pegar ML'!C965="Paquete de 2 productos",'Pegar ML'!A965,IF('Pegar ML'!C964="Paquete de 2 productos",'Pegar ML'!A964,'Pegar ML'!A966))</f>
        <v>0</v>
      </c>
      <c r="B970" s="27"/>
      <c r="C970" s="30" t="str">
        <f>IF(AjusteFecha!I966=0,"",AjusteFecha!I966)</f>
        <v/>
      </c>
      <c r="D970" s="27"/>
      <c r="E970" s="27"/>
      <c r="F970" s="27" t="str">
        <f>IF('Pegar ML'!C966="","",'Pegar ML'!C966)</f>
        <v/>
      </c>
      <c r="G970" s="27" t="str">
        <f>IF('Pegar ML'!G961="ARS","PS","PS")</f>
        <v>PS</v>
      </c>
      <c r="H970" s="14">
        <f>IF('Pegar ML'!C965="Paquete de 2 productos",IF('Pegar ML'!H965="",0,'Pegar ML'!H965),IF('Pegar ML'!H966="",0,'Pegar ML'!H966))</f>
        <v>0</v>
      </c>
      <c r="I970" s="14">
        <f>IF('Pegar ML'!C965="Paquete de 2 productos",IF('Pegar ML'!O965="",0,'Pegar ML'!O965),IF('Pegar ML'!O966="",0,'Pegar ML'!O966))</f>
        <v>0</v>
      </c>
      <c r="J970" s="14">
        <f>IF('Pegar ML'!C965="Paquete de 2 productos",IF('Pegar ML'!O965="",0,'Pegar ML'!O965),IF('Pegar ML'!O966="",0,'Pegar ML'!O966))</f>
        <v>0</v>
      </c>
      <c r="K970" s="14">
        <f t="shared" si="44"/>
        <v>0</v>
      </c>
      <c r="L970" s="27">
        <f>IF('Pegar ML'!AB966=" ",'Pegar ML'!AB965,'Pegar ML'!AB966)</f>
        <v>0</v>
      </c>
      <c r="M970" s="27" t="str">
        <f>IF('Pegar ML'!AC966=" ",RIGHT('Pegar ML'!AC965,8),RIGHT('Pegar ML'!AC966,8))</f>
        <v/>
      </c>
      <c r="N970" s="27" t="s">
        <v>80</v>
      </c>
      <c r="O970" s="27">
        <f t="shared" si="42"/>
        <v>0</v>
      </c>
      <c r="P970" s="27" t="s">
        <v>80</v>
      </c>
      <c r="Q970" s="55">
        <f>IF('Pegar ML'!AD966=" ",'Pegar ML'!AD965,'Pegar ML'!AD966)</f>
        <v>0</v>
      </c>
      <c r="R970" s="27" t="s">
        <v>80</v>
      </c>
      <c r="S970" s="27" t="s">
        <v>80</v>
      </c>
      <c r="T970" s="27" t="s">
        <v>80</v>
      </c>
      <c r="U970" s="55">
        <f>IF('Pegar ML'!AI966=" ",'Pegar ML'!AI965,'Pegar ML'!AI966)</f>
        <v>0</v>
      </c>
      <c r="V970" s="55">
        <f>IF('Pegar ML'!AK966=" ",'Pegar ML'!AK965,'Pegar ML'!AK966)</f>
        <v>0</v>
      </c>
      <c r="W970" s="55">
        <f>IF('Pegar ML'!AJ966=" ",'Pegar ML'!AJ965,'Pegar ML'!AJ966)</f>
        <v>0</v>
      </c>
      <c r="X970" s="55">
        <f>IF('Pegar ML'!AL966=" ",'Pegar ML'!AL965,'Pegar ML'!AL966)</f>
        <v>0</v>
      </c>
      <c r="Y970" s="27"/>
      <c r="Z970" s="27"/>
      <c r="AA970" s="27"/>
      <c r="AB970" s="27"/>
      <c r="AC970" s="27"/>
      <c r="AD970" s="27"/>
      <c r="AF970" s="8"/>
      <c r="AG970" s="27"/>
      <c r="AH970" s="14">
        <f>+'Pegar ML'!Y966</f>
        <v>0</v>
      </c>
      <c r="AI970" s="13">
        <f t="shared" si="43"/>
        <v>1</v>
      </c>
      <c r="AJ970" s="7">
        <f>+'Pegar ML'!T966</f>
        <v>0</v>
      </c>
      <c r="AK970" s="27"/>
      <c r="AL970" s="27"/>
      <c r="AM970" s="27"/>
      <c r="AN970" s="27"/>
      <c r="AO970" s="27"/>
      <c r="AP970" s="27"/>
      <c r="AQ970" s="27"/>
      <c r="AR970" s="27"/>
      <c r="AS970" s="27">
        <v>17</v>
      </c>
    </row>
    <row r="971" spans="1:45" ht="15" customHeight="1" x14ac:dyDescent="0.25">
      <c r="A971" s="27">
        <f>IF('Pegar ML'!C966="Paquete de 2 productos",'Pegar ML'!A966,IF('Pegar ML'!C965="Paquete de 2 productos",'Pegar ML'!A965,'Pegar ML'!A967))</f>
        <v>0</v>
      </c>
      <c r="B971" s="27"/>
      <c r="C971" s="30" t="str">
        <f>IF(AjusteFecha!I967=0,"",AjusteFecha!I967)</f>
        <v/>
      </c>
      <c r="D971" s="27"/>
      <c r="E971" s="27"/>
      <c r="F971" s="27" t="str">
        <f>IF('Pegar ML'!C967="","",'Pegar ML'!C967)</f>
        <v/>
      </c>
      <c r="G971" s="27" t="str">
        <f>IF('Pegar ML'!G962="ARS","PS","PS")</f>
        <v>PS</v>
      </c>
      <c r="H971" s="14">
        <f>IF('Pegar ML'!C966="Paquete de 2 productos",IF('Pegar ML'!H966="",0,'Pegar ML'!H966),IF('Pegar ML'!H967="",0,'Pegar ML'!H967))</f>
        <v>0</v>
      </c>
      <c r="I971" s="14">
        <f>IF('Pegar ML'!C966="Paquete de 2 productos",IF('Pegar ML'!O966="",0,'Pegar ML'!O966),IF('Pegar ML'!O967="",0,'Pegar ML'!O967))</f>
        <v>0</v>
      </c>
      <c r="J971" s="14">
        <f>IF('Pegar ML'!C966="Paquete de 2 productos",IF('Pegar ML'!O966="",0,'Pegar ML'!O966),IF('Pegar ML'!O967="",0,'Pegar ML'!O967))</f>
        <v>0</v>
      </c>
      <c r="K971" s="14">
        <f t="shared" si="44"/>
        <v>0</v>
      </c>
      <c r="L971" s="27">
        <f>IF('Pegar ML'!AB967=" ",'Pegar ML'!AB966,'Pegar ML'!AB967)</f>
        <v>0</v>
      </c>
      <c r="M971" s="27" t="str">
        <f>IF('Pegar ML'!AC967=" ",RIGHT('Pegar ML'!AC966,8),RIGHT('Pegar ML'!AC967,8))</f>
        <v/>
      </c>
      <c r="N971" s="27" t="s">
        <v>80</v>
      </c>
      <c r="O971" s="27">
        <f t="shared" ref="O971:O1007" si="45">+L971</f>
        <v>0</v>
      </c>
      <c r="P971" s="27" t="s">
        <v>80</v>
      </c>
      <c r="Q971" s="55">
        <f>IF('Pegar ML'!AD967=" ",'Pegar ML'!AD966,'Pegar ML'!AD967)</f>
        <v>0</v>
      </c>
      <c r="R971" s="27" t="s">
        <v>80</v>
      </c>
      <c r="S971" s="27" t="s">
        <v>80</v>
      </c>
      <c r="T971" s="27" t="s">
        <v>80</v>
      </c>
      <c r="U971" s="55">
        <f>IF('Pegar ML'!AI967=" ",'Pegar ML'!AI966,'Pegar ML'!AI967)</f>
        <v>0</v>
      </c>
      <c r="V971" s="55">
        <f>IF('Pegar ML'!AK967=" ",'Pegar ML'!AK966,'Pegar ML'!AK967)</f>
        <v>0</v>
      </c>
      <c r="W971" s="55">
        <f>IF('Pegar ML'!AJ967=" ",'Pegar ML'!AJ966,'Pegar ML'!AJ967)</f>
        <v>0</v>
      </c>
      <c r="X971" s="55">
        <f>IF('Pegar ML'!AL967=" ",'Pegar ML'!AL966,'Pegar ML'!AL967)</f>
        <v>0</v>
      </c>
      <c r="Y971" s="27"/>
      <c r="Z971" s="27"/>
      <c r="AA971" s="27"/>
      <c r="AB971" s="27"/>
      <c r="AC971" s="27"/>
      <c r="AD971" s="27"/>
      <c r="AF971" s="8"/>
      <c r="AG971" s="27"/>
      <c r="AH971" s="14">
        <f>+'Pegar ML'!Y967</f>
        <v>0</v>
      </c>
      <c r="AI971" s="13">
        <f t="shared" ref="AI971:AI1007" si="46">IF(F971="Paquete de 2 productos","",1)</f>
        <v>1</v>
      </c>
      <c r="AJ971" s="7">
        <f>+'Pegar ML'!T967</f>
        <v>0</v>
      </c>
      <c r="AK971" s="27"/>
      <c r="AL971" s="27"/>
      <c r="AM971" s="27"/>
      <c r="AN971" s="27"/>
      <c r="AO971" s="27"/>
      <c r="AP971" s="27"/>
      <c r="AQ971" s="27"/>
      <c r="AR971" s="27"/>
      <c r="AS971" s="27">
        <v>17</v>
      </c>
    </row>
    <row r="972" spans="1:45" ht="15" customHeight="1" x14ac:dyDescent="0.25">
      <c r="A972" s="27">
        <f>IF('Pegar ML'!C967="Paquete de 2 productos",'Pegar ML'!A967,IF('Pegar ML'!C966="Paquete de 2 productos",'Pegar ML'!A966,'Pegar ML'!A968))</f>
        <v>0</v>
      </c>
      <c r="B972" s="27"/>
      <c r="C972" s="30" t="str">
        <f>IF(AjusteFecha!I968=0,"",AjusteFecha!I968)</f>
        <v/>
      </c>
      <c r="D972" s="27"/>
      <c r="E972" s="27"/>
      <c r="F972" s="27" t="str">
        <f>IF('Pegar ML'!C968="","",'Pegar ML'!C968)</f>
        <v/>
      </c>
      <c r="G972" s="27" t="str">
        <f>IF('Pegar ML'!G963="ARS","PS","PS")</f>
        <v>PS</v>
      </c>
      <c r="H972" s="14">
        <f>IF('Pegar ML'!C967="Paquete de 2 productos",IF('Pegar ML'!H967="",0,'Pegar ML'!H967),IF('Pegar ML'!H968="",0,'Pegar ML'!H968))</f>
        <v>0</v>
      </c>
      <c r="I972" s="14">
        <f>IF('Pegar ML'!C967="Paquete de 2 productos",IF('Pegar ML'!O967="",0,'Pegar ML'!O967),IF('Pegar ML'!O968="",0,'Pegar ML'!O968))</f>
        <v>0</v>
      </c>
      <c r="J972" s="14">
        <f>IF('Pegar ML'!C967="Paquete de 2 productos",IF('Pegar ML'!O967="",0,'Pegar ML'!O967),IF('Pegar ML'!O968="",0,'Pegar ML'!O968))</f>
        <v>0</v>
      </c>
      <c r="K972" s="14">
        <f t="shared" ref="K972:K1007" si="47">+H972-I972+J972</f>
        <v>0</v>
      </c>
      <c r="L972" s="27">
        <f>IF('Pegar ML'!AB968=" ",'Pegar ML'!AB967,'Pegar ML'!AB968)</f>
        <v>0</v>
      </c>
      <c r="M972" s="27" t="str">
        <f>IF('Pegar ML'!AC968=" ",RIGHT('Pegar ML'!AC967,8),RIGHT('Pegar ML'!AC968,8))</f>
        <v/>
      </c>
      <c r="N972" s="27" t="s">
        <v>80</v>
      </c>
      <c r="O972" s="27">
        <f t="shared" si="45"/>
        <v>0</v>
      </c>
      <c r="P972" s="27" t="s">
        <v>80</v>
      </c>
      <c r="Q972" s="55">
        <f>IF('Pegar ML'!AD968=" ",'Pegar ML'!AD967,'Pegar ML'!AD968)</f>
        <v>0</v>
      </c>
      <c r="R972" s="27" t="s">
        <v>80</v>
      </c>
      <c r="S972" s="27" t="s">
        <v>80</v>
      </c>
      <c r="T972" s="27" t="s">
        <v>80</v>
      </c>
      <c r="U972" s="55">
        <f>IF('Pegar ML'!AI968=" ",'Pegar ML'!AI967,'Pegar ML'!AI968)</f>
        <v>0</v>
      </c>
      <c r="V972" s="55">
        <f>IF('Pegar ML'!AK968=" ",'Pegar ML'!AK967,'Pegar ML'!AK968)</f>
        <v>0</v>
      </c>
      <c r="W972" s="55">
        <f>IF('Pegar ML'!AJ968=" ",'Pegar ML'!AJ967,'Pegar ML'!AJ968)</f>
        <v>0</v>
      </c>
      <c r="X972" s="55">
        <f>IF('Pegar ML'!AL968=" ",'Pegar ML'!AL967,'Pegar ML'!AL968)</f>
        <v>0</v>
      </c>
      <c r="Y972" s="27"/>
      <c r="Z972" s="27"/>
      <c r="AA972" s="27"/>
      <c r="AB972" s="27"/>
      <c r="AC972" s="27"/>
      <c r="AD972" s="27"/>
      <c r="AF972" s="8"/>
      <c r="AG972" s="27"/>
      <c r="AH972" s="14">
        <f>+'Pegar ML'!Y968</f>
        <v>0</v>
      </c>
      <c r="AI972" s="13">
        <f t="shared" si="46"/>
        <v>1</v>
      </c>
      <c r="AJ972" s="7">
        <f>+'Pegar ML'!T968</f>
        <v>0</v>
      </c>
      <c r="AK972" s="27"/>
      <c r="AL972" s="27"/>
      <c r="AM972" s="27"/>
      <c r="AN972" s="27"/>
      <c r="AO972" s="27"/>
      <c r="AP972" s="27"/>
      <c r="AQ972" s="27"/>
      <c r="AR972" s="27"/>
      <c r="AS972" s="27">
        <v>17</v>
      </c>
    </row>
    <row r="973" spans="1:45" ht="15" customHeight="1" x14ac:dyDescent="0.25">
      <c r="A973" s="27">
        <f>IF('Pegar ML'!C968="Paquete de 2 productos",'Pegar ML'!A968,IF('Pegar ML'!C967="Paquete de 2 productos",'Pegar ML'!A967,'Pegar ML'!A969))</f>
        <v>0</v>
      </c>
      <c r="B973" s="27"/>
      <c r="C973" s="30" t="str">
        <f>IF(AjusteFecha!I969=0,"",AjusteFecha!I969)</f>
        <v/>
      </c>
      <c r="D973" s="27"/>
      <c r="E973" s="27"/>
      <c r="F973" s="27" t="str">
        <f>IF('Pegar ML'!C969="","",'Pegar ML'!C969)</f>
        <v/>
      </c>
      <c r="G973" s="27" t="str">
        <f>IF('Pegar ML'!G964="ARS","PS","PS")</f>
        <v>PS</v>
      </c>
      <c r="H973" s="14">
        <f>IF('Pegar ML'!C968="Paquete de 2 productos",IF('Pegar ML'!H968="",0,'Pegar ML'!H968),IF('Pegar ML'!H969="",0,'Pegar ML'!H969))</f>
        <v>0</v>
      </c>
      <c r="I973" s="14">
        <f>IF('Pegar ML'!C968="Paquete de 2 productos",IF('Pegar ML'!O968="",0,'Pegar ML'!O968),IF('Pegar ML'!O969="",0,'Pegar ML'!O969))</f>
        <v>0</v>
      </c>
      <c r="J973" s="14">
        <f>IF('Pegar ML'!C968="Paquete de 2 productos",IF('Pegar ML'!O968="",0,'Pegar ML'!O968),IF('Pegar ML'!O969="",0,'Pegar ML'!O969))</f>
        <v>0</v>
      </c>
      <c r="K973" s="14">
        <f t="shared" si="47"/>
        <v>0</v>
      </c>
      <c r="L973" s="27">
        <f>IF('Pegar ML'!AB969=" ",'Pegar ML'!AB968,'Pegar ML'!AB969)</f>
        <v>0</v>
      </c>
      <c r="M973" s="27" t="str">
        <f>IF('Pegar ML'!AC969=" ",RIGHT('Pegar ML'!AC968,8),RIGHT('Pegar ML'!AC969,8))</f>
        <v/>
      </c>
      <c r="N973" s="27" t="s">
        <v>80</v>
      </c>
      <c r="O973" s="27">
        <f t="shared" si="45"/>
        <v>0</v>
      </c>
      <c r="P973" s="27" t="s">
        <v>80</v>
      </c>
      <c r="Q973" s="55">
        <f>IF('Pegar ML'!AD969=" ",'Pegar ML'!AD968,'Pegar ML'!AD969)</f>
        <v>0</v>
      </c>
      <c r="R973" s="27" t="s">
        <v>80</v>
      </c>
      <c r="S973" s="27" t="s">
        <v>80</v>
      </c>
      <c r="T973" s="27" t="s">
        <v>80</v>
      </c>
      <c r="U973" s="55">
        <f>IF('Pegar ML'!AI969=" ",'Pegar ML'!AI968,'Pegar ML'!AI969)</f>
        <v>0</v>
      </c>
      <c r="V973" s="55">
        <f>IF('Pegar ML'!AK969=" ",'Pegar ML'!AK968,'Pegar ML'!AK969)</f>
        <v>0</v>
      </c>
      <c r="W973" s="55">
        <f>IF('Pegar ML'!AJ969=" ",'Pegar ML'!AJ968,'Pegar ML'!AJ969)</f>
        <v>0</v>
      </c>
      <c r="X973" s="55">
        <f>IF('Pegar ML'!AL969=" ",'Pegar ML'!AL968,'Pegar ML'!AL969)</f>
        <v>0</v>
      </c>
      <c r="Y973" s="27"/>
      <c r="Z973" s="27"/>
      <c r="AA973" s="27"/>
      <c r="AB973" s="27"/>
      <c r="AC973" s="27"/>
      <c r="AD973" s="27"/>
      <c r="AF973" s="8"/>
      <c r="AG973" s="27"/>
      <c r="AH973" s="14">
        <f>+'Pegar ML'!Y969</f>
        <v>0</v>
      </c>
      <c r="AI973" s="13">
        <f t="shared" si="46"/>
        <v>1</v>
      </c>
      <c r="AJ973" s="7">
        <f>+'Pegar ML'!T969</f>
        <v>0</v>
      </c>
      <c r="AK973" s="27"/>
      <c r="AL973" s="27"/>
      <c r="AM973" s="27"/>
      <c r="AN973" s="27"/>
      <c r="AO973" s="27"/>
      <c r="AP973" s="27"/>
      <c r="AQ973" s="27"/>
      <c r="AR973" s="27"/>
      <c r="AS973" s="27">
        <v>17</v>
      </c>
    </row>
    <row r="974" spans="1:45" ht="15" customHeight="1" x14ac:dyDescent="0.25">
      <c r="A974" s="27">
        <f>IF('Pegar ML'!C969="Paquete de 2 productos",'Pegar ML'!A969,IF('Pegar ML'!C968="Paquete de 2 productos",'Pegar ML'!A968,'Pegar ML'!A970))</f>
        <v>0</v>
      </c>
      <c r="B974" s="27"/>
      <c r="C974" s="30" t="str">
        <f>IF(AjusteFecha!I970=0,"",AjusteFecha!I970)</f>
        <v/>
      </c>
      <c r="D974" s="27"/>
      <c r="E974" s="27"/>
      <c r="F974" s="27" t="str">
        <f>IF('Pegar ML'!C970="","",'Pegar ML'!C970)</f>
        <v/>
      </c>
      <c r="G974" s="27" t="str">
        <f>IF('Pegar ML'!G965="ARS","PS","PS")</f>
        <v>PS</v>
      </c>
      <c r="H974" s="14">
        <f>IF('Pegar ML'!C969="Paquete de 2 productos",IF('Pegar ML'!H969="",0,'Pegar ML'!H969),IF('Pegar ML'!H970="",0,'Pegar ML'!H970))</f>
        <v>0</v>
      </c>
      <c r="I974" s="14">
        <f>IF('Pegar ML'!C969="Paquete de 2 productos",IF('Pegar ML'!O969="",0,'Pegar ML'!O969),IF('Pegar ML'!O970="",0,'Pegar ML'!O970))</f>
        <v>0</v>
      </c>
      <c r="J974" s="14">
        <f>IF('Pegar ML'!C969="Paquete de 2 productos",IF('Pegar ML'!O969="",0,'Pegar ML'!O969),IF('Pegar ML'!O970="",0,'Pegar ML'!O970))</f>
        <v>0</v>
      </c>
      <c r="K974" s="14">
        <f t="shared" si="47"/>
        <v>0</v>
      </c>
      <c r="L974" s="27">
        <f>IF('Pegar ML'!AB970=" ",'Pegar ML'!AB969,'Pegar ML'!AB970)</f>
        <v>0</v>
      </c>
      <c r="M974" s="27" t="str">
        <f>IF('Pegar ML'!AC970=" ",RIGHT('Pegar ML'!AC969,8),RIGHT('Pegar ML'!AC970,8))</f>
        <v/>
      </c>
      <c r="N974" s="27" t="s">
        <v>80</v>
      </c>
      <c r="O974" s="27">
        <f t="shared" si="45"/>
        <v>0</v>
      </c>
      <c r="P974" s="27" t="s">
        <v>80</v>
      </c>
      <c r="Q974" s="55">
        <f>IF('Pegar ML'!AD970=" ",'Pegar ML'!AD969,'Pegar ML'!AD970)</f>
        <v>0</v>
      </c>
      <c r="R974" s="27" t="s">
        <v>80</v>
      </c>
      <c r="S974" s="27" t="s">
        <v>80</v>
      </c>
      <c r="T974" s="27" t="s">
        <v>80</v>
      </c>
      <c r="U974" s="55">
        <f>IF('Pegar ML'!AI970=" ",'Pegar ML'!AI969,'Pegar ML'!AI970)</f>
        <v>0</v>
      </c>
      <c r="V974" s="55">
        <f>IF('Pegar ML'!AK970=" ",'Pegar ML'!AK969,'Pegar ML'!AK970)</f>
        <v>0</v>
      </c>
      <c r="W974" s="55">
        <f>IF('Pegar ML'!AJ970=" ",'Pegar ML'!AJ969,'Pegar ML'!AJ970)</f>
        <v>0</v>
      </c>
      <c r="X974" s="55">
        <f>IF('Pegar ML'!AL970=" ",'Pegar ML'!AL969,'Pegar ML'!AL970)</f>
        <v>0</v>
      </c>
      <c r="Y974" s="27"/>
      <c r="Z974" s="27"/>
      <c r="AA974" s="27"/>
      <c r="AB974" s="27"/>
      <c r="AC974" s="27"/>
      <c r="AD974" s="27"/>
      <c r="AF974" s="8"/>
      <c r="AG974" s="27"/>
      <c r="AH974" s="14">
        <f>+'Pegar ML'!Y970</f>
        <v>0</v>
      </c>
      <c r="AI974" s="13">
        <f t="shared" si="46"/>
        <v>1</v>
      </c>
      <c r="AJ974" s="7">
        <f>+'Pegar ML'!T970</f>
        <v>0</v>
      </c>
      <c r="AK974" s="27"/>
      <c r="AL974" s="27"/>
      <c r="AM974" s="27"/>
      <c r="AN974" s="27"/>
      <c r="AO974" s="27"/>
      <c r="AP974" s="27"/>
      <c r="AQ974" s="27"/>
      <c r="AR974" s="27"/>
      <c r="AS974" s="27">
        <v>17</v>
      </c>
    </row>
    <row r="975" spans="1:45" ht="15" customHeight="1" x14ac:dyDescent="0.25">
      <c r="A975" s="27">
        <f>IF('Pegar ML'!C970="Paquete de 2 productos",'Pegar ML'!A970,IF('Pegar ML'!C969="Paquete de 2 productos",'Pegar ML'!A969,'Pegar ML'!A971))</f>
        <v>0</v>
      </c>
      <c r="B975" s="27"/>
      <c r="C975" s="30" t="str">
        <f>IF(AjusteFecha!I971=0,"",AjusteFecha!I971)</f>
        <v/>
      </c>
      <c r="D975" s="27"/>
      <c r="E975" s="27"/>
      <c r="F975" s="27" t="str">
        <f>IF('Pegar ML'!C971="","",'Pegar ML'!C971)</f>
        <v/>
      </c>
      <c r="G975" s="27" t="str">
        <f>IF('Pegar ML'!G966="ARS","PS","PS")</f>
        <v>PS</v>
      </c>
      <c r="H975" s="14">
        <f>IF('Pegar ML'!C970="Paquete de 2 productos",IF('Pegar ML'!H970="",0,'Pegar ML'!H970),IF('Pegar ML'!H971="",0,'Pegar ML'!H971))</f>
        <v>0</v>
      </c>
      <c r="I975" s="14">
        <f>IF('Pegar ML'!C970="Paquete de 2 productos",IF('Pegar ML'!O970="",0,'Pegar ML'!O970),IF('Pegar ML'!O971="",0,'Pegar ML'!O971))</f>
        <v>0</v>
      </c>
      <c r="J975" s="14">
        <f>IF('Pegar ML'!C970="Paquete de 2 productos",IF('Pegar ML'!O970="",0,'Pegar ML'!O970),IF('Pegar ML'!O971="",0,'Pegar ML'!O971))</f>
        <v>0</v>
      </c>
      <c r="K975" s="14">
        <f t="shared" si="47"/>
        <v>0</v>
      </c>
      <c r="L975" s="27">
        <f>IF('Pegar ML'!AB971=" ",'Pegar ML'!AB970,'Pegar ML'!AB971)</f>
        <v>0</v>
      </c>
      <c r="M975" s="27" t="str">
        <f>IF('Pegar ML'!AC971=" ",RIGHT('Pegar ML'!AC970,8),RIGHT('Pegar ML'!AC971,8))</f>
        <v/>
      </c>
      <c r="N975" s="27" t="s">
        <v>80</v>
      </c>
      <c r="O975" s="27">
        <f t="shared" si="45"/>
        <v>0</v>
      </c>
      <c r="P975" s="27" t="s">
        <v>80</v>
      </c>
      <c r="Q975" s="55">
        <f>IF('Pegar ML'!AD971=" ",'Pegar ML'!AD970,'Pegar ML'!AD971)</f>
        <v>0</v>
      </c>
      <c r="R975" s="27" t="s">
        <v>80</v>
      </c>
      <c r="S975" s="27" t="s">
        <v>80</v>
      </c>
      <c r="T975" s="27" t="s">
        <v>80</v>
      </c>
      <c r="U975" s="55">
        <f>IF('Pegar ML'!AI971=" ",'Pegar ML'!AI970,'Pegar ML'!AI971)</f>
        <v>0</v>
      </c>
      <c r="V975" s="55">
        <f>IF('Pegar ML'!AK971=" ",'Pegar ML'!AK970,'Pegar ML'!AK971)</f>
        <v>0</v>
      </c>
      <c r="W975" s="55">
        <f>IF('Pegar ML'!AJ971=" ",'Pegar ML'!AJ970,'Pegar ML'!AJ971)</f>
        <v>0</v>
      </c>
      <c r="X975" s="55">
        <f>IF('Pegar ML'!AL971=" ",'Pegar ML'!AL970,'Pegar ML'!AL971)</f>
        <v>0</v>
      </c>
      <c r="Y975" s="27"/>
      <c r="Z975" s="27"/>
      <c r="AA975" s="27"/>
      <c r="AB975" s="27"/>
      <c r="AC975" s="27"/>
      <c r="AD975" s="27"/>
      <c r="AF975" s="8"/>
      <c r="AG975" s="27"/>
      <c r="AH975" s="14">
        <f>+'Pegar ML'!Y971</f>
        <v>0</v>
      </c>
      <c r="AI975" s="13">
        <f t="shared" si="46"/>
        <v>1</v>
      </c>
      <c r="AJ975" s="7">
        <f>+'Pegar ML'!T971</f>
        <v>0</v>
      </c>
      <c r="AK975" s="27"/>
      <c r="AL975" s="27"/>
      <c r="AM975" s="27"/>
      <c r="AN975" s="27"/>
      <c r="AO975" s="27"/>
      <c r="AP975" s="27"/>
      <c r="AQ975" s="27"/>
      <c r="AR975" s="27"/>
      <c r="AS975" s="27">
        <v>17</v>
      </c>
    </row>
    <row r="976" spans="1:45" ht="15" customHeight="1" x14ac:dyDescent="0.25">
      <c r="A976" s="27">
        <f>IF('Pegar ML'!C971="Paquete de 2 productos",'Pegar ML'!A971,IF('Pegar ML'!C970="Paquete de 2 productos",'Pegar ML'!A970,'Pegar ML'!A972))</f>
        <v>0</v>
      </c>
      <c r="B976" s="27"/>
      <c r="C976" s="30" t="str">
        <f>IF(AjusteFecha!I972=0,"",AjusteFecha!I972)</f>
        <v/>
      </c>
      <c r="D976" s="27"/>
      <c r="E976" s="27"/>
      <c r="F976" s="27" t="str">
        <f>IF('Pegar ML'!C972="","",'Pegar ML'!C972)</f>
        <v/>
      </c>
      <c r="G976" s="27" t="str">
        <f>IF('Pegar ML'!G967="ARS","PS","PS")</f>
        <v>PS</v>
      </c>
      <c r="H976" s="14">
        <f>IF('Pegar ML'!C971="Paquete de 2 productos",IF('Pegar ML'!H971="",0,'Pegar ML'!H971),IF('Pegar ML'!H972="",0,'Pegar ML'!H972))</f>
        <v>0</v>
      </c>
      <c r="I976" s="14">
        <f>IF('Pegar ML'!C971="Paquete de 2 productos",IF('Pegar ML'!O971="",0,'Pegar ML'!O971),IF('Pegar ML'!O972="",0,'Pegar ML'!O972))</f>
        <v>0</v>
      </c>
      <c r="J976" s="14">
        <f>IF('Pegar ML'!C971="Paquete de 2 productos",IF('Pegar ML'!O971="",0,'Pegar ML'!O971),IF('Pegar ML'!O972="",0,'Pegar ML'!O972))</f>
        <v>0</v>
      </c>
      <c r="K976" s="14">
        <f t="shared" si="47"/>
        <v>0</v>
      </c>
      <c r="L976" s="27">
        <f>IF('Pegar ML'!AB972=" ",'Pegar ML'!AB971,'Pegar ML'!AB972)</f>
        <v>0</v>
      </c>
      <c r="M976" s="27" t="str">
        <f>IF('Pegar ML'!AC972=" ",RIGHT('Pegar ML'!AC971,8),RIGHT('Pegar ML'!AC972,8))</f>
        <v/>
      </c>
      <c r="N976" s="27" t="s">
        <v>80</v>
      </c>
      <c r="O976" s="27">
        <f t="shared" si="45"/>
        <v>0</v>
      </c>
      <c r="P976" s="27" t="s">
        <v>80</v>
      </c>
      <c r="Q976" s="55">
        <f>IF('Pegar ML'!AD972=" ",'Pegar ML'!AD971,'Pegar ML'!AD972)</f>
        <v>0</v>
      </c>
      <c r="R976" s="27" t="s">
        <v>80</v>
      </c>
      <c r="S976" s="27" t="s">
        <v>80</v>
      </c>
      <c r="T976" s="27" t="s">
        <v>80</v>
      </c>
      <c r="U976" s="55">
        <f>IF('Pegar ML'!AI972=" ",'Pegar ML'!AI971,'Pegar ML'!AI972)</f>
        <v>0</v>
      </c>
      <c r="V976" s="55">
        <f>IF('Pegar ML'!AK972=" ",'Pegar ML'!AK971,'Pegar ML'!AK972)</f>
        <v>0</v>
      </c>
      <c r="W976" s="55">
        <f>IF('Pegar ML'!AJ972=" ",'Pegar ML'!AJ971,'Pegar ML'!AJ972)</f>
        <v>0</v>
      </c>
      <c r="X976" s="55">
        <f>IF('Pegar ML'!AL972=" ",'Pegar ML'!AL971,'Pegar ML'!AL972)</f>
        <v>0</v>
      </c>
      <c r="Y976" s="27"/>
      <c r="Z976" s="27"/>
      <c r="AA976" s="27"/>
      <c r="AB976" s="27"/>
      <c r="AC976" s="27"/>
      <c r="AD976" s="27"/>
      <c r="AF976" s="8"/>
      <c r="AG976" s="27"/>
      <c r="AH976" s="14">
        <f>+'Pegar ML'!Y972</f>
        <v>0</v>
      </c>
      <c r="AI976" s="13">
        <f t="shared" si="46"/>
        <v>1</v>
      </c>
      <c r="AJ976" s="7">
        <f>+'Pegar ML'!T972</f>
        <v>0</v>
      </c>
      <c r="AK976" s="27"/>
      <c r="AL976" s="27"/>
      <c r="AM976" s="27"/>
      <c r="AN976" s="27"/>
      <c r="AO976" s="27"/>
      <c r="AP976" s="27"/>
      <c r="AQ976" s="27"/>
      <c r="AR976" s="27"/>
      <c r="AS976" s="27">
        <v>17</v>
      </c>
    </row>
    <row r="977" spans="1:45" ht="15" customHeight="1" x14ac:dyDescent="0.25">
      <c r="A977" s="27">
        <f>IF('Pegar ML'!C972="Paquete de 2 productos",'Pegar ML'!A972,IF('Pegar ML'!C971="Paquete de 2 productos",'Pegar ML'!A971,'Pegar ML'!A973))</f>
        <v>0</v>
      </c>
      <c r="B977" s="27"/>
      <c r="C977" s="30" t="str">
        <f>IF(AjusteFecha!I973=0,"",AjusteFecha!I973)</f>
        <v/>
      </c>
      <c r="D977" s="27"/>
      <c r="E977" s="27"/>
      <c r="F977" s="27" t="str">
        <f>IF('Pegar ML'!C973="","",'Pegar ML'!C973)</f>
        <v/>
      </c>
      <c r="G977" s="27" t="str">
        <f>IF('Pegar ML'!G968="ARS","PS","PS")</f>
        <v>PS</v>
      </c>
      <c r="H977" s="14">
        <f>IF('Pegar ML'!C972="Paquete de 2 productos",IF('Pegar ML'!H972="",0,'Pegar ML'!H972),IF('Pegar ML'!H973="",0,'Pegar ML'!H973))</f>
        <v>0</v>
      </c>
      <c r="I977" s="14">
        <f>IF('Pegar ML'!C972="Paquete de 2 productos",IF('Pegar ML'!O972="",0,'Pegar ML'!O972),IF('Pegar ML'!O973="",0,'Pegar ML'!O973))</f>
        <v>0</v>
      </c>
      <c r="J977" s="14">
        <f>IF('Pegar ML'!C972="Paquete de 2 productos",IF('Pegar ML'!O972="",0,'Pegar ML'!O972),IF('Pegar ML'!O973="",0,'Pegar ML'!O973))</f>
        <v>0</v>
      </c>
      <c r="K977" s="14">
        <f t="shared" si="47"/>
        <v>0</v>
      </c>
      <c r="L977" s="27">
        <f>IF('Pegar ML'!AB973=" ",'Pegar ML'!AB972,'Pegar ML'!AB973)</f>
        <v>0</v>
      </c>
      <c r="M977" s="27" t="str">
        <f>IF('Pegar ML'!AC973=" ",RIGHT('Pegar ML'!AC972,8),RIGHT('Pegar ML'!AC973,8))</f>
        <v/>
      </c>
      <c r="N977" s="27" t="s">
        <v>80</v>
      </c>
      <c r="O977" s="27">
        <f t="shared" si="45"/>
        <v>0</v>
      </c>
      <c r="P977" s="27" t="s">
        <v>80</v>
      </c>
      <c r="Q977" s="55">
        <f>IF('Pegar ML'!AD973=" ",'Pegar ML'!AD972,'Pegar ML'!AD973)</f>
        <v>0</v>
      </c>
      <c r="R977" s="27" t="s">
        <v>80</v>
      </c>
      <c r="S977" s="27" t="s">
        <v>80</v>
      </c>
      <c r="T977" s="27" t="s">
        <v>80</v>
      </c>
      <c r="U977" s="55">
        <f>IF('Pegar ML'!AI973=" ",'Pegar ML'!AI972,'Pegar ML'!AI973)</f>
        <v>0</v>
      </c>
      <c r="V977" s="55">
        <f>IF('Pegar ML'!AK973=" ",'Pegar ML'!AK972,'Pegar ML'!AK973)</f>
        <v>0</v>
      </c>
      <c r="W977" s="55">
        <f>IF('Pegar ML'!AJ973=" ",'Pegar ML'!AJ972,'Pegar ML'!AJ973)</f>
        <v>0</v>
      </c>
      <c r="X977" s="55">
        <f>IF('Pegar ML'!AL973=" ",'Pegar ML'!AL972,'Pegar ML'!AL973)</f>
        <v>0</v>
      </c>
      <c r="Y977" s="27"/>
      <c r="Z977" s="27"/>
      <c r="AA977" s="27"/>
      <c r="AB977" s="27"/>
      <c r="AC977" s="27"/>
      <c r="AD977" s="27"/>
      <c r="AF977" s="8"/>
      <c r="AG977" s="27"/>
      <c r="AH977" s="14">
        <f>+'Pegar ML'!Y973</f>
        <v>0</v>
      </c>
      <c r="AI977" s="13">
        <f t="shared" si="46"/>
        <v>1</v>
      </c>
      <c r="AJ977" s="7">
        <f>+'Pegar ML'!T973</f>
        <v>0</v>
      </c>
      <c r="AK977" s="27"/>
      <c r="AL977" s="27"/>
      <c r="AM977" s="27"/>
      <c r="AN977" s="27"/>
      <c r="AO977" s="27"/>
      <c r="AP977" s="27"/>
      <c r="AQ977" s="27"/>
      <c r="AR977" s="27"/>
      <c r="AS977" s="27">
        <v>17</v>
      </c>
    </row>
    <row r="978" spans="1:45" ht="15" customHeight="1" x14ac:dyDescent="0.25">
      <c r="A978" s="27">
        <f>IF('Pegar ML'!C973="Paquete de 2 productos",'Pegar ML'!A973,IF('Pegar ML'!C972="Paquete de 2 productos",'Pegar ML'!A972,'Pegar ML'!A974))</f>
        <v>0</v>
      </c>
      <c r="B978" s="27"/>
      <c r="C978" s="30" t="str">
        <f>IF(AjusteFecha!I974=0,"",AjusteFecha!I974)</f>
        <v/>
      </c>
      <c r="D978" s="27"/>
      <c r="E978" s="27"/>
      <c r="F978" s="27" t="str">
        <f>IF('Pegar ML'!C974="","",'Pegar ML'!C974)</f>
        <v/>
      </c>
      <c r="G978" s="27" t="str">
        <f>IF('Pegar ML'!G969="ARS","PS","PS")</f>
        <v>PS</v>
      </c>
      <c r="H978" s="14">
        <f>IF('Pegar ML'!C973="Paquete de 2 productos",IF('Pegar ML'!H973="",0,'Pegar ML'!H973),IF('Pegar ML'!H974="",0,'Pegar ML'!H974))</f>
        <v>0</v>
      </c>
      <c r="I978" s="14">
        <f>IF('Pegar ML'!C973="Paquete de 2 productos",IF('Pegar ML'!O973="",0,'Pegar ML'!O973),IF('Pegar ML'!O974="",0,'Pegar ML'!O974))</f>
        <v>0</v>
      </c>
      <c r="J978" s="14">
        <f>IF('Pegar ML'!C973="Paquete de 2 productos",IF('Pegar ML'!O973="",0,'Pegar ML'!O973),IF('Pegar ML'!O974="",0,'Pegar ML'!O974))</f>
        <v>0</v>
      </c>
      <c r="K978" s="14">
        <f t="shared" si="47"/>
        <v>0</v>
      </c>
      <c r="L978" s="27">
        <f>IF('Pegar ML'!AB974=" ",'Pegar ML'!AB973,'Pegar ML'!AB974)</f>
        <v>0</v>
      </c>
      <c r="M978" s="27" t="str">
        <f>IF('Pegar ML'!AC974=" ",RIGHT('Pegar ML'!AC973,8),RIGHT('Pegar ML'!AC974,8))</f>
        <v/>
      </c>
      <c r="N978" s="27" t="s">
        <v>80</v>
      </c>
      <c r="O978" s="27">
        <f t="shared" si="45"/>
        <v>0</v>
      </c>
      <c r="P978" s="27" t="s">
        <v>80</v>
      </c>
      <c r="Q978" s="55">
        <f>IF('Pegar ML'!AD974=" ",'Pegar ML'!AD973,'Pegar ML'!AD974)</f>
        <v>0</v>
      </c>
      <c r="R978" s="27" t="s">
        <v>80</v>
      </c>
      <c r="S978" s="27" t="s">
        <v>80</v>
      </c>
      <c r="T978" s="27" t="s">
        <v>80</v>
      </c>
      <c r="U978" s="55">
        <f>IF('Pegar ML'!AI974=" ",'Pegar ML'!AI973,'Pegar ML'!AI974)</f>
        <v>0</v>
      </c>
      <c r="V978" s="55">
        <f>IF('Pegar ML'!AK974=" ",'Pegar ML'!AK973,'Pegar ML'!AK974)</f>
        <v>0</v>
      </c>
      <c r="W978" s="55">
        <f>IF('Pegar ML'!AJ974=" ",'Pegar ML'!AJ973,'Pegar ML'!AJ974)</f>
        <v>0</v>
      </c>
      <c r="X978" s="55">
        <f>IF('Pegar ML'!AL974=" ",'Pegar ML'!AL973,'Pegar ML'!AL974)</f>
        <v>0</v>
      </c>
      <c r="Y978" s="27"/>
      <c r="Z978" s="27"/>
      <c r="AA978" s="27"/>
      <c r="AB978" s="27"/>
      <c r="AC978" s="27"/>
      <c r="AD978" s="27"/>
      <c r="AF978" s="8"/>
      <c r="AG978" s="27"/>
      <c r="AH978" s="14">
        <f>+'Pegar ML'!Y974</f>
        <v>0</v>
      </c>
      <c r="AI978" s="13">
        <f t="shared" si="46"/>
        <v>1</v>
      </c>
      <c r="AJ978" s="7">
        <f>+'Pegar ML'!T974</f>
        <v>0</v>
      </c>
      <c r="AK978" s="27"/>
      <c r="AL978" s="27"/>
      <c r="AM978" s="27"/>
      <c r="AN978" s="27"/>
      <c r="AO978" s="27"/>
      <c r="AP978" s="27"/>
      <c r="AQ978" s="27"/>
      <c r="AR978" s="27"/>
      <c r="AS978" s="27">
        <v>17</v>
      </c>
    </row>
    <row r="979" spans="1:45" ht="15" customHeight="1" x14ac:dyDescent="0.25">
      <c r="A979" s="27">
        <f>IF('Pegar ML'!C974="Paquete de 2 productos",'Pegar ML'!A974,IF('Pegar ML'!C973="Paquete de 2 productos",'Pegar ML'!A973,'Pegar ML'!A975))</f>
        <v>0</v>
      </c>
      <c r="B979" s="27"/>
      <c r="C979" s="30" t="str">
        <f>IF(AjusteFecha!I975=0,"",AjusteFecha!I975)</f>
        <v/>
      </c>
      <c r="D979" s="27"/>
      <c r="E979" s="27"/>
      <c r="F979" s="27" t="str">
        <f>IF('Pegar ML'!C975="","",'Pegar ML'!C975)</f>
        <v/>
      </c>
      <c r="G979" s="27" t="str">
        <f>IF('Pegar ML'!G970="ARS","PS","PS")</f>
        <v>PS</v>
      </c>
      <c r="H979" s="14">
        <f>IF('Pegar ML'!C974="Paquete de 2 productos",IF('Pegar ML'!H974="",0,'Pegar ML'!H974),IF('Pegar ML'!H975="",0,'Pegar ML'!H975))</f>
        <v>0</v>
      </c>
      <c r="I979" s="14">
        <f>IF('Pegar ML'!C974="Paquete de 2 productos",IF('Pegar ML'!O974="",0,'Pegar ML'!O974),IF('Pegar ML'!O975="",0,'Pegar ML'!O975))</f>
        <v>0</v>
      </c>
      <c r="J979" s="14">
        <f>IF('Pegar ML'!C974="Paquete de 2 productos",IF('Pegar ML'!O974="",0,'Pegar ML'!O974),IF('Pegar ML'!O975="",0,'Pegar ML'!O975))</f>
        <v>0</v>
      </c>
      <c r="K979" s="14">
        <f t="shared" si="47"/>
        <v>0</v>
      </c>
      <c r="L979" s="27">
        <f>IF('Pegar ML'!AB975=" ",'Pegar ML'!AB974,'Pegar ML'!AB975)</f>
        <v>0</v>
      </c>
      <c r="M979" s="27" t="str">
        <f>IF('Pegar ML'!AC975=" ",RIGHT('Pegar ML'!AC974,8),RIGHT('Pegar ML'!AC975,8))</f>
        <v/>
      </c>
      <c r="N979" s="27" t="s">
        <v>80</v>
      </c>
      <c r="O979" s="27">
        <f t="shared" si="45"/>
        <v>0</v>
      </c>
      <c r="P979" s="27" t="s">
        <v>80</v>
      </c>
      <c r="Q979" s="55">
        <f>IF('Pegar ML'!AD975=" ",'Pegar ML'!AD974,'Pegar ML'!AD975)</f>
        <v>0</v>
      </c>
      <c r="R979" s="27" t="s">
        <v>80</v>
      </c>
      <c r="S979" s="27" t="s">
        <v>80</v>
      </c>
      <c r="T979" s="27" t="s">
        <v>80</v>
      </c>
      <c r="U979" s="55">
        <f>IF('Pegar ML'!AI975=" ",'Pegar ML'!AI974,'Pegar ML'!AI975)</f>
        <v>0</v>
      </c>
      <c r="V979" s="55">
        <f>IF('Pegar ML'!AK975=" ",'Pegar ML'!AK974,'Pegar ML'!AK975)</f>
        <v>0</v>
      </c>
      <c r="W979" s="55">
        <f>IF('Pegar ML'!AJ975=" ",'Pegar ML'!AJ974,'Pegar ML'!AJ975)</f>
        <v>0</v>
      </c>
      <c r="X979" s="55">
        <f>IF('Pegar ML'!AL975=" ",'Pegar ML'!AL974,'Pegar ML'!AL975)</f>
        <v>0</v>
      </c>
      <c r="Y979" s="27"/>
      <c r="Z979" s="27"/>
      <c r="AA979" s="27"/>
      <c r="AB979" s="27"/>
      <c r="AC979" s="27"/>
      <c r="AD979" s="27"/>
      <c r="AF979" s="8"/>
      <c r="AG979" s="27"/>
      <c r="AH979" s="14">
        <f>+'Pegar ML'!Y975</f>
        <v>0</v>
      </c>
      <c r="AI979" s="13">
        <f t="shared" si="46"/>
        <v>1</v>
      </c>
      <c r="AJ979" s="7">
        <f>+'Pegar ML'!T975</f>
        <v>0</v>
      </c>
      <c r="AK979" s="27"/>
      <c r="AL979" s="27"/>
      <c r="AM979" s="27"/>
      <c r="AN979" s="27"/>
      <c r="AO979" s="27"/>
      <c r="AP979" s="27"/>
      <c r="AQ979" s="27"/>
      <c r="AR979" s="27"/>
      <c r="AS979" s="27">
        <v>17</v>
      </c>
    </row>
    <row r="980" spans="1:45" ht="15" customHeight="1" x14ac:dyDescent="0.25">
      <c r="A980" s="27">
        <f>IF('Pegar ML'!C975="Paquete de 2 productos",'Pegar ML'!A975,IF('Pegar ML'!C974="Paquete de 2 productos",'Pegar ML'!A974,'Pegar ML'!A976))</f>
        <v>0</v>
      </c>
      <c r="B980" s="27"/>
      <c r="C980" s="30" t="str">
        <f>IF(AjusteFecha!I976=0,"",AjusteFecha!I976)</f>
        <v/>
      </c>
      <c r="D980" s="27"/>
      <c r="E980" s="27"/>
      <c r="F980" s="27" t="str">
        <f>IF('Pegar ML'!C976="","",'Pegar ML'!C976)</f>
        <v/>
      </c>
      <c r="G980" s="27" t="str">
        <f>IF('Pegar ML'!G971="ARS","PS","PS")</f>
        <v>PS</v>
      </c>
      <c r="H980" s="14">
        <f>IF('Pegar ML'!C975="Paquete de 2 productos",IF('Pegar ML'!H975="",0,'Pegar ML'!H975),IF('Pegar ML'!H976="",0,'Pegar ML'!H976))</f>
        <v>0</v>
      </c>
      <c r="I980" s="14">
        <f>IF('Pegar ML'!C975="Paquete de 2 productos",IF('Pegar ML'!O975="",0,'Pegar ML'!O975),IF('Pegar ML'!O976="",0,'Pegar ML'!O976))</f>
        <v>0</v>
      </c>
      <c r="J980" s="14">
        <f>IF('Pegar ML'!C975="Paquete de 2 productos",IF('Pegar ML'!O975="",0,'Pegar ML'!O975),IF('Pegar ML'!O976="",0,'Pegar ML'!O976))</f>
        <v>0</v>
      </c>
      <c r="K980" s="14">
        <f t="shared" si="47"/>
        <v>0</v>
      </c>
      <c r="L980" s="27">
        <f>IF('Pegar ML'!AB976=" ",'Pegar ML'!AB975,'Pegar ML'!AB976)</f>
        <v>0</v>
      </c>
      <c r="M980" s="27" t="str">
        <f>IF('Pegar ML'!AC976=" ",RIGHT('Pegar ML'!AC975,8),RIGHT('Pegar ML'!AC976,8))</f>
        <v/>
      </c>
      <c r="N980" s="27" t="s">
        <v>80</v>
      </c>
      <c r="O980" s="27">
        <f t="shared" si="45"/>
        <v>0</v>
      </c>
      <c r="P980" s="27" t="s">
        <v>80</v>
      </c>
      <c r="Q980" s="55">
        <f>IF('Pegar ML'!AD976=" ",'Pegar ML'!AD975,'Pegar ML'!AD976)</f>
        <v>0</v>
      </c>
      <c r="R980" s="27" t="s">
        <v>80</v>
      </c>
      <c r="S980" s="27" t="s">
        <v>80</v>
      </c>
      <c r="T980" s="27" t="s">
        <v>80</v>
      </c>
      <c r="U980" s="55">
        <f>IF('Pegar ML'!AI976=" ",'Pegar ML'!AI975,'Pegar ML'!AI976)</f>
        <v>0</v>
      </c>
      <c r="V980" s="55">
        <f>IF('Pegar ML'!AK976=" ",'Pegar ML'!AK975,'Pegar ML'!AK976)</f>
        <v>0</v>
      </c>
      <c r="W980" s="55">
        <f>IF('Pegar ML'!AJ976=" ",'Pegar ML'!AJ975,'Pegar ML'!AJ976)</f>
        <v>0</v>
      </c>
      <c r="X980" s="55">
        <f>IF('Pegar ML'!AL976=" ",'Pegar ML'!AL975,'Pegar ML'!AL976)</f>
        <v>0</v>
      </c>
      <c r="Y980" s="27"/>
      <c r="Z980" s="27"/>
      <c r="AA980" s="27"/>
      <c r="AB980" s="27"/>
      <c r="AC980" s="27"/>
      <c r="AD980" s="27"/>
      <c r="AF980" s="8"/>
      <c r="AG980" s="27"/>
      <c r="AH980" s="14">
        <f>+'Pegar ML'!Y976</f>
        <v>0</v>
      </c>
      <c r="AI980" s="13">
        <f t="shared" si="46"/>
        <v>1</v>
      </c>
      <c r="AJ980" s="7">
        <f>+'Pegar ML'!T976</f>
        <v>0</v>
      </c>
      <c r="AK980" s="27"/>
      <c r="AL980" s="27"/>
      <c r="AM980" s="27"/>
      <c r="AN980" s="27"/>
      <c r="AO980" s="27"/>
      <c r="AP980" s="27"/>
      <c r="AQ980" s="27"/>
      <c r="AR980" s="27"/>
      <c r="AS980" s="27">
        <v>17</v>
      </c>
    </row>
    <row r="981" spans="1:45" ht="15" customHeight="1" x14ac:dyDescent="0.25">
      <c r="A981" s="27">
        <f>IF('Pegar ML'!C976="Paquete de 2 productos",'Pegar ML'!A976,IF('Pegar ML'!C975="Paquete de 2 productos",'Pegar ML'!A975,'Pegar ML'!A977))</f>
        <v>0</v>
      </c>
      <c r="B981" s="27"/>
      <c r="C981" s="30" t="str">
        <f>IF(AjusteFecha!I977=0,"",AjusteFecha!I977)</f>
        <v/>
      </c>
      <c r="D981" s="27"/>
      <c r="E981" s="27"/>
      <c r="F981" s="27" t="str">
        <f>IF('Pegar ML'!C977="","",'Pegar ML'!C977)</f>
        <v/>
      </c>
      <c r="G981" s="27" t="str">
        <f>IF('Pegar ML'!G972="ARS","PS","PS")</f>
        <v>PS</v>
      </c>
      <c r="H981" s="14">
        <f>IF('Pegar ML'!C976="Paquete de 2 productos",IF('Pegar ML'!H976="",0,'Pegar ML'!H976),IF('Pegar ML'!H977="",0,'Pegar ML'!H977))</f>
        <v>0</v>
      </c>
      <c r="I981" s="14">
        <f>IF('Pegar ML'!C976="Paquete de 2 productos",IF('Pegar ML'!O976="",0,'Pegar ML'!O976),IF('Pegar ML'!O977="",0,'Pegar ML'!O977))</f>
        <v>0</v>
      </c>
      <c r="J981" s="14">
        <f>IF('Pegar ML'!C976="Paquete de 2 productos",IF('Pegar ML'!O976="",0,'Pegar ML'!O976),IF('Pegar ML'!O977="",0,'Pegar ML'!O977))</f>
        <v>0</v>
      </c>
      <c r="K981" s="14">
        <f t="shared" si="47"/>
        <v>0</v>
      </c>
      <c r="L981" s="27">
        <f>IF('Pegar ML'!AB977=" ",'Pegar ML'!AB976,'Pegar ML'!AB977)</f>
        <v>0</v>
      </c>
      <c r="M981" s="27" t="str">
        <f>IF('Pegar ML'!AC977=" ",RIGHT('Pegar ML'!AC976,8),RIGHT('Pegar ML'!AC977,8))</f>
        <v/>
      </c>
      <c r="N981" s="27" t="s">
        <v>80</v>
      </c>
      <c r="O981" s="27">
        <f t="shared" si="45"/>
        <v>0</v>
      </c>
      <c r="P981" s="27" t="s">
        <v>80</v>
      </c>
      <c r="Q981" s="55">
        <f>IF('Pegar ML'!AD977=" ",'Pegar ML'!AD976,'Pegar ML'!AD977)</f>
        <v>0</v>
      </c>
      <c r="R981" s="27" t="s">
        <v>80</v>
      </c>
      <c r="S981" s="27" t="s">
        <v>80</v>
      </c>
      <c r="T981" s="27" t="s">
        <v>80</v>
      </c>
      <c r="U981" s="55">
        <f>IF('Pegar ML'!AI977=" ",'Pegar ML'!AI976,'Pegar ML'!AI977)</f>
        <v>0</v>
      </c>
      <c r="V981" s="55">
        <f>IF('Pegar ML'!AK977=" ",'Pegar ML'!AK976,'Pegar ML'!AK977)</f>
        <v>0</v>
      </c>
      <c r="W981" s="55">
        <f>IF('Pegar ML'!AJ977=" ",'Pegar ML'!AJ976,'Pegar ML'!AJ977)</f>
        <v>0</v>
      </c>
      <c r="X981" s="55">
        <f>IF('Pegar ML'!AL977=" ",'Pegar ML'!AL976,'Pegar ML'!AL977)</f>
        <v>0</v>
      </c>
      <c r="Y981" s="27"/>
      <c r="Z981" s="27"/>
      <c r="AA981" s="27"/>
      <c r="AB981" s="27"/>
      <c r="AC981" s="27"/>
      <c r="AD981" s="27"/>
      <c r="AF981" s="8"/>
      <c r="AG981" s="27"/>
      <c r="AH981" s="14">
        <f>+'Pegar ML'!Y977</f>
        <v>0</v>
      </c>
      <c r="AI981" s="13">
        <f t="shared" si="46"/>
        <v>1</v>
      </c>
      <c r="AJ981" s="7">
        <f>+'Pegar ML'!T977</f>
        <v>0</v>
      </c>
      <c r="AK981" s="27"/>
      <c r="AL981" s="27"/>
      <c r="AM981" s="27"/>
      <c r="AN981" s="27"/>
      <c r="AO981" s="27"/>
      <c r="AP981" s="27"/>
      <c r="AQ981" s="27"/>
      <c r="AR981" s="27"/>
      <c r="AS981" s="27">
        <v>17</v>
      </c>
    </row>
    <row r="982" spans="1:45" ht="15" customHeight="1" x14ac:dyDescent="0.25">
      <c r="A982" s="27">
        <f>IF('Pegar ML'!C977="Paquete de 2 productos",'Pegar ML'!A977,IF('Pegar ML'!C976="Paquete de 2 productos",'Pegar ML'!A976,'Pegar ML'!A978))</f>
        <v>0</v>
      </c>
      <c r="B982" s="27"/>
      <c r="C982" s="30" t="str">
        <f>IF(AjusteFecha!I978=0,"",AjusteFecha!I978)</f>
        <v/>
      </c>
      <c r="D982" s="27"/>
      <c r="E982" s="27"/>
      <c r="F982" s="27" t="str">
        <f>IF('Pegar ML'!C978="","",'Pegar ML'!C978)</f>
        <v/>
      </c>
      <c r="G982" s="27" t="str">
        <f>IF('Pegar ML'!G973="ARS","PS","PS")</f>
        <v>PS</v>
      </c>
      <c r="H982" s="14">
        <f>IF('Pegar ML'!C977="Paquete de 2 productos",IF('Pegar ML'!H977="",0,'Pegar ML'!H977),IF('Pegar ML'!H978="",0,'Pegar ML'!H978))</f>
        <v>0</v>
      </c>
      <c r="I982" s="14">
        <f>IF('Pegar ML'!C977="Paquete de 2 productos",IF('Pegar ML'!O977="",0,'Pegar ML'!O977),IF('Pegar ML'!O978="",0,'Pegar ML'!O978))</f>
        <v>0</v>
      </c>
      <c r="J982" s="14">
        <f>IF('Pegar ML'!C977="Paquete de 2 productos",IF('Pegar ML'!O977="",0,'Pegar ML'!O977),IF('Pegar ML'!O978="",0,'Pegar ML'!O978))</f>
        <v>0</v>
      </c>
      <c r="K982" s="14">
        <f t="shared" si="47"/>
        <v>0</v>
      </c>
      <c r="L982" s="27">
        <f>IF('Pegar ML'!AB978=" ",'Pegar ML'!AB977,'Pegar ML'!AB978)</f>
        <v>0</v>
      </c>
      <c r="M982" s="27" t="str">
        <f>IF('Pegar ML'!AC978=" ",RIGHT('Pegar ML'!AC977,8),RIGHT('Pegar ML'!AC978,8))</f>
        <v/>
      </c>
      <c r="N982" s="27" t="s">
        <v>80</v>
      </c>
      <c r="O982" s="27">
        <f t="shared" si="45"/>
        <v>0</v>
      </c>
      <c r="P982" s="27" t="s">
        <v>80</v>
      </c>
      <c r="Q982" s="55">
        <f>IF('Pegar ML'!AD978=" ",'Pegar ML'!AD977,'Pegar ML'!AD978)</f>
        <v>0</v>
      </c>
      <c r="R982" s="27" t="s">
        <v>80</v>
      </c>
      <c r="S982" s="27" t="s">
        <v>80</v>
      </c>
      <c r="T982" s="27" t="s">
        <v>80</v>
      </c>
      <c r="U982" s="55">
        <f>IF('Pegar ML'!AI978=" ",'Pegar ML'!AI977,'Pegar ML'!AI978)</f>
        <v>0</v>
      </c>
      <c r="V982" s="55">
        <f>IF('Pegar ML'!AK978=" ",'Pegar ML'!AK977,'Pegar ML'!AK978)</f>
        <v>0</v>
      </c>
      <c r="W982" s="55">
        <f>IF('Pegar ML'!AJ978=" ",'Pegar ML'!AJ977,'Pegar ML'!AJ978)</f>
        <v>0</v>
      </c>
      <c r="X982" s="55">
        <f>IF('Pegar ML'!AL978=" ",'Pegar ML'!AL977,'Pegar ML'!AL978)</f>
        <v>0</v>
      </c>
      <c r="Y982" s="27"/>
      <c r="Z982" s="27"/>
      <c r="AA982" s="27"/>
      <c r="AB982" s="27"/>
      <c r="AC982" s="27"/>
      <c r="AD982" s="27"/>
      <c r="AF982" s="8"/>
      <c r="AG982" s="27"/>
      <c r="AH982" s="14">
        <f>+'Pegar ML'!Y978</f>
        <v>0</v>
      </c>
      <c r="AI982" s="13">
        <f t="shared" si="46"/>
        <v>1</v>
      </c>
      <c r="AJ982" s="7">
        <f>+'Pegar ML'!T978</f>
        <v>0</v>
      </c>
      <c r="AK982" s="27"/>
      <c r="AL982" s="27"/>
      <c r="AM982" s="27"/>
      <c r="AN982" s="27"/>
      <c r="AO982" s="27"/>
      <c r="AP982" s="27"/>
      <c r="AQ982" s="27"/>
      <c r="AR982" s="27"/>
      <c r="AS982" s="27">
        <v>17</v>
      </c>
    </row>
    <row r="983" spans="1:45" ht="15" customHeight="1" x14ac:dyDescent="0.25">
      <c r="A983" s="27">
        <f>IF('Pegar ML'!C978="Paquete de 2 productos",'Pegar ML'!A978,IF('Pegar ML'!C977="Paquete de 2 productos",'Pegar ML'!A977,'Pegar ML'!A979))</f>
        <v>0</v>
      </c>
      <c r="B983" s="27"/>
      <c r="C983" s="30" t="str">
        <f>IF(AjusteFecha!I979=0,"",AjusteFecha!I979)</f>
        <v/>
      </c>
      <c r="D983" s="27"/>
      <c r="E983" s="27"/>
      <c r="F983" s="27" t="str">
        <f>IF('Pegar ML'!C979="","",'Pegar ML'!C979)</f>
        <v/>
      </c>
      <c r="G983" s="27" t="str">
        <f>IF('Pegar ML'!G974="ARS","PS","PS")</f>
        <v>PS</v>
      </c>
      <c r="H983" s="14">
        <f>IF('Pegar ML'!C978="Paquete de 2 productos",IF('Pegar ML'!H978="",0,'Pegar ML'!H978),IF('Pegar ML'!H979="",0,'Pegar ML'!H979))</f>
        <v>0</v>
      </c>
      <c r="I983" s="14">
        <f>IF('Pegar ML'!C978="Paquete de 2 productos",IF('Pegar ML'!O978="",0,'Pegar ML'!O978),IF('Pegar ML'!O979="",0,'Pegar ML'!O979))</f>
        <v>0</v>
      </c>
      <c r="J983" s="14">
        <f>IF('Pegar ML'!C978="Paquete de 2 productos",IF('Pegar ML'!O978="",0,'Pegar ML'!O978),IF('Pegar ML'!O979="",0,'Pegar ML'!O979))</f>
        <v>0</v>
      </c>
      <c r="K983" s="14">
        <f t="shared" si="47"/>
        <v>0</v>
      </c>
      <c r="L983" s="27">
        <f>IF('Pegar ML'!AB979=" ",'Pegar ML'!AB978,'Pegar ML'!AB979)</f>
        <v>0</v>
      </c>
      <c r="M983" s="27" t="str">
        <f>IF('Pegar ML'!AC979=" ",RIGHT('Pegar ML'!AC978,8),RIGHT('Pegar ML'!AC979,8))</f>
        <v/>
      </c>
      <c r="N983" s="27" t="s">
        <v>80</v>
      </c>
      <c r="O983" s="27">
        <f t="shared" si="45"/>
        <v>0</v>
      </c>
      <c r="P983" s="27" t="s">
        <v>80</v>
      </c>
      <c r="Q983" s="55">
        <f>IF('Pegar ML'!AD979=" ",'Pegar ML'!AD978,'Pegar ML'!AD979)</f>
        <v>0</v>
      </c>
      <c r="R983" s="27" t="s">
        <v>80</v>
      </c>
      <c r="S983" s="27" t="s">
        <v>80</v>
      </c>
      <c r="T983" s="27" t="s">
        <v>80</v>
      </c>
      <c r="U983" s="55">
        <f>IF('Pegar ML'!AI979=" ",'Pegar ML'!AI978,'Pegar ML'!AI979)</f>
        <v>0</v>
      </c>
      <c r="V983" s="55">
        <f>IF('Pegar ML'!AK979=" ",'Pegar ML'!AK978,'Pegar ML'!AK979)</f>
        <v>0</v>
      </c>
      <c r="W983" s="55">
        <f>IF('Pegar ML'!AJ979=" ",'Pegar ML'!AJ978,'Pegar ML'!AJ979)</f>
        <v>0</v>
      </c>
      <c r="X983" s="55">
        <f>IF('Pegar ML'!AL979=" ",'Pegar ML'!AL978,'Pegar ML'!AL979)</f>
        <v>0</v>
      </c>
      <c r="Y983" s="27"/>
      <c r="Z983" s="27"/>
      <c r="AA983" s="27"/>
      <c r="AB983" s="27"/>
      <c r="AC983" s="27"/>
      <c r="AD983" s="27"/>
      <c r="AF983" s="8"/>
      <c r="AG983" s="27"/>
      <c r="AH983" s="14">
        <f>+'Pegar ML'!Y979</f>
        <v>0</v>
      </c>
      <c r="AI983" s="13">
        <f t="shared" si="46"/>
        <v>1</v>
      </c>
      <c r="AJ983" s="7">
        <f>+'Pegar ML'!T979</f>
        <v>0</v>
      </c>
      <c r="AK983" s="27"/>
      <c r="AL983" s="27"/>
      <c r="AM983" s="27"/>
      <c r="AN983" s="27"/>
      <c r="AO983" s="27"/>
      <c r="AP983" s="27"/>
      <c r="AQ983" s="27"/>
      <c r="AR983" s="27"/>
      <c r="AS983" s="27">
        <v>17</v>
      </c>
    </row>
    <row r="984" spans="1:45" ht="15" customHeight="1" x14ac:dyDescent="0.25">
      <c r="A984" s="27">
        <f>IF('Pegar ML'!C979="Paquete de 2 productos",'Pegar ML'!A979,IF('Pegar ML'!C978="Paquete de 2 productos",'Pegar ML'!A978,'Pegar ML'!A980))</f>
        <v>0</v>
      </c>
      <c r="B984" s="27"/>
      <c r="C984" s="30" t="str">
        <f>IF(AjusteFecha!I980=0,"",AjusteFecha!I980)</f>
        <v/>
      </c>
      <c r="D984" s="27"/>
      <c r="E984" s="27"/>
      <c r="F984" s="27" t="str">
        <f>IF('Pegar ML'!C980="","",'Pegar ML'!C980)</f>
        <v/>
      </c>
      <c r="G984" s="27" t="str">
        <f>IF('Pegar ML'!G975="ARS","PS","PS")</f>
        <v>PS</v>
      </c>
      <c r="H984" s="14">
        <f>IF('Pegar ML'!C979="Paquete de 2 productos",IF('Pegar ML'!H979="",0,'Pegar ML'!H979),IF('Pegar ML'!H980="",0,'Pegar ML'!H980))</f>
        <v>0</v>
      </c>
      <c r="I984" s="14">
        <f>IF('Pegar ML'!C979="Paquete de 2 productos",IF('Pegar ML'!O979="",0,'Pegar ML'!O979),IF('Pegar ML'!O980="",0,'Pegar ML'!O980))</f>
        <v>0</v>
      </c>
      <c r="J984" s="14">
        <f>IF('Pegar ML'!C979="Paquete de 2 productos",IF('Pegar ML'!O979="",0,'Pegar ML'!O979),IF('Pegar ML'!O980="",0,'Pegar ML'!O980))</f>
        <v>0</v>
      </c>
      <c r="K984" s="14">
        <f t="shared" si="47"/>
        <v>0</v>
      </c>
      <c r="L984" s="27">
        <f>IF('Pegar ML'!AB980=" ",'Pegar ML'!AB979,'Pegar ML'!AB980)</f>
        <v>0</v>
      </c>
      <c r="M984" s="27" t="str">
        <f>IF('Pegar ML'!AC980=" ",RIGHT('Pegar ML'!AC979,8),RIGHT('Pegar ML'!AC980,8))</f>
        <v/>
      </c>
      <c r="N984" s="27" t="s">
        <v>80</v>
      </c>
      <c r="O984" s="27">
        <f t="shared" si="45"/>
        <v>0</v>
      </c>
      <c r="P984" s="27" t="s">
        <v>80</v>
      </c>
      <c r="Q984" s="55">
        <f>IF('Pegar ML'!AD980=" ",'Pegar ML'!AD979,'Pegar ML'!AD980)</f>
        <v>0</v>
      </c>
      <c r="R984" s="27" t="s">
        <v>80</v>
      </c>
      <c r="S984" s="27" t="s">
        <v>80</v>
      </c>
      <c r="T984" s="27" t="s">
        <v>80</v>
      </c>
      <c r="U984" s="55">
        <f>IF('Pegar ML'!AI980=" ",'Pegar ML'!AI979,'Pegar ML'!AI980)</f>
        <v>0</v>
      </c>
      <c r="V984" s="55">
        <f>IF('Pegar ML'!AK980=" ",'Pegar ML'!AK979,'Pegar ML'!AK980)</f>
        <v>0</v>
      </c>
      <c r="W984" s="55">
        <f>IF('Pegar ML'!AJ980=" ",'Pegar ML'!AJ979,'Pegar ML'!AJ980)</f>
        <v>0</v>
      </c>
      <c r="X984" s="55">
        <f>IF('Pegar ML'!AL980=" ",'Pegar ML'!AL979,'Pegar ML'!AL980)</f>
        <v>0</v>
      </c>
      <c r="Y984" s="27"/>
      <c r="Z984" s="27"/>
      <c r="AA984" s="27"/>
      <c r="AB984" s="27"/>
      <c r="AC984" s="27"/>
      <c r="AD984" s="27"/>
      <c r="AF984" s="8"/>
      <c r="AG984" s="27"/>
      <c r="AH984" s="14">
        <f>+'Pegar ML'!Y980</f>
        <v>0</v>
      </c>
      <c r="AI984" s="13">
        <f t="shared" si="46"/>
        <v>1</v>
      </c>
      <c r="AJ984" s="7">
        <f>+'Pegar ML'!T980</f>
        <v>0</v>
      </c>
      <c r="AK984" s="27"/>
      <c r="AL984" s="27"/>
      <c r="AM984" s="27"/>
      <c r="AN984" s="27"/>
      <c r="AO984" s="27"/>
      <c r="AP984" s="27"/>
      <c r="AQ984" s="27"/>
      <c r="AR984" s="27"/>
      <c r="AS984" s="27">
        <v>17</v>
      </c>
    </row>
    <row r="985" spans="1:45" ht="15" customHeight="1" x14ac:dyDescent="0.25">
      <c r="A985" s="27">
        <f>IF('Pegar ML'!C980="Paquete de 2 productos",'Pegar ML'!A980,IF('Pegar ML'!C979="Paquete de 2 productos",'Pegar ML'!A979,'Pegar ML'!A981))</f>
        <v>0</v>
      </c>
      <c r="B985" s="27"/>
      <c r="C985" s="30" t="str">
        <f>IF(AjusteFecha!I981=0,"",AjusteFecha!I981)</f>
        <v/>
      </c>
      <c r="D985" s="27"/>
      <c r="E985" s="27"/>
      <c r="F985" s="27" t="str">
        <f>IF('Pegar ML'!C981="","",'Pegar ML'!C981)</f>
        <v/>
      </c>
      <c r="G985" s="27" t="str">
        <f>IF('Pegar ML'!G976="ARS","PS","PS")</f>
        <v>PS</v>
      </c>
      <c r="H985" s="14">
        <f>IF('Pegar ML'!C980="Paquete de 2 productos",IF('Pegar ML'!H980="",0,'Pegar ML'!H980),IF('Pegar ML'!H981="",0,'Pegar ML'!H981))</f>
        <v>0</v>
      </c>
      <c r="I985" s="14">
        <f>IF('Pegar ML'!C980="Paquete de 2 productos",IF('Pegar ML'!O980="",0,'Pegar ML'!O980),IF('Pegar ML'!O981="",0,'Pegar ML'!O981))</f>
        <v>0</v>
      </c>
      <c r="J985" s="14">
        <f>IF('Pegar ML'!C980="Paquete de 2 productos",IF('Pegar ML'!O980="",0,'Pegar ML'!O980),IF('Pegar ML'!O981="",0,'Pegar ML'!O981))</f>
        <v>0</v>
      </c>
      <c r="K985" s="14">
        <f t="shared" si="47"/>
        <v>0</v>
      </c>
      <c r="L985" s="27">
        <f>IF('Pegar ML'!AB981=" ",'Pegar ML'!AB980,'Pegar ML'!AB981)</f>
        <v>0</v>
      </c>
      <c r="M985" s="27" t="str">
        <f>IF('Pegar ML'!AC981=" ",RIGHT('Pegar ML'!AC980,8),RIGHT('Pegar ML'!AC981,8))</f>
        <v/>
      </c>
      <c r="N985" s="27" t="s">
        <v>80</v>
      </c>
      <c r="O985" s="27">
        <f t="shared" si="45"/>
        <v>0</v>
      </c>
      <c r="P985" s="27" t="s">
        <v>80</v>
      </c>
      <c r="Q985" s="55">
        <f>IF('Pegar ML'!AD981=" ",'Pegar ML'!AD980,'Pegar ML'!AD981)</f>
        <v>0</v>
      </c>
      <c r="R985" s="27" t="s">
        <v>80</v>
      </c>
      <c r="S985" s="27" t="s">
        <v>80</v>
      </c>
      <c r="T985" s="27" t="s">
        <v>80</v>
      </c>
      <c r="U985" s="55">
        <f>IF('Pegar ML'!AI981=" ",'Pegar ML'!AI980,'Pegar ML'!AI981)</f>
        <v>0</v>
      </c>
      <c r="V985" s="55">
        <f>IF('Pegar ML'!AK981=" ",'Pegar ML'!AK980,'Pegar ML'!AK981)</f>
        <v>0</v>
      </c>
      <c r="W985" s="55">
        <f>IF('Pegar ML'!AJ981=" ",'Pegar ML'!AJ980,'Pegar ML'!AJ981)</f>
        <v>0</v>
      </c>
      <c r="X985" s="55">
        <f>IF('Pegar ML'!AL981=" ",'Pegar ML'!AL980,'Pegar ML'!AL981)</f>
        <v>0</v>
      </c>
      <c r="Y985" s="27"/>
      <c r="Z985" s="27"/>
      <c r="AA985" s="27"/>
      <c r="AB985" s="27"/>
      <c r="AC985" s="27"/>
      <c r="AD985" s="27"/>
      <c r="AF985" s="8"/>
      <c r="AG985" s="27"/>
      <c r="AH985" s="14">
        <f>+'Pegar ML'!Y981</f>
        <v>0</v>
      </c>
      <c r="AI985" s="13">
        <f t="shared" si="46"/>
        <v>1</v>
      </c>
      <c r="AJ985" s="7">
        <f>+'Pegar ML'!T981</f>
        <v>0</v>
      </c>
      <c r="AK985" s="27"/>
      <c r="AL985" s="27"/>
      <c r="AM985" s="27"/>
      <c r="AN985" s="27"/>
      <c r="AO985" s="27"/>
      <c r="AP985" s="27"/>
      <c r="AQ985" s="27"/>
      <c r="AR985" s="27"/>
      <c r="AS985" s="27">
        <v>17</v>
      </c>
    </row>
    <row r="986" spans="1:45" ht="15" customHeight="1" x14ac:dyDescent="0.25">
      <c r="A986" s="27">
        <f>IF('Pegar ML'!C981="Paquete de 2 productos",'Pegar ML'!A981,IF('Pegar ML'!C980="Paquete de 2 productos",'Pegar ML'!A980,'Pegar ML'!A982))</f>
        <v>0</v>
      </c>
      <c r="B986" s="27"/>
      <c r="C986" s="30" t="str">
        <f>IF(AjusteFecha!I982=0,"",AjusteFecha!I982)</f>
        <v/>
      </c>
      <c r="D986" s="27"/>
      <c r="E986" s="27"/>
      <c r="F986" s="27" t="str">
        <f>IF('Pegar ML'!C982="","",'Pegar ML'!C982)</f>
        <v/>
      </c>
      <c r="G986" s="27" t="str">
        <f>IF('Pegar ML'!G977="ARS","PS","PS")</f>
        <v>PS</v>
      </c>
      <c r="H986" s="14">
        <f>IF('Pegar ML'!C981="Paquete de 2 productos",IF('Pegar ML'!H981="",0,'Pegar ML'!H981),IF('Pegar ML'!H982="",0,'Pegar ML'!H982))</f>
        <v>0</v>
      </c>
      <c r="I986" s="14">
        <f>IF('Pegar ML'!C981="Paquete de 2 productos",IF('Pegar ML'!O981="",0,'Pegar ML'!O981),IF('Pegar ML'!O982="",0,'Pegar ML'!O982))</f>
        <v>0</v>
      </c>
      <c r="J986" s="14">
        <f>IF('Pegar ML'!C981="Paquete de 2 productos",IF('Pegar ML'!O981="",0,'Pegar ML'!O981),IF('Pegar ML'!O982="",0,'Pegar ML'!O982))</f>
        <v>0</v>
      </c>
      <c r="K986" s="14">
        <f t="shared" si="47"/>
        <v>0</v>
      </c>
      <c r="L986" s="27">
        <f>IF('Pegar ML'!AB982=" ",'Pegar ML'!AB981,'Pegar ML'!AB982)</f>
        <v>0</v>
      </c>
      <c r="M986" s="27" t="str">
        <f>IF('Pegar ML'!AC982=" ",RIGHT('Pegar ML'!AC981,8),RIGHT('Pegar ML'!AC982,8))</f>
        <v/>
      </c>
      <c r="N986" s="27" t="s">
        <v>80</v>
      </c>
      <c r="O986" s="27">
        <f t="shared" si="45"/>
        <v>0</v>
      </c>
      <c r="P986" s="27" t="s">
        <v>80</v>
      </c>
      <c r="Q986" s="55">
        <f>IF('Pegar ML'!AD982=" ",'Pegar ML'!AD981,'Pegar ML'!AD982)</f>
        <v>0</v>
      </c>
      <c r="R986" s="27" t="s">
        <v>80</v>
      </c>
      <c r="S986" s="27" t="s">
        <v>80</v>
      </c>
      <c r="T986" s="27" t="s">
        <v>80</v>
      </c>
      <c r="U986" s="55">
        <f>IF('Pegar ML'!AI982=" ",'Pegar ML'!AI981,'Pegar ML'!AI982)</f>
        <v>0</v>
      </c>
      <c r="V986" s="55">
        <f>IF('Pegar ML'!AK982=" ",'Pegar ML'!AK981,'Pegar ML'!AK982)</f>
        <v>0</v>
      </c>
      <c r="W986" s="55">
        <f>IF('Pegar ML'!AJ982=" ",'Pegar ML'!AJ981,'Pegar ML'!AJ982)</f>
        <v>0</v>
      </c>
      <c r="X986" s="55">
        <f>IF('Pegar ML'!AL982=" ",'Pegar ML'!AL981,'Pegar ML'!AL982)</f>
        <v>0</v>
      </c>
      <c r="Y986" s="27"/>
      <c r="Z986" s="27"/>
      <c r="AA986" s="27"/>
      <c r="AB986" s="27"/>
      <c r="AC986" s="27"/>
      <c r="AD986" s="27"/>
      <c r="AF986" s="8"/>
      <c r="AG986" s="27"/>
      <c r="AH986" s="14">
        <f>+'Pegar ML'!Y982</f>
        <v>0</v>
      </c>
      <c r="AI986" s="13">
        <f t="shared" si="46"/>
        <v>1</v>
      </c>
      <c r="AJ986" s="7">
        <f>+'Pegar ML'!T982</f>
        <v>0</v>
      </c>
      <c r="AK986" s="27"/>
      <c r="AL986" s="27"/>
      <c r="AM986" s="27"/>
      <c r="AN986" s="27"/>
      <c r="AO986" s="27"/>
      <c r="AP986" s="27"/>
      <c r="AQ986" s="27"/>
      <c r="AR986" s="27"/>
      <c r="AS986" s="27">
        <v>17</v>
      </c>
    </row>
    <row r="987" spans="1:45" ht="15" customHeight="1" x14ac:dyDescent="0.25">
      <c r="A987" s="27">
        <f>IF('Pegar ML'!C982="Paquete de 2 productos",'Pegar ML'!A982,IF('Pegar ML'!C981="Paquete de 2 productos",'Pegar ML'!A981,'Pegar ML'!A983))</f>
        <v>0</v>
      </c>
      <c r="B987" s="27"/>
      <c r="C987" s="30" t="str">
        <f>IF(AjusteFecha!I983=0,"",AjusteFecha!I983)</f>
        <v/>
      </c>
      <c r="D987" s="27"/>
      <c r="E987" s="27"/>
      <c r="F987" s="27" t="str">
        <f>IF('Pegar ML'!C983="","",'Pegar ML'!C983)</f>
        <v/>
      </c>
      <c r="G987" s="27" t="str">
        <f>IF('Pegar ML'!G978="ARS","PS","PS")</f>
        <v>PS</v>
      </c>
      <c r="H987" s="14">
        <f>IF('Pegar ML'!C982="Paquete de 2 productos",IF('Pegar ML'!H982="",0,'Pegar ML'!H982),IF('Pegar ML'!H983="",0,'Pegar ML'!H983))</f>
        <v>0</v>
      </c>
      <c r="I987" s="14">
        <f>IF('Pegar ML'!C982="Paquete de 2 productos",IF('Pegar ML'!O982="",0,'Pegar ML'!O982),IF('Pegar ML'!O983="",0,'Pegar ML'!O983))</f>
        <v>0</v>
      </c>
      <c r="J987" s="14">
        <f>IF('Pegar ML'!C982="Paquete de 2 productos",IF('Pegar ML'!O982="",0,'Pegar ML'!O982),IF('Pegar ML'!O983="",0,'Pegar ML'!O983))</f>
        <v>0</v>
      </c>
      <c r="K987" s="14">
        <f t="shared" si="47"/>
        <v>0</v>
      </c>
      <c r="L987" s="27">
        <f>IF('Pegar ML'!AB983=" ",'Pegar ML'!AB982,'Pegar ML'!AB983)</f>
        <v>0</v>
      </c>
      <c r="M987" s="27" t="str">
        <f>IF('Pegar ML'!AC983=" ",RIGHT('Pegar ML'!AC982,8),RIGHT('Pegar ML'!AC983,8))</f>
        <v/>
      </c>
      <c r="N987" s="27" t="s">
        <v>80</v>
      </c>
      <c r="O987" s="27">
        <f t="shared" si="45"/>
        <v>0</v>
      </c>
      <c r="P987" s="27" t="s">
        <v>80</v>
      </c>
      <c r="Q987" s="55">
        <f>IF('Pegar ML'!AD983=" ",'Pegar ML'!AD982,'Pegar ML'!AD983)</f>
        <v>0</v>
      </c>
      <c r="R987" s="27" t="s">
        <v>80</v>
      </c>
      <c r="S987" s="27" t="s">
        <v>80</v>
      </c>
      <c r="T987" s="27" t="s">
        <v>80</v>
      </c>
      <c r="U987" s="55">
        <f>IF('Pegar ML'!AI983=" ",'Pegar ML'!AI982,'Pegar ML'!AI983)</f>
        <v>0</v>
      </c>
      <c r="V987" s="55">
        <f>IF('Pegar ML'!AK983=" ",'Pegar ML'!AK982,'Pegar ML'!AK983)</f>
        <v>0</v>
      </c>
      <c r="W987" s="55">
        <f>IF('Pegar ML'!AJ983=" ",'Pegar ML'!AJ982,'Pegar ML'!AJ983)</f>
        <v>0</v>
      </c>
      <c r="X987" s="55">
        <f>IF('Pegar ML'!AL983=" ",'Pegar ML'!AL982,'Pegar ML'!AL983)</f>
        <v>0</v>
      </c>
      <c r="Y987" s="27"/>
      <c r="Z987" s="27"/>
      <c r="AA987" s="27"/>
      <c r="AB987" s="27"/>
      <c r="AC987" s="27"/>
      <c r="AD987" s="27"/>
      <c r="AF987" s="8"/>
      <c r="AG987" s="27"/>
      <c r="AH987" s="14">
        <f>+'Pegar ML'!Y983</f>
        <v>0</v>
      </c>
      <c r="AI987" s="13">
        <f t="shared" si="46"/>
        <v>1</v>
      </c>
      <c r="AJ987" s="7">
        <f>+'Pegar ML'!T983</f>
        <v>0</v>
      </c>
      <c r="AK987" s="27"/>
      <c r="AL987" s="27"/>
      <c r="AM987" s="27"/>
      <c r="AN987" s="27"/>
      <c r="AO987" s="27"/>
      <c r="AP987" s="27"/>
      <c r="AQ987" s="27"/>
      <c r="AR987" s="27"/>
      <c r="AS987" s="27">
        <v>17</v>
      </c>
    </row>
    <row r="988" spans="1:45" ht="15" customHeight="1" x14ac:dyDescent="0.25">
      <c r="A988" s="27">
        <f>IF('Pegar ML'!C983="Paquete de 2 productos",'Pegar ML'!A983,IF('Pegar ML'!C982="Paquete de 2 productos",'Pegar ML'!A982,'Pegar ML'!A984))</f>
        <v>0</v>
      </c>
      <c r="B988" s="27"/>
      <c r="C988" s="30" t="str">
        <f>IF(AjusteFecha!I984=0,"",AjusteFecha!I984)</f>
        <v/>
      </c>
      <c r="D988" s="27"/>
      <c r="E988" s="27"/>
      <c r="F988" s="27" t="str">
        <f>IF('Pegar ML'!C984="","",'Pegar ML'!C984)</f>
        <v/>
      </c>
      <c r="G988" s="27" t="str">
        <f>IF('Pegar ML'!G979="ARS","PS","PS")</f>
        <v>PS</v>
      </c>
      <c r="H988" s="14">
        <f>IF('Pegar ML'!C983="Paquete de 2 productos",IF('Pegar ML'!H983="",0,'Pegar ML'!H983),IF('Pegar ML'!H984="",0,'Pegar ML'!H984))</f>
        <v>0</v>
      </c>
      <c r="I988" s="14">
        <f>IF('Pegar ML'!C983="Paquete de 2 productos",IF('Pegar ML'!O983="",0,'Pegar ML'!O983),IF('Pegar ML'!O984="",0,'Pegar ML'!O984))</f>
        <v>0</v>
      </c>
      <c r="J988" s="14">
        <f>IF('Pegar ML'!C983="Paquete de 2 productos",IF('Pegar ML'!O983="",0,'Pegar ML'!O983),IF('Pegar ML'!O984="",0,'Pegar ML'!O984))</f>
        <v>0</v>
      </c>
      <c r="K988" s="14">
        <f t="shared" si="47"/>
        <v>0</v>
      </c>
      <c r="L988" s="27">
        <f>IF('Pegar ML'!AB984=" ",'Pegar ML'!AB983,'Pegar ML'!AB984)</f>
        <v>0</v>
      </c>
      <c r="M988" s="27" t="str">
        <f>IF('Pegar ML'!AC984=" ",RIGHT('Pegar ML'!AC983,8),RIGHT('Pegar ML'!AC984,8))</f>
        <v/>
      </c>
      <c r="N988" s="27" t="s">
        <v>80</v>
      </c>
      <c r="O988" s="27">
        <f t="shared" si="45"/>
        <v>0</v>
      </c>
      <c r="P988" s="27" t="s">
        <v>80</v>
      </c>
      <c r="Q988" s="55">
        <f>IF('Pegar ML'!AD984=" ",'Pegar ML'!AD983,'Pegar ML'!AD984)</f>
        <v>0</v>
      </c>
      <c r="R988" s="27" t="s">
        <v>80</v>
      </c>
      <c r="S988" s="27" t="s">
        <v>80</v>
      </c>
      <c r="T988" s="27" t="s">
        <v>80</v>
      </c>
      <c r="U988" s="55">
        <f>IF('Pegar ML'!AI984=" ",'Pegar ML'!AI983,'Pegar ML'!AI984)</f>
        <v>0</v>
      </c>
      <c r="V988" s="55">
        <f>IF('Pegar ML'!AK984=" ",'Pegar ML'!AK983,'Pegar ML'!AK984)</f>
        <v>0</v>
      </c>
      <c r="W988" s="55">
        <f>IF('Pegar ML'!AJ984=" ",'Pegar ML'!AJ983,'Pegar ML'!AJ984)</f>
        <v>0</v>
      </c>
      <c r="X988" s="55">
        <f>IF('Pegar ML'!AL984=" ",'Pegar ML'!AL983,'Pegar ML'!AL984)</f>
        <v>0</v>
      </c>
      <c r="Y988" s="27"/>
      <c r="Z988" s="27"/>
      <c r="AA988" s="27"/>
      <c r="AB988" s="27"/>
      <c r="AC988" s="27"/>
      <c r="AD988" s="27"/>
      <c r="AF988" s="8"/>
      <c r="AG988" s="27"/>
      <c r="AH988" s="14">
        <f>+'Pegar ML'!Y984</f>
        <v>0</v>
      </c>
      <c r="AI988" s="13">
        <f t="shared" si="46"/>
        <v>1</v>
      </c>
      <c r="AJ988" s="7">
        <f>+'Pegar ML'!T984</f>
        <v>0</v>
      </c>
      <c r="AK988" s="27"/>
      <c r="AL988" s="27"/>
      <c r="AM988" s="27"/>
      <c r="AN988" s="27"/>
      <c r="AO988" s="27"/>
      <c r="AP988" s="27"/>
      <c r="AQ988" s="27"/>
      <c r="AR988" s="27"/>
      <c r="AS988" s="27">
        <v>17</v>
      </c>
    </row>
    <row r="989" spans="1:45" ht="15" customHeight="1" x14ac:dyDescent="0.25">
      <c r="A989" s="27">
        <f>IF('Pegar ML'!C984="Paquete de 2 productos",'Pegar ML'!A984,IF('Pegar ML'!C983="Paquete de 2 productos",'Pegar ML'!A983,'Pegar ML'!A985))</f>
        <v>0</v>
      </c>
      <c r="B989" s="27"/>
      <c r="C989" s="30" t="str">
        <f>IF(AjusteFecha!I985=0,"",AjusteFecha!I985)</f>
        <v/>
      </c>
      <c r="D989" s="27"/>
      <c r="E989" s="27"/>
      <c r="F989" s="27" t="str">
        <f>IF('Pegar ML'!C985="","",'Pegar ML'!C985)</f>
        <v/>
      </c>
      <c r="G989" s="27" t="str">
        <f>IF('Pegar ML'!G980="ARS","PS","PS")</f>
        <v>PS</v>
      </c>
      <c r="H989" s="14">
        <f>IF('Pegar ML'!C984="Paquete de 2 productos",IF('Pegar ML'!H984="",0,'Pegar ML'!H984),IF('Pegar ML'!H985="",0,'Pegar ML'!H985))</f>
        <v>0</v>
      </c>
      <c r="I989" s="14">
        <f>IF('Pegar ML'!C984="Paquete de 2 productos",IF('Pegar ML'!O984="",0,'Pegar ML'!O984),IF('Pegar ML'!O985="",0,'Pegar ML'!O985))</f>
        <v>0</v>
      </c>
      <c r="J989" s="14">
        <f>IF('Pegar ML'!C984="Paquete de 2 productos",IF('Pegar ML'!O984="",0,'Pegar ML'!O984),IF('Pegar ML'!O985="",0,'Pegar ML'!O985))</f>
        <v>0</v>
      </c>
      <c r="K989" s="14">
        <f t="shared" si="47"/>
        <v>0</v>
      </c>
      <c r="L989" s="27">
        <f>IF('Pegar ML'!AB985=" ",'Pegar ML'!AB984,'Pegar ML'!AB985)</f>
        <v>0</v>
      </c>
      <c r="M989" s="27" t="str">
        <f>IF('Pegar ML'!AC985=" ",RIGHT('Pegar ML'!AC984,8),RIGHT('Pegar ML'!AC985,8))</f>
        <v/>
      </c>
      <c r="N989" s="27" t="s">
        <v>80</v>
      </c>
      <c r="O989" s="27">
        <f t="shared" si="45"/>
        <v>0</v>
      </c>
      <c r="P989" s="27" t="s">
        <v>80</v>
      </c>
      <c r="Q989" s="55">
        <f>IF('Pegar ML'!AD985=" ",'Pegar ML'!AD984,'Pegar ML'!AD985)</f>
        <v>0</v>
      </c>
      <c r="R989" s="27" t="s">
        <v>80</v>
      </c>
      <c r="S989" s="27" t="s">
        <v>80</v>
      </c>
      <c r="T989" s="27" t="s">
        <v>80</v>
      </c>
      <c r="U989" s="55">
        <f>IF('Pegar ML'!AI985=" ",'Pegar ML'!AI984,'Pegar ML'!AI985)</f>
        <v>0</v>
      </c>
      <c r="V989" s="55">
        <f>IF('Pegar ML'!AK985=" ",'Pegar ML'!AK984,'Pegar ML'!AK985)</f>
        <v>0</v>
      </c>
      <c r="W989" s="55">
        <f>IF('Pegar ML'!AJ985=" ",'Pegar ML'!AJ984,'Pegar ML'!AJ985)</f>
        <v>0</v>
      </c>
      <c r="X989" s="55">
        <f>IF('Pegar ML'!AL985=" ",'Pegar ML'!AL984,'Pegar ML'!AL985)</f>
        <v>0</v>
      </c>
      <c r="Y989" s="27"/>
      <c r="Z989" s="27"/>
      <c r="AA989" s="27"/>
      <c r="AB989" s="27"/>
      <c r="AC989" s="27"/>
      <c r="AD989" s="27"/>
      <c r="AF989" s="8"/>
      <c r="AG989" s="27"/>
      <c r="AH989" s="14">
        <f>+'Pegar ML'!Y985</f>
        <v>0</v>
      </c>
      <c r="AI989" s="13">
        <f t="shared" si="46"/>
        <v>1</v>
      </c>
      <c r="AJ989" s="7">
        <f>+'Pegar ML'!T985</f>
        <v>0</v>
      </c>
      <c r="AK989" s="27"/>
      <c r="AL989" s="27"/>
      <c r="AM989" s="27"/>
      <c r="AN989" s="27"/>
      <c r="AO989" s="27"/>
      <c r="AP989" s="27"/>
      <c r="AQ989" s="27"/>
      <c r="AR989" s="27"/>
      <c r="AS989" s="27">
        <v>17</v>
      </c>
    </row>
    <row r="990" spans="1:45" ht="15" customHeight="1" x14ac:dyDescent="0.25">
      <c r="A990" s="27">
        <f>IF('Pegar ML'!C985="Paquete de 2 productos",'Pegar ML'!A985,IF('Pegar ML'!C984="Paquete de 2 productos",'Pegar ML'!A984,'Pegar ML'!A986))</f>
        <v>0</v>
      </c>
      <c r="B990" s="27"/>
      <c r="C990" s="30" t="str">
        <f>IF(AjusteFecha!I986=0,"",AjusteFecha!I986)</f>
        <v/>
      </c>
      <c r="D990" s="27"/>
      <c r="E990" s="27"/>
      <c r="F990" s="27" t="str">
        <f>IF('Pegar ML'!C986="","",'Pegar ML'!C986)</f>
        <v/>
      </c>
      <c r="G990" s="27" t="str">
        <f>IF('Pegar ML'!G981="ARS","PS","PS")</f>
        <v>PS</v>
      </c>
      <c r="H990" s="14">
        <f>IF('Pegar ML'!C985="Paquete de 2 productos",IF('Pegar ML'!H985="",0,'Pegar ML'!H985),IF('Pegar ML'!H986="",0,'Pegar ML'!H986))</f>
        <v>0</v>
      </c>
      <c r="I990" s="14">
        <f>IF('Pegar ML'!C985="Paquete de 2 productos",IF('Pegar ML'!O985="",0,'Pegar ML'!O985),IF('Pegar ML'!O986="",0,'Pegar ML'!O986))</f>
        <v>0</v>
      </c>
      <c r="J990" s="14">
        <f>IF('Pegar ML'!C985="Paquete de 2 productos",IF('Pegar ML'!O985="",0,'Pegar ML'!O985),IF('Pegar ML'!O986="",0,'Pegar ML'!O986))</f>
        <v>0</v>
      </c>
      <c r="K990" s="14">
        <f t="shared" si="47"/>
        <v>0</v>
      </c>
      <c r="L990" s="27">
        <f>IF('Pegar ML'!AB986=" ",'Pegar ML'!AB985,'Pegar ML'!AB986)</f>
        <v>0</v>
      </c>
      <c r="M990" s="27" t="str">
        <f>IF('Pegar ML'!AC986=" ",RIGHT('Pegar ML'!AC985,8),RIGHT('Pegar ML'!AC986,8))</f>
        <v/>
      </c>
      <c r="N990" s="27" t="s">
        <v>80</v>
      </c>
      <c r="O990" s="27">
        <f t="shared" si="45"/>
        <v>0</v>
      </c>
      <c r="P990" s="27" t="s">
        <v>80</v>
      </c>
      <c r="Q990" s="55">
        <f>IF('Pegar ML'!AD986=" ",'Pegar ML'!AD985,'Pegar ML'!AD986)</f>
        <v>0</v>
      </c>
      <c r="R990" s="27" t="s">
        <v>80</v>
      </c>
      <c r="S990" s="27" t="s">
        <v>80</v>
      </c>
      <c r="T990" s="27" t="s">
        <v>80</v>
      </c>
      <c r="U990" s="55">
        <f>IF('Pegar ML'!AI986=" ",'Pegar ML'!AI985,'Pegar ML'!AI986)</f>
        <v>0</v>
      </c>
      <c r="V990" s="55">
        <f>IF('Pegar ML'!AK986=" ",'Pegar ML'!AK985,'Pegar ML'!AK986)</f>
        <v>0</v>
      </c>
      <c r="W990" s="55">
        <f>IF('Pegar ML'!AJ986=" ",'Pegar ML'!AJ985,'Pegar ML'!AJ986)</f>
        <v>0</v>
      </c>
      <c r="X990" s="55">
        <f>IF('Pegar ML'!AL986=" ",'Pegar ML'!AL985,'Pegar ML'!AL986)</f>
        <v>0</v>
      </c>
      <c r="Y990" s="27"/>
      <c r="Z990" s="27"/>
      <c r="AA990" s="27"/>
      <c r="AB990" s="27"/>
      <c r="AC990" s="27"/>
      <c r="AD990" s="27"/>
      <c r="AF990" s="8"/>
      <c r="AG990" s="27"/>
      <c r="AH990" s="14">
        <f>+'Pegar ML'!Y986</f>
        <v>0</v>
      </c>
      <c r="AI990" s="13">
        <f t="shared" si="46"/>
        <v>1</v>
      </c>
      <c r="AJ990" s="7">
        <f>+'Pegar ML'!T986</f>
        <v>0</v>
      </c>
      <c r="AK990" s="27"/>
      <c r="AL990" s="27"/>
      <c r="AM990" s="27"/>
      <c r="AN990" s="27"/>
      <c r="AO990" s="27"/>
      <c r="AP990" s="27"/>
      <c r="AQ990" s="27"/>
      <c r="AR990" s="27"/>
      <c r="AS990" s="27">
        <v>17</v>
      </c>
    </row>
    <row r="991" spans="1:45" ht="15" customHeight="1" x14ac:dyDescent="0.25">
      <c r="A991" s="27">
        <f>IF('Pegar ML'!C986="Paquete de 2 productos",'Pegar ML'!A986,IF('Pegar ML'!C985="Paquete de 2 productos",'Pegar ML'!A985,'Pegar ML'!A987))</f>
        <v>0</v>
      </c>
      <c r="B991" s="27"/>
      <c r="C991" s="30" t="str">
        <f>IF(AjusteFecha!I987=0,"",AjusteFecha!I987)</f>
        <v/>
      </c>
      <c r="D991" s="27"/>
      <c r="E991" s="27"/>
      <c r="F991" s="27" t="str">
        <f>IF('Pegar ML'!C987="","",'Pegar ML'!C987)</f>
        <v/>
      </c>
      <c r="G991" s="27" t="str">
        <f>IF('Pegar ML'!G982="ARS","PS","PS")</f>
        <v>PS</v>
      </c>
      <c r="H991" s="14">
        <f>IF('Pegar ML'!C986="Paquete de 2 productos",IF('Pegar ML'!H986="",0,'Pegar ML'!H986),IF('Pegar ML'!H987="",0,'Pegar ML'!H987))</f>
        <v>0</v>
      </c>
      <c r="I991" s="14">
        <f>IF('Pegar ML'!C986="Paquete de 2 productos",IF('Pegar ML'!O986="",0,'Pegar ML'!O986),IF('Pegar ML'!O987="",0,'Pegar ML'!O987))</f>
        <v>0</v>
      </c>
      <c r="J991" s="14">
        <f>IF('Pegar ML'!C986="Paquete de 2 productos",IF('Pegar ML'!O986="",0,'Pegar ML'!O986),IF('Pegar ML'!O987="",0,'Pegar ML'!O987))</f>
        <v>0</v>
      </c>
      <c r="K991" s="14">
        <f t="shared" si="47"/>
        <v>0</v>
      </c>
      <c r="L991" s="27">
        <f>IF('Pegar ML'!AB987=" ",'Pegar ML'!AB986,'Pegar ML'!AB987)</f>
        <v>0</v>
      </c>
      <c r="M991" s="27" t="str">
        <f>IF('Pegar ML'!AC987=" ",RIGHT('Pegar ML'!AC986,8),RIGHT('Pegar ML'!AC987,8))</f>
        <v/>
      </c>
      <c r="N991" s="27" t="s">
        <v>80</v>
      </c>
      <c r="O991" s="27">
        <f t="shared" si="45"/>
        <v>0</v>
      </c>
      <c r="P991" s="27" t="s">
        <v>80</v>
      </c>
      <c r="Q991" s="55">
        <f>IF('Pegar ML'!AD987=" ",'Pegar ML'!AD986,'Pegar ML'!AD987)</f>
        <v>0</v>
      </c>
      <c r="R991" s="27" t="s">
        <v>80</v>
      </c>
      <c r="S991" s="27" t="s">
        <v>80</v>
      </c>
      <c r="T991" s="27" t="s">
        <v>80</v>
      </c>
      <c r="U991" s="55">
        <f>IF('Pegar ML'!AI987=" ",'Pegar ML'!AI986,'Pegar ML'!AI987)</f>
        <v>0</v>
      </c>
      <c r="V991" s="55">
        <f>IF('Pegar ML'!AK987=" ",'Pegar ML'!AK986,'Pegar ML'!AK987)</f>
        <v>0</v>
      </c>
      <c r="W991" s="55">
        <f>IF('Pegar ML'!AJ987=" ",'Pegar ML'!AJ986,'Pegar ML'!AJ987)</f>
        <v>0</v>
      </c>
      <c r="X991" s="55">
        <f>IF('Pegar ML'!AL987=" ",'Pegar ML'!AL986,'Pegar ML'!AL987)</f>
        <v>0</v>
      </c>
      <c r="Y991" s="27"/>
      <c r="Z991" s="27"/>
      <c r="AA991" s="27"/>
      <c r="AB991" s="27"/>
      <c r="AC991" s="27"/>
      <c r="AD991" s="27"/>
      <c r="AF991" s="8"/>
      <c r="AG991" s="27"/>
      <c r="AH991" s="14">
        <f>+'Pegar ML'!Y987</f>
        <v>0</v>
      </c>
      <c r="AI991" s="13">
        <f t="shared" si="46"/>
        <v>1</v>
      </c>
      <c r="AJ991" s="7">
        <f>+'Pegar ML'!T987</f>
        <v>0</v>
      </c>
      <c r="AK991" s="27"/>
      <c r="AL991" s="27"/>
      <c r="AM991" s="27"/>
      <c r="AN991" s="27"/>
      <c r="AO991" s="27"/>
      <c r="AP991" s="27"/>
      <c r="AQ991" s="27"/>
      <c r="AR991" s="27"/>
      <c r="AS991" s="27">
        <v>17</v>
      </c>
    </row>
    <row r="992" spans="1:45" ht="15" customHeight="1" x14ac:dyDescent="0.25">
      <c r="A992" s="27">
        <f>IF('Pegar ML'!C987="Paquete de 2 productos",'Pegar ML'!A987,IF('Pegar ML'!C986="Paquete de 2 productos",'Pegar ML'!A986,'Pegar ML'!A988))</f>
        <v>0</v>
      </c>
      <c r="B992" s="27"/>
      <c r="C992" s="30" t="str">
        <f>IF(AjusteFecha!I988=0,"",AjusteFecha!I988)</f>
        <v/>
      </c>
      <c r="D992" s="27"/>
      <c r="E992" s="27"/>
      <c r="F992" s="27" t="str">
        <f>IF('Pegar ML'!C988="","",'Pegar ML'!C988)</f>
        <v/>
      </c>
      <c r="G992" s="27" t="str">
        <f>IF('Pegar ML'!G983="ARS","PS","PS")</f>
        <v>PS</v>
      </c>
      <c r="H992" s="14">
        <f>IF('Pegar ML'!C987="Paquete de 2 productos",IF('Pegar ML'!H987="",0,'Pegar ML'!H987),IF('Pegar ML'!H988="",0,'Pegar ML'!H988))</f>
        <v>0</v>
      </c>
      <c r="I992" s="14">
        <f>IF('Pegar ML'!C987="Paquete de 2 productos",IF('Pegar ML'!O987="",0,'Pegar ML'!O987),IF('Pegar ML'!O988="",0,'Pegar ML'!O988))</f>
        <v>0</v>
      </c>
      <c r="J992" s="14">
        <f>IF('Pegar ML'!C987="Paquete de 2 productos",IF('Pegar ML'!O987="",0,'Pegar ML'!O987),IF('Pegar ML'!O988="",0,'Pegar ML'!O988))</f>
        <v>0</v>
      </c>
      <c r="K992" s="14">
        <f t="shared" si="47"/>
        <v>0</v>
      </c>
      <c r="L992" s="27">
        <f>IF('Pegar ML'!AB988=" ",'Pegar ML'!AB987,'Pegar ML'!AB988)</f>
        <v>0</v>
      </c>
      <c r="M992" s="27" t="str">
        <f>IF('Pegar ML'!AC988=" ",RIGHT('Pegar ML'!AC987,8),RIGHT('Pegar ML'!AC988,8))</f>
        <v/>
      </c>
      <c r="N992" s="27" t="s">
        <v>80</v>
      </c>
      <c r="O992" s="27">
        <f t="shared" si="45"/>
        <v>0</v>
      </c>
      <c r="P992" s="27" t="s">
        <v>80</v>
      </c>
      <c r="Q992" s="55">
        <f>IF('Pegar ML'!AD988=" ",'Pegar ML'!AD987,'Pegar ML'!AD988)</f>
        <v>0</v>
      </c>
      <c r="R992" s="27" t="s">
        <v>80</v>
      </c>
      <c r="S992" s="27" t="s">
        <v>80</v>
      </c>
      <c r="T992" s="27" t="s">
        <v>80</v>
      </c>
      <c r="U992" s="55">
        <f>IF('Pegar ML'!AI988=" ",'Pegar ML'!AI987,'Pegar ML'!AI988)</f>
        <v>0</v>
      </c>
      <c r="V992" s="55">
        <f>IF('Pegar ML'!AK988=" ",'Pegar ML'!AK987,'Pegar ML'!AK988)</f>
        <v>0</v>
      </c>
      <c r="W992" s="55">
        <f>IF('Pegar ML'!AJ988=" ",'Pegar ML'!AJ987,'Pegar ML'!AJ988)</f>
        <v>0</v>
      </c>
      <c r="X992" s="55">
        <f>IF('Pegar ML'!AL988=" ",'Pegar ML'!AL987,'Pegar ML'!AL988)</f>
        <v>0</v>
      </c>
      <c r="Y992" s="27"/>
      <c r="Z992" s="27"/>
      <c r="AA992" s="27"/>
      <c r="AB992" s="27"/>
      <c r="AC992" s="27"/>
      <c r="AD992" s="27"/>
      <c r="AF992" s="8"/>
      <c r="AG992" s="27"/>
      <c r="AH992" s="14">
        <f>+'Pegar ML'!Y988</f>
        <v>0</v>
      </c>
      <c r="AI992" s="13">
        <f t="shared" si="46"/>
        <v>1</v>
      </c>
      <c r="AJ992" s="7">
        <f>+'Pegar ML'!T988</f>
        <v>0</v>
      </c>
      <c r="AK992" s="27"/>
      <c r="AL992" s="27"/>
      <c r="AM992" s="27"/>
      <c r="AN992" s="27"/>
      <c r="AO992" s="27"/>
      <c r="AP992" s="27"/>
      <c r="AQ992" s="27"/>
      <c r="AR992" s="27"/>
      <c r="AS992" s="27">
        <v>17</v>
      </c>
    </row>
    <row r="993" spans="1:45" ht="15" customHeight="1" x14ac:dyDescent="0.25">
      <c r="A993" s="27">
        <f>IF('Pegar ML'!C988="Paquete de 2 productos",'Pegar ML'!A988,IF('Pegar ML'!C987="Paquete de 2 productos",'Pegar ML'!A987,'Pegar ML'!A989))</f>
        <v>0</v>
      </c>
      <c r="B993" s="27"/>
      <c r="C993" s="30" t="str">
        <f>IF(AjusteFecha!I989=0,"",AjusteFecha!I989)</f>
        <v/>
      </c>
      <c r="D993" s="27"/>
      <c r="E993" s="27"/>
      <c r="F993" s="27" t="str">
        <f>IF('Pegar ML'!C989="","",'Pegar ML'!C989)</f>
        <v/>
      </c>
      <c r="G993" s="27" t="str">
        <f>IF('Pegar ML'!G984="ARS","PS","PS")</f>
        <v>PS</v>
      </c>
      <c r="H993" s="14">
        <f>IF('Pegar ML'!C988="Paquete de 2 productos",IF('Pegar ML'!H988="",0,'Pegar ML'!H988),IF('Pegar ML'!H989="",0,'Pegar ML'!H989))</f>
        <v>0</v>
      </c>
      <c r="I993" s="14">
        <f>IF('Pegar ML'!C988="Paquete de 2 productos",IF('Pegar ML'!O988="",0,'Pegar ML'!O988),IF('Pegar ML'!O989="",0,'Pegar ML'!O989))</f>
        <v>0</v>
      </c>
      <c r="J993" s="14">
        <f>IF('Pegar ML'!C988="Paquete de 2 productos",IF('Pegar ML'!O988="",0,'Pegar ML'!O988),IF('Pegar ML'!O989="",0,'Pegar ML'!O989))</f>
        <v>0</v>
      </c>
      <c r="K993" s="14">
        <f t="shared" si="47"/>
        <v>0</v>
      </c>
      <c r="L993" s="27">
        <f>IF('Pegar ML'!AB989=" ",'Pegar ML'!AB988,'Pegar ML'!AB989)</f>
        <v>0</v>
      </c>
      <c r="M993" s="27" t="str">
        <f>IF('Pegar ML'!AC989=" ",RIGHT('Pegar ML'!AC988,8),RIGHT('Pegar ML'!AC989,8))</f>
        <v/>
      </c>
      <c r="N993" s="27" t="s">
        <v>80</v>
      </c>
      <c r="O993" s="27">
        <f t="shared" si="45"/>
        <v>0</v>
      </c>
      <c r="P993" s="27" t="s">
        <v>80</v>
      </c>
      <c r="Q993" s="55">
        <f>IF('Pegar ML'!AD989=" ",'Pegar ML'!AD988,'Pegar ML'!AD989)</f>
        <v>0</v>
      </c>
      <c r="R993" s="27" t="s">
        <v>80</v>
      </c>
      <c r="S993" s="27" t="s">
        <v>80</v>
      </c>
      <c r="T993" s="27" t="s">
        <v>80</v>
      </c>
      <c r="U993" s="55">
        <f>IF('Pegar ML'!AI989=" ",'Pegar ML'!AI988,'Pegar ML'!AI989)</f>
        <v>0</v>
      </c>
      <c r="V993" s="55">
        <f>IF('Pegar ML'!AK989=" ",'Pegar ML'!AK988,'Pegar ML'!AK989)</f>
        <v>0</v>
      </c>
      <c r="W993" s="55">
        <f>IF('Pegar ML'!AJ989=" ",'Pegar ML'!AJ988,'Pegar ML'!AJ989)</f>
        <v>0</v>
      </c>
      <c r="X993" s="55">
        <f>IF('Pegar ML'!AL989=" ",'Pegar ML'!AL988,'Pegar ML'!AL989)</f>
        <v>0</v>
      </c>
      <c r="Y993" s="27"/>
      <c r="Z993" s="27"/>
      <c r="AA993" s="27"/>
      <c r="AB993" s="27"/>
      <c r="AC993" s="27"/>
      <c r="AD993" s="27"/>
      <c r="AF993" s="8"/>
      <c r="AG993" s="27"/>
      <c r="AH993" s="14">
        <f>+'Pegar ML'!Y989</f>
        <v>0</v>
      </c>
      <c r="AI993" s="13">
        <f t="shared" si="46"/>
        <v>1</v>
      </c>
      <c r="AJ993" s="7">
        <f>+'Pegar ML'!T989</f>
        <v>0</v>
      </c>
      <c r="AK993" s="27"/>
      <c r="AL993" s="27"/>
      <c r="AM993" s="27"/>
      <c r="AN993" s="27"/>
      <c r="AO993" s="27"/>
      <c r="AP993" s="27"/>
      <c r="AQ993" s="27"/>
      <c r="AR993" s="27"/>
      <c r="AS993" s="27">
        <v>17</v>
      </c>
    </row>
    <row r="994" spans="1:45" ht="15" customHeight="1" x14ac:dyDescent="0.25">
      <c r="A994" s="27">
        <f>IF('Pegar ML'!C989="Paquete de 2 productos",'Pegar ML'!A989,IF('Pegar ML'!C988="Paquete de 2 productos",'Pegar ML'!A988,'Pegar ML'!A990))</f>
        <v>0</v>
      </c>
      <c r="B994" s="27"/>
      <c r="C994" s="30" t="str">
        <f>IF(AjusteFecha!I990=0,"",AjusteFecha!I990)</f>
        <v/>
      </c>
      <c r="D994" s="27"/>
      <c r="E994" s="27"/>
      <c r="F994" s="27" t="str">
        <f>IF('Pegar ML'!C990="","",'Pegar ML'!C990)</f>
        <v/>
      </c>
      <c r="G994" s="27" t="str">
        <f>IF('Pegar ML'!G985="ARS","PS","PS")</f>
        <v>PS</v>
      </c>
      <c r="H994" s="14">
        <f>IF('Pegar ML'!C989="Paquete de 2 productos",IF('Pegar ML'!H989="",0,'Pegar ML'!H989),IF('Pegar ML'!H990="",0,'Pegar ML'!H990))</f>
        <v>0</v>
      </c>
      <c r="I994" s="14">
        <f>IF('Pegar ML'!C989="Paquete de 2 productos",IF('Pegar ML'!O989="",0,'Pegar ML'!O989),IF('Pegar ML'!O990="",0,'Pegar ML'!O990))</f>
        <v>0</v>
      </c>
      <c r="J994" s="14">
        <f>IF('Pegar ML'!C989="Paquete de 2 productos",IF('Pegar ML'!O989="",0,'Pegar ML'!O989),IF('Pegar ML'!O990="",0,'Pegar ML'!O990))</f>
        <v>0</v>
      </c>
      <c r="K994" s="14">
        <f t="shared" si="47"/>
        <v>0</v>
      </c>
      <c r="L994" s="27">
        <f>IF('Pegar ML'!AB990=" ",'Pegar ML'!AB989,'Pegar ML'!AB990)</f>
        <v>0</v>
      </c>
      <c r="M994" s="27" t="str">
        <f>IF('Pegar ML'!AC990=" ",RIGHT('Pegar ML'!AC989,8),RIGHT('Pegar ML'!AC990,8))</f>
        <v/>
      </c>
      <c r="N994" s="27" t="s">
        <v>80</v>
      </c>
      <c r="O994" s="27">
        <f t="shared" si="45"/>
        <v>0</v>
      </c>
      <c r="P994" s="27" t="s">
        <v>80</v>
      </c>
      <c r="Q994" s="55">
        <f>IF('Pegar ML'!AD990=" ",'Pegar ML'!AD989,'Pegar ML'!AD990)</f>
        <v>0</v>
      </c>
      <c r="R994" s="27" t="s">
        <v>80</v>
      </c>
      <c r="S994" s="27" t="s">
        <v>80</v>
      </c>
      <c r="T994" s="27" t="s">
        <v>80</v>
      </c>
      <c r="U994" s="55">
        <f>IF('Pegar ML'!AI990=" ",'Pegar ML'!AI989,'Pegar ML'!AI990)</f>
        <v>0</v>
      </c>
      <c r="V994" s="55">
        <f>IF('Pegar ML'!AK990=" ",'Pegar ML'!AK989,'Pegar ML'!AK990)</f>
        <v>0</v>
      </c>
      <c r="W994" s="55">
        <f>IF('Pegar ML'!AJ990=" ",'Pegar ML'!AJ989,'Pegar ML'!AJ990)</f>
        <v>0</v>
      </c>
      <c r="X994" s="55">
        <f>IF('Pegar ML'!AL990=" ",'Pegar ML'!AL989,'Pegar ML'!AL990)</f>
        <v>0</v>
      </c>
      <c r="Y994" s="27"/>
      <c r="Z994" s="27"/>
      <c r="AA994" s="27"/>
      <c r="AB994" s="27"/>
      <c r="AC994" s="27"/>
      <c r="AD994" s="27"/>
      <c r="AF994" s="8"/>
      <c r="AG994" s="27"/>
      <c r="AH994" s="14">
        <f>+'Pegar ML'!Y990</f>
        <v>0</v>
      </c>
      <c r="AI994" s="13">
        <f t="shared" si="46"/>
        <v>1</v>
      </c>
      <c r="AJ994" s="7">
        <f>+'Pegar ML'!T990</f>
        <v>0</v>
      </c>
      <c r="AK994" s="27"/>
      <c r="AL994" s="27"/>
      <c r="AM994" s="27"/>
      <c r="AN994" s="27"/>
      <c r="AO994" s="27"/>
      <c r="AP994" s="27"/>
      <c r="AQ994" s="27"/>
      <c r="AR994" s="27"/>
      <c r="AS994" s="27">
        <v>17</v>
      </c>
    </row>
    <row r="995" spans="1:45" ht="15" customHeight="1" x14ac:dyDescent="0.25">
      <c r="A995" s="27">
        <f>IF('Pegar ML'!C990="Paquete de 2 productos",'Pegar ML'!A990,IF('Pegar ML'!C989="Paquete de 2 productos",'Pegar ML'!A989,'Pegar ML'!A991))</f>
        <v>0</v>
      </c>
      <c r="B995" s="27"/>
      <c r="C995" s="30" t="str">
        <f>IF(AjusteFecha!I991=0,"",AjusteFecha!I991)</f>
        <v/>
      </c>
      <c r="D995" s="27"/>
      <c r="E995" s="27"/>
      <c r="F995" s="27" t="str">
        <f>IF('Pegar ML'!C991="","",'Pegar ML'!C991)</f>
        <v/>
      </c>
      <c r="G995" s="27" t="str">
        <f>IF('Pegar ML'!G986="ARS","PS","PS")</f>
        <v>PS</v>
      </c>
      <c r="H995" s="14">
        <f>IF('Pegar ML'!C990="Paquete de 2 productos",IF('Pegar ML'!H990="",0,'Pegar ML'!H990),IF('Pegar ML'!H991="",0,'Pegar ML'!H991))</f>
        <v>0</v>
      </c>
      <c r="I995" s="14">
        <f>IF('Pegar ML'!C990="Paquete de 2 productos",IF('Pegar ML'!O990="",0,'Pegar ML'!O990),IF('Pegar ML'!O991="",0,'Pegar ML'!O991))</f>
        <v>0</v>
      </c>
      <c r="J995" s="14">
        <f>IF('Pegar ML'!C990="Paquete de 2 productos",IF('Pegar ML'!O990="",0,'Pegar ML'!O990),IF('Pegar ML'!O991="",0,'Pegar ML'!O991))</f>
        <v>0</v>
      </c>
      <c r="K995" s="14">
        <f t="shared" si="47"/>
        <v>0</v>
      </c>
      <c r="L995" s="27">
        <f>IF('Pegar ML'!AB991=" ",'Pegar ML'!AB990,'Pegar ML'!AB991)</f>
        <v>0</v>
      </c>
      <c r="M995" s="27" t="str">
        <f>IF('Pegar ML'!AC991=" ",RIGHT('Pegar ML'!AC990,8),RIGHT('Pegar ML'!AC991,8))</f>
        <v/>
      </c>
      <c r="N995" s="27" t="s">
        <v>80</v>
      </c>
      <c r="O995" s="27">
        <f t="shared" si="45"/>
        <v>0</v>
      </c>
      <c r="P995" s="27" t="s">
        <v>80</v>
      </c>
      <c r="Q995" s="55">
        <f>IF('Pegar ML'!AD991=" ",'Pegar ML'!AD990,'Pegar ML'!AD991)</f>
        <v>0</v>
      </c>
      <c r="R995" s="27" t="s">
        <v>80</v>
      </c>
      <c r="S995" s="27" t="s">
        <v>80</v>
      </c>
      <c r="T995" s="27" t="s">
        <v>80</v>
      </c>
      <c r="U995" s="55">
        <f>IF('Pegar ML'!AI991=" ",'Pegar ML'!AI990,'Pegar ML'!AI991)</f>
        <v>0</v>
      </c>
      <c r="V995" s="55">
        <f>IF('Pegar ML'!AK991=" ",'Pegar ML'!AK990,'Pegar ML'!AK991)</f>
        <v>0</v>
      </c>
      <c r="W995" s="55">
        <f>IF('Pegar ML'!AJ991=" ",'Pegar ML'!AJ990,'Pegar ML'!AJ991)</f>
        <v>0</v>
      </c>
      <c r="X995" s="55">
        <f>IF('Pegar ML'!AL991=" ",'Pegar ML'!AL990,'Pegar ML'!AL991)</f>
        <v>0</v>
      </c>
      <c r="Y995" s="27"/>
      <c r="Z995" s="27"/>
      <c r="AA995" s="27"/>
      <c r="AB995" s="27"/>
      <c r="AC995" s="27"/>
      <c r="AD995" s="27"/>
      <c r="AF995" s="8"/>
      <c r="AG995" s="27"/>
      <c r="AH995" s="14">
        <f>+'Pegar ML'!Y991</f>
        <v>0</v>
      </c>
      <c r="AI995" s="13">
        <f t="shared" si="46"/>
        <v>1</v>
      </c>
      <c r="AJ995" s="7">
        <f>+'Pegar ML'!T991</f>
        <v>0</v>
      </c>
      <c r="AK995" s="27"/>
      <c r="AL995" s="27"/>
      <c r="AM995" s="27"/>
      <c r="AN995" s="27"/>
      <c r="AO995" s="27"/>
      <c r="AP995" s="27"/>
      <c r="AQ995" s="27"/>
      <c r="AR995" s="27"/>
      <c r="AS995" s="27">
        <v>17</v>
      </c>
    </row>
    <row r="996" spans="1:45" ht="15" customHeight="1" x14ac:dyDescent="0.25">
      <c r="A996" s="27">
        <f>IF('Pegar ML'!C991="Paquete de 2 productos",'Pegar ML'!A991,IF('Pegar ML'!C990="Paquete de 2 productos",'Pegar ML'!A990,'Pegar ML'!A992))</f>
        <v>0</v>
      </c>
      <c r="B996" s="27"/>
      <c r="C996" s="30" t="str">
        <f>IF(AjusteFecha!I992=0,"",AjusteFecha!I992)</f>
        <v/>
      </c>
      <c r="D996" s="27"/>
      <c r="E996" s="27"/>
      <c r="F996" s="27" t="str">
        <f>IF('Pegar ML'!C992="","",'Pegar ML'!C992)</f>
        <v/>
      </c>
      <c r="G996" s="27" t="str">
        <f>IF('Pegar ML'!G987="ARS","PS","PS")</f>
        <v>PS</v>
      </c>
      <c r="H996" s="14">
        <f>IF('Pegar ML'!C991="Paquete de 2 productos",IF('Pegar ML'!H991="",0,'Pegar ML'!H991),IF('Pegar ML'!H992="",0,'Pegar ML'!H992))</f>
        <v>0</v>
      </c>
      <c r="I996" s="14">
        <f>IF('Pegar ML'!C991="Paquete de 2 productos",IF('Pegar ML'!O991="",0,'Pegar ML'!O991),IF('Pegar ML'!O992="",0,'Pegar ML'!O992))</f>
        <v>0</v>
      </c>
      <c r="J996" s="14">
        <f>IF('Pegar ML'!C991="Paquete de 2 productos",IF('Pegar ML'!O991="",0,'Pegar ML'!O991),IF('Pegar ML'!O992="",0,'Pegar ML'!O992))</f>
        <v>0</v>
      </c>
      <c r="K996" s="14">
        <f t="shared" si="47"/>
        <v>0</v>
      </c>
      <c r="L996" s="27">
        <f>IF('Pegar ML'!AB992=" ",'Pegar ML'!AB991,'Pegar ML'!AB992)</f>
        <v>0</v>
      </c>
      <c r="M996" s="27" t="str">
        <f>IF('Pegar ML'!AC992=" ",RIGHT('Pegar ML'!AC991,8),RIGHT('Pegar ML'!AC992,8))</f>
        <v/>
      </c>
      <c r="N996" s="27" t="s">
        <v>80</v>
      </c>
      <c r="O996" s="27">
        <f t="shared" si="45"/>
        <v>0</v>
      </c>
      <c r="P996" s="27" t="s">
        <v>80</v>
      </c>
      <c r="Q996" s="55">
        <f>IF('Pegar ML'!AD992=" ",'Pegar ML'!AD991,'Pegar ML'!AD992)</f>
        <v>0</v>
      </c>
      <c r="R996" s="27" t="s">
        <v>80</v>
      </c>
      <c r="S996" s="27" t="s">
        <v>80</v>
      </c>
      <c r="T996" s="27" t="s">
        <v>80</v>
      </c>
      <c r="U996" s="55">
        <f>IF('Pegar ML'!AI992=" ",'Pegar ML'!AI991,'Pegar ML'!AI992)</f>
        <v>0</v>
      </c>
      <c r="V996" s="55">
        <f>IF('Pegar ML'!AK992=" ",'Pegar ML'!AK991,'Pegar ML'!AK992)</f>
        <v>0</v>
      </c>
      <c r="W996" s="55">
        <f>IF('Pegar ML'!AJ992=" ",'Pegar ML'!AJ991,'Pegar ML'!AJ992)</f>
        <v>0</v>
      </c>
      <c r="X996" s="55">
        <f>IF('Pegar ML'!AL992=" ",'Pegar ML'!AL991,'Pegar ML'!AL992)</f>
        <v>0</v>
      </c>
      <c r="Y996" s="27"/>
      <c r="Z996" s="27"/>
      <c r="AA996" s="27"/>
      <c r="AB996" s="27"/>
      <c r="AC996" s="27"/>
      <c r="AD996" s="27"/>
      <c r="AF996" s="8"/>
      <c r="AG996" s="27"/>
      <c r="AH996" s="14">
        <f>+'Pegar ML'!Y992</f>
        <v>0</v>
      </c>
      <c r="AI996" s="13">
        <f t="shared" si="46"/>
        <v>1</v>
      </c>
      <c r="AJ996" s="7">
        <f>+'Pegar ML'!T992</f>
        <v>0</v>
      </c>
      <c r="AK996" s="27"/>
      <c r="AL996" s="27"/>
      <c r="AM996" s="27"/>
      <c r="AN996" s="27"/>
      <c r="AO996" s="27"/>
      <c r="AP996" s="27"/>
      <c r="AQ996" s="27"/>
      <c r="AR996" s="27"/>
      <c r="AS996" s="27">
        <v>17</v>
      </c>
    </row>
    <row r="997" spans="1:45" ht="15" customHeight="1" x14ac:dyDescent="0.25">
      <c r="A997" s="27">
        <f>IF('Pegar ML'!C992="Paquete de 2 productos",'Pegar ML'!A992,IF('Pegar ML'!C991="Paquete de 2 productos",'Pegar ML'!A991,'Pegar ML'!A993))</f>
        <v>0</v>
      </c>
      <c r="B997" s="27"/>
      <c r="C997" s="30" t="str">
        <f>IF(AjusteFecha!I993=0,"",AjusteFecha!I993)</f>
        <v/>
      </c>
      <c r="D997" s="27"/>
      <c r="E997" s="27"/>
      <c r="F997" s="27" t="str">
        <f>IF('Pegar ML'!C993="","",'Pegar ML'!C993)</f>
        <v/>
      </c>
      <c r="G997" s="27" t="str">
        <f>IF('Pegar ML'!G988="ARS","PS","PS")</f>
        <v>PS</v>
      </c>
      <c r="H997" s="14">
        <f>IF('Pegar ML'!C992="Paquete de 2 productos",IF('Pegar ML'!H992="",0,'Pegar ML'!H992),IF('Pegar ML'!H993="",0,'Pegar ML'!H993))</f>
        <v>0</v>
      </c>
      <c r="I997" s="14">
        <f>IF('Pegar ML'!C992="Paquete de 2 productos",IF('Pegar ML'!O992="",0,'Pegar ML'!O992),IF('Pegar ML'!O993="",0,'Pegar ML'!O993))</f>
        <v>0</v>
      </c>
      <c r="J997" s="14">
        <f>IF('Pegar ML'!C992="Paquete de 2 productos",IF('Pegar ML'!O992="",0,'Pegar ML'!O992),IF('Pegar ML'!O993="",0,'Pegar ML'!O993))</f>
        <v>0</v>
      </c>
      <c r="K997" s="14">
        <f t="shared" si="47"/>
        <v>0</v>
      </c>
      <c r="L997" s="27">
        <f>IF('Pegar ML'!AB993=" ",'Pegar ML'!AB992,'Pegar ML'!AB993)</f>
        <v>0</v>
      </c>
      <c r="M997" s="27" t="str">
        <f>IF('Pegar ML'!AC993=" ",RIGHT('Pegar ML'!AC992,8),RIGHT('Pegar ML'!AC993,8))</f>
        <v/>
      </c>
      <c r="N997" s="27" t="s">
        <v>80</v>
      </c>
      <c r="O997" s="27">
        <f t="shared" si="45"/>
        <v>0</v>
      </c>
      <c r="P997" s="27" t="s">
        <v>80</v>
      </c>
      <c r="Q997" s="55">
        <f>IF('Pegar ML'!AD993=" ",'Pegar ML'!AD992,'Pegar ML'!AD993)</f>
        <v>0</v>
      </c>
      <c r="R997" s="27" t="s">
        <v>80</v>
      </c>
      <c r="S997" s="27" t="s">
        <v>80</v>
      </c>
      <c r="T997" s="27" t="s">
        <v>80</v>
      </c>
      <c r="U997" s="55">
        <f>IF('Pegar ML'!AI993=" ",'Pegar ML'!AI992,'Pegar ML'!AI993)</f>
        <v>0</v>
      </c>
      <c r="V997" s="55">
        <f>IF('Pegar ML'!AK993=" ",'Pegar ML'!AK992,'Pegar ML'!AK993)</f>
        <v>0</v>
      </c>
      <c r="W997" s="55">
        <f>IF('Pegar ML'!AJ993=" ",'Pegar ML'!AJ992,'Pegar ML'!AJ993)</f>
        <v>0</v>
      </c>
      <c r="X997" s="55">
        <f>IF('Pegar ML'!AL993=" ",'Pegar ML'!AL992,'Pegar ML'!AL993)</f>
        <v>0</v>
      </c>
      <c r="Y997" s="27"/>
      <c r="Z997" s="27"/>
      <c r="AA997" s="27"/>
      <c r="AB997" s="27"/>
      <c r="AC997" s="27"/>
      <c r="AD997" s="27"/>
      <c r="AF997" s="8"/>
      <c r="AG997" s="27"/>
      <c r="AH997" s="14">
        <f>+'Pegar ML'!Y993</f>
        <v>0</v>
      </c>
      <c r="AI997" s="13">
        <f t="shared" si="46"/>
        <v>1</v>
      </c>
      <c r="AJ997" s="7">
        <f>+'Pegar ML'!T993</f>
        <v>0</v>
      </c>
      <c r="AK997" s="27"/>
      <c r="AL997" s="27"/>
      <c r="AM997" s="27"/>
      <c r="AN997" s="27"/>
      <c r="AO997" s="27"/>
      <c r="AP997" s="27"/>
      <c r="AQ997" s="27"/>
      <c r="AR997" s="27"/>
      <c r="AS997" s="27">
        <v>17</v>
      </c>
    </row>
    <row r="998" spans="1:45" ht="15" customHeight="1" x14ac:dyDescent="0.25">
      <c r="A998" s="27">
        <f>IF('Pegar ML'!C993="Paquete de 2 productos",'Pegar ML'!A993,IF('Pegar ML'!C992="Paquete de 2 productos",'Pegar ML'!A992,'Pegar ML'!A994))</f>
        <v>0</v>
      </c>
      <c r="B998" s="27"/>
      <c r="C998" s="30" t="str">
        <f>IF(AjusteFecha!I994=0,"",AjusteFecha!I994)</f>
        <v/>
      </c>
      <c r="D998" s="27"/>
      <c r="E998" s="27"/>
      <c r="F998" s="27" t="str">
        <f>IF('Pegar ML'!C994="","",'Pegar ML'!C994)</f>
        <v/>
      </c>
      <c r="G998" s="27" t="str">
        <f>IF('Pegar ML'!G989="ARS","PS","PS")</f>
        <v>PS</v>
      </c>
      <c r="H998" s="14">
        <f>IF('Pegar ML'!C993="Paquete de 2 productos",IF('Pegar ML'!H993="",0,'Pegar ML'!H993),IF('Pegar ML'!H994="",0,'Pegar ML'!H994))</f>
        <v>0</v>
      </c>
      <c r="I998" s="14">
        <f>IF('Pegar ML'!C993="Paquete de 2 productos",IF('Pegar ML'!O993="",0,'Pegar ML'!O993),IF('Pegar ML'!O994="",0,'Pegar ML'!O994))</f>
        <v>0</v>
      </c>
      <c r="J998" s="14">
        <f>IF('Pegar ML'!C993="Paquete de 2 productos",IF('Pegar ML'!O993="",0,'Pegar ML'!O993),IF('Pegar ML'!O994="",0,'Pegar ML'!O994))</f>
        <v>0</v>
      </c>
      <c r="K998" s="14">
        <f t="shared" si="47"/>
        <v>0</v>
      </c>
      <c r="L998" s="27">
        <f>IF('Pegar ML'!AB994=" ",'Pegar ML'!AB993,'Pegar ML'!AB994)</f>
        <v>0</v>
      </c>
      <c r="M998" s="27" t="str">
        <f>IF('Pegar ML'!AC994=" ",RIGHT('Pegar ML'!AC993,8),RIGHT('Pegar ML'!AC994,8))</f>
        <v/>
      </c>
      <c r="N998" s="27" t="s">
        <v>80</v>
      </c>
      <c r="O998" s="27">
        <f t="shared" si="45"/>
        <v>0</v>
      </c>
      <c r="P998" s="27" t="s">
        <v>80</v>
      </c>
      <c r="Q998" s="55">
        <f>IF('Pegar ML'!AD994=" ",'Pegar ML'!AD993,'Pegar ML'!AD994)</f>
        <v>0</v>
      </c>
      <c r="R998" s="27" t="s">
        <v>80</v>
      </c>
      <c r="S998" s="27" t="s">
        <v>80</v>
      </c>
      <c r="T998" s="27" t="s">
        <v>80</v>
      </c>
      <c r="U998" s="55">
        <f>IF('Pegar ML'!AI994=" ",'Pegar ML'!AI993,'Pegar ML'!AI994)</f>
        <v>0</v>
      </c>
      <c r="V998" s="55">
        <f>IF('Pegar ML'!AK994=" ",'Pegar ML'!AK993,'Pegar ML'!AK994)</f>
        <v>0</v>
      </c>
      <c r="W998" s="55">
        <f>IF('Pegar ML'!AJ994=" ",'Pegar ML'!AJ993,'Pegar ML'!AJ994)</f>
        <v>0</v>
      </c>
      <c r="X998" s="55">
        <f>IF('Pegar ML'!AL994=" ",'Pegar ML'!AL993,'Pegar ML'!AL994)</f>
        <v>0</v>
      </c>
      <c r="Y998" s="27"/>
      <c r="Z998" s="27"/>
      <c r="AA998" s="27"/>
      <c r="AB998" s="27"/>
      <c r="AC998" s="27"/>
      <c r="AD998" s="27"/>
      <c r="AF998" s="8"/>
      <c r="AG998" s="27"/>
      <c r="AH998" s="14">
        <f>+'Pegar ML'!Y994</f>
        <v>0</v>
      </c>
      <c r="AI998" s="13">
        <f t="shared" si="46"/>
        <v>1</v>
      </c>
      <c r="AJ998" s="7">
        <f>+'Pegar ML'!T994</f>
        <v>0</v>
      </c>
      <c r="AK998" s="27"/>
      <c r="AL998" s="27"/>
      <c r="AM998" s="27"/>
      <c r="AN998" s="27"/>
      <c r="AO998" s="27"/>
      <c r="AP998" s="27"/>
      <c r="AQ998" s="27"/>
      <c r="AR998" s="27"/>
      <c r="AS998" s="27">
        <v>17</v>
      </c>
    </row>
    <row r="999" spans="1:45" ht="15" customHeight="1" x14ac:dyDescent="0.25">
      <c r="A999" s="27">
        <f>IF('Pegar ML'!C994="Paquete de 2 productos",'Pegar ML'!A994,IF('Pegar ML'!C993="Paquete de 2 productos",'Pegar ML'!A993,'Pegar ML'!A995))</f>
        <v>0</v>
      </c>
      <c r="B999" s="27"/>
      <c r="C999" s="30" t="str">
        <f>IF(AjusteFecha!I995=0,"",AjusteFecha!I995)</f>
        <v/>
      </c>
      <c r="D999" s="27"/>
      <c r="E999" s="27"/>
      <c r="F999" s="27" t="str">
        <f>IF('Pegar ML'!C995="","",'Pegar ML'!C995)</f>
        <v/>
      </c>
      <c r="G999" s="27" t="str">
        <f>IF('Pegar ML'!G990="ARS","PS","PS")</f>
        <v>PS</v>
      </c>
      <c r="H999" s="14">
        <f>IF('Pegar ML'!C994="Paquete de 2 productos",IF('Pegar ML'!H994="",0,'Pegar ML'!H994),IF('Pegar ML'!H995="",0,'Pegar ML'!H995))</f>
        <v>0</v>
      </c>
      <c r="I999" s="14">
        <f>IF('Pegar ML'!C994="Paquete de 2 productos",IF('Pegar ML'!O994="",0,'Pegar ML'!O994),IF('Pegar ML'!O995="",0,'Pegar ML'!O995))</f>
        <v>0</v>
      </c>
      <c r="J999" s="14">
        <f>IF('Pegar ML'!C994="Paquete de 2 productos",IF('Pegar ML'!O994="",0,'Pegar ML'!O994),IF('Pegar ML'!O995="",0,'Pegar ML'!O995))</f>
        <v>0</v>
      </c>
      <c r="K999" s="14">
        <f t="shared" si="47"/>
        <v>0</v>
      </c>
      <c r="L999" s="27">
        <f>IF('Pegar ML'!AB995=" ",'Pegar ML'!AB994,'Pegar ML'!AB995)</f>
        <v>0</v>
      </c>
      <c r="M999" s="27" t="str">
        <f>IF('Pegar ML'!AC995=" ",RIGHT('Pegar ML'!AC994,8),RIGHT('Pegar ML'!AC995,8))</f>
        <v/>
      </c>
      <c r="N999" s="27" t="s">
        <v>80</v>
      </c>
      <c r="O999" s="27">
        <f t="shared" si="45"/>
        <v>0</v>
      </c>
      <c r="P999" s="27" t="s">
        <v>80</v>
      </c>
      <c r="Q999" s="55">
        <f>IF('Pegar ML'!AD995=" ",'Pegar ML'!AD994,'Pegar ML'!AD995)</f>
        <v>0</v>
      </c>
      <c r="R999" s="27" t="s">
        <v>80</v>
      </c>
      <c r="S999" s="27" t="s">
        <v>80</v>
      </c>
      <c r="T999" s="27" t="s">
        <v>80</v>
      </c>
      <c r="U999" s="55">
        <f>IF('Pegar ML'!AI995=" ",'Pegar ML'!AI994,'Pegar ML'!AI995)</f>
        <v>0</v>
      </c>
      <c r="V999" s="55">
        <f>IF('Pegar ML'!AK995=" ",'Pegar ML'!AK994,'Pegar ML'!AK995)</f>
        <v>0</v>
      </c>
      <c r="W999" s="55">
        <f>IF('Pegar ML'!AJ995=" ",'Pegar ML'!AJ994,'Pegar ML'!AJ995)</f>
        <v>0</v>
      </c>
      <c r="X999" s="55">
        <f>IF('Pegar ML'!AL995=" ",'Pegar ML'!AL994,'Pegar ML'!AL995)</f>
        <v>0</v>
      </c>
      <c r="Y999" s="27"/>
      <c r="Z999" s="27"/>
      <c r="AA999" s="27"/>
      <c r="AB999" s="27"/>
      <c r="AC999" s="27"/>
      <c r="AD999" s="27"/>
      <c r="AF999" s="8"/>
      <c r="AG999" s="27"/>
      <c r="AH999" s="14">
        <f>+'Pegar ML'!Y995</f>
        <v>0</v>
      </c>
      <c r="AI999" s="13">
        <f t="shared" si="46"/>
        <v>1</v>
      </c>
      <c r="AJ999" s="7">
        <f>+'Pegar ML'!T995</f>
        <v>0</v>
      </c>
      <c r="AK999" s="27"/>
      <c r="AL999" s="27"/>
      <c r="AM999" s="27"/>
      <c r="AN999" s="27"/>
      <c r="AO999" s="27"/>
      <c r="AP999" s="27"/>
      <c r="AQ999" s="27"/>
      <c r="AR999" s="27"/>
      <c r="AS999" s="27">
        <v>17</v>
      </c>
    </row>
    <row r="1000" spans="1:45" ht="15" customHeight="1" x14ac:dyDescent="0.25">
      <c r="A1000" s="27">
        <f>IF('Pegar ML'!C995="Paquete de 2 productos",'Pegar ML'!A995,IF('Pegar ML'!C994="Paquete de 2 productos",'Pegar ML'!A994,'Pegar ML'!A996))</f>
        <v>0</v>
      </c>
      <c r="B1000" s="27"/>
      <c r="C1000" s="30" t="str">
        <f>IF(AjusteFecha!I996=0,"",AjusteFecha!I996)</f>
        <v/>
      </c>
      <c r="D1000" s="27"/>
      <c r="E1000" s="27"/>
      <c r="F1000" s="27" t="str">
        <f>IF('Pegar ML'!C996="","",'Pegar ML'!C996)</f>
        <v/>
      </c>
      <c r="G1000" s="27" t="str">
        <f>IF('Pegar ML'!G991="ARS","PS","PS")</f>
        <v>PS</v>
      </c>
      <c r="H1000" s="14">
        <f>IF('Pegar ML'!C995="Paquete de 2 productos",IF('Pegar ML'!H995="",0,'Pegar ML'!H995),IF('Pegar ML'!H996="",0,'Pegar ML'!H996))</f>
        <v>0</v>
      </c>
      <c r="I1000" s="14">
        <f>IF('Pegar ML'!C995="Paquete de 2 productos",IF('Pegar ML'!O995="",0,'Pegar ML'!O995),IF('Pegar ML'!O996="",0,'Pegar ML'!O996))</f>
        <v>0</v>
      </c>
      <c r="J1000" s="14">
        <f>IF('Pegar ML'!C995="Paquete de 2 productos",IF('Pegar ML'!O995="",0,'Pegar ML'!O995),IF('Pegar ML'!O996="",0,'Pegar ML'!O996))</f>
        <v>0</v>
      </c>
      <c r="K1000" s="14">
        <f t="shared" si="47"/>
        <v>0</v>
      </c>
      <c r="L1000" s="27">
        <f>IF('Pegar ML'!AB996=" ",'Pegar ML'!AB995,'Pegar ML'!AB996)</f>
        <v>0</v>
      </c>
      <c r="M1000" s="27" t="str">
        <f>IF('Pegar ML'!AC996=" ",RIGHT('Pegar ML'!AC995,8),RIGHT('Pegar ML'!AC996,8))</f>
        <v/>
      </c>
      <c r="N1000" s="27" t="s">
        <v>80</v>
      </c>
      <c r="O1000" s="27">
        <f t="shared" si="45"/>
        <v>0</v>
      </c>
      <c r="P1000" s="27" t="s">
        <v>80</v>
      </c>
      <c r="Q1000" s="55">
        <f>IF('Pegar ML'!AD996=" ",'Pegar ML'!AD995,'Pegar ML'!AD996)</f>
        <v>0</v>
      </c>
      <c r="R1000" s="27" t="s">
        <v>80</v>
      </c>
      <c r="S1000" s="27" t="s">
        <v>80</v>
      </c>
      <c r="T1000" s="27" t="s">
        <v>80</v>
      </c>
      <c r="U1000" s="55">
        <f>IF('Pegar ML'!AI996=" ",'Pegar ML'!AI995,'Pegar ML'!AI996)</f>
        <v>0</v>
      </c>
      <c r="V1000" s="55">
        <f>IF('Pegar ML'!AK996=" ",'Pegar ML'!AK995,'Pegar ML'!AK996)</f>
        <v>0</v>
      </c>
      <c r="W1000" s="55">
        <f>IF('Pegar ML'!AJ996=" ",'Pegar ML'!AJ995,'Pegar ML'!AJ996)</f>
        <v>0</v>
      </c>
      <c r="X1000" s="55">
        <f>IF('Pegar ML'!AL996=" ",'Pegar ML'!AL995,'Pegar ML'!AL996)</f>
        <v>0</v>
      </c>
      <c r="Y1000" s="27"/>
      <c r="Z1000" s="27"/>
      <c r="AA1000" s="27"/>
      <c r="AB1000" s="27"/>
      <c r="AC1000" s="27"/>
      <c r="AD1000" s="27"/>
      <c r="AF1000" s="8"/>
      <c r="AG1000" s="27"/>
      <c r="AH1000" s="14">
        <f>+'Pegar ML'!Y996</f>
        <v>0</v>
      </c>
      <c r="AI1000" s="13">
        <f t="shared" si="46"/>
        <v>1</v>
      </c>
      <c r="AJ1000" s="7">
        <f>+'Pegar ML'!T996</f>
        <v>0</v>
      </c>
      <c r="AK1000" s="27"/>
      <c r="AL1000" s="27"/>
      <c r="AM1000" s="27"/>
      <c r="AN1000" s="27"/>
      <c r="AO1000" s="27"/>
      <c r="AP1000" s="27"/>
      <c r="AQ1000" s="27"/>
      <c r="AR1000" s="27"/>
      <c r="AS1000" s="27">
        <v>17</v>
      </c>
    </row>
    <row r="1001" spans="1:45" ht="15" customHeight="1" x14ac:dyDescent="0.25">
      <c r="A1001" s="27">
        <f>IF('Pegar ML'!C996="Paquete de 2 productos",'Pegar ML'!A996,IF('Pegar ML'!C995="Paquete de 2 productos",'Pegar ML'!A995,'Pegar ML'!A997))</f>
        <v>0</v>
      </c>
      <c r="B1001" s="27"/>
      <c r="C1001" s="30" t="str">
        <f>IF(AjusteFecha!I997=0,"",AjusteFecha!I997)</f>
        <v/>
      </c>
      <c r="D1001" s="27"/>
      <c r="E1001" s="27"/>
      <c r="F1001" s="27" t="str">
        <f>IF('Pegar ML'!C997="","",'Pegar ML'!C997)</f>
        <v/>
      </c>
      <c r="G1001" s="27" t="str">
        <f>IF('Pegar ML'!G992="ARS","PS","PS")</f>
        <v>PS</v>
      </c>
      <c r="H1001" s="14">
        <f>IF('Pegar ML'!C996="Paquete de 2 productos",IF('Pegar ML'!H996="",0,'Pegar ML'!H996),IF('Pegar ML'!H997="",0,'Pegar ML'!H997))</f>
        <v>0</v>
      </c>
      <c r="I1001" s="14">
        <f>IF('Pegar ML'!C996="Paquete de 2 productos",IF('Pegar ML'!O996="",0,'Pegar ML'!O996),IF('Pegar ML'!O997="",0,'Pegar ML'!O997))</f>
        <v>0</v>
      </c>
      <c r="J1001" s="14">
        <f>IF('Pegar ML'!C996="Paquete de 2 productos",IF('Pegar ML'!O996="",0,'Pegar ML'!O996),IF('Pegar ML'!O997="",0,'Pegar ML'!O997))</f>
        <v>0</v>
      </c>
      <c r="K1001" s="14">
        <f t="shared" si="47"/>
        <v>0</v>
      </c>
      <c r="L1001" s="27">
        <f>IF('Pegar ML'!AB997=" ",'Pegar ML'!AB996,'Pegar ML'!AB997)</f>
        <v>0</v>
      </c>
      <c r="M1001" s="27" t="str">
        <f>IF('Pegar ML'!AC997=" ",RIGHT('Pegar ML'!AC996,8),RIGHT('Pegar ML'!AC997,8))</f>
        <v/>
      </c>
      <c r="N1001" s="27" t="s">
        <v>80</v>
      </c>
      <c r="O1001" s="27">
        <f t="shared" si="45"/>
        <v>0</v>
      </c>
      <c r="P1001" s="27" t="s">
        <v>80</v>
      </c>
      <c r="Q1001" s="55">
        <f>IF('Pegar ML'!AD997=" ",'Pegar ML'!AD996,'Pegar ML'!AD997)</f>
        <v>0</v>
      </c>
      <c r="R1001" s="27" t="s">
        <v>80</v>
      </c>
      <c r="S1001" s="27" t="s">
        <v>80</v>
      </c>
      <c r="T1001" s="27" t="s">
        <v>80</v>
      </c>
      <c r="U1001" s="55">
        <f>IF('Pegar ML'!AI997=" ",'Pegar ML'!AI996,'Pegar ML'!AI997)</f>
        <v>0</v>
      </c>
      <c r="V1001" s="55">
        <f>IF('Pegar ML'!AK997=" ",'Pegar ML'!AK996,'Pegar ML'!AK997)</f>
        <v>0</v>
      </c>
      <c r="W1001" s="55">
        <f>IF('Pegar ML'!AJ997=" ",'Pegar ML'!AJ996,'Pegar ML'!AJ997)</f>
        <v>0</v>
      </c>
      <c r="X1001" s="55">
        <f>IF('Pegar ML'!AL997=" ",'Pegar ML'!AL996,'Pegar ML'!AL997)</f>
        <v>0</v>
      </c>
      <c r="Y1001" s="27"/>
      <c r="Z1001" s="27"/>
      <c r="AA1001" s="27"/>
      <c r="AB1001" s="27"/>
      <c r="AC1001" s="27"/>
      <c r="AD1001" s="27"/>
      <c r="AF1001" s="8"/>
      <c r="AG1001" s="27"/>
      <c r="AH1001" s="14">
        <f>+'Pegar ML'!Y997</f>
        <v>0</v>
      </c>
      <c r="AI1001" s="13">
        <f t="shared" si="46"/>
        <v>1</v>
      </c>
      <c r="AJ1001" s="7">
        <f>+'Pegar ML'!T997</f>
        <v>0</v>
      </c>
      <c r="AK1001" s="27"/>
      <c r="AL1001" s="27"/>
      <c r="AM1001" s="27"/>
      <c r="AN1001" s="27"/>
      <c r="AO1001" s="27"/>
      <c r="AP1001" s="27"/>
      <c r="AQ1001" s="27"/>
      <c r="AR1001" s="27"/>
      <c r="AS1001" s="27">
        <v>17</v>
      </c>
    </row>
    <row r="1002" spans="1:45" ht="15" customHeight="1" x14ac:dyDescent="0.25">
      <c r="A1002" s="27">
        <f>IF('Pegar ML'!C997="Paquete de 2 productos",'Pegar ML'!A997,IF('Pegar ML'!C996="Paquete de 2 productos",'Pegar ML'!A996,'Pegar ML'!A998))</f>
        <v>0</v>
      </c>
      <c r="B1002" s="27"/>
      <c r="C1002" s="30" t="str">
        <f>IF(AjusteFecha!I998=0,"",AjusteFecha!I998)</f>
        <v/>
      </c>
      <c r="D1002" s="27"/>
      <c r="E1002" s="27"/>
      <c r="F1002" s="27" t="str">
        <f>IF('Pegar ML'!C998="","",'Pegar ML'!C998)</f>
        <v/>
      </c>
      <c r="G1002" s="27" t="str">
        <f>IF('Pegar ML'!G993="ARS","PS","PS")</f>
        <v>PS</v>
      </c>
      <c r="H1002" s="14">
        <f>IF('Pegar ML'!C997="Paquete de 2 productos",IF('Pegar ML'!H997="",0,'Pegar ML'!H997),IF('Pegar ML'!H998="",0,'Pegar ML'!H998))</f>
        <v>0</v>
      </c>
      <c r="I1002" s="14">
        <f>IF('Pegar ML'!C997="Paquete de 2 productos",IF('Pegar ML'!O997="",0,'Pegar ML'!O997),IF('Pegar ML'!O998="",0,'Pegar ML'!O998))</f>
        <v>0</v>
      </c>
      <c r="J1002" s="14">
        <f>IF('Pegar ML'!C997="Paquete de 2 productos",IF('Pegar ML'!O997="",0,'Pegar ML'!O997),IF('Pegar ML'!O998="",0,'Pegar ML'!O998))</f>
        <v>0</v>
      </c>
      <c r="K1002" s="14">
        <f t="shared" si="47"/>
        <v>0</v>
      </c>
      <c r="L1002" s="27">
        <f>IF('Pegar ML'!AB998=" ",'Pegar ML'!AB997,'Pegar ML'!AB998)</f>
        <v>0</v>
      </c>
      <c r="M1002" s="27" t="str">
        <f>IF('Pegar ML'!AC998=" ",RIGHT('Pegar ML'!AC997,8),RIGHT('Pegar ML'!AC998,8))</f>
        <v/>
      </c>
      <c r="N1002" s="27" t="s">
        <v>80</v>
      </c>
      <c r="O1002" s="27">
        <f t="shared" si="45"/>
        <v>0</v>
      </c>
      <c r="P1002" s="27" t="s">
        <v>80</v>
      </c>
      <c r="Q1002" s="55">
        <f>IF('Pegar ML'!AD998=" ",'Pegar ML'!AD997,'Pegar ML'!AD998)</f>
        <v>0</v>
      </c>
      <c r="R1002" s="27" t="s">
        <v>80</v>
      </c>
      <c r="S1002" s="27" t="s">
        <v>80</v>
      </c>
      <c r="T1002" s="27" t="s">
        <v>80</v>
      </c>
      <c r="U1002" s="55">
        <f>IF('Pegar ML'!AI998=" ",'Pegar ML'!AI997,'Pegar ML'!AI998)</f>
        <v>0</v>
      </c>
      <c r="V1002" s="55">
        <f>IF('Pegar ML'!AK998=" ",'Pegar ML'!AK997,'Pegar ML'!AK998)</f>
        <v>0</v>
      </c>
      <c r="W1002" s="55">
        <f>IF('Pegar ML'!AJ998=" ",'Pegar ML'!AJ997,'Pegar ML'!AJ998)</f>
        <v>0</v>
      </c>
      <c r="X1002" s="55">
        <f>IF('Pegar ML'!AL998=" ",'Pegar ML'!AL997,'Pegar ML'!AL998)</f>
        <v>0</v>
      </c>
      <c r="Y1002" s="27"/>
      <c r="Z1002" s="27"/>
      <c r="AA1002" s="27"/>
      <c r="AB1002" s="27"/>
      <c r="AC1002" s="27"/>
      <c r="AD1002" s="27"/>
      <c r="AF1002" s="8"/>
      <c r="AG1002" s="27"/>
      <c r="AH1002" s="14">
        <f>+'Pegar ML'!Y998</f>
        <v>0</v>
      </c>
      <c r="AI1002" s="13">
        <f t="shared" si="46"/>
        <v>1</v>
      </c>
      <c r="AJ1002" s="7">
        <f>+'Pegar ML'!T998</f>
        <v>0</v>
      </c>
      <c r="AK1002" s="27"/>
      <c r="AL1002" s="27"/>
      <c r="AM1002" s="27"/>
      <c r="AN1002" s="27"/>
      <c r="AO1002" s="27"/>
      <c r="AP1002" s="27"/>
      <c r="AQ1002" s="27"/>
      <c r="AR1002" s="27"/>
      <c r="AS1002" s="27">
        <v>17</v>
      </c>
    </row>
    <row r="1003" spans="1:45" ht="15" customHeight="1" x14ac:dyDescent="0.25">
      <c r="A1003" s="27">
        <f>IF('Pegar ML'!C998="Paquete de 2 productos",'Pegar ML'!A998,IF('Pegar ML'!C997="Paquete de 2 productos",'Pegar ML'!A997,'Pegar ML'!A999))</f>
        <v>0</v>
      </c>
      <c r="B1003" s="27"/>
      <c r="C1003" s="30" t="str">
        <f>IF(AjusteFecha!I999=0,"",AjusteFecha!I999)</f>
        <v/>
      </c>
      <c r="D1003" s="27"/>
      <c r="E1003" s="27"/>
      <c r="F1003" s="27" t="str">
        <f>IF('Pegar ML'!C999="","",'Pegar ML'!C999)</f>
        <v/>
      </c>
      <c r="G1003" s="27" t="str">
        <f>IF('Pegar ML'!G994="ARS","PS","PS")</f>
        <v>PS</v>
      </c>
      <c r="H1003" s="14">
        <f>IF('Pegar ML'!C998="Paquete de 2 productos",IF('Pegar ML'!H998="",0,'Pegar ML'!H998),IF('Pegar ML'!H999="",0,'Pegar ML'!H999))</f>
        <v>0</v>
      </c>
      <c r="I1003" s="14">
        <f>IF('Pegar ML'!C998="Paquete de 2 productos",IF('Pegar ML'!O998="",0,'Pegar ML'!O998),IF('Pegar ML'!O999="",0,'Pegar ML'!O999))</f>
        <v>0</v>
      </c>
      <c r="J1003" s="14">
        <f>IF('Pegar ML'!C998="Paquete de 2 productos",IF('Pegar ML'!O998="",0,'Pegar ML'!O998),IF('Pegar ML'!O999="",0,'Pegar ML'!O999))</f>
        <v>0</v>
      </c>
      <c r="K1003" s="14">
        <f t="shared" si="47"/>
        <v>0</v>
      </c>
      <c r="L1003" s="27">
        <f>IF('Pegar ML'!AB999=" ",'Pegar ML'!AB998,'Pegar ML'!AB999)</f>
        <v>0</v>
      </c>
      <c r="M1003" s="27" t="str">
        <f>IF('Pegar ML'!AC999=" ",RIGHT('Pegar ML'!AC998,8),RIGHT('Pegar ML'!AC999,8))</f>
        <v/>
      </c>
      <c r="N1003" s="27" t="s">
        <v>80</v>
      </c>
      <c r="O1003" s="27">
        <f t="shared" si="45"/>
        <v>0</v>
      </c>
      <c r="P1003" s="27" t="s">
        <v>80</v>
      </c>
      <c r="Q1003" s="55">
        <f>IF('Pegar ML'!AD999=" ",'Pegar ML'!AD998,'Pegar ML'!AD999)</f>
        <v>0</v>
      </c>
      <c r="R1003" s="27" t="s">
        <v>80</v>
      </c>
      <c r="S1003" s="27" t="s">
        <v>80</v>
      </c>
      <c r="T1003" s="27" t="s">
        <v>80</v>
      </c>
      <c r="U1003" s="55">
        <f>IF('Pegar ML'!AI999=" ",'Pegar ML'!AI998,'Pegar ML'!AI999)</f>
        <v>0</v>
      </c>
      <c r="V1003" s="55">
        <f>IF('Pegar ML'!AK999=" ",'Pegar ML'!AK998,'Pegar ML'!AK999)</f>
        <v>0</v>
      </c>
      <c r="W1003" s="55">
        <f>IF('Pegar ML'!AJ999=" ",'Pegar ML'!AJ998,'Pegar ML'!AJ999)</f>
        <v>0</v>
      </c>
      <c r="X1003" s="55">
        <f>IF('Pegar ML'!AL999=" ",'Pegar ML'!AL998,'Pegar ML'!AL999)</f>
        <v>0</v>
      </c>
      <c r="Y1003" s="27"/>
      <c r="Z1003" s="27"/>
      <c r="AA1003" s="27"/>
      <c r="AB1003" s="27"/>
      <c r="AC1003" s="27"/>
      <c r="AD1003" s="27"/>
      <c r="AF1003" s="8"/>
      <c r="AG1003" s="27"/>
      <c r="AH1003" s="14">
        <f>+'Pegar ML'!Y999</f>
        <v>0</v>
      </c>
      <c r="AI1003" s="13">
        <f t="shared" si="46"/>
        <v>1</v>
      </c>
      <c r="AJ1003" s="7">
        <f>+'Pegar ML'!T999</f>
        <v>0</v>
      </c>
      <c r="AK1003" s="27"/>
      <c r="AL1003" s="27"/>
      <c r="AM1003" s="27"/>
      <c r="AN1003" s="27"/>
      <c r="AO1003" s="27"/>
      <c r="AP1003" s="27"/>
      <c r="AQ1003" s="27"/>
      <c r="AR1003" s="27"/>
      <c r="AS1003" s="27">
        <v>17</v>
      </c>
    </row>
    <row r="1004" spans="1:45" ht="15" customHeight="1" x14ac:dyDescent="0.25">
      <c r="A1004" s="27">
        <f>IF('Pegar ML'!C999="Paquete de 2 productos",'Pegar ML'!A999,IF('Pegar ML'!C998="Paquete de 2 productos",'Pegar ML'!A998,'Pegar ML'!A1000))</f>
        <v>0</v>
      </c>
      <c r="B1004" s="27"/>
      <c r="C1004" s="30" t="str">
        <f>IF(AjusteFecha!I1000=0,"",AjusteFecha!I1000)</f>
        <v/>
      </c>
      <c r="D1004" s="27"/>
      <c r="E1004" s="27"/>
      <c r="F1004" s="27" t="str">
        <f>IF('Pegar ML'!C1000="","",'Pegar ML'!C1000)</f>
        <v/>
      </c>
      <c r="G1004" s="27" t="str">
        <f>IF('Pegar ML'!G995="ARS","PS","PS")</f>
        <v>PS</v>
      </c>
      <c r="H1004" s="14">
        <f>IF('Pegar ML'!C999="Paquete de 2 productos",IF('Pegar ML'!H999="",0,'Pegar ML'!H999),IF('Pegar ML'!H1000="",0,'Pegar ML'!H1000))</f>
        <v>0</v>
      </c>
      <c r="I1004" s="14">
        <f>IF('Pegar ML'!C999="Paquete de 2 productos",IF('Pegar ML'!O999="",0,'Pegar ML'!O999),IF('Pegar ML'!O1000="",0,'Pegar ML'!O1000))</f>
        <v>0</v>
      </c>
      <c r="J1004" s="14">
        <f>IF('Pegar ML'!C999="Paquete de 2 productos",IF('Pegar ML'!O999="",0,'Pegar ML'!O999),IF('Pegar ML'!O1000="",0,'Pegar ML'!O1000))</f>
        <v>0</v>
      </c>
      <c r="K1004" s="14">
        <f t="shared" si="47"/>
        <v>0</v>
      </c>
      <c r="L1004" s="27">
        <f>IF('Pegar ML'!AB1000=" ",'Pegar ML'!AB999,'Pegar ML'!AB1000)</f>
        <v>0</v>
      </c>
      <c r="M1004" s="27" t="str">
        <f>IF('Pegar ML'!AC1000=" ",RIGHT('Pegar ML'!AC999,8),RIGHT('Pegar ML'!AC1000,8))</f>
        <v/>
      </c>
      <c r="N1004" s="27" t="s">
        <v>80</v>
      </c>
      <c r="O1004" s="27">
        <f t="shared" si="45"/>
        <v>0</v>
      </c>
      <c r="P1004" s="27" t="s">
        <v>80</v>
      </c>
      <c r="Q1004" s="55">
        <f>IF('Pegar ML'!AD1000=" ",'Pegar ML'!AD999,'Pegar ML'!AD1000)</f>
        <v>0</v>
      </c>
      <c r="R1004" s="27" t="s">
        <v>80</v>
      </c>
      <c r="S1004" s="27" t="s">
        <v>80</v>
      </c>
      <c r="T1004" s="27" t="s">
        <v>80</v>
      </c>
      <c r="U1004" s="55">
        <f>IF('Pegar ML'!AI1000=" ",'Pegar ML'!AI999,'Pegar ML'!AI1000)</f>
        <v>0</v>
      </c>
      <c r="V1004" s="55">
        <f>IF('Pegar ML'!AK1000=" ",'Pegar ML'!AK999,'Pegar ML'!AK1000)</f>
        <v>0</v>
      </c>
      <c r="W1004" s="55">
        <f>IF('Pegar ML'!AJ1000=" ",'Pegar ML'!AJ999,'Pegar ML'!AJ1000)</f>
        <v>0</v>
      </c>
      <c r="X1004" s="55">
        <f>IF('Pegar ML'!AL1000=" ",'Pegar ML'!AL999,'Pegar ML'!AL1000)</f>
        <v>0</v>
      </c>
      <c r="Y1004" s="27"/>
      <c r="Z1004" s="27"/>
      <c r="AA1004" s="27"/>
      <c r="AB1004" s="27"/>
      <c r="AC1004" s="27"/>
      <c r="AD1004" s="27"/>
      <c r="AF1004" s="8"/>
      <c r="AG1004" s="27"/>
      <c r="AH1004" s="14">
        <f>+'Pegar ML'!Y1000</f>
        <v>0</v>
      </c>
      <c r="AI1004" s="13">
        <f t="shared" si="46"/>
        <v>1</v>
      </c>
      <c r="AJ1004" s="7">
        <f>+'Pegar ML'!T1000</f>
        <v>0</v>
      </c>
      <c r="AK1004" s="27"/>
      <c r="AL1004" s="27"/>
      <c r="AM1004" s="27"/>
      <c r="AN1004" s="27"/>
      <c r="AO1004" s="27"/>
      <c r="AP1004" s="27"/>
      <c r="AQ1004" s="27"/>
      <c r="AR1004" s="27"/>
      <c r="AS1004" s="27">
        <v>17</v>
      </c>
    </row>
    <row r="1005" spans="1:45" ht="15" customHeight="1" x14ac:dyDescent="0.25">
      <c r="A1005" s="27">
        <f>IF('Pegar ML'!C1000="Paquete de 2 productos",'Pegar ML'!A1000,IF('Pegar ML'!C999="Paquete de 2 productos",'Pegar ML'!A999,'Pegar ML'!A1001))</f>
        <v>0</v>
      </c>
      <c r="B1005" s="27"/>
      <c r="C1005" s="30" t="str">
        <f>IF(AjusteFecha!I1001=0,"",AjusteFecha!I1001)</f>
        <v/>
      </c>
      <c r="D1005" s="27"/>
      <c r="E1005" s="27"/>
      <c r="F1005" s="27" t="str">
        <f>IF('Pegar ML'!C1001="","",'Pegar ML'!C1001)</f>
        <v/>
      </c>
      <c r="G1005" s="27" t="str">
        <f>IF('Pegar ML'!G996="ARS","PS","PS")</f>
        <v>PS</v>
      </c>
      <c r="H1005" s="14">
        <f>IF('Pegar ML'!C1000="Paquete de 2 productos",IF('Pegar ML'!H1000="",0,'Pegar ML'!H1000),IF('Pegar ML'!H1001="",0,'Pegar ML'!H1001))</f>
        <v>0</v>
      </c>
      <c r="I1005" s="14">
        <f>IF('Pegar ML'!C1000="Paquete de 2 productos",IF('Pegar ML'!O1000="",0,'Pegar ML'!O1000),IF('Pegar ML'!O1001="",0,'Pegar ML'!O1001))</f>
        <v>0</v>
      </c>
      <c r="J1005" s="14">
        <f>IF('Pegar ML'!C1000="Paquete de 2 productos",IF('Pegar ML'!O1000="",0,'Pegar ML'!O1000),IF('Pegar ML'!O1001="",0,'Pegar ML'!O1001))</f>
        <v>0</v>
      </c>
      <c r="K1005" s="14">
        <f t="shared" si="47"/>
        <v>0</v>
      </c>
      <c r="L1005" s="27">
        <f>IF('Pegar ML'!AB1001=" ",'Pegar ML'!AB1000,'Pegar ML'!AB1001)</f>
        <v>0</v>
      </c>
      <c r="M1005" s="27" t="str">
        <f>IF('Pegar ML'!AC1001=" ",RIGHT('Pegar ML'!AC1000,8),RIGHT('Pegar ML'!AC1001,8))</f>
        <v/>
      </c>
      <c r="N1005" s="27" t="s">
        <v>80</v>
      </c>
      <c r="O1005" s="27">
        <f t="shared" si="45"/>
        <v>0</v>
      </c>
      <c r="P1005" s="27" t="s">
        <v>80</v>
      </c>
      <c r="Q1005" s="55">
        <f>IF('Pegar ML'!AD1001=" ",'Pegar ML'!AD1000,'Pegar ML'!AD1001)</f>
        <v>0</v>
      </c>
      <c r="R1005" s="27" t="s">
        <v>80</v>
      </c>
      <c r="S1005" s="27" t="s">
        <v>80</v>
      </c>
      <c r="T1005" s="27" t="s">
        <v>80</v>
      </c>
      <c r="U1005" s="55">
        <f>IF('Pegar ML'!AI1001=" ",'Pegar ML'!AI1000,'Pegar ML'!AI1001)</f>
        <v>0</v>
      </c>
      <c r="V1005" s="55">
        <f>IF('Pegar ML'!AK1001=" ",'Pegar ML'!AK1000,'Pegar ML'!AK1001)</f>
        <v>0</v>
      </c>
      <c r="W1005" s="55">
        <f>IF('Pegar ML'!AJ1001=" ",'Pegar ML'!AJ1000,'Pegar ML'!AJ1001)</f>
        <v>0</v>
      </c>
      <c r="X1005" s="55">
        <f>IF('Pegar ML'!AL1001=" ",'Pegar ML'!AL1000,'Pegar ML'!AL1001)</f>
        <v>0</v>
      </c>
      <c r="Y1005" s="27"/>
      <c r="Z1005" s="27"/>
      <c r="AA1005" s="27"/>
      <c r="AB1005" s="27"/>
      <c r="AC1005" s="27"/>
      <c r="AD1005" s="27"/>
      <c r="AF1005" s="8"/>
      <c r="AG1005" s="27"/>
      <c r="AH1005" s="14">
        <f>+'Pegar ML'!Y1001</f>
        <v>0</v>
      </c>
      <c r="AI1005" s="13">
        <f t="shared" si="46"/>
        <v>1</v>
      </c>
      <c r="AJ1005" s="7">
        <f>+'Pegar ML'!T1001</f>
        <v>0</v>
      </c>
      <c r="AK1005" s="27"/>
      <c r="AL1005" s="27"/>
      <c r="AM1005" s="27"/>
      <c r="AN1005" s="27"/>
      <c r="AO1005" s="27"/>
      <c r="AP1005" s="27"/>
      <c r="AQ1005" s="27"/>
      <c r="AR1005" s="27"/>
      <c r="AS1005" s="27">
        <v>17</v>
      </c>
    </row>
    <row r="1006" spans="1:45" ht="15" customHeight="1" x14ac:dyDescent="0.25">
      <c r="A1006" s="27">
        <f>IF('Pegar ML'!C1001="Paquete de 2 productos",'Pegar ML'!A1001,IF('Pegar ML'!C1000="Paquete de 2 productos",'Pegar ML'!A1000,'Pegar ML'!A1002))</f>
        <v>0</v>
      </c>
      <c r="B1006" s="27"/>
      <c r="C1006" s="30" t="str">
        <f>IF(AjusteFecha!I1002=0,"",AjusteFecha!I1002)</f>
        <v/>
      </c>
      <c r="D1006" s="27"/>
      <c r="E1006" s="27"/>
      <c r="F1006" s="27" t="str">
        <f>IF('Pegar ML'!C1002="","",'Pegar ML'!C1002)</f>
        <v/>
      </c>
      <c r="G1006" s="27" t="str">
        <f>IF('Pegar ML'!G997="ARS","PS","PS")</f>
        <v>PS</v>
      </c>
      <c r="H1006" s="14">
        <f>IF('Pegar ML'!C1001="Paquete de 2 productos",IF('Pegar ML'!H1001="",0,'Pegar ML'!H1001),IF('Pegar ML'!H1002="",0,'Pegar ML'!H1002))</f>
        <v>0</v>
      </c>
      <c r="I1006" s="14">
        <f>IF('Pegar ML'!C1001="Paquete de 2 productos",IF('Pegar ML'!O1001="",0,'Pegar ML'!O1001),IF('Pegar ML'!O1002="",0,'Pegar ML'!O1002))</f>
        <v>0</v>
      </c>
      <c r="J1006" s="14">
        <f>IF('Pegar ML'!C1001="Paquete de 2 productos",IF('Pegar ML'!O1001="",0,'Pegar ML'!O1001),IF('Pegar ML'!O1002="",0,'Pegar ML'!O1002))</f>
        <v>0</v>
      </c>
      <c r="K1006" s="14">
        <f t="shared" si="47"/>
        <v>0</v>
      </c>
      <c r="L1006" s="27">
        <f>IF('Pegar ML'!AB1002=" ",'Pegar ML'!AB1001,'Pegar ML'!AB1002)</f>
        <v>0</v>
      </c>
      <c r="M1006" s="27" t="str">
        <f>IF('Pegar ML'!AC1002=" ",RIGHT('Pegar ML'!AC1001,8),RIGHT('Pegar ML'!AC1002,8))</f>
        <v/>
      </c>
      <c r="N1006" s="27" t="s">
        <v>80</v>
      </c>
      <c r="O1006" s="27">
        <f t="shared" si="45"/>
        <v>0</v>
      </c>
      <c r="P1006" s="27" t="s">
        <v>80</v>
      </c>
      <c r="Q1006" s="55">
        <f>IF('Pegar ML'!AD1002=" ",'Pegar ML'!AD1001,'Pegar ML'!AD1002)</f>
        <v>0</v>
      </c>
      <c r="R1006" s="27" t="s">
        <v>80</v>
      </c>
      <c r="S1006" s="27" t="s">
        <v>80</v>
      </c>
      <c r="T1006" s="27" t="s">
        <v>80</v>
      </c>
      <c r="U1006" s="55">
        <f>IF('Pegar ML'!AI1002=" ",'Pegar ML'!AI1001,'Pegar ML'!AI1002)</f>
        <v>0</v>
      </c>
      <c r="V1006" s="55">
        <f>IF('Pegar ML'!AK1002=" ",'Pegar ML'!AK1001,'Pegar ML'!AK1002)</f>
        <v>0</v>
      </c>
      <c r="W1006" s="55">
        <f>IF('Pegar ML'!AJ1002=" ",'Pegar ML'!AJ1001,'Pegar ML'!AJ1002)</f>
        <v>0</v>
      </c>
      <c r="X1006" s="55">
        <f>IF('Pegar ML'!AL1002=" ",'Pegar ML'!AL1001,'Pegar ML'!AL1002)</f>
        <v>0</v>
      </c>
      <c r="Y1006" s="27"/>
      <c r="Z1006" s="27"/>
      <c r="AA1006" s="27"/>
      <c r="AB1006" s="27"/>
      <c r="AC1006" s="27"/>
      <c r="AD1006" s="27"/>
      <c r="AF1006" s="8"/>
      <c r="AG1006" s="27"/>
      <c r="AH1006" s="14">
        <f>+'Pegar ML'!Y1002</f>
        <v>0</v>
      </c>
      <c r="AI1006" s="13">
        <f t="shared" si="46"/>
        <v>1</v>
      </c>
      <c r="AJ1006" s="7">
        <f>+'Pegar ML'!T1002</f>
        <v>0</v>
      </c>
      <c r="AK1006" s="27"/>
      <c r="AL1006" s="27"/>
      <c r="AM1006" s="27"/>
      <c r="AN1006" s="27"/>
      <c r="AO1006" s="27"/>
      <c r="AP1006" s="27"/>
      <c r="AQ1006" s="27"/>
      <c r="AR1006" s="27"/>
      <c r="AS1006" s="27">
        <v>17</v>
      </c>
    </row>
    <row r="1007" spans="1:45" ht="15" customHeight="1" x14ac:dyDescent="0.25">
      <c r="A1007" s="27">
        <f>IF('Pegar ML'!C1002="Paquete de 2 productos",'Pegar ML'!A1002,IF('Pegar ML'!C1001="Paquete de 2 productos",'Pegar ML'!A1001,'Pegar ML'!A1003))</f>
        <v>0</v>
      </c>
      <c r="B1007" s="27"/>
      <c r="C1007" s="30" t="str">
        <f>IF(AjusteFecha!I1003=0,"",AjusteFecha!I1003)</f>
        <v/>
      </c>
      <c r="D1007" s="27"/>
      <c r="E1007" s="27"/>
      <c r="F1007" s="27" t="str">
        <f>IF('Pegar ML'!C1003="","",'Pegar ML'!C1003)</f>
        <v/>
      </c>
      <c r="G1007" s="27" t="str">
        <f>IF('Pegar ML'!G998="ARS","PS","PS")</f>
        <v>PS</v>
      </c>
      <c r="H1007" s="14">
        <f>IF('Pegar ML'!C1002="Paquete de 2 productos",IF('Pegar ML'!H1002="",0,'Pegar ML'!H1002),IF('Pegar ML'!H1003="",0,'Pegar ML'!H1003))</f>
        <v>0</v>
      </c>
      <c r="I1007" s="14">
        <f>IF('Pegar ML'!C1002="Paquete de 2 productos",IF('Pegar ML'!O1002="",0,'Pegar ML'!O1002),IF('Pegar ML'!O1003="",0,'Pegar ML'!O1003))</f>
        <v>0</v>
      </c>
      <c r="J1007" s="14">
        <f>IF('Pegar ML'!C1002="Paquete de 2 productos",IF('Pegar ML'!O1002="",0,'Pegar ML'!O1002),IF('Pegar ML'!O1003="",0,'Pegar ML'!O1003))</f>
        <v>0</v>
      </c>
      <c r="K1007" s="14">
        <f t="shared" si="47"/>
        <v>0</v>
      </c>
      <c r="L1007" s="27">
        <f>IF('Pegar ML'!AB1003=" ",'Pegar ML'!AB1002,'Pegar ML'!AB1003)</f>
        <v>0</v>
      </c>
      <c r="M1007" s="27" t="str">
        <f>IF('Pegar ML'!AC1003=" ",RIGHT('Pegar ML'!AC1002,8),RIGHT('Pegar ML'!AC1003,8))</f>
        <v/>
      </c>
      <c r="N1007" s="27" t="s">
        <v>80</v>
      </c>
      <c r="O1007" s="27">
        <f t="shared" si="45"/>
        <v>0</v>
      </c>
      <c r="P1007" s="27" t="s">
        <v>80</v>
      </c>
      <c r="Q1007" s="55">
        <f>IF('Pegar ML'!AD1003=" ",'Pegar ML'!AD1002,'Pegar ML'!AD1003)</f>
        <v>0</v>
      </c>
      <c r="R1007" s="27" t="s">
        <v>80</v>
      </c>
      <c r="S1007" s="27" t="s">
        <v>80</v>
      </c>
      <c r="T1007" s="27" t="s">
        <v>80</v>
      </c>
      <c r="U1007" s="55">
        <f>IF('Pegar ML'!AI1003=" ",'Pegar ML'!AI1002,'Pegar ML'!AI1003)</f>
        <v>0</v>
      </c>
      <c r="V1007" s="55">
        <f>IF('Pegar ML'!AK1003=" ",'Pegar ML'!AK1002,'Pegar ML'!AK1003)</f>
        <v>0</v>
      </c>
      <c r="W1007" s="55">
        <f>IF('Pegar ML'!AJ1003=" ",'Pegar ML'!AJ1002,'Pegar ML'!AJ1003)</f>
        <v>0</v>
      </c>
      <c r="X1007" s="55">
        <f>IF('Pegar ML'!AL1003=" ",'Pegar ML'!AL1002,'Pegar ML'!AL1003)</f>
        <v>0</v>
      </c>
      <c r="Y1007" s="27"/>
      <c r="Z1007" s="27"/>
      <c r="AA1007" s="27"/>
      <c r="AB1007" s="27"/>
      <c r="AC1007" s="27"/>
      <c r="AD1007" s="27"/>
      <c r="AF1007" s="8"/>
      <c r="AG1007" s="27"/>
      <c r="AH1007" s="14">
        <f>+'Pegar ML'!Y1003</f>
        <v>0</v>
      </c>
      <c r="AI1007" s="13">
        <f t="shared" si="46"/>
        <v>1</v>
      </c>
      <c r="AJ1007" s="7">
        <f>+'Pegar ML'!T1003</f>
        <v>0</v>
      </c>
      <c r="AK1007" s="27"/>
      <c r="AL1007" s="27"/>
      <c r="AM1007" s="27"/>
      <c r="AN1007" s="27"/>
      <c r="AO1007" s="27"/>
      <c r="AP1007" s="27"/>
      <c r="AQ1007" s="27"/>
      <c r="AR1007" s="27"/>
      <c r="AS1007" s="27">
        <v>17</v>
      </c>
    </row>
    <row r="1008" spans="1:45" x14ac:dyDescent="0.25">
      <c r="C1008" s="8"/>
      <c r="H1008" s="14"/>
      <c r="I1008" s="14"/>
      <c r="J1008" s="14"/>
      <c r="K1008" s="14"/>
      <c r="N1008" s="13"/>
      <c r="P1008"/>
      <c r="AD1008"/>
      <c r="AF1008" s="8"/>
      <c r="AG1008"/>
      <c r="AH1008" s="14"/>
      <c r="AI1008" s="14"/>
    </row>
    <row r="1009" spans="3:35" x14ac:dyDescent="0.25">
      <c r="C1009" s="8"/>
      <c r="H1009" s="14"/>
      <c r="I1009" s="14"/>
      <c r="J1009" s="14"/>
      <c r="K1009" s="14"/>
      <c r="N1009" s="13"/>
      <c r="P1009"/>
      <c r="AD1009"/>
      <c r="AF1009" s="8"/>
      <c r="AG1009"/>
      <c r="AH1009" s="14"/>
      <c r="AI1009" s="14"/>
    </row>
    <row r="1010" spans="3:35" x14ac:dyDescent="0.25">
      <c r="C1010" s="8"/>
      <c r="H1010" s="14"/>
      <c r="I1010" s="14"/>
      <c r="J1010" s="14"/>
      <c r="K1010" s="14"/>
      <c r="N1010" s="13"/>
      <c r="P1010"/>
      <c r="AD1010"/>
      <c r="AF1010" s="8"/>
      <c r="AG1010"/>
      <c r="AH1010" s="14"/>
      <c r="AI1010" s="14"/>
    </row>
    <row r="1011" spans="3:35" x14ac:dyDescent="0.25">
      <c r="C1011" s="8"/>
      <c r="H1011" s="14"/>
      <c r="I1011" s="14"/>
      <c r="J1011" s="14"/>
      <c r="K1011" s="14"/>
      <c r="N1011" s="13"/>
      <c r="P1011"/>
      <c r="AD1011"/>
      <c r="AF1011" s="8"/>
      <c r="AG1011"/>
      <c r="AH1011" s="14"/>
      <c r="AI1011" s="14"/>
    </row>
    <row r="1012" spans="3:35" x14ac:dyDescent="0.25">
      <c r="C1012" s="8"/>
      <c r="H1012" s="14"/>
      <c r="I1012" s="14"/>
      <c r="J1012" s="14"/>
      <c r="K1012" s="14"/>
      <c r="N1012" s="13"/>
      <c r="P1012"/>
      <c r="AD1012"/>
      <c r="AF1012" s="8"/>
      <c r="AG1012"/>
      <c r="AH1012" s="14"/>
      <c r="AI1012" s="14"/>
    </row>
    <row r="1013" spans="3:35" x14ac:dyDescent="0.25">
      <c r="C1013" s="8"/>
      <c r="H1013" s="14"/>
      <c r="I1013" s="14"/>
      <c r="J1013" s="14"/>
      <c r="K1013" s="14"/>
      <c r="N1013" s="13"/>
      <c r="P1013"/>
      <c r="AD1013"/>
      <c r="AF1013" s="8"/>
      <c r="AG1013"/>
      <c r="AH1013" s="14"/>
      <c r="AI1013" s="14"/>
    </row>
    <row r="1014" spans="3:35" x14ac:dyDescent="0.25">
      <c r="C1014" s="8"/>
      <c r="H1014" s="14"/>
      <c r="I1014" s="14"/>
      <c r="J1014" s="14"/>
      <c r="K1014" s="14"/>
      <c r="N1014" s="13"/>
      <c r="P1014"/>
      <c r="AD1014"/>
      <c r="AF1014" s="8"/>
      <c r="AG1014"/>
      <c r="AH1014" s="14"/>
      <c r="AI1014" s="14"/>
    </row>
    <row r="1015" spans="3:35" x14ac:dyDescent="0.25">
      <c r="C1015" s="8"/>
      <c r="H1015" s="14"/>
      <c r="I1015" s="14"/>
      <c r="J1015" s="14"/>
      <c r="K1015" s="14"/>
      <c r="N1015" s="13"/>
      <c r="P1015"/>
      <c r="AD1015"/>
      <c r="AF1015" s="8"/>
      <c r="AG1015"/>
      <c r="AH1015" s="14"/>
      <c r="AI1015" s="14"/>
    </row>
    <row r="1016" spans="3:35" x14ac:dyDescent="0.25">
      <c r="C1016" s="8"/>
      <c r="H1016" s="14"/>
      <c r="I1016" s="14"/>
      <c r="J1016" s="14"/>
      <c r="K1016" s="14"/>
      <c r="N1016" s="13"/>
      <c r="P1016"/>
      <c r="AD1016"/>
      <c r="AF1016" s="8"/>
      <c r="AG1016"/>
      <c r="AH1016" s="14"/>
      <c r="AI1016" s="14"/>
    </row>
    <row r="1017" spans="3:35" x14ac:dyDescent="0.25">
      <c r="C1017" s="8"/>
      <c r="H1017" s="14"/>
      <c r="I1017" s="14"/>
      <c r="J1017" s="14"/>
      <c r="K1017" s="14"/>
      <c r="N1017" s="13"/>
      <c r="P1017"/>
      <c r="AD1017"/>
      <c r="AF1017" s="8"/>
      <c r="AG1017"/>
      <c r="AH1017" s="14"/>
      <c r="AI1017" s="14"/>
    </row>
    <row r="1018" spans="3:35" x14ac:dyDescent="0.25">
      <c r="C1018" s="8"/>
      <c r="H1018" s="14"/>
      <c r="I1018" s="14"/>
      <c r="J1018" s="14"/>
      <c r="K1018" s="14"/>
      <c r="N1018" s="13"/>
      <c r="P1018"/>
      <c r="AD1018"/>
      <c r="AF1018" s="8"/>
      <c r="AG1018"/>
      <c r="AH1018" s="14"/>
      <c r="AI1018" s="14"/>
    </row>
    <row r="1019" spans="3:35" x14ac:dyDescent="0.25">
      <c r="C1019" s="8"/>
      <c r="H1019" s="14"/>
      <c r="I1019" s="14"/>
      <c r="J1019" s="14"/>
      <c r="K1019" s="14"/>
      <c r="N1019" s="13"/>
      <c r="P1019"/>
      <c r="AD1019"/>
      <c r="AF1019" s="8"/>
      <c r="AG1019"/>
      <c r="AH1019" s="14"/>
      <c r="AI1019" s="14"/>
    </row>
    <row r="1020" spans="3:35" x14ac:dyDescent="0.25">
      <c r="C1020" s="8"/>
      <c r="H1020" s="14"/>
      <c r="I1020" s="14"/>
      <c r="J1020" s="14"/>
      <c r="K1020" s="14"/>
      <c r="N1020" s="13"/>
      <c r="P1020"/>
      <c r="AD1020"/>
      <c r="AF1020" s="8"/>
      <c r="AG1020"/>
      <c r="AH1020" s="14"/>
      <c r="AI1020" s="14"/>
    </row>
    <row r="1021" spans="3:35" x14ac:dyDescent="0.25">
      <c r="C1021" s="8"/>
      <c r="H1021" s="14"/>
      <c r="I1021" s="14"/>
      <c r="J1021" s="14"/>
      <c r="K1021" s="14"/>
      <c r="N1021" s="13"/>
      <c r="P1021"/>
      <c r="AD1021"/>
      <c r="AF1021" s="8"/>
      <c r="AG1021"/>
      <c r="AH1021" s="14"/>
      <c r="AI1021" s="14"/>
    </row>
    <row r="1022" spans="3:35" x14ac:dyDescent="0.25">
      <c r="C1022" s="8"/>
      <c r="H1022" s="14"/>
      <c r="I1022" s="14"/>
      <c r="J1022" s="14"/>
      <c r="K1022" s="14"/>
      <c r="N1022" s="13"/>
      <c r="P1022"/>
      <c r="AD1022"/>
      <c r="AF1022" s="8"/>
      <c r="AG1022"/>
      <c r="AH1022" s="14"/>
      <c r="AI1022" s="14"/>
    </row>
    <row r="1023" spans="3:35" x14ac:dyDescent="0.25">
      <c r="C1023" s="8"/>
      <c r="H1023" s="14"/>
      <c r="I1023" s="14"/>
      <c r="J1023" s="14"/>
      <c r="K1023" s="14"/>
      <c r="N1023" s="13"/>
      <c r="P1023"/>
      <c r="AD1023"/>
      <c r="AF1023" s="8"/>
      <c r="AG1023"/>
      <c r="AH1023" s="14"/>
      <c r="AI1023" s="14"/>
    </row>
    <row r="1024" spans="3:35" x14ac:dyDescent="0.25">
      <c r="C1024" s="8"/>
      <c r="H1024" s="14"/>
      <c r="I1024" s="14"/>
      <c r="J1024" s="14"/>
      <c r="K1024" s="14"/>
      <c r="N1024" s="13"/>
      <c r="P1024"/>
      <c r="AD1024"/>
      <c r="AF1024" s="8"/>
      <c r="AG1024"/>
      <c r="AH1024" s="14"/>
      <c r="AI1024" s="14"/>
    </row>
    <row r="1025" spans="3:35" x14ac:dyDescent="0.25">
      <c r="C1025" s="8"/>
      <c r="H1025" s="14"/>
      <c r="I1025" s="14"/>
      <c r="J1025" s="14"/>
      <c r="K1025" s="14"/>
      <c r="N1025" s="13"/>
      <c r="P1025"/>
      <c r="AD1025"/>
      <c r="AF1025" s="8"/>
      <c r="AG1025"/>
      <c r="AH1025" s="14"/>
      <c r="AI1025" s="14"/>
    </row>
    <row r="1026" spans="3:35" x14ac:dyDescent="0.25">
      <c r="C1026" s="8"/>
      <c r="H1026" s="14"/>
      <c r="I1026" s="14"/>
      <c r="J1026" s="14"/>
      <c r="K1026" s="14"/>
      <c r="N1026" s="13"/>
      <c r="P1026"/>
      <c r="AD1026"/>
      <c r="AF1026" s="8"/>
      <c r="AG1026"/>
      <c r="AH1026" s="14"/>
      <c r="AI1026" s="14"/>
    </row>
    <row r="1027" spans="3:35" x14ac:dyDescent="0.25">
      <c r="C1027" s="8"/>
      <c r="H1027" s="14"/>
      <c r="I1027" s="14"/>
      <c r="J1027" s="14"/>
      <c r="K1027" s="14"/>
      <c r="N1027" s="13"/>
      <c r="P1027"/>
      <c r="AD1027"/>
      <c r="AF1027" s="8"/>
      <c r="AG1027"/>
      <c r="AH1027" s="14"/>
      <c r="AI1027" s="14"/>
    </row>
    <row r="1028" spans="3:35" x14ac:dyDescent="0.25">
      <c r="C1028" s="8"/>
      <c r="H1028" s="14"/>
      <c r="I1028" s="14"/>
      <c r="J1028" s="14"/>
      <c r="K1028" s="14"/>
      <c r="N1028" s="13"/>
      <c r="P1028"/>
      <c r="AD1028"/>
      <c r="AF1028" s="8"/>
      <c r="AG1028"/>
      <c r="AH1028" s="14"/>
      <c r="AI1028" s="14"/>
    </row>
    <row r="1029" spans="3:35" x14ac:dyDescent="0.25">
      <c r="C1029" s="8"/>
      <c r="H1029" s="14"/>
      <c r="I1029" s="14"/>
      <c r="J1029" s="14"/>
      <c r="K1029" s="14"/>
      <c r="N1029" s="13"/>
      <c r="P1029"/>
      <c r="AD1029"/>
      <c r="AF1029" s="8"/>
      <c r="AG1029"/>
      <c r="AH1029" s="14"/>
      <c r="AI1029" s="14"/>
    </row>
    <row r="1030" spans="3:35" x14ac:dyDescent="0.25">
      <c r="C1030" s="8"/>
      <c r="H1030" s="14"/>
      <c r="I1030" s="14"/>
      <c r="J1030" s="14"/>
      <c r="K1030" s="14"/>
      <c r="N1030" s="13"/>
      <c r="P1030"/>
      <c r="AD1030"/>
      <c r="AF1030" s="8"/>
      <c r="AG1030"/>
      <c r="AH1030" s="14"/>
      <c r="AI1030" s="14"/>
    </row>
    <row r="1031" spans="3:35" x14ac:dyDescent="0.25">
      <c r="C1031" s="8"/>
      <c r="H1031" s="14"/>
      <c r="I1031" s="14"/>
      <c r="J1031" s="14"/>
      <c r="K1031" s="14"/>
      <c r="N1031" s="13"/>
      <c r="P1031"/>
      <c r="AD1031"/>
      <c r="AF1031" s="8"/>
      <c r="AG1031"/>
      <c r="AH1031" s="14"/>
      <c r="AI1031" s="14"/>
    </row>
    <row r="1032" spans="3:35" x14ac:dyDescent="0.25">
      <c r="C1032" s="8"/>
      <c r="H1032" s="14"/>
      <c r="I1032" s="14"/>
      <c r="J1032" s="14"/>
      <c r="K1032" s="14"/>
      <c r="N1032" s="13"/>
      <c r="P1032"/>
      <c r="AD1032"/>
      <c r="AF1032" s="8"/>
      <c r="AG1032"/>
      <c r="AH1032" s="14"/>
      <c r="AI1032" s="14"/>
    </row>
    <row r="1033" spans="3:35" x14ac:dyDescent="0.25">
      <c r="C1033" s="8"/>
      <c r="H1033" s="14"/>
      <c r="I1033" s="14"/>
      <c r="J1033" s="14"/>
      <c r="K1033" s="14"/>
      <c r="N1033" s="13"/>
      <c r="P1033"/>
      <c r="AD1033"/>
      <c r="AF1033" s="8"/>
      <c r="AG1033"/>
      <c r="AH1033" s="14"/>
      <c r="AI1033" s="14"/>
    </row>
    <row r="1034" spans="3:35" x14ac:dyDescent="0.25">
      <c r="C1034" s="8"/>
      <c r="H1034" s="14"/>
      <c r="I1034" s="14"/>
      <c r="J1034" s="14"/>
      <c r="K1034" s="14"/>
      <c r="N1034" s="13"/>
      <c r="P1034"/>
      <c r="AD1034"/>
      <c r="AF1034" s="8"/>
      <c r="AG1034"/>
      <c r="AH1034" s="14"/>
      <c r="AI1034" s="14"/>
    </row>
    <row r="1035" spans="3:35" x14ac:dyDescent="0.25">
      <c r="C1035" s="8"/>
      <c r="H1035" s="14"/>
      <c r="I1035" s="14"/>
      <c r="J1035" s="14"/>
      <c r="K1035" s="14"/>
      <c r="N1035" s="13"/>
      <c r="P1035"/>
      <c r="AD1035"/>
      <c r="AF1035" s="8"/>
      <c r="AG1035"/>
      <c r="AH1035" s="14"/>
      <c r="AI1035" s="14"/>
    </row>
    <row r="1036" spans="3:35" x14ac:dyDescent="0.25">
      <c r="C1036" s="8"/>
      <c r="H1036" s="14"/>
      <c r="I1036" s="14"/>
      <c r="J1036" s="14"/>
      <c r="K1036" s="14"/>
      <c r="N1036" s="13"/>
      <c r="P1036"/>
      <c r="AD1036"/>
      <c r="AF1036" s="8"/>
      <c r="AG1036"/>
      <c r="AH1036" s="14"/>
      <c r="AI1036" s="14"/>
    </row>
    <row r="1037" spans="3:35" x14ac:dyDescent="0.25">
      <c r="C1037" s="8"/>
      <c r="H1037" s="14"/>
      <c r="I1037" s="14"/>
      <c r="J1037" s="14"/>
      <c r="K1037" s="14"/>
      <c r="N1037" s="13"/>
      <c r="P1037"/>
      <c r="AD1037"/>
      <c r="AF1037" s="8"/>
      <c r="AG1037"/>
      <c r="AH1037" s="14"/>
      <c r="AI1037" s="14"/>
    </row>
    <row r="1038" spans="3:35" x14ac:dyDescent="0.25">
      <c r="C1038" s="8"/>
      <c r="H1038" s="14"/>
      <c r="I1038" s="14"/>
      <c r="J1038" s="14"/>
      <c r="K1038" s="14"/>
      <c r="N1038" s="13"/>
      <c r="P1038"/>
      <c r="AD1038"/>
      <c r="AF1038" s="8"/>
      <c r="AG1038"/>
      <c r="AH1038" s="14"/>
      <c r="AI1038" s="14"/>
    </row>
    <row r="1039" spans="3:35" x14ac:dyDescent="0.25">
      <c r="C1039" s="8"/>
      <c r="H1039" s="14"/>
      <c r="I1039" s="14"/>
      <c r="J1039" s="14"/>
      <c r="K1039" s="14"/>
      <c r="N1039" s="13"/>
      <c r="P1039"/>
      <c r="AD1039"/>
      <c r="AF1039" s="8"/>
      <c r="AG1039"/>
      <c r="AH1039" s="14"/>
      <c r="AI1039" s="14"/>
    </row>
    <row r="1040" spans="3:35" x14ac:dyDescent="0.25">
      <c r="C1040" s="8"/>
      <c r="H1040" s="14"/>
      <c r="I1040" s="14"/>
      <c r="J1040" s="14"/>
      <c r="K1040" s="14"/>
      <c r="N1040" s="13"/>
      <c r="P1040"/>
      <c r="AD1040"/>
      <c r="AF1040" s="8"/>
      <c r="AG1040"/>
      <c r="AH1040" s="14"/>
      <c r="AI1040" s="14"/>
    </row>
    <row r="1041" spans="3:35" x14ac:dyDescent="0.25">
      <c r="C1041" s="8"/>
      <c r="H1041" s="14"/>
      <c r="I1041" s="14"/>
      <c r="J1041" s="14"/>
      <c r="K1041" s="14"/>
      <c r="N1041" s="13"/>
      <c r="P1041"/>
      <c r="AD1041"/>
      <c r="AF1041" s="8"/>
      <c r="AG1041"/>
      <c r="AH1041" s="14"/>
      <c r="AI1041" s="14"/>
    </row>
    <row r="1042" spans="3:35" x14ac:dyDescent="0.25">
      <c r="C1042" s="8"/>
      <c r="H1042" s="14"/>
      <c r="I1042" s="14"/>
      <c r="J1042" s="14"/>
      <c r="K1042" s="14"/>
      <c r="N1042" s="13"/>
      <c r="P1042"/>
      <c r="AD1042"/>
      <c r="AF1042" s="8"/>
      <c r="AG1042"/>
      <c r="AH1042" s="14"/>
      <c r="AI1042" s="14"/>
    </row>
    <row r="1043" spans="3:35" x14ac:dyDescent="0.25">
      <c r="C1043" s="8"/>
      <c r="H1043" s="14"/>
      <c r="I1043" s="14"/>
      <c r="J1043" s="14"/>
      <c r="K1043" s="14"/>
      <c r="N1043" s="13"/>
      <c r="P1043"/>
      <c r="AD1043"/>
      <c r="AF1043" s="8"/>
      <c r="AG1043"/>
      <c r="AH1043" s="14"/>
      <c r="AI1043" s="14"/>
    </row>
    <row r="1044" spans="3:35" x14ac:dyDescent="0.25">
      <c r="C1044" s="8"/>
      <c r="H1044" s="14"/>
      <c r="I1044" s="14"/>
      <c r="J1044" s="14"/>
      <c r="K1044" s="14"/>
      <c r="N1044" s="13"/>
      <c r="P1044"/>
      <c r="AD1044"/>
      <c r="AF1044" s="8"/>
      <c r="AG1044"/>
      <c r="AH1044" s="14"/>
      <c r="AI1044" s="14"/>
    </row>
    <row r="1045" spans="3:35" x14ac:dyDescent="0.25">
      <c r="C1045" s="8"/>
      <c r="H1045" s="14"/>
      <c r="I1045" s="14"/>
      <c r="J1045" s="14"/>
      <c r="K1045" s="14"/>
      <c r="N1045" s="13"/>
      <c r="P1045"/>
      <c r="AD1045"/>
      <c r="AF1045" s="8"/>
      <c r="AG1045"/>
      <c r="AH1045" s="14"/>
      <c r="AI1045" s="14"/>
    </row>
    <row r="1046" spans="3:35" x14ac:dyDescent="0.25">
      <c r="C1046" s="8"/>
      <c r="H1046" s="14"/>
      <c r="I1046" s="14"/>
      <c r="J1046" s="14"/>
      <c r="K1046" s="14"/>
      <c r="N1046" s="13"/>
      <c r="P1046"/>
      <c r="AD1046"/>
      <c r="AF1046" s="8"/>
      <c r="AG1046"/>
      <c r="AH1046" s="14"/>
      <c r="AI1046" s="14"/>
    </row>
    <row r="1047" spans="3:35" x14ac:dyDescent="0.25">
      <c r="C1047" s="8"/>
      <c r="H1047" s="14"/>
      <c r="I1047" s="14"/>
      <c r="J1047" s="14"/>
      <c r="K1047" s="14"/>
      <c r="N1047" s="13"/>
      <c r="P1047"/>
      <c r="AD1047"/>
      <c r="AF1047" s="8"/>
      <c r="AG1047"/>
      <c r="AH1047" s="14"/>
      <c r="AI1047" s="14"/>
    </row>
    <row r="1048" spans="3:35" x14ac:dyDescent="0.25">
      <c r="C1048" s="8"/>
      <c r="H1048" s="14"/>
      <c r="I1048" s="14"/>
      <c r="J1048" s="14"/>
      <c r="K1048" s="14"/>
      <c r="N1048" s="13"/>
      <c r="P1048"/>
      <c r="AD1048"/>
      <c r="AF1048" s="8"/>
      <c r="AG1048"/>
      <c r="AH1048" s="14"/>
      <c r="AI1048" s="14"/>
    </row>
    <row r="1049" spans="3:35" x14ac:dyDescent="0.25">
      <c r="C1049" s="8"/>
      <c r="H1049" s="14"/>
      <c r="I1049" s="14"/>
      <c r="J1049" s="14"/>
      <c r="K1049" s="14"/>
      <c r="N1049" s="13"/>
      <c r="P1049"/>
      <c r="AD1049"/>
      <c r="AF1049" s="8"/>
      <c r="AG1049"/>
      <c r="AH1049" s="14"/>
      <c r="AI1049" s="14"/>
    </row>
    <row r="1050" spans="3:35" x14ac:dyDescent="0.25">
      <c r="C1050" s="8"/>
      <c r="H1050" s="14"/>
      <c r="I1050" s="14"/>
      <c r="J1050" s="14"/>
      <c r="K1050" s="14"/>
      <c r="N1050" s="13"/>
      <c r="P1050"/>
      <c r="AD1050"/>
      <c r="AF1050" s="8"/>
      <c r="AG1050"/>
      <c r="AH1050" s="14"/>
      <c r="AI1050" s="14"/>
    </row>
    <row r="1051" spans="3:35" x14ac:dyDescent="0.25">
      <c r="C1051" s="8"/>
      <c r="H1051" s="14"/>
      <c r="I1051" s="14"/>
      <c r="J1051" s="14"/>
      <c r="K1051" s="14"/>
      <c r="N1051" s="13"/>
      <c r="P1051"/>
      <c r="AD1051"/>
      <c r="AF1051" s="8"/>
      <c r="AG1051"/>
      <c r="AH1051" s="14"/>
      <c r="AI1051" s="14"/>
    </row>
    <row r="1052" spans="3:35" x14ac:dyDescent="0.25">
      <c r="C1052" s="8"/>
      <c r="H1052" s="14"/>
      <c r="I1052" s="14"/>
      <c r="J1052" s="14"/>
      <c r="K1052" s="14"/>
      <c r="N1052" s="13"/>
      <c r="P1052"/>
      <c r="AD1052"/>
      <c r="AF1052" s="8"/>
      <c r="AG1052"/>
      <c r="AH1052" s="14"/>
      <c r="AI1052" s="14"/>
    </row>
    <row r="1053" spans="3:35" x14ac:dyDescent="0.25">
      <c r="C1053" s="8"/>
      <c r="H1053" s="14"/>
      <c r="I1053" s="14"/>
      <c r="J1053" s="14"/>
      <c r="K1053" s="14"/>
      <c r="N1053" s="13"/>
      <c r="P1053"/>
      <c r="AD1053"/>
      <c r="AF1053" s="8"/>
      <c r="AG1053"/>
      <c r="AH1053" s="14"/>
      <c r="AI1053" s="14"/>
    </row>
    <row r="1054" spans="3:35" x14ac:dyDescent="0.25">
      <c r="C1054" s="8"/>
      <c r="H1054" s="14"/>
      <c r="I1054" s="14"/>
      <c r="J1054" s="14"/>
      <c r="K1054" s="14"/>
      <c r="N1054" s="13"/>
      <c r="P1054"/>
      <c r="AD1054"/>
      <c r="AF1054" s="8"/>
      <c r="AG1054"/>
      <c r="AH1054" s="14"/>
      <c r="AI1054" s="14"/>
    </row>
    <row r="1055" spans="3:35" x14ac:dyDescent="0.25">
      <c r="C1055" s="8"/>
      <c r="H1055" s="14"/>
      <c r="I1055" s="14"/>
      <c r="J1055" s="14"/>
      <c r="K1055" s="14"/>
      <c r="N1055" s="13"/>
      <c r="P1055"/>
      <c r="AD1055"/>
      <c r="AF1055" s="8"/>
      <c r="AG1055"/>
      <c r="AH1055" s="14"/>
      <c r="AI1055" s="14"/>
    </row>
    <row r="1056" spans="3:35" x14ac:dyDescent="0.25">
      <c r="C1056" s="8"/>
      <c r="H1056" s="14"/>
      <c r="I1056" s="14"/>
      <c r="J1056" s="14"/>
      <c r="K1056" s="14"/>
      <c r="N1056" s="13"/>
      <c r="P1056"/>
      <c r="AD1056"/>
      <c r="AF1056" s="8"/>
      <c r="AG1056"/>
      <c r="AH1056" s="14"/>
      <c r="AI1056" s="14"/>
    </row>
    <row r="1057" spans="3:35" x14ac:dyDescent="0.25">
      <c r="C1057" s="8"/>
      <c r="H1057" s="14"/>
      <c r="I1057" s="14"/>
      <c r="J1057" s="14"/>
      <c r="K1057" s="14"/>
      <c r="N1057" s="13"/>
      <c r="P1057"/>
      <c r="AD1057"/>
      <c r="AF1057" s="8"/>
      <c r="AG1057"/>
      <c r="AH1057" s="14"/>
      <c r="AI1057" s="14"/>
    </row>
    <row r="1058" spans="3:35" x14ac:dyDescent="0.25">
      <c r="C1058" s="8"/>
      <c r="H1058" s="14"/>
      <c r="I1058" s="14"/>
      <c r="J1058" s="14"/>
      <c r="K1058" s="14"/>
      <c r="N1058" s="13"/>
      <c r="P1058"/>
      <c r="AD1058"/>
      <c r="AF1058" s="8"/>
      <c r="AG1058"/>
      <c r="AH1058" s="14"/>
      <c r="AI1058" s="14"/>
    </row>
    <row r="1059" spans="3:35" x14ac:dyDescent="0.25">
      <c r="C1059" s="8"/>
      <c r="H1059" s="14"/>
      <c r="I1059" s="14"/>
      <c r="J1059" s="14"/>
      <c r="K1059" s="14"/>
      <c r="N1059" s="13"/>
      <c r="P1059"/>
      <c r="AD1059"/>
      <c r="AF1059" s="8"/>
      <c r="AG1059"/>
      <c r="AH1059" s="14"/>
      <c r="AI1059" s="14"/>
    </row>
    <row r="1060" spans="3:35" x14ac:dyDescent="0.25">
      <c r="C1060" s="8"/>
      <c r="H1060" s="14"/>
      <c r="I1060" s="14"/>
      <c r="J1060" s="14"/>
      <c r="K1060" s="14"/>
      <c r="N1060" s="13"/>
      <c r="P1060"/>
      <c r="AD1060"/>
      <c r="AF1060" s="8"/>
      <c r="AG1060"/>
      <c r="AH1060" s="14"/>
      <c r="AI1060" s="14"/>
    </row>
    <row r="1061" spans="3:35" x14ac:dyDescent="0.25">
      <c r="C1061" s="8"/>
      <c r="H1061" s="14"/>
      <c r="I1061" s="14"/>
      <c r="J1061" s="14"/>
      <c r="K1061" s="14"/>
      <c r="N1061" s="13"/>
      <c r="P1061"/>
      <c r="AD1061"/>
      <c r="AF1061" s="8"/>
      <c r="AG1061"/>
      <c r="AH1061" s="14"/>
      <c r="AI1061" s="14"/>
    </row>
    <row r="1062" spans="3:35" x14ac:dyDescent="0.25">
      <c r="C1062" s="8"/>
      <c r="H1062" s="14"/>
      <c r="I1062" s="14"/>
      <c r="J1062" s="14"/>
      <c r="K1062" s="14"/>
      <c r="N1062" s="13"/>
      <c r="P1062"/>
      <c r="AD1062"/>
      <c r="AF1062" s="8"/>
      <c r="AG1062"/>
      <c r="AH1062" s="14"/>
      <c r="AI1062" s="14"/>
    </row>
    <row r="1063" spans="3:35" x14ac:dyDescent="0.25">
      <c r="C1063" s="8"/>
      <c r="H1063" s="14"/>
      <c r="I1063" s="14"/>
      <c r="J1063" s="14"/>
      <c r="K1063" s="14"/>
      <c r="N1063" s="13"/>
      <c r="P1063"/>
      <c r="AD1063"/>
      <c r="AF1063" s="8"/>
      <c r="AG1063"/>
      <c r="AH1063" s="14"/>
      <c r="AI1063" s="14"/>
    </row>
    <row r="1064" spans="3:35" x14ac:dyDescent="0.25">
      <c r="C1064" s="8"/>
      <c r="H1064" s="14"/>
      <c r="I1064" s="14"/>
      <c r="J1064" s="14"/>
      <c r="K1064" s="14"/>
      <c r="N1064" s="13"/>
      <c r="P1064"/>
      <c r="AD1064"/>
      <c r="AF1064" s="8"/>
      <c r="AG1064"/>
      <c r="AH1064" s="14"/>
      <c r="AI1064" s="14"/>
    </row>
    <row r="1065" spans="3:35" x14ac:dyDescent="0.25">
      <c r="C1065" s="8"/>
      <c r="H1065" s="14"/>
      <c r="I1065" s="14"/>
      <c r="J1065" s="14"/>
      <c r="K1065" s="14"/>
      <c r="N1065" s="13"/>
      <c r="P1065"/>
      <c r="AD1065"/>
      <c r="AF1065" s="8"/>
      <c r="AG1065"/>
      <c r="AH1065" s="14"/>
      <c r="AI1065" s="14"/>
    </row>
    <row r="1066" spans="3:35" x14ac:dyDescent="0.25">
      <c r="C1066" s="8"/>
      <c r="H1066" s="14"/>
      <c r="I1066" s="14"/>
      <c r="J1066" s="14"/>
      <c r="K1066" s="14"/>
      <c r="N1066" s="13"/>
      <c r="P1066"/>
      <c r="AD1066"/>
      <c r="AF1066" s="8"/>
      <c r="AG1066"/>
      <c r="AH1066" s="14"/>
      <c r="AI1066" s="14"/>
    </row>
    <row r="1067" spans="3:35" x14ac:dyDescent="0.25">
      <c r="C1067" s="8"/>
      <c r="H1067" s="14"/>
      <c r="I1067" s="14"/>
      <c r="J1067" s="14"/>
      <c r="K1067" s="14"/>
      <c r="N1067" s="13"/>
      <c r="P1067"/>
      <c r="AD1067"/>
      <c r="AF1067" s="8"/>
      <c r="AG1067"/>
      <c r="AH1067" s="14"/>
      <c r="AI1067" s="14"/>
    </row>
    <row r="1068" spans="3:35" x14ac:dyDescent="0.25">
      <c r="C1068" s="8"/>
      <c r="H1068" s="14"/>
      <c r="I1068" s="14"/>
      <c r="J1068" s="14"/>
      <c r="K1068" s="14"/>
      <c r="N1068" s="13"/>
      <c r="P1068"/>
      <c r="AD1068"/>
      <c r="AF1068" s="8"/>
      <c r="AG1068"/>
      <c r="AH1068" s="14"/>
      <c r="AI1068" s="14"/>
    </row>
    <row r="1069" spans="3:35" x14ac:dyDescent="0.25">
      <c r="C1069" s="8"/>
      <c r="H1069" s="14"/>
      <c r="I1069" s="14"/>
      <c r="J1069" s="14"/>
      <c r="K1069" s="14"/>
      <c r="N1069" s="13"/>
      <c r="P1069"/>
      <c r="AD1069"/>
      <c r="AF1069" s="8"/>
      <c r="AG1069"/>
      <c r="AH1069" s="14"/>
      <c r="AI1069" s="14"/>
    </row>
    <row r="1070" spans="3:35" x14ac:dyDescent="0.25">
      <c r="C1070" s="8"/>
      <c r="H1070" s="14"/>
      <c r="I1070" s="14"/>
      <c r="J1070" s="14"/>
      <c r="K1070" s="14"/>
      <c r="N1070" s="13"/>
      <c r="P1070"/>
      <c r="AD1070"/>
      <c r="AF1070" s="8"/>
      <c r="AG1070"/>
      <c r="AH1070" s="14"/>
      <c r="AI1070" s="14"/>
    </row>
    <row r="1071" spans="3:35" x14ac:dyDescent="0.25">
      <c r="C1071" s="8"/>
      <c r="H1071" s="14"/>
      <c r="I1071" s="14"/>
      <c r="J1071" s="14"/>
      <c r="K1071" s="14"/>
      <c r="N1071" s="13"/>
      <c r="P1071"/>
      <c r="AD1071"/>
      <c r="AF1071" s="8"/>
      <c r="AG1071"/>
      <c r="AH1071" s="14"/>
      <c r="AI1071" s="14"/>
    </row>
    <row r="1072" spans="3:35" x14ac:dyDescent="0.25">
      <c r="C1072" s="8"/>
      <c r="H1072" s="14"/>
      <c r="I1072" s="14"/>
      <c r="J1072" s="14"/>
      <c r="K1072" s="14"/>
      <c r="N1072" s="13"/>
      <c r="P1072"/>
      <c r="AD1072"/>
      <c r="AF1072" s="8"/>
      <c r="AG1072"/>
      <c r="AH1072" s="14"/>
      <c r="AI1072" s="14"/>
    </row>
    <row r="1073" spans="3:35" x14ac:dyDescent="0.25">
      <c r="C1073" s="8"/>
      <c r="H1073" s="14"/>
      <c r="I1073" s="14"/>
      <c r="J1073" s="14"/>
      <c r="K1073" s="14"/>
      <c r="N1073" s="13"/>
      <c r="P1073"/>
      <c r="AD1073"/>
      <c r="AF1073" s="8"/>
      <c r="AG1073"/>
      <c r="AH1073" s="14"/>
      <c r="AI1073" s="14"/>
    </row>
    <row r="1074" spans="3:35" x14ac:dyDescent="0.25">
      <c r="C1074" s="8"/>
      <c r="H1074" s="14"/>
      <c r="I1074" s="14"/>
      <c r="J1074" s="14"/>
      <c r="K1074" s="14"/>
      <c r="N1074" s="13"/>
      <c r="P1074"/>
      <c r="AD1074"/>
      <c r="AF1074" s="8"/>
      <c r="AG1074"/>
      <c r="AH1074" s="14"/>
      <c r="AI1074" s="14"/>
    </row>
    <row r="1075" spans="3:35" x14ac:dyDescent="0.25">
      <c r="C1075" s="8"/>
      <c r="H1075" s="14"/>
      <c r="I1075" s="14"/>
      <c r="J1075" s="14"/>
      <c r="K1075" s="14"/>
      <c r="N1075" s="13"/>
      <c r="P1075"/>
      <c r="AD1075"/>
      <c r="AF1075" s="8"/>
      <c r="AG1075"/>
      <c r="AH1075" s="14"/>
      <c r="AI1075" s="14"/>
    </row>
    <row r="1076" spans="3:35" x14ac:dyDescent="0.25">
      <c r="C1076" s="8"/>
      <c r="H1076" s="14"/>
      <c r="I1076" s="14"/>
      <c r="J1076" s="14"/>
      <c r="K1076" s="14"/>
      <c r="N1076" s="13"/>
      <c r="P1076"/>
      <c r="AD1076"/>
      <c r="AF1076" s="8"/>
      <c r="AG1076"/>
      <c r="AH1076" s="14"/>
      <c r="AI1076" s="14"/>
    </row>
    <row r="1077" spans="3:35" x14ac:dyDescent="0.25">
      <c r="C1077" s="8"/>
      <c r="H1077" s="14"/>
      <c r="I1077" s="14"/>
      <c r="J1077" s="14"/>
      <c r="K1077" s="14"/>
      <c r="N1077" s="13"/>
      <c r="P1077"/>
      <c r="AD1077"/>
      <c r="AF1077" s="8"/>
      <c r="AG1077"/>
      <c r="AH1077" s="14"/>
      <c r="AI1077" s="14"/>
    </row>
    <row r="1078" spans="3:35" x14ac:dyDescent="0.25">
      <c r="C1078" s="8"/>
      <c r="H1078" s="14"/>
      <c r="I1078" s="14"/>
      <c r="J1078" s="14"/>
      <c r="K1078" s="14"/>
      <c r="N1078" s="13"/>
      <c r="P1078"/>
      <c r="AD1078"/>
      <c r="AF1078" s="8"/>
      <c r="AG1078"/>
      <c r="AH1078" s="14"/>
      <c r="AI1078" s="14"/>
    </row>
    <row r="1079" spans="3:35" x14ac:dyDescent="0.25">
      <c r="C1079" s="8"/>
      <c r="H1079" s="14"/>
      <c r="I1079" s="14"/>
      <c r="J1079" s="14"/>
      <c r="K1079" s="14"/>
      <c r="N1079" s="13"/>
      <c r="P1079"/>
      <c r="AD1079"/>
      <c r="AF1079" s="8"/>
      <c r="AG1079"/>
      <c r="AH1079" s="14"/>
      <c r="AI1079" s="14"/>
    </row>
    <row r="1080" spans="3:35" x14ac:dyDescent="0.25">
      <c r="C1080" s="8"/>
      <c r="H1080" s="14"/>
      <c r="I1080" s="14"/>
      <c r="J1080" s="14"/>
      <c r="K1080" s="14"/>
      <c r="N1080" s="13"/>
      <c r="P1080"/>
      <c r="AD1080"/>
      <c r="AF1080" s="8"/>
      <c r="AG1080"/>
      <c r="AH1080" s="14"/>
      <c r="AI1080" s="14"/>
    </row>
    <row r="1081" spans="3:35" x14ac:dyDescent="0.25">
      <c r="C1081" s="8"/>
      <c r="H1081" s="14"/>
      <c r="I1081" s="14"/>
      <c r="J1081" s="14"/>
      <c r="K1081" s="14"/>
      <c r="N1081" s="13"/>
      <c r="P1081"/>
      <c r="AD1081"/>
      <c r="AF1081" s="8"/>
      <c r="AG1081"/>
      <c r="AH1081" s="14"/>
      <c r="AI1081" s="14"/>
    </row>
    <row r="1082" spans="3:35" x14ac:dyDescent="0.25">
      <c r="C1082" s="8"/>
      <c r="H1082" s="14"/>
      <c r="I1082" s="14"/>
      <c r="J1082" s="14"/>
      <c r="K1082" s="14"/>
      <c r="N1082" s="13"/>
      <c r="P1082"/>
      <c r="AD1082"/>
      <c r="AF1082" s="8"/>
      <c r="AG1082"/>
      <c r="AH1082" s="14"/>
      <c r="AI1082" s="14"/>
    </row>
    <row r="1083" spans="3:35" x14ac:dyDescent="0.25">
      <c r="C1083" s="8"/>
      <c r="H1083" s="14"/>
      <c r="I1083" s="14"/>
      <c r="J1083" s="14"/>
      <c r="K1083" s="14"/>
      <c r="N1083" s="13"/>
      <c r="P1083"/>
      <c r="AD1083"/>
      <c r="AF1083" s="8"/>
      <c r="AG1083"/>
      <c r="AH1083" s="14"/>
      <c r="AI1083" s="14"/>
    </row>
    <row r="1084" spans="3:35" x14ac:dyDescent="0.25">
      <c r="C1084" s="8"/>
      <c r="H1084" s="14"/>
      <c r="I1084" s="14"/>
      <c r="J1084" s="14"/>
      <c r="K1084" s="14"/>
      <c r="N1084" s="13"/>
      <c r="P1084"/>
      <c r="AD1084"/>
      <c r="AF1084" s="8"/>
      <c r="AG1084"/>
      <c r="AH1084" s="14"/>
      <c r="AI1084" s="14"/>
    </row>
    <row r="1085" spans="3:35" x14ac:dyDescent="0.25">
      <c r="C1085" s="8"/>
      <c r="H1085" s="14"/>
      <c r="I1085" s="14"/>
      <c r="J1085" s="14"/>
      <c r="K1085" s="14"/>
      <c r="N1085" s="13"/>
      <c r="P1085"/>
      <c r="AD1085"/>
      <c r="AF1085" s="8"/>
      <c r="AG1085"/>
      <c r="AH1085" s="14"/>
      <c r="AI1085" s="14"/>
    </row>
    <row r="1086" spans="3:35" x14ac:dyDescent="0.25">
      <c r="C1086" s="8"/>
      <c r="H1086" s="14"/>
      <c r="I1086" s="14"/>
      <c r="J1086" s="14"/>
      <c r="K1086" s="14"/>
      <c r="N1086" s="13"/>
      <c r="P1086"/>
      <c r="AD1086"/>
      <c r="AF1086" s="8"/>
      <c r="AG1086"/>
      <c r="AH1086" s="14"/>
      <c r="AI1086" s="14"/>
    </row>
    <row r="1087" spans="3:35" x14ac:dyDescent="0.25">
      <c r="C1087" s="8"/>
      <c r="H1087" s="14"/>
      <c r="I1087" s="14"/>
      <c r="J1087" s="14"/>
      <c r="K1087" s="14"/>
      <c r="N1087" s="13"/>
      <c r="P1087"/>
      <c r="AD1087"/>
      <c r="AF1087" s="8"/>
      <c r="AG1087"/>
      <c r="AH1087" s="14"/>
      <c r="AI1087" s="14"/>
    </row>
    <row r="1088" spans="3:35" x14ac:dyDescent="0.25">
      <c r="C1088" s="8"/>
      <c r="H1088" s="14"/>
      <c r="I1088" s="14"/>
      <c r="J1088" s="14"/>
      <c r="K1088" s="14"/>
      <c r="N1088" s="13"/>
      <c r="P1088"/>
      <c r="AD1088"/>
      <c r="AF1088" s="8"/>
      <c r="AG1088"/>
      <c r="AH1088" s="14"/>
      <c r="AI1088" s="14"/>
    </row>
    <row r="1089" spans="3:35" x14ac:dyDescent="0.25">
      <c r="C1089" s="8"/>
      <c r="H1089" s="14"/>
      <c r="I1089" s="14"/>
      <c r="J1089" s="14"/>
      <c r="K1089" s="14"/>
      <c r="N1089" s="13"/>
      <c r="P1089"/>
      <c r="AD1089"/>
      <c r="AF1089" s="8"/>
      <c r="AG1089"/>
      <c r="AH1089" s="14"/>
      <c r="AI1089" s="14"/>
    </row>
    <row r="1090" spans="3:35" x14ac:dyDescent="0.25">
      <c r="C1090" s="8"/>
      <c r="H1090" s="14"/>
      <c r="I1090" s="14"/>
      <c r="J1090" s="14"/>
      <c r="K1090" s="14"/>
      <c r="N1090" s="13"/>
      <c r="P1090"/>
      <c r="AD1090"/>
      <c r="AF1090" s="8"/>
      <c r="AG1090"/>
      <c r="AH1090" s="14"/>
      <c r="AI1090" s="14"/>
    </row>
    <row r="1091" spans="3:35" x14ac:dyDescent="0.25">
      <c r="C1091" s="8"/>
      <c r="H1091" s="14"/>
      <c r="I1091" s="14"/>
      <c r="J1091" s="14"/>
      <c r="K1091" s="14"/>
      <c r="N1091" s="13"/>
      <c r="P1091"/>
      <c r="AD1091"/>
      <c r="AF1091" s="8"/>
      <c r="AG1091"/>
      <c r="AH1091" s="14"/>
      <c r="AI1091" s="14"/>
    </row>
    <row r="1092" spans="3:35" x14ac:dyDescent="0.25">
      <c r="C1092" s="8"/>
      <c r="H1092" s="14"/>
      <c r="I1092" s="14"/>
      <c r="J1092" s="14"/>
      <c r="K1092" s="14"/>
      <c r="N1092" s="13"/>
      <c r="P1092"/>
      <c r="AD1092"/>
      <c r="AF1092" s="8"/>
      <c r="AG1092"/>
      <c r="AH1092" s="14"/>
      <c r="AI1092" s="14"/>
    </row>
    <row r="1093" spans="3:35" x14ac:dyDescent="0.25">
      <c r="C1093" s="8"/>
      <c r="H1093" s="14"/>
      <c r="I1093" s="14"/>
      <c r="J1093" s="14"/>
      <c r="K1093" s="14"/>
      <c r="N1093" s="13"/>
      <c r="P1093"/>
      <c r="AD1093"/>
      <c r="AF1093" s="8"/>
      <c r="AG1093"/>
      <c r="AH1093" s="14"/>
      <c r="AI1093" s="14"/>
    </row>
    <row r="1094" spans="3:35" x14ac:dyDescent="0.25">
      <c r="C1094" s="8"/>
      <c r="H1094" s="14"/>
      <c r="I1094" s="14"/>
      <c r="J1094" s="14"/>
      <c r="K1094" s="14"/>
      <c r="N1094" s="13"/>
      <c r="P1094"/>
      <c r="AD1094"/>
      <c r="AF1094" s="8"/>
      <c r="AG1094"/>
      <c r="AH1094" s="14"/>
      <c r="AI1094" s="14"/>
    </row>
    <row r="1095" spans="3:35" x14ac:dyDescent="0.25">
      <c r="C1095" s="8"/>
      <c r="H1095" s="14"/>
      <c r="I1095" s="14"/>
      <c r="J1095" s="14"/>
      <c r="K1095" s="14"/>
      <c r="N1095" s="13"/>
      <c r="P1095"/>
      <c r="AD1095"/>
      <c r="AF1095" s="8"/>
      <c r="AG1095"/>
      <c r="AH1095" s="14"/>
      <c r="AI1095" s="14"/>
    </row>
    <row r="1096" spans="3:35" x14ac:dyDescent="0.25">
      <c r="C1096" s="8"/>
      <c r="H1096" s="14"/>
      <c r="I1096" s="14"/>
      <c r="J1096" s="14"/>
      <c r="K1096" s="14"/>
      <c r="N1096" s="13"/>
      <c r="P1096"/>
      <c r="AD1096"/>
      <c r="AF1096" s="8"/>
      <c r="AG1096"/>
      <c r="AH1096" s="14"/>
      <c r="AI1096" s="14"/>
    </row>
    <row r="1097" spans="3:35" x14ac:dyDescent="0.25">
      <c r="C1097" s="8"/>
      <c r="H1097" s="14"/>
      <c r="I1097" s="14"/>
      <c r="J1097" s="14"/>
      <c r="K1097" s="14"/>
      <c r="N1097" s="13"/>
      <c r="P1097"/>
      <c r="AD1097"/>
      <c r="AF1097" s="8"/>
      <c r="AG1097"/>
      <c r="AH1097" s="14"/>
      <c r="AI1097" s="14"/>
    </row>
    <row r="1098" spans="3:35" x14ac:dyDescent="0.25">
      <c r="C1098" s="8"/>
      <c r="H1098" s="14"/>
      <c r="I1098" s="14"/>
      <c r="J1098" s="14"/>
      <c r="K1098" s="14"/>
      <c r="N1098" s="13"/>
      <c r="P1098"/>
      <c r="AD1098"/>
      <c r="AF1098" s="8"/>
      <c r="AG1098"/>
      <c r="AH1098" s="14"/>
      <c r="AI1098" s="14"/>
    </row>
    <row r="1099" spans="3:35" x14ac:dyDescent="0.25">
      <c r="C1099" s="8"/>
      <c r="H1099" s="14"/>
      <c r="I1099" s="14"/>
      <c r="J1099" s="14"/>
      <c r="K1099" s="14"/>
      <c r="N1099" s="13"/>
      <c r="P1099"/>
      <c r="AD1099"/>
      <c r="AF1099" s="8"/>
      <c r="AG1099"/>
      <c r="AH1099" s="14"/>
      <c r="AI1099" s="14"/>
    </row>
    <row r="1100" spans="3:35" x14ac:dyDescent="0.25">
      <c r="C1100" s="8"/>
      <c r="H1100" s="14"/>
      <c r="I1100" s="14"/>
      <c r="J1100" s="14"/>
      <c r="K1100" s="14"/>
      <c r="N1100" s="13"/>
      <c r="P1100"/>
      <c r="AD1100"/>
      <c r="AF1100" s="8"/>
      <c r="AG1100"/>
      <c r="AH1100" s="14"/>
      <c r="AI1100" s="14"/>
    </row>
    <row r="1101" spans="3:35" x14ac:dyDescent="0.25">
      <c r="C1101" s="8"/>
      <c r="H1101" s="14"/>
      <c r="I1101" s="14"/>
      <c r="J1101" s="14"/>
      <c r="K1101" s="14"/>
      <c r="N1101" s="13"/>
      <c r="P1101"/>
      <c r="AD1101"/>
      <c r="AF1101" s="8"/>
      <c r="AG1101"/>
      <c r="AH1101" s="14"/>
      <c r="AI1101" s="14"/>
    </row>
    <row r="1102" spans="3:35" x14ac:dyDescent="0.25">
      <c r="C1102" s="8"/>
      <c r="H1102" s="14"/>
      <c r="I1102" s="14"/>
      <c r="J1102" s="14"/>
      <c r="K1102" s="14"/>
      <c r="N1102" s="13"/>
      <c r="P1102"/>
      <c r="AD1102"/>
      <c r="AF1102" s="8"/>
      <c r="AG1102"/>
      <c r="AH1102" s="14"/>
      <c r="AI1102" s="14"/>
    </row>
    <row r="1103" spans="3:35" x14ac:dyDescent="0.25">
      <c r="C1103" s="8"/>
      <c r="H1103" s="14"/>
      <c r="I1103" s="14"/>
      <c r="J1103" s="14"/>
      <c r="K1103" s="14"/>
      <c r="N1103" s="13"/>
      <c r="P1103"/>
      <c r="AD1103"/>
      <c r="AF1103" s="8"/>
      <c r="AG1103"/>
      <c r="AH1103" s="14"/>
      <c r="AI1103" s="14"/>
    </row>
    <row r="1104" spans="3:35" x14ac:dyDescent="0.25">
      <c r="C1104" s="8"/>
      <c r="H1104" s="14"/>
      <c r="I1104" s="14"/>
      <c r="J1104" s="14"/>
      <c r="K1104" s="14"/>
      <c r="N1104" s="13"/>
      <c r="P1104"/>
      <c r="AD1104"/>
      <c r="AF1104" s="8"/>
      <c r="AG1104"/>
      <c r="AH1104" s="14"/>
      <c r="AI1104" s="14"/>
    </row>
    <row r="1105" spans="3:35" x14ac:dyDescent="0.25">
      <c r="C1105" s="8"/>
      <c r="H1105" s="14"/>
      <c r="I1105" s="14"/>
      <c r="J1105" s="14"/>
      <c r="K1105" s="14"/>
      <c r="N1105" s="13"/>
      <c r="P1105"/>
      <c r="AD1105"/>
      <c r="AF1105" s="8"/>
      <c r="AG1105"/>
      <c r="AH1105" s="14"/>
      <c r="AI1105" s="14"/>
    </row>
    <row r="1106" spans="3:35" x14ac:dyDescent="0.25">
      <c r="C1106" s="8"/>
      <c r="H1106" s="14"/>
      <c r="I1106" s="14"/>
      <c r="J1106" s="14"/>
      <c r="K1106" s="14"/>
      <c r="N1106" s="13"/>
      <c r="P1106"/>
      <c r="AD1106"/>
      <c r="AF1106" s="8"/>
      <c r="AG1106"/>
      <c r="AH1106" s="14"/>
      <c r="AI1106" s="14"/>
    </row>
    <row r="1107" spans="3:35" x14ac:dyDescent="0.25">
      <c r="C1107" s="8"/>
      <c r="H1107" s="14"/>
      <c r="I1107" s="14"/>
      <c r="J1107" s="14"/>
      <c r="K1107" s="14"/>
      <c r="N1107" s="13"/>
      <c r="P1107"/>
      <c r="AD1107"/>
      <c r="AF1107" s="8"/>
      <c r="AG1107"/>
      <c r="AH1107" s="14"/>
      <c r="AI1107" s="14"/>
    </row>
    <row r="1108" spans="3:35" x14ac:dyDescent="0.25">
      <c r="C1108" s="8"/>
      <c r="H1108" s="14"/>
      <c r="I1108" s="14"/>
      <c r="J1108" s="14"/>
      <c r="K1108" s="14"/>
      <c r="N1108" s="13"/>
      <c r="P1108"/>
      <c r="AD1108"/>
      <c r="AF1108" s="8"/>
      <c r="AG1108"/>
      <c r="AH1108" s="14"/>
      <c r="AI1108" s="14"/>
    </row>
    <row r="1109" spans="3:35" x14ac:dyDescent="0.25">
      <c r="C1109" s="8"/>
      <c r="H1109" s="14"/>
      <c r="I1109" s="14"/>
      <c r="J1109" s="14"/>
      <c r="K1109" s="14"/>
      <c r="N1109" s="13"/>
      <c r="P1109"/>
      <c r="AD1109"/>
      <c r="AF1109" s="8"/>
      <c r="AG1109"/>
      <c r="AH1109" s="14"/>
      <c r="AI1109" s="14"/>
    </row>
    <row r="1110" spans="3:35" x14ac:dyDescent="0.25">
      <c r="C1110" s="8"/>
      <c r="H1110" s="14"/>
      <c r="I1110" s="14"/>
      <c r="J1110" s="14"/>
      <c r="K1110" s="14"/>
      <c r="N1110" s="13"/>
      <c r="P1110"/>
      <c r="AD1110"/>
      <c r="AF1110" s="8"/>
      <c r="AG1110"/>
      <c r="AH1110" s="14"/>
      <c r="AI1110" s="14"/>
    </row>
    <row r="1111" spans="3:35" x14ac:dyDescent="0.25">
      <c r="C1111" s="8"/>
      <c r="H1111" s="14"/>
      <c r="I1111" s="14"/>
      <c r="J1111" s="14"/>
      <c r="K1111" s="14"/>
      <c r="N1111" s="13"/>
      <c r="P1111"/>
      <c r="AD1111"/>
      <c r="AF1111" s="8"/>
      <c r="AG1111"/>
      <c r="AH1111" s="14"/>
      <c r="AI1111" s="14"/>
    </row>
    <row r="1112" spans="3:35" x14ac:dyDescent="0.25">
      <c r="C1112" s="8"/>
      <c r="H1112" s="14"/>
      <c r="I1112" s="14"/>
      <c r="J1112" s="14"/>
      <c r="K1112" s="14"/>
      <c r="N1112" s="13"/>
      <c r="P1112"/>
      <c r="AD1112"/>
      <c r="AF1112" s="8"/>
      <c r="AG1112"/>
      <c r="AH1112" s="14"/>
      <c r="AI1112" s="14"/>
    </row>
    <row r="1113" spans="3:35" x14ac:dyDescent="0.25">
      <c r="C1113" s="8"/>
      <c r="H1113" s="14"/>
      <c r="I1113" s="14"/>
      <c r="J1113" s="14"/>
      <c r="K1113" s="14"/>
      <c r="N1113" s="13"/>
      <c r="P1113"/>
      <c r="AD1113"/>
      <c r="AF1113" s="8"/>
      <c r="AG1113"/>
      <c r="AH1113" s="14"/>
      <c r="AI1113" s="14"/>
    </row>
  </sheetData>
  <autoFilter ref="A10:AS1007"/>
  <mergeCells count="1">
    <mergeCell ref="A1:C3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I283"/>
  <sheetViews>
    <sheetView workbookViewId="0">
      <selection sqref="A1:XFD1048576"/>
    </sheetView>
  </sheetViews>
  <sheetFormatPr baseColWidth="10" defaultColWidth="9.140625" defaultRowHeight="15" x14ac:dyDescent="0.25"/>
  <cols>
    <col min="1" max="1" width="17.42578125" style="47" customWidth="1"/>
    <col min="2" max="2" width="26" style="47" bestFit="1" customWidth="1"/>
    <col min="3" max="7" width="12.7109375" style="47" customWidth="1"/>
    <col min="8" max="17" width="12.7109375" style="51" customWidth="1"/>
    <col min="18" max="24" width="12.7109375" style="47" customWidth="1"/>
    <col min="25" max="25" width="12.7109375" style="51" customWidth="1"/>
    <col min="26" max="38" width="12.7109375" style="47" customWidth="1"/>
    <col min="39" max="39" width="24" style="47" bestFit="1" customWidth="1"/>
    <col min="40" max="61" width="12.7109375" style="47" customWidth="1"/>
    <col min="62" max="16384" width="9.140625" style="47"/>
  </cols>
  <sheetData>
    <row r="1" spans="1:61" ht="20.100000000000001" customHeight="1" x14ac:dyDescent="0.25"/>
    <row r="2" spans="1:61" ht="50.1" customHeight="1" x14ac:dyDescent="0.25">
      <c r="A2" s="69"/>
      <c r="B2" s="66"/>
      <c r="C2" s="66"/>
      <c r="D2" s="66"/>
      <c r="E2" s="66"/>
      <c r="F2" s="66"/>
    </row>
    <row r="3" spans="1:61" ht="20.100000000000001" customHeight="1" x14ac:dyDescent="0.25">
      <c r="D3" s="70"/>
      <c r="E3" s="66"/>
      <c r="F3" s="66"/>
    </row>
    <row r="4" spans="1:61" ht="21" x14ac:dyDescent="0.25">
      <c r="A4" s="31"/>
      <c r="L4" s="16"/>
    </row>
    <row r="5" spans="1:61" ht="30" customHeight="1" x14ac:dyDescent="0.25">
      <c r="A5" s="71"/>
      <c r="B5" s="66"/>
      <c r="C5" s="66"/>
      <c r="D5" s="66"/>
      <c r="E5" s="66"/>
      <c r="F5" s="66"/>
      <c r="G5" s="66"/>
      <c r="H5" s="72"/>
      <c r="I5" s="72"/>
      <c r="J5" s="72"/>
      <c r="K5" s="72"/>
      <c r="L5" s="72"/>
      <c r="M5" s="72"/>
      <c r="N5" s="72"/>
      <c r="O5" s="72"/>
      <c r="P5" s="72"/>
      <c r="Q5" s="72"/>
      <c r="R5" s="66"/>
      <c r="S5" s="32"/>
      <c r="T5" s="73"/>
      <c r="U5" s="66"/>
      <c r="V5" s="66"/>
      <c r="W5" s="66"/>
      <c r="X5" s="66"/>
      <c r="Y5" s="72"/>
      <c r="Z5" s="66"/>
      <c r="AA5" s="74"/>
      <c r="AB5" s="66"/>
      <c r="AC5" s="66"/>
      <c r="AD5" s="66"/>
      <c r="AE5" s="66"/>
      <c r="AF5" s="75"/>
      <c r="AG5" s="66"/>
      <c r="AH5" s="66"/>
      <c r="AI5" s="66"/>
      <c r="AJ5" s="66"/>
      <c r="AK5" s="66"/>
      <c r="AL5" s="66"/>
      <c r="AM5" s="65"/>
      <c r="AN5" s="66"/>
      <c r="AO5" s="66"/>
      <c r="AP5" s="66"/>
      <c r="AQ5" s="66"/>
      <c r="AR5" s="66"/>
      <c r="AS5" s="67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8"/>
      <c r="BG5" s="66"/>
      <c r="BH5" s="66"/>
      <c r="BI5" s="66"/>
    </row>
    <row r="6" spans="1:61" ht="60" customHeight="1" x14ac:dyDescent="0.2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32"/>
      <c r="T6" s="52"/>
      <c r="U6" s="52"/>
      <c r="V6" s="52"/>
      <c r="W6" s="52"/>
      <c r="X6" s="52"/>
      <c r="Y6" s="52"/>
      <c r="Z6" s="52"/>
      <c r="AA6" s="53"/>
      <c r="AB6" s="53"/>
      <c r="AC6" s="53"/>
      <c r="AD6" s="53"/>
      <c r="AE6" s="53"/>
      <c r="AF6" s="54"/>
      <c r="AG6" s="54"/>
      <c r="AH6" s="54"/>
      <c r="AI6" s="54"/>
      <c r="AJ6" s="54"/>
      <c r="AK6" s="54"/>
      <c r="AL6" s="54"/>
      <c r="AM6" s="46"/>
      <c r="AN6" s="46"/>
      <c r="AO6" s="46"/>
      <c r="AP6" s="46"/>
      <c r="AQ6" s="46"/>
      <c r="AR6" s="46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48"/>
      <c r="BF6" s="49"/>
      <c r="BG6" s="49"/>
      <c r="BH6" s="49"/>
      <c r="BI6" s="49"/>
    </row>
    <row r="7" spans="1:61" ht="22.5" customHeight="1" x14ac:dyDescent="0.25">
      <c r="A7" s="33"/>
      <c r="B7" s="17"/>
      <c r="C7" s="17"/>
      <c r="D7" s="17"/>
      <c r="E7" s="17"/>
      <c r="F7" s="17"/>
      <c r="G7" s="34"/>
      <c r="H7" s="35"/>
      <c r="I7" s="35"/>
      <c r="J7" s="35"/>
      <c r="K7" s="35"/>
      <c r="L7" s="35"/>
      <c r="M7" s="35"/>
      <c r="N7" s="35"/>
      <c r="O7" s="36"/>
      <c r="P7" s="37"/>
      <c r="Q7" s="35"/>
      <c r="R7" s="17"/>
      <c r="S7" s="17"/>
      <c r="T7" s="17"/>
      <c r="U7" s="17"/>
      <c r="V7" s="17"/>
      <c r="W7" s="17"/>
      <c r="X7" s="17"/>
      <c r="Y7" s="34"/>
      <c r="Z7" s="34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34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34"/>
      <c r="BG7" s="17"/>
      <c r="BH7" s="17"/>
      <c r="BI7" s="17"/>
    </row>
    <row r="8" spans="1:61" ht="22.5" customHeight="1" x14ac:dyDescent="0.25">
      <c r="A8" s="33"/>
      <c r="B8" s="17"/>
      <c r="C8" s="17"/>
      <c r="D8" s="17"/>
      <c r="E8" s="17"/>
      <c r="F8" s="17"/>
      <c r="G8" s="34"/>
      <c r="H8" s="35"/>
      <c r="I8" s="35"/>
      <c r="J8" s="35"/>
      <c r="K8" s="35"/>
      <c r="L8" s="35"/>
      <c r="M8" s="35"/>
      <c r="N8" s="35"/>
      <c r="O8" s="38"/>
      <c r="P8" s="37"/>
      <c r="Q8" s="35"/>
      <c r="R8" s="17"/>
      <c r="S8" s="17"/>
      <c r="T8" s="17"/>
      <c r="U8" s="17"/>
      <c r="V8" s="17"/>
      <c r="W8" s="17"/>
      <c r="X8" s="17"/>
      <c r="Y8" s="34"/>
      <c r="Z8" s="34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34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34"/>
      <c r="BG8" s="17"/>
      <c r="BH8" s="17"/>
      <c r="BI8" s="17"/>
    </row>
    <row r="9" spans="1:61" ht="22.5" customHeight="1" x14ac:dyDescent="0.25">
      <c r="A9" s="33"/>
      <c r="B9" s="17"/>
      <c r="C9" s="17"/>
      <c r="D9" s="17"/>
      <c r="E9" s="17"/>
      <c r="F9" s="17"/>
      <c r="G9" s="34"/>
      <c r="H9" s="35"/>
      <c r="I9" s="35"/>
      <c r="J9" s="35"/>
      <c r="K9" s="35"/>
      <c r="L9" s="35"/>
      <c r="M9" s="35"/>
      <c r="N9" s="35"/>
      <c r="O9" s="35"/>
      <c r="P9" s="35"/>
      <c r="Q9" s="35"/>
      <c r="R9" s="17"/>
      <c r="S9" s="17"/>
      <c r="T9" s="17"/>
      <c r="U9" s="17"/>
      <c r="V9" s="17"/>
      <c r="W9" s="17"/>
      <c r="X9" s="17"/>
      <c r="Y9" s="34"/>
      <c r="Z9" s="34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34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34"/>
      <c r="BG9" s="17"/>
      <c r="BH9" s="17"/>
      <c r="BI9" s="17"/>
    </row>
    <row r="10" spans="1:61" ht="22.5" customHeight="1" x14ac:dyDescent="0.25">
      <c r="A10" s="33"/>
      <c r="B10" s="17"/>
      <c r="C10" s="17"/>
      <c r="D10" s="17"/>
      <c r="E10" s="17"/>
      <c r="F10" s="17"/>
      <c r="G10" s="34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17"/>
      <c r="S10" s="17"/>
      <c r="T10" s="17"/>
      <c r="U10" s="17"/>
      <c r="V10" s="17"/>
      <c r="W10" s="17"/>
      <c r="X10" s="17"/>
      <c r="Y10" s="34"/>
      <c r="Z10" s="34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34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34"/>
      <c r="BG10" s="17"/>
      <c r="BH10" s="17"/>
      <c r="BI10" s="17"/>
    </row>
    <row r="11" spans="1:61" ht="22.5" customHeight="1" x14ac:dyDescent="0.25">
      <c r="A11" s="33"/>
      <c r="B11" s="17"/>
      <c r="C11" s="17"/>
      <c r="D11" s="17"/>
      <c r="E11" s="17"/>
      <c r="F11" s="17"/>
      <c r="G11" s="34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17"/>
      <c r="S11" s="17"/>
      <c r="T11" s="17"/>
      <c r="U11" s="17"/>
      <c r="V11" s="17"/>
      <c r="W11" s="17"/>
      <c r="X11" s="17"/>
      <c r="Y11" s="34"/>
      <c r="Z11" s="34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34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34"/>
      <c r="BG11" s="17"/>
      <c r="BH11" s="17"/>
      <c r="BI11" s="17"/>
    </row>
    <row r="12" spans="1:61" ht="22.5" customHeight="1" x14ac:dyDescent="0.25">
      <c r="A12" s="33"/>
      <c r="B12" s="17"/>
      <c r="C12" s="17"/>
      <c r="D12" s="17"/>
      <c r="E12" s="17"/>
      <c r="F12" s="17"/>
      <c r="G12" s="34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17"/>
      <c r="S12" s="17"/>
      <c r="T12" s="17"/>
      <c r="U12" s="17"/>
      <c r="V12" s="17"/>
      <c r="W12" s="17"/>
      <c r="X12" s="17"/>
      <c r="Y12" s="34"/>
      <c r="Z12" s="34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34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34"/>
      <c r="BG12" s="17"/>
      <c r="BH12" s="17"/>
      <c r="BI12" s="17"/>
    </row>
    <row r="13" spans="1:61" ht="22.5" customHeight="1" x14ac:dyDescent="0.25">
      <c r="A13" s="33"/>
      <c r="B13" s="17"/>
      <c r="C13" s="17"/>
      <c r="D13" s="17"/>
      <c r="E13" s="17"/>
      <c r="F13" s="17"/>
      <c r="G13" s="34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17"/>
      <c r="S13" s="17"/>
      <c r="T13" s="17"/>
      <c r="U13" s="17"/>
      <c r="V13" s="17"/>
      <c r="W13" s="17"/>
      <c r="X13" s="17"/>
      <c r="Y13" s="34"/>
      <c r="Z13" s="34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34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34"/>
      <c r="BG13" s="17"/>
      <c r="BH13" s="17"/>
      <c r="BI13" s="17"/>
    </row>
    <row r="14" spans="1:61" ht="22.5" customHeight="1" x14ac:dyDescent="0.25">
      <c r="A14" s="33"/>
      <c r="B14" s="17"/>
      <c r="C14" s="17"/>
      <c r="D14" s="17"/>
      <c r="E14" s="17"/>
      <c r="F14" s="17"/>
      <c r="G14" s="34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17"/>
      <c r="S14" s="17"/>
      <c r="T14" s="17"/>
      <c r="U14" s="17"/>
      <c r="V14" s="17"/>
      <c r="W14" s="17"/>
      <c r="X14" s="17"/>
      <c r="Y14" s="34"/>
      <c r="Z14" s="34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34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34"/>
      <c r="BG14" s="17"/>
      <c r="BH14" s="17"/>
      <c r="BI14" s="17"/>
    </row>
    <row r="15" spans="1:61" ht="22.5" customHeight="1" x14ac:dyDescent="0.25">
      <c r="A15" s="33"/>
      <c r="B15" s="17"/>
      <c r="C15" s="17"/>
      <c r="D15" s="17"/>
      <c r="E15" s="17"/>
      <c r="F15" s="17"/>
      <c r="G15" s="34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17"/>
      <c r="S15" s="17"/>
      <c r="T15" s="17"/>
      <c r="U15" s="17"/>
      <c r="V15" s="17"/>
      <c r="W15" s="17"/>
      <c r="X15" s="17"/>
      <c r="Y15" s="34"/>
      <c r="Z15" s="34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34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34"/>
      <c r="BG15" s="17"/>
      <c r="BH15" s="17"/>
      <c r="BI15" s="17"/>
    </row>
    <row r="16" spans="1:61" ht="22.5" customHeight="1" x14ac:dyDescent="0.25">
      <c r="A16" s="33"/>
      <c r="B16" s="17"/>
      <c r="C16" s="17"/>
      <c r="D16" s="17"/>
      <c r="E16" s="17"/>
      <c r="F16" s="17"/>
      <c r="G16" s="34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17"/>
      <c r="S16" s="17"/>
      <c r="T16" s="17"/>
      <c r="U16" s="17"/>
      <c r="V16" s="17"/>
      <c r="W16" s="17"/>
      <c r="X16" s="17"/>
      <c r="Y16" s="34"/>
      <c r="Z16" s="34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34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34"/>
      <c r="BG16" s="17"/>
      <c r="BH16" s="17"/>
      <c r="BI16" s="17"/>
    </row>
    <row r="17" spans="1:61" ht="22.5" customHeight="1" x14ac:dyDescent="0.25">
      <c r="A17" s="33"/>
      <c r="B17" s="17"/>
      <c r="C17" s="17"/>
      <c r="D17" s="17"/>
      <c r="E17" s="17"/>
      <c r="F17" s="17"/>
      <c r="G17" s="34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17"/>
      <c r="S17" s="17"/>
      <c r="T17" s="17"/>
      <c r="U17" s="17"/>
      <c r="V17" s="17"/>
      <c r="W17" s="17"/>
      <c r="X17" s="17"/>
      <c r="Y17" s="34"/>
      <c r="Z17" s="34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34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34"/>
      <c r="BG17" s="17"/>
      <c r="BH17" s="17"/>
      <c r="BI17" s="17"/>
    </row>
    <row r="18" spans="1:61" ht="22.5" customHeight="1" x14ac:dyDescent="0.25">
      <c r="A18" s="33"/>
      <c r="B18" s="17"/>
      <c r="C18" s="17"/>
      <c r="D18" s="17"/>
      <c r="E18" s="17"/>
      <c r="F18" s="17"/>
      <c r="G18" s="34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17"/>
      <c r="S18" s="17"/>
      <c r="T18" s="17"/>
      <c r="U18" s="17"/>
      <c r="V18" s="17"/>
      <c r="W18" s="17"/>
      <c r="X18" s="17"/>
      <c r="Y18" s="34"/>
      <c r="Z18" s="34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34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34"/>
      <c r="BG18" s="17"/>
      <c r="BH18" s="17"/>
      <c r="BI18" s="17"/>
    </row>
    <row r="19" spans="1:61" ht="22.5" customHeight="1" x14ac:dyDescent="0.25">
      <c r="A19" s="33"/>
      <c r="B19" s="17"/>
      <c r="C19" s="17"/>
      <c r="D19" s="17"/>
      <c r="E19" s="17"/>
      <c r="F19" s="17"/>
      <c r="G19" s="34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17"/>
      <c r="S19" s="17"/>
      <c r="T19" s="17"/>
      <c r="U19" s="17"/>
      <c r="V19" s="17"/>
      <c r="W19" s="17"/>
      <c r="X19" s="17"/>
      <c r="Y19" s="34"/>
      <c r="Z19" s="34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34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34"/>
      <c r="BG19" s="17"/>
      <c r="BH19" s="17"/>
      <c r="BI19" s="17"/>
    </row>
    <row r="20" spans="1:61" ht="22.5" customHeight="1" x14ac:dyDescent="0.25">
      <c r="A20" s="33"/>
      <c r="B20" s="17"/>
      <c r="C20" s="17"/>
      <c r="D20" s="17"/>
      <c r="E20" s="17"/>
      <c r="F20" s="17"/>
      <c r="G20" s="34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17"/>
      <c r="S20" s="17"/>
      <c r="T20" s="17"/>
      <c r="U20" s="17"/>
      <c r="V20" s="17"/>
      <c r="W20" s="17"/>
      <c r="X20" s="17"/>
      <c r="Y20" s="34"/>
      <c r="Z20" s="34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34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34"/>
      <c r="BG20" s="17"/>
      <c r="BH20" s="17"/>
      <c r="BI20" s="17"/>
    </row>
    <row r="21" spans="1:61" ht="22.5" customHeight="1" x14ac:dyDescent="0.25">
      <c r="A21" s="33"/>
      <c r="B21" s="17"/>
      <c r="C21" s="17"/>
      <c r="D21" s="17"/>
      <c r="E21" s="17"/>
      <c r="F21" s="17"/>
      <c r="G21" s="34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17"/>
      <c r="S21" s="17"/>
      <c r="T21" s="17"/>
      <c r="U21" s="17"/>
      <c r="V21" s="17"/>
      <c r="W21" s="17"/>
      <c r="X21" s="17"/>
      <c r="Y21" s="34"/>
      <c r="Z21" s="34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34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34"/>
      <c r="BG21" s="17"/>
      <c r="BH21" s="17"/>
      <c r="BI21" s="17"/>
    </row>
    <row r="22" spans="1:61" ht="22.5" customHeight="1" x14ac:dyDescent="0.25">
      <c r="A22" s="33"/>
      <c r="B22" s="17"/>
      <c r="C22" s="17"/>
      <c r="D22" s="17"/>
      <c r="E22" s="17"/>
      <c r="F22" s="17"/>
      <c r="G22" s="34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17"/>
      <c r="S22" s="17"/>
      <c r="T22" s="17"/>
      <c r="U22" s="17"/>
      <c r="V22" s="17"/>
      <c r="W22" s="17"/>
      <c r="X22" s="17"/>
      <c r="Y22" s="34"/>
      <c r="Z22" s="34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34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34"/>
      <c r="BG22" s="17"/>
      <c r="BH22" s="17"/>
      <c r="BI22" s="17"/>
    </row>
    <row r="23" spans="1:61" ht="22.5" customHeight="1" x14ac:dyDescent="0.25">
      <c r="A23" s="33"/>
      <c r="B23" s="17"/>
      <c r="C23" s="17"/>
      <c r="D23" s="17"/>
      <c r="E23" s="17"/>
      <c r="F23" s="17"/>
      <c r="G23" s="34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17"/>
      <c r="S23" s="17"/>
      <c r="T23" s="17"/>
      <c r="U23" s="17"/>
      <c r="V23" s="17"/>
      <c r="W23" s="17"/>
      <c r="X23" s="17"/>
      <c r="Y23" s="34"/>
      <c r="Z23" s="34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34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34"/>
      <c r="BG23" s="17"/>
      <c r="BH23" s="17"/>
      <c r="BI23" s="17"/>
    </row>
    <row r="24" spans="1:61" ht="22.5" customHeight="1" x14ac:dyDescent="0.25">
      <c r="A24" s="33"/>
      <c r="B24" s="17"/>
      <c r="C24" s="17"/>
      <c r="D24" s="17"/>
      <c r="E24" s="17"/>
      <c r="F24" s="17"/>
      <c r="G24" s="34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17"/>
      <c r="S24" s="17"/>
      <c r="T24" s="17"/>
      <c r="U24" s="17"/>
      <c r="V24" s="17"/>
      <c r="W24" s="17"/>
      <c r="X24" s="17"/>
      <c r="Y24" s="34"/>
      <c r="Z24" s="34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34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34"/>
      <c r="BG24" s="17"/>
      <c r="BH24" s="17"/>
      <c r="BI24" s="17"/>
    </row>
    <row r="25" spans="1:61" ht="22.5" customHeight="1" x14ac:dyDescent="0.25">
      <c r="A25" s="33"/>
      <c r="B25" s="17"/>
      <c r="C25" s="17"/>
      <c r="D25" s="17"/>
      <c r="E25" s="17"/>
      <c r="F25" s="17"/>
      <c r="G25" s="34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17"/>
      <c r="S25" s="17"/>
      <c r="T25" s="17"/>
      <c r="U25" s="17"/>
      <c r="V25" s="17"/>
      <c r="W25" s="17"/>
      <c r="X25" s="17"/>
      <c r="Y25" s="34"/>
      <c r="Z25" s="34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34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34"/>
      <c r="BG25" s="17"/>
      <c r="BH25" s="17"/>
      <c r="BI25" s="17"/>
    </row>
    <row r="26" spans="1:61" ht="22.5" customHeight="1" x14ac:dyDescent="0.25">
      <c r="A26" s="33"/>
      <c r="B26" s="17"/>
      <c r="C26" s="17"/>
      <c r="D26" s="17"/>
      <c r="E26" s="17"/>
      <c r="F26" s="17"/>
      <c r="G26" s="34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17"/>
      <c r="S26" s="17"/>
      <c r="T26" s="17"/>
      <c r="U26" s="17"/>
      <c r="V26" s="17"/>
      <c r="W26" s="17"/>
      <c r="X26" s="17"/>
      <c r="Y26" s="34"/>
      <c r="Z26" s="34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34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34"/>
      <c r="BG26" s="17"/>
      <c r="BH26" s="17"/>
      <c r="BI26" s="17"/>
    </row>
    <row r="27" spans="1:61" ht="22.5" customHeight="1" x14ac:dyDescent="0.25">
      <c r="A27" s="33"/>
      <c r="B27" s="17"/>
      <c r="C27" s="17"/>
      <c r="D27" s="17"/>
      <c r="E27" s="17"/>
      <c r="F27" s="17"/>
      <c r="G27" s="34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17"/>
      <c r="S27" s="17"/>
      <c r="T27" s="17"/>
      <c r="U27" s="17"/>
      <c r="V27" s="17"/>
      <c r="W27" s="17"/>
      <c r="X27" s="17"/>
      <c r="Y27" s="34"/>
      <c r="Z27" s="34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34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34"/>
      <c r="BG27" s="17"/>
      <c r="BH27" s="17"/>
      <c r="BI27" s="17"/>
    </row>
    <row r="28" spans="1:61" ht="22.5" customHeight="1" x14ac:dyDescent="0.25">
      <c r="A28" s="33"/>
      <c r="B28" s="17"/>
      <c r="C28" s="17"/>
      <c r="D28" s="17"/>
      <c r="E28" s="17"/>
      <c r="F28" s="17"/>
      <c r="G28" s="34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17"/>
      <c r="S28" s="17"/>
      <c r="T28" s="17"/>
      <c r="U28" s="17"/>
      <c r="V28" s="17"/>
      <c r="W28" s="17"/>
      <c r="X28" s="17"/>
      <c r="Y28" s="34"/>
      <c r="Z28" s="34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34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34"/>
      <c r="BG28" s="17"/>
      <c r="BH28" s="17"/>
      <c r="BI28" s="17"/>
    </row>
    <row r="29" spans="1:61" ht="22.5" customHeight="1" x14ac:dyDescent="0.25">
      <c r="A29" s="33"/>
      <c r="B29" s="17"/>
      <c r="C29" s="17"/>
      <c r="D29" s="17"/>
      <c r="E29" s="17"/>
      <c r="F29" s="17"/>
      <c r="G29" s="34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17"/>
      <c r="S29" s="17"/>
      <c r="T29" s="17"/>
      <c r="U29" s="17"/>
      <c r="V29" s="17"/>
      <c r="W29" s="17"/>
      <c r="X29" s="17"/>
      <c r="Y29" s="34"/>
      <c r="Z29" s="34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34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34"/>
      <c r="BG29" s="17"/>
      <c r="BH29" s="17"/>
      <c r="BI29" s="17"/>
    </row>
    <row r="30" spans="1:61" ht="22.5" customHeight="1" x14ac:dyDescent="0.25">
      <c r="A30" s="33"/>
      <c r="B30" s="17"/>
      <c r="C30" s="17"/>
      <c r="D30" s="17"/>
      <c r="E30" s="17"/>
      <c r="F30" s="17"/>
      <c r="G30" s="34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17"/>
      <c r="S30" s="17"/>
      <c r="T30" s="17"/>
      <c r="U30" s="17"/>
      <c r="V30" s="17"/>
      <c r="W30" s="17"/>
      <c r="X30" s="17"/>
      <c r="Y30" s="34"/>
      <c r="Z30" s="34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34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34"/>
      <c r="BG30" s="17"/>
      <c r="BH30" s="17"/>
      <c r="BI30" s="17"/>
    </row>
    <row r="31" spans="1:61" ht="22.5" customHeight="1" x14ac:dyDescent="0.25">
      <c r="A31" s="33"/>
      <c r="B31" s="17"/>
      <c r="C31" s="17"/>
      <c r="D31" s="17"/>
      <c r="E31" s="17"/>
      <c r="F31" s="17"/>
      <c r="G31" s="34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17"/>
      <c r="S31" s="17"/>
      <c r="T31" s="17"/>
      <c r="U31" s="17"/>
      <c r="V31" s="17"/>
      <c r="W31" s="17"/>
      <c r="X31" s="17"/>
      <c r="Y31" s="34"/>
      <c r="Z31" s="34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34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34"/>
      <c r="BG31" s="17"/>
      <c r="BH31" s="17"/>
      <c r="BI31" s="17"/>
    </row>
    <row r="32" spans="1:61" ht="22.5" customHeight="1" x14ac:dyDescent="0.25">
      <c r="A32" s="33"/>
      <c r="B32" s="17"/>
      <c r="C32" s="17"/>
      <c r="D32" s="17"/>
      <c r="E32" s="17"/>
      <c r="F32" s="17"/>
      <c r="G32" s="34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17"/>
      <c r="S32" s="17"/>
      <c r="T32" s="17"/>
      <c r="U32" s="17"/>
      <c r="V32" s="17"/>
      <c r="W32" s="17"/>
      <c r="X32" s="17"/>
      <c r="Y32" s="34"/>
      <c r="Z32" s="34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34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34"/>
      <c r="BG32" s="17"/>
      <c r="BH32" s="17"/>
      <c r="BI32" s="17"/>
    </row>
    <row r="33" spans="1:61" ht="22.5" customHeight="1" x14ac:dyDescent="0.25">
      <c r="A33" s="33"/>
      <c r="B33" s="17"/>
      <c r="C33" s="17"/>
      <c r="D33" s="17"/>
      <c r="E33" s="17"/>
      <c r="F33" s="17"/>
      <c r="G33" s="34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17"/>
      <c r="S33" s="17"/>
      <c r="T33" s="17"/>
      <c r="U33" s="17"/>
      <c r="V33" s="17"/>
      <c r="W33" s="17"/>
      <c r="X33" s="17"/>
      <c r="Y33" s="34"/>
      <c r="Z33" s="34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34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34"/>
      <c r="BG33" s="17"/>
      <c r="BH33" s="17"/>
      <c r="BI33" s="17"/>
    </row>
    <row r="34" spans="1:61" ht="22.5" customHeight="1" x14ac:dyDescent="0.25">
      <c r="A34" s="33"/>
      <c r="B34" s="17"/>
      <c r="C34" s="17"/>
      <c r="D34" s="17"/>
      <c r="E34" s="17"/>
      <c r="F34" s="17"/>
      <c r="G34" s="34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17"/>
      <c r="S34" s="17"/>
      <c r="T34" s="17"/>
      <c r="U34" s="17"/>
      <c r="V34" s="17"/>
      <c r="W34" s="17"/>
      <c r="X34" s="17"/>
      <c r="Y34" s="34"/>
      <c r="Z34" s="34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34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34"/>
      <c r="BG34" s="17"/>
      <c r="BH34" s="17"/>
      <c r="BI34" s="17"/>
    </row>
    <row r="35" spans="1:61" ht="22.5" customHeight="1" x14ac:dyDescent="0.25">
      <c r="A35" s="33"/>
      <c r="B35" s="17"/>
      <c r="C35" s="17"/>
      <c r="D35" s="17"/>
      <c r="E35" s="17"/>
      <c r="F35" s="17"/>
      <c r="G35" s="34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17"/>
      <c r="S35" s="17"/>
      <c r="T35" s="17"/>
      <c r="U35" s="17"/>
      <c r="V35" s="17"/>
      <c r="W35" s="17"/>
      <c r="X35" s="17"/>
      <c r="Y35" s="34"/>
      <c r="Z35" s="34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34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34"/>
      <c r="BG35" s="17"/>
      <c r="BH35" s="17"/>
      <c r="BI35" s="17"/>
    </row>
    <row r="36" spans="1:61" ht="22.5" customHeight="1" x14ac:dyDescent="0.25">
      <c r="A36" s="33"/>
      <c r="B36" s="17"/>
      <c r="C36" s="17"/>
      <c r="D36" s="17"/>
      <c r="E36" s="17"/>
      <c r="F36" s="17"/>
      <c r="G36" s="34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17"/>
      <c r="S36" s="17"/>
      <c r="T36" s="17"/>
      <c r="U36" s="17"/>
      <c r="V36" s="17"/>
      <c r="W36" s="17"/>
      <c r="X36" s="17"/>
      <c r="Y36" s="34"/>
      <c r="Z36" s="34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34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34"/>
      <c r="BG36" s="17"/>
      <c r="BH36" s="17"/>
      <c r="BI36" s="17"/>
    </row>
    <row r="37" spans="1:61" ht="22.5" customHeight="1" x14ac:dyDescent="0.25">
      <c r="A37" s="33"/>
      <c r="B37" s="17"/>
      <c r="C37" s="17"/>
      <c r="D37" s="17"/>
      <c r="E37" s="17"/>
      <c r="F37" s="17"/>
      <c r="G37" s="34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17"/>
      <c r="S37" s="17"/>
      <c r="T37" s="17"/>
      <c r="U37" s="17"/>
      <c r="V37" s="17"/>
      <c r="W37" s="17"/>
      <c r="X37" s="17"/>
      <c r="Y37" s="34"/>
      <c r="Z37" s="34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34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34"/>
      <c r="BG37" s="17"/>
      <c r="BH37" s="17"/>
      <c r="BI37" s="17"/>
    </row>
    <row r="38" spans="1:61" ht="22.5" customHeight="1" x14ac:dyDescent="0.25">
      <c r="A38" s="33"/>
      <c r="B38" s="17"/>
      <c r="C38" s="17"/>
      <c r="D38" s="17"/>
      <c r="E38" s="17"/>
      <c r="F38" s="17"/>
      <c r="G38" s="34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17"/>
      <c r="S38" s="17"/>
      <c r="T38" s="17"/>
      <c r="U38" s="17"/>
      <c r="V38" s="17"/>
      <c r="W38" s="17"/>
      <c r="X38" s="17"/>
      <c r="Y38" s="34"/>
      <c r="Z38" s="34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34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34"/>
      <c r="BG38" s="17"/>
      <c r="BH38" s="17"/>
      <c r="BI38" s="17"/>
    </row>
    <row r="39" spans="1:61" ht="22.5" customHeight="1" x14ac:dyDescent="0.25">
      <c r="A39" s="33"/>
      <c r="B39" s="17"/>
      <c r="C39" s="17"/>
      <c r="D39" s="17"/>
      <c r="E39" s="17"/>
      <c r="F39" s="17"/>
      <c r="G39" s="34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17"/>
      <c r="S39" s="17"/>
      <c r="T39" s="17"/>
      <c r="U39" s="17"/>
      <c r="V39" s="17"/>
      <c r="W39" s="17"/>
      <c r="X39" s="17"/>
      <c r="Y39" s="34"/>
      <c r="Z39" s="34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34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34"/>
      <c r="BG39" s="17"/>
      <c r="BH39" s="17"/>
      <c r="BI39" s="17"/>
    </row>
    <row r="40" spans="1:61" ht="22.5" customHeight="1" x14ac:dyDescent="0.25">
      <c r="A40" s="33"/>
      <c r="B40" s="17"/>
      <c r="C40" s="17"/>
      <c r="D40" s="17"/>
      <c r="E40" s="17"/>
      <c r="F40" s="17"/>
      <c r="G40" s="34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17"/>
      <c r="S40" s="17"/>
      <c r="T40" s="17"/>
      <c r="U40" s="17"/>
      <c r="V40" s="17"/>
      <c r="W40" s="17"/>
      <c r="X40" s="17"/>
      <c r="Y40" s="34"/>
      <c r="Z40" s="34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34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34"/>
      <c r="BG40" s="17"/>
      <c r="BH40" s="17"/>
      <c r="BI40" s="17"/>
    </row>
    <row r="41" spans="1:61" ht="22.5" customHeight="1" x14ac:dyDescent="0.25">
      <c r="A41" s="33"/>
      <c r="B41" s="17"/>
      <c r="C41" s="17"/>
      <c r="D41" s="17"/>
      <c r="E41" s="17"/>
      <c r="F41" s="17"/>
      <c r="G41" s="34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17"/>
      <c r="S41" s="17"/>
      <c r="T41" s="17"/>
      <c r="U41" s="17"/>
      <c r="V41" s="17"/>
      <c r="W41" s="17"/>
      <c r="X41" s="17"/>
      <c r="Y41" s="34"/>
      <c r="Z41" s="34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34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34"/>
      <c r="BG41" s="17"/>
      <c r="BH41" s="17"/>
      <c r="BI41" s="17"/>
    </row>
    <row r="42" spans="1:61" ht="22.5" customHeight="1" x14ac:dyDescent="0.25">
      <c r="A42" s="33"/>
      <c r="B42" s="17"/>
      <c r="C42" s="17"/>
      <c r="D42" s="17"/>
      <c r="E42" s="17"/>
      <c r="F42" s="17"/>
      <c r="G42" s="3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17"/>
      <c r="S42" s="17"/>
      <c r="T42" s="17"/>
      <c r="U42" s="17"/>
      <c r="V42" s="17"/>
      <c r="W42" s="17"/>
      <c r="X42" s="17"/>
      <c r="Y42" s="34"/>
      <c r="Z42" s="34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34"/>
      <c r="AT42" s="17"/>
      <c r="AU42" s="17"/>
      <c r="AV42" s="17"/>
      <c r="AW42" s="17"/>
      <c r="AX42" s="17"/>
      <c r="AY42" s="17"/>
      <c r="AZ42" s="17"/>
      <c r="BA42" s="17"/>
      <c r="BB42" s="17"/>
      <c r="BC42" s="17"/>
      <c r="BD42" s="17"/>
      <c r="BE42" s="17"/>
      <c r="BF42" s="34"/>
      <c r="BG42" s="17"/>
      <c r="BH42" s="17"/>
      <c r="BI42" s="17"/>
    </row>
    <row r="43" spans="1:61" ht="22.5" customHeight="1" x14ac:dyDescent="0.25">
      <c r="A43" s="33"/>
      <c r="B43" s="17"/>
      <c r="C43" s="17"/>
      <c r="D43" s="17"/>
      <c r="E43" s="17"/>
      <c r="F43" s="17"/>
      <c r="G43" s="34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17"/>
      <c r="S43" s="17"/>
      <c r="T43" s="17"/>
      <c r="U43" s="17"/>
      <c r="V43" s="17"/>
      <c r="W43" s="17"/>
      <c r="X43" s="17"/>
      <c r="Y43" s="34"/>
      <c r="Z43" s="34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34"/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34"/>
      <c r="BG43" s="17"/>
      <c r="BH43" s="17"/>
      <c r="BI43" s="17"/>
    </row>
    <row r="44" spans="1:61" ht="22.5" customHeight="1" x14ac:dyDescent="0.25">
      <c r="A44" s="33"/>
      <c r="B44" s="17"/>
      <c r="C44" s="17"/>
      <c r="D44" s="17"/>
      <c r="E44" s="17"/>
      <c r="F44" s="17"/>
      <c r="G44" s="34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17"/>
      <c r="S44" s="17"/>
      <c r="T44" s="17"/>
      <c r="U44" s="17"/>
      <c r="V44" s="17"/>
      <c r="W44" s="17"/>
      <c r="X44" s="17"/>
      <c r="Y44" s="34"/>
      <c r="Z44" s="34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34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34"/>
      <c r="BG44" s="17"/>
      <c r="BH44" s="17"/>
      <c r="BI44" s="17"/>
    </row>
    <row r="45" spans="1:61" ht="22.5" customHeight="1" x14ac:dyDescent="0.25">
      <c r="A45" s="33"/>
      <c r="B45" s="17"/>
      <c r="C45" s="17"/>
      <c r="D45" s="17"/>
      <c r="E45" s="17"/>
      <c r="F45" s="17"/>
      <c r="G45" s="34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17"/>
      <c r="S45" s="17"/>
      <c r="T45" s="17"/>
      <c r="U45" s="17"/>
      <c r="V45" s="17"/>
      <c r="W45" s="17"/>
      <c r="X45" s="17"/>
      <c r="Y45" s="34"/>
      <c r="Z45" s="34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34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34"/>
      <c r="BG45" s="17"/>
      <c r="BH45" s="17"/>
      <c r="BI45" s="17"/>
    </row>
    <row r="46" spans="1:61" ht="22.5" customHeight="1" x14ac:dyDescent="0.25">
      <c r="A46" s="33"/>
      <c r="B46" s="17"/>
      <c r="C46" s="17"/>
      <c r="D46" s="17"/>
      <c r="E46" s="17"/>
      <c r="F46" s="17"/>
      <c r="G46" s="34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17"/>
      <c r="S46" s="17"/>
      <c r="T46" s="17"/>
      <c r="U46" s="17"/>
      <c r="V46" s="17"/>
      <c r="W46" s="17"/>
      <c r="X46" s="17"/>
      <c r="Y46" s="34"/>
      <c r="Z46" s="34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34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7"/>
      <c r="BE46" s="17"/>
      <c r="BF46" s="34"/>
      <c r="BG46" s="17"/>
      <c r="BH46" s="17"/>
      <c r="BI46" s="17"/>
    </row>
    <row r="47" spans="1:61" ht="22.5" customHeight="1" x14ac:dyDescent="0.25">
      <c r="A47" s="33"/>
      <c r="B47" s="17"/>
      <c r="C47" s="17"/>
      <c r="D47" s="17"/>
      <c r="E47" s="17"/>
      <c r="F47" s="17"/>
      <c r="G47" s="34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17"/>
      <c r="S47" s="17"/>
      <c r="T47" s="17"/>
      <c r="U47" s="17"/>
      <c r="V47" s="17"/>
      <c r="W47" s="17"/>
      <c r="X47" s="17"/>
      <c r="Y47" s="34"/>
      <c r="Z47" s="34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34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34"/>
      <c r="BG47" s="17"/>
      <c r="BH47" s="17"/>
      <c r="BI47" s="17"/>
    </row>
    <row r="48" spans="1:61" ht="22.5" customHeight="1" x14ac:dyDescent="0.25">
      <c r="A48" s="33"/>
      <c r="B48" s="17"/>
      <c r="C48" s="17"/>
      <c r="D48" s="17"/>
      <c r="E48" s="17"/>
      <c r="F48" s="17"/>
      <c r="G48" s="34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17"/>
      <c r="S48" s="17"/>
      <c r="T48" s="17"/>
      <c r="U48" s="17"/>
      <c r="V48" s="17"/>
      <c r="W48" s="17"/>
      <c r="X48" s="17"/>
      <c r="Y48" s="34"/>
      <c r="Z48" s="34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34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34"/>
      <c r="BG48" s="17"/>
      <c r="BH48" s="17"/>
      <c r="BI48" s="17"/>
    </row>
    <row r="49" spans="1:61" ht="22.5" customHeight="1" x14ac:dyDescent="0.25">
      <c r="A49" s="33"/>
      <c r="B49" s="17"/>
      <c r="C49" s="17"/>
      <c r="D49" s="17"/>
      <c r="E49" s="17"/>
      <c r="F49" s="17"/>
      <c r="G49" s="34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17"/>
      <c r="S49" s="17"/>
      <c r="T49" s="17"/>
      <c r="U49" s="17"/>
      <c r="V49" s="17"/>
      <c r="W49" s="17"/>
      <c r="X49" s="17"/>
      <c r="Y49" s="34"/>
      <c r="Z49" s="34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34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4"/>
      <c r="BG49" s="17"/>
      <c r="BH49" s="17"/>
      <c r="BI49" s="17"/>
    </row>
    <row r="50" spans="1:61" ht="22.5" customHeight="1" x14ac:dyDescent="0.25">
      <c r="A50" s="33"/>
      <c r="B50" s="17"/>
      <c r="C50" s="17"/>
      <c r="D50" s="17"/>
      <c r="E50" s="17"/>
      <c r="F50" s="17"/>
      <c r="G50" s="34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17"/>
      <c r="S50" s="17"/>
      <c r="T50" s="17"/>
      <c r="U50" s="17"/>
      <c r="V50" s="17"/>
      <c r="W50" s="17"/>
      <c r="X50" s="17"/>
      <c r="Y50" s="34"/>
      <c r="Z50" s="34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34"/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34"/>
      <c r="BG50" s="17"/>
      <c r="BH50" s="17"/>
      <c r="BI50" s="17"/>
    </row>
    <row r="51" spans="1:61" ht="22.5" customHeight="1" x14ac:dyDescent="0.25">
      <c r="A51" s="33"/>
      <c r="B51" s="17"/>
      <c r="C51" s="17"/>
      <c r="D51" s="17"/>
      <c r="E51" s="17"/>
      <c r="F51" s="17"/>
      <c r="G51" s="34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17"/>
      <c r="S51" s="17"/>
      <c r="T51" s="17"/>
      <c r="U51" s="17"/>
      <c r="V51" s="17"/>
      <c r="W51" s="17"/>
      <c r="X51" s="17"/>
      <c r="Y51" s="34"/>
      <c r="Z51" s="34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34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34"/>
      <c r="BG51" s="17"/>
      <c r="BH51" s="17"/>
      <c r="BI51" s="17"/>
    </row>
    <row r="52" spans="1:61" ht="22.5" customHeight="1" x14ac:dyDescent="0.25">
      <c r="A52" s="33"/>
      <c r="B52" s="17"/>
      <c r="C52" s="17"/>
      <c r="D52" s="17"/>
      <c r="E52" s="17"/>
      <c r="F52" s="17"/>
      <c r="G52" s="34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17"/>
      <c r="S52" s="17"/>
      <c r="T52" s="17"/>
      <c r="U52" s="17"/>
      <c r="V52" s="17"/>
      <c r="W52" s="17"/>
      <c r="X52" s="17"/>
      <c r="Y52" s="34"/>
      <c r="Z52" s="34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34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34"/>
      <c r="BG52" s="17"/>
      <c r="BH52" s="17"/>
      <c r="BI52" s="17"/>
    </row>
    <row r="53" spans="1:61" ht="22.5" customHeight="1" x14ac:dyDescent="0.25">
      <c r="A53" s="33"/>
      <c r="B53" s="17"/>
      <c r="C53" s="17"/>
      <c r="D53" s="17"/>
      <c r="E53" s="17"/>
      <c r="F53" s="17"/>
      <c r="G53" s="34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17"/>
      <c r="S53" s="17"/>
      <c r="T53" s="17"/>
      <c r="U53" s="17"/>
      <c r="V53" s="17"/>
      <c r="W53" s="17"/>
      <c r="X53" s="17"/>
      <c r="Y53" s="34"/>
      <c r="Z53" s="34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34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34"/>
      <c r="BG53" s="17"/>
      <c r="BH53" s="17"/>
      <c r="BI53" s="17"/>
    </row>
    <row r="54" spans="1:61" ht="22.5" customHeight="1" x14ac:dyDescent="0.25">
      <c r="A54" s="33"/>
      <c r="B54" s="17"/>
      <c r="C54" s="17"/>
      <c r="D54" s="17"/>
      <c r="E54" s="17"/>
      <c r="F54" s="17"/>
      <c r="G54" s="34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17"/>
      <c r="S54" s="17"/>
      <c r="T54" s="17"/>
      <c r="U54" s="17"/>
      <c r="V54" s="17"/>
      <c r="W54" s="17"/>
      <c r="X54" s="17"/>
      <c r="Y54" s="34"/>
      <c r="Z54" s="34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34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34"/>
      <c r="BG54" s="17"/>
      <c r="BH54" s="17"/>
      <c r="BI54" s="17"/>
    </row>
    <row r="55" spans="1:61" ht="22.5" customHeight="1" x14ac:dyDescent="0.25">
      <c r="A55" s="33"/>
      <c r="B55" s="17"/>
      <c r="C55" s="17"/>
      <c r="D55" s="17"/>
      <c r="E55" s="17"/>
      <c r="F55" s="17"/>
      <c r="G55" s="34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17"/>
      <c r="S55" s="17"/>
      <c r="T55" s="17"/>
      <c r="U55" s="17"/>
      <c r="V55" s="17"/>
      <c r="W55" s="17"/>
      <c r="X55" s="17"/>
      <c r="Y55" s="34"/>
      <c r="Z55" s="34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34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34"/>
      <c r="BG55" s="17"/>
      <c r="BH55" s="17"/>
      <c r="BI55" s="17"/>
    </row>
    <row r="56" spans="1:61" ht="22.5" customHeight="1" x14ac:dyDescent="0.25">
      <c r="A56" s="33"/>
      <c r="B56" s="17"/>
      <c r="C56" s="17"/>
      <c r="D56" s="17"/>
      <c r="E56" s="17"/>
      <c r="F56" s="17"/>
      <c r="G56" s="34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17"/>
      <c r="S56" s="17"/>
      <c r="T56" s="17"/>
      <c r="U56" s="17"/>
      <c r="V56" s="17"/>
      <c r="W56" s="17"/>
      <c r="X56" s="17"/>
      <c r="Y56" s="34"/>
      <c r="Z56" s="34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34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34"/>
      <c r="BG56" s="17"/>
      <c r="BH56" s="17"/>
      <c r="BI56" s="17"/>
    </row>
    <row r="57" spans="1:61" ht="22.5" customHeight="1" x14ac:dyDescent="0.25">
      <c r="A57" s="33"/>
      <c r="B57" s="17"/>
      <c r="C57" s="17"/>
      <c r="D57" s="17"/>
      <c r="E57" s="17"/>
      <c r="F57" s="17"/>
      <c r="G57" s="34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17"/>
      <c r="S57" s="17"/>
      <c r="T57" s="17"/>
      <c r="U57" s="17"/>
      <c r="V57" s="17"/>
      <c r="W57" s="17"/>
      <c r="X57" s="17"/>
      <c r="Y57" s="34"/>
      <c r="Z57" s="34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34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34"/>
      <c r="BG57" s="17"/>
      <c r="BH57" s="17"/>
      <c r="BI57" s="17"/>
    </row>
    <row r="58" spans="1:61" ht="22.5" customHeight="1" x14ac:dyDescent="0.25">
      <c r="A58" s="33"/>
      <c r="B58" s="17"/>
      <c r="C58" s="17"/>
      <c r="D58" s="17"/>
      <c r="E58" s="17"/>
      <c r="F58" s="17"/>
      <c r="G58" s="34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17"/>
      <c r="S58" s="17"/>
      <c r="T58" s="17"/>
      <c r="U58" s="17"/>
      <c r="V58" s="17"/>
      <c r="W58" s="17"/>
      <c r="X58" s="17"/>
      <c r="Y58" s="34"/>
      <c r="Z58" s="34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34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34"/>
      <c r="BG58" s="17"/>
      <c r="BH58" s="17"/>
      <c r="BI58" s="17"/>
    </row>
    <row r="59" spans="1:61" ht="22.5" customHeight="1" x14ac:dyDescent="0.25">
      <c r="A59" s="39"/>
      <c r="B59" s="18"/>
      <c r="C59" s="18"/>
      <c r="D59" s="18"/>
      <c r="E59" s="18"/>
      <c r="F59" s="18"/>
      <c r="G59" s="40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18"/>
      <c r="S59" s="18"/>
      <c r="T59" s="17"/>
      <c r="U59" s="18"/>
      <c r="V59" s="18"/>
      <c r="W59" s="18"/>
      <c r="X59" s="18"/>
      <c r="Y59" s="40"/>
      <c r="Z59" s="42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42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42"/>
      <c r="BG59" s="18"/>
      <c r="BH59" s="18"/>
      <c r="BI59" s="18"/>
    </row>
    <row r="60" spans="1:61" ht="22.5" customHeight="1" x14ac:dyDescent="0.25">
      <c r="A60" s="43"/>
      <c r="B60" s="19"/>
      <c r="C60" s="19"/>
      <c r="D60" s="19"/>
      <c r="E60" s="19"/>
      <c r="F60" s="19"/>
      <c r="G60" s="44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19"/>
      <c r="S60" s="19"/>
      <c r="T60" s="17"/>
      <c r="U60" s="19"/>
      <c r="V60" s="19"/>
      <c r="W60" s="19"/>
      <c r="X60" s="19"/>
      <c r="Y60" s="44"/>
      <c r="Z60" s="44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44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44"/>
      <c r="BG60" s="19"/>
      <c r="BH60" s="19"/>
      <c r="BI60" s="19"/>
    </row>
    <row r="61" spans="1:61" ht="22.5" customHeight="1" x14ac:dyDescent="0.25">
      <c r="A61" s="43"/>
      <c r="B61" s="19"/>
      <c r="C61" s="19"/>
      <c r="D61" s="19"/>
      <c r="E61" s="19"/>
      <c r="F61" s="19"/>
      <c r="G61" s="44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19"/>
      <c r="S61" s="19"/>
      <c r="T61" s="17"/>
      <c r="U61" s="19"/>
      <c r="V61" s="19"/>
      <c r="W61" s="19"/>
      <c r="X61" s="19"/>
      <c r="Y61" s="44"/>
      <c r="Z61" s="44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44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44"/>
      <c r="BG61" s="19"/>
      <c r="BH61" s="19"/>
      <c r="BI61" s="19"/>
    </row>
    <row r="62" spans="1:61" ht="22.5" customHeight="1" x14ac:dyDescent="0.25">
      <c r="A62" s="33"/>
      <c r="B62" s="17"/>
      <c r="C62" s="17"/>
      <c r="D62" s="17"/>
      <c r="E62" s="17"/>
      <c r="F62" s="17"/>
      <c r="G62" s="34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17"/>
      <c r="S62" s="17"/>
      <c r="T62" s="17"/>
      <c r="U62" s="17"/>
      <c r="V62" s="17"/>
      <c r="W62" s="17"/>
      <c r="X62" s="17"/>
      <c r="Y62" s="34"/>
      <c r="Z62" s="34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34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34"/>
      <c r="BG62" s="17"/>
      <c r="BH62" s="17"/>
      <c r="BI62" s="17"/>
    </row>
    <row r="63" spans="1:61" ht="22.5" customHeight="1" x14ac:dyDescent="0.25">
      <c r="A63" s="33"/>
      <c r="B63" s="17"/>
      <c r="C63" s="17"/>
      <c r="D63" s="17"/>
      <c r="E63" s="17"/>
      <c r="F63" s="17"/>
      <c r="G63" s="34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17"/>
      <c r="S63" s="17"/>
      <c r="T63" s="17"/>
      <c r="U63" s="17"/>
      <c r="V63" s="17"/>
      <c r="W63" s="17"/>
      <c r="X63" s="17"/>
      <c r="Y63" s="34"/>
      <c r="Z63" s="34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34"/>
      <c r="AT63" s="17"/>
      <c r="AU63" s="17"/>
      <c r="AV63" s="17"/>
      <c r="AW63" s="17"/>
      <c r="AX63" s="17"/>
      <c r="AY63" s="17"/>
      <c r="AZ63" s="17"/>
      <c r="BA63" s="17"/>
      <c r="BB63" s="17"/>
      <c r="BC63" s="17"/>
      <c r="BD63" s="17"/>
      <c r="BE63" s="17"/>
      <c r="BF63" s="34"/>
      <c r="BG63" s="17"/>
      <c r="BH63" s="17"/>
      <c r="BI63" s="17"/>
    </row>
    <row r="64" spans="1:61" ht="22.5" customHeight="1" x14ac:dyDescent="0.25">
      <c r="A64" s="33"/>
      <c r="B64" s="17"/>
      <c r="C64" s="17"/>
      <c r="D64" s="17"/>
      <c r="E64" s="17"/>
      <c r="F64" s="17"/>
      <c r="G64" s="34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17"/>
      <c r="S64" s="17"/>
      <c r="T64" s="17"/>
      <c r="U64" s="17"/>
      <c r="V64" s="17"/>
      <c r="W64" s="17"/>
      <c r="X64" s="17"/>
      <c r="Y64" s="34"/>
      <c r="Z64" s="34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34"/>
      <c r="AT64" s="17"/>
      <c r="AU64" s="17"/>
      <c r="AV64" s="17"/>
      <c r="AW64" s="17"/>
      <c r="AX64" s="17"/>
      <c r="AY64" s="17"/>
      <c r="AZ64" s="17"/>
      <c r="BA64" s="17"/>
      <c r="BB64" s="17"/>
      <c r="BC64" s="17"/>
      <c r="BD64" s="17"/>
      <c r="BE64" s="17"/>
      <c r="BF64" s="34"/>
      <c r="BG64" s="17"/>
      <c r="BH64" s="17"/>
      <c r="BI64" s="17"/>
    </row>
    <row r="65" spans="1:61" ht="22.5" customHeight="1" x14ac:dyDescent="0.25">
      <c r="A65" s="33"/>
      <c r="B65" s="17"/>
      <c r="C65" s="17"/>
      <c r="D65" s="17"/>
      <c r="E65" s="17"/>
      <c r="F65" s="17"/>
      <c r="G65" s="34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17"/>
      <c r="S65" s="17"/>
      <c r="T65" s="17"/>
      <c r="U65" s="17"/>
      <c r="V65" s="17"/>
      <c r="W65" s="17"/>
      <c r="X65" s="17"/>
      <c r="Y65" s="34"/>
      <c r="Z65" s="34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34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E65" s="17"/>
      <c r="BF65" s="34"/>
      <c r="BG65" s="17"/>
      <c r="BH65" s="17"/>
      <c r="BI65" s="17"/>
    </row>
    <row r="66" spans="1:61" ht="22.5" customHeight="1" x14ac:dyDescent="0.25">
      <c r="A66" s="33"/>
      <c r="B66" s="17"/>
      <c r="C66" s="17"/>
      <c r="D66" s="17"/>
      <c r="E66" s="17"/>
      <c r="F66" s="17"/>
      <c r="G66" s="34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17"/>
      <c r="S66" s="17"/>
      <c r="T66" s="17"/>
      <c r="U66" s="17"/>
      <c r="V66" s="17"/>
      <c r="W66" s="17"/>
      <c r="X66" s="17"/>
      <c r="Y66" s="34"/>
      <c r="Z66" s="34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34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17"/>
      <c r="BF66" s="34"/>
      <c r="BG66" s="17"/>
      <c r="BH66" s="17"/>
      <c r="BI66" s="17"/>
    </row>
    <row r="67" spans="1:61" ht="22.5" customHeight="1" x14ac:dyDescent="0.25">
      <c r="A67" s="33"/>
      <c r="B67" s="17"/>
      <c r="C67" s="17"/>
      <c r="D67" s="17"/>
      <c r="E67" s="17"/>
      <c r="F67" s="17"/>
      <c r="G67" s="34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17"/>
      <c r="S67" s="17"/>
      <c r="T67" s="17"/>
      <c r="U67" s="17"/>
      <c r="V67" s="17"/>
      <c r="W67" s="17"/>
      <c r="X67" s="17"/>
      <c r="Y67" s="34"/>
      <c r="Z67" s="34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34"/>
      <c r="AT67" s="17"/>
      <c r="AU67" s="17"/>
      <c r="AV67" s="17"/>
      <c r="AW67" s="17"/>
      <c r="AX67" s="17"/>
      <c r="AY67" s="17"/>
      <c r="AZ67" s="17"/>
      <c r="BA67" s="17"/>
      <c r="BB67" s="17"/>
      <c r="BC67" s="17"/>
      <c r="BD67" s="17"/>
      <c r="BE67" s="17"/>
      <c r="BF67" s="34"/>
      <c r="BG67" s="17"/>
      <c r="BH67" s="17"/>
      <c r="BI67" s="17"/>
    </row>
    <row r="68" spans="1:61" ht="22.5" customHeight="1" x14ac:dyDescent="0.25">
      <c r="A68" s="33"/>
      <c r="B68" s="17"/>
      <c r="C68" s="17"/>
      <c r="D68" s="17"/>
      <c r="E68" s="17"/>
      <c r="F68" s="17"/>
      <c r="G68" s="34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17"/>
      <c r="S68" s="17"/>
      <c r="T68" s="17"/>
      <c r="U68" s="17"/>
      <c r="V68" s="17"/>
      <c r="W68" s="17"/>
      <c r="X68" s="17"/>
      <c r="Y68" s="34"/>
      <c r="Z68" s="34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34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/>
      <c r="BF68" s="34"/>
      <c r="BG68" s="17"/>
      <c r="BH68" s="17"/>
      <c r="BI68" s="17"/>
    </row>
    <row r="69" spans="1:61" ht="22.5" customHeight="1" x14ac:dyDescent="0.25">
      <c r="A69" s="33"/>
      <c r="B69" s="17"/>
      <c r="C69" s="17"/>
      <c r="D69" s="17"/>
      <c r="E69" s="17"/>
      <c r="F69" s="17"/>
      <c r="G69" s="34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17"/>
      <c r="S69" s="17"/>
      <c r="T69" s="17"/>
      <c r="U69" s="17"/>
      <c r="V69" s="17"/>
      <c r="W69" s="17"/>
      <c r="X69" s="17"/>
      <c r="Y69" s="34"/>
      <c r="Z69" s="34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34"/>
      <c r="AT69" s="17"/>
      <c r="AU69" s="17"/>
      <c r="AV69" s="17"/>
      <c r="AW69" s="17"/>
      <c r="AX69" s="17"/>
      <c r="AY69" s="17"/>
      <c r="AZ69" s="17"/>
      <c r="BA69" s="17"/>
      <c r="BB69" s="17"/>
      <c r="BC69" s="17"/>
      <c r="BD69" s="17"/>
      <c r="BE69" s="17"/>
      <c r="BF69" s="34"/>
      <c r="BG69" s="17"/>
      <c r="BH69" s="17"/>
      <c r="BI69" s="17"/>
    </row>
    <row r="70" spans="1:61" ht="22.5" customHeight="1" x14ac:dyDescent="0.25">
      <c r="A70" s="33"/>
      <c r="B70" s="17"/>
      <c r="C70" s="17"/>
      <c r="D70" s="17"/>
      <c r="E70" s="17"/>
      <c r="F70" s="17"/>
      <c r="G70" s="34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17"/>
      <c r="S70" s="17"/>
      <c r="T70" s="17"/>
      <c r="U70" s="17"/>
      <c r="V70" s="17"/>
      <c r="W70" s="17"/>
      <c r="X70" s="17"/>
      <c r="Y70" s="34"/>
      <c r="Z70" s="34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34"/>
      <c r="AT70" s="17"/>
      <c r="AU70" s="17"/>
      <c r="AV70" s="17"/>
      <c r="AW70" s="17"/>
      <c r="AX70" s="17"/>
      <c r="AY70" s="17"/>
      <c r="AZ70" s="17"/>
      <c r="BA70" s="17"/>
      <c r="BB70" s="17"/>
      <c r="BC70" s="17"/>
      <c r="BD70" s="17"/>
      <c r="BE70" s="17"/>
      <c r="BF70" s="34"/>
      <c r="BG70" s="17"/>
      <c r="BH70" s="17"/>
      <c r="BI70" s="17"/>
    </row>
    <row r="71" spans="1:61" ht="22.5" customHeight="1" x14ac:dyDescent="0.25">
      <c r="A71" s="33"/>
      <c r="B71" s="17"/>
      <c r="C71" s="17"/>
      <c r="D71" s="17"/>
      <c r="E71" s="17"/>
      <c r="F71" s="17"/>
      <c r="G71" s="34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17"/>
      <c r="S71" s="17"/>
      <c r="T71" s="17"/>
      <c r="U71" s="17"/>
      <c r="V71" s="17"/>
      <c r="W71" s="17"/>
      <c r="X71" s="17"/>
      <c r="Y71" s="34"/>
      <c r="Z71" s="34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34"/>
      <c r="AT71" s="17"/>
      <c r="AU71" s="17"/>
      <c r="AV71" s="17"/>
      <c r="AW71" s="17"/>
      <c r="AX71" s="17"/>
      <c r="AY71" s="17"/>
      <c r="AZ71" s="17"/>
      <c r="BA71" s="17"/>
      <c r="BB71" s="17"/>
      <c r="BC71" s="17"/>
      <c r="BD71" s="17"/>
      <c r="BE71" s="17"/>
      <c r="BF71" s="34"/>
      <c r="BG71" s="17"/>
      <c r="BH71" s="17"/>
      <c r="BI71" s="17"/>
    </row>
    <row r="72" spans="1:61" ht="22.5" customHeight="1" x14ac:dyDescent="0.25">
      <c r="A72" s="33"/>
      <c r="B72" s="17"/>
      <c r="C72" s="17"/>
      <c r="D72" s="17"/>
      <c r="E72" s="17"/>
      <c r="F72" s="17"/>
      <c r="G72" s="34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17"/>
      <c r="S72" s="17"/>
      <c r="T72" s="17"/>
      <c r="U72" s="17"/>
      <c r="V72" s="17"/>
      <c r="W72" s="17"/>
      <c r="X72" s="17"/>
      <c r="Y72" s="34"/>
      <c r="Z72" s="34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34"/>
      <c r="AT72" s="17"/>
      <c r="AU72" s="17"/>
      <c r="AV72" s="17"/>
      <c r="AW72" s="17"/>
      <c r="AX72" s="17"/>
      <c r="AY72" s="17"/>
      <c r="AZ72" s="17"/>
      <c r="BA72" s="17"/>
      <c r="BB72" s="17"/>
      <c r="BC72" s="17"/>
      <c r="BD72" s="17"/>
      <c r="BE72" s="17"/>
      <c r="BF72" s="34"/>
      <c r="BG72" s="17"/>
      <c r="BH72" s="17"/>
      <c r="BI72" s="17"/>
    </row>
    <row r="73" spans="1:61" ht="22.5" customHeight="1" x14ac:dyDescent="0.25">
      <c r="A73" s="33"/>
      <c r="B73" s="17"/>
      <c r="C73" s="17"/>
      <c r="D73" s="17"/>
      <c r="E73" s="17"/>
      <c r="F73" s="17"/>
      <c r="G73" s="34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17"/>
      <c r="S73" s="17"/>
      <c r="T73" s="17"/>
      <c r="U73" s="17"/>
      <c r="V73" s="17"/>
      <c r="W73" s="17"/>
      <c r="X73" s="17"/>
      <c r="Y73" s="34"/>
      <c r="Z73" s="34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34"/>
      <c r="AT73" s="17"/>
      <c r="AU73" s="17"/>
      <c r="AV73" s="17"/>
      <c r="AW73" s="17"/>
      <c r="AX73" s="17"/>
      <c r="AY73" s="17"/>
      <c r="AZ73" s="17"/>
      <c r="BA73" s="17"/>
      <c r="BB73" s="17"/>
      <c r="BC73" s="17"/>
      <c r="BD73" s="17"/>
      <c r="BE73" s="17"/>
      <c r="BF73" s="34"/>
      <c r="BG73" s="17"/>
      <c r="BH73" s="17"/>
      <c r="BI73" s="17"/>
    </row>
    <row r="74" spans="1:61" ht="22.5" customHeight="1" x14ac:dyDescent="0.25">
      <c r="A74" s="33"/>
      <c r="B74" s="17"/>
      <c r="C74" s="17"/>
      <c r="D74" s="17"/>
      <c r="E74" s="17"/>
      <c r="F74" s="17"/>
      <c r="G74" s="34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17"/>
      <c r="S74" s="17"/>
      <c r="T74" s="17"/>
      <c r="U74" s="17"/>
      <c r="V74" s="17"/>
      <c r="W74" s="17"/>
      <c r="X74" s="17"/>
      <c r="Y74" s="34"/>
      <c r="Z74" s="34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34"/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17"/>
      <c r="BE74" s="17"/>
      <c r="BF74" s="34"/>
      <c r="BG74" s="17"/>
      <c r="BH74" s="17"/>
      <c r="BI74" s="17"/>
    </row>
    <row r="75" spans="1:61" ht="22.5" customHeight="1" x14ac:dyDescent="0.25">
      <c r="A75" s="33"/>
      <c r="B75" s="17"/>
      <c r="C75" s="17"/>
      <c r="D75" s="17"/>
      <c r="E75" s="17"/>
      <c r="F75" s="17"/>
      <c r="G75" s="34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17"/>
      <c r="S75" s="17"/>
      <c r="T75" s="17"/>
      <c r="U75" s="17"/>
      <c r="V75" s="17"/>
      <c r="W75" s="17"/>
      <c r="X75" s="17"/>
      <c r="Y75" s="34"/>
      <c r="Z75" s="34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34"/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34"/>
      <c r="BG75" s="17"/>
      <c r="BH75" s="17"/>
      <c r="BI75" s="17"/>
    </row>
    <row r="76" spans="1:61" ht="22.5" customHeight="1" x14ac:dyDescent="0.25">
      <c r="A76" s="33"/>
      <c r="B76" s="17"/>
      <c r="C76" s="17"/>
      <c r="D76" s="17"/>
      <c r="E76" s="17"/>
      <c r="F76" s="17"/>
      <c r="G76" s="34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17"/>
      <c r="S76" s="17"/>
      <c r="T76" s="17"/>
      <c r="U76" s="17"/>
      <c r="V76" s="17"/>
      <c r="W76" s="17"/>
      <c r="X76" s="17"/>
      <c r="Y76" s="34"/>
      <c r="Z76" s="34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34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34"/>
      <c r="BG76" s="17"/>
      <c r="BH76" s="17"/>
      <c r="BI76" s="17"/>
    </row>
    <row r="77" spans="1:61" ht="22.5" customHeight="1" x14ac:dyDescent="0.25">
      <c r="A77" s="33"/>
      <c r="B77" s="17"/>
      <c r="C77" s="17"/>
      <c r="D77" s="17"/>
      <c r="E77" s="17"/>
      <c r="F77" s="17"/>
      <c r="G77" s="34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17"/>
      <c r="S77" s="17"/>
      <c r="T77" s="17"/>
      <c r="U77" s="17"/>
      <c r="V77" s="17"/>
      <c r="W77" s="17"/>
      <c r="X77" s="17"/>
      <c r="Y77" s="34"/>
      <c r="Z77" s="34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34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34"/>
      <c r="BG77" s="17"/>
      <c r="BH77" s="17"/>
      <c r="BI77" s="17"/>
    </row>
    <row r="78" spans="1:61" ht="22.5" customHeight="1" x14ac:dyDescent="0.25">
      <c r="A78" s="33"/>
      <c r="B78" s="17"/>
      <c r="C78" s="17"/>
      <c r="D78" s="17"/>
      <c r="E78" s="17"/>
      <c r="F78" s="17"/>
      <c r="G78" s="34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17"/>
      <c r="S78" s="17"/>
      <c r="T78" s="17"/>
      <c r="U78" s="17"/>
      <c r="V78" s="17"/>
      <c r="W78" s="17"/>
      <c r="X78" s="17"/>
      <c r="Y78" s="34"/>
      <c r="Z78" s="34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34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34"/>
      <c r="BG78" s="17"/>
      <c r="BH78" s="17"/>
      <c r="BI78" s="17"/>
    </row>
    <row r="79" spans="1:61" ht="22.5" customHeight="1" x14ac:dyDescent="0.25">
      <c r="A79" s="33"/>
      <c r="B79" s="17"/>
      <c r="C79" s="17"/>
      <c r="D79" s="17"/>
      <c r="E79" s="17"/>
      <c r="F79" s="17"/>
      <c r="G79" s="34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17"/>
      <c r="S79" s="17"/>
      <c r="T79" s="17"/>
      <c r="U79" s="17"/>
      <c r="V79" s="17"/>
      <c r="W79" s="17"/>
      <c r="X79" s="17"/>
      <c r="Y79" s="34"/>
      <c r="Z79" s="34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34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34"/>
      <c r="BG79" s="17"/>
      <c r="BH79" s="17"/>
      <c r="BI79" s="17"/>
    </row>
    <row r="80" spans="1:61" ht="22.5" customHeight="1" x14ac:dyDescent="0.25">
      <c r="A80" s="33"/>
      <c r="B80" s="17"/>
      <c r="C80" s="17"/>
      <c r="D80" s="17"/>
      <c r="E80" s="17"/>
      <c r="F80" s="17"/>
      <c r="G80" s="34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17"/>
      <c r="S80" s="17"/>
      <c r="T80" s="17"/>
      <c r="U80" s="17"/>
      <c r="V80" s="17"/>
      <c r="W80" s="17"/>
      <c r="X80" s="17"/>
      <c r="Y80" s="34"/>
      <c r="Z80" s="34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34"/>
      <c r="AT80" s="17"/>
      <c r="AU80" s="17"/>
      <c r="AV80" s="17"/>
      <c r="AW80" s="17"/>
      <c r="AX80" s="17"/>
      <c r="AY80" s="17"/>
      <c r="AZ80" s="17"/>
      <c r="BA80" s="17"/>
      <c r="BB80" s="17"/>
      <c r="BC80" s="17"/>
      <c r="BD80" s="17"/>
      <c r="BE80" s="17"/>
      <c r="BF80" s="34"/>
      <c r="BG80" s="17"/>
      <c r="BH80" s="17"/>
      <c r="BI80" s="17"/>
    </row>
    <row r="81" spans="1:61" ht="22.5" customHeight="1" x14ac:dyDescent="0.25">
      <c r="A81" s="33"/>
      <c r="B81" s="17"/>
      <c r="C81" s="17"/>
      <c r="D81" s="17"/>
      <c r="E81" s="17"/>
      <c r="F81" s="17"/>
      <c r="G81" s="34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17"/>
      <c r="S81" s="17"/>
      <c r="T81" s="17"/>
      <c r="U81" s="17"/>
      <c r="V81" s="17"/>
      <c r="W81" s="17"/>
      <c r="X81" s="17"/>
      <c r="Y81" s="34"/>
      <c r="Z81" s="34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34"/>
      <c r="AT81" s="17"/>
      <c r="AU81" s="17"/>
      <c r="AV81" s="17"/>
      <c r="AW81" s="17"/>
      <c r="AX81" s="17"/>
      <c r="AY81" s="17"/>
      <c r="AZ81" s="17"/>
      <c r="BA81" s="17"/>
      <c r="BB81" s="17"/>
      <c r="BC81" s="17"/>
      <c r="BD81" s="17"/>
      <c r="BE81" s="17"/>
      <c r="BF81" s="34"/>
      <c r="BG81" s="17"/>
      <c r="BH81" s="17"/>
      <c r="BI81" s="17"/>
    </row>
    <row r="82" spans="1:61" ht="22.5" customHeight="1" x14ac:dyDescent="0.25">
      <c r="A82" s="33"/>
      <c r="B82" s="17"/>
      <c r="C82" s="17"/>
      <c r="D82" s="17"/>
      <c r="E82" s="17"/>
      <c r="F82" s="17"/>
      <c r="G82" s="34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17"/>
      <c r="S82" s="17"/>
      <c r="T82" s="17"/>
      <c r="U82" s="17"/>
      <c r="V82" s="17"/>
      <c r="W82" s="17"/>
      <c r="X82" s="17"/>
      <c r="Y82" s="34"/>
      <c r="Z82" s="34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34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34"/>
      <c r="BG82" s="17"/>
      <c r="BH82" s="17"/>
      <c r="BI82" s="17"/>
    </row>
    <row r="83" spans="1:61" ht="22.5" customHeight="1" x14ac:dyDescent="0.25">
      <c r="A83" s="33"/>
      <c r="B83" s="17"/>
      <c r="C83" s="17"/>
      <c r="D83" s="17"/>
      <c r="E83" s="17"/>
      <c r="F83" s="17"/>
      <c r="G83" s="34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17"/>
      <c r="S83" s="17"/>
      <c r="T83" s="17"/>
      <c r="U83" s="17"/>
      <c r="V83" s="17"/>
      <c r="W83" s="17"/>
      <c r="X83" s="17"/>
      <c r="Y83" s="34"/>
      <c r="Z83" s="34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34"/>
      <c r="AT83" s="17"/>
      <c r="AU83" s="17"/>
      <c r="AV83" s="17"/>
      <c r="AW83" s="17"/>
      <c r="AX83" s="17"/>
      <c r="AY83" s="17"/>
      <c r="AZ83" s="17"/>
      <c r="BA83" s="17"/>
      <c r="BB83" s="17"/>
      <c r="BC83" s="17"/>
      <c r="BD83" s="17"/>
      <c r="BE83" s="17"/>
      <c r="BF83" s="34"/>
      <c r="BG83" s="17"/>
      <c r="BH83" s="17"/>
      <c r="BI83" s="17"/>
    </row>
    <row r="84" spans="1:61" ht="22.5" customHeight="1" x14ac:dyDescent="0.25">
      <c r="A84" s="33"/>
      <c r="B84" s="17"/>
      <c r="C84" s="17"/>
      <c r="D84" s="17"/>
      <c r="E84" s="17"/>
      <c r="F84" s="17"/>
      <c r="G84" s="34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17"/>
      <c r="S84" s="17"/>
      <c r="T84" s="17"/>
      <c r="U84" s="17"/>
      <c r="V84" s="17"/>
      <c r="W84" s="17"/>
      <c r="X84" s="17"/>
      <c r="Y84" s="34"/>
      <c r="Z84" s="34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34"/>
      <c r="AT84" s="17"/>
      <c r="AU84" s="17"/>
      <c r="AV84" s="17"/>
      <c r="AW84" s="17"/>
      <c r="AX84" s="17"/>
      <c r="AY84" s="17"/>
      <c r="AZ84" s="17"/>
      <c r="BA84" s="17"/>
      <c r="BB84" s="17"/>
      <c r="BC84" s="17"/>
      <c r="BD84" s="17"/>
      <c r="BE84" s="17"/>
      <c r="BF84" s="34"/>
      <c r="BG84" s="17"/>
      <c r="BH84" s="17"/>
      <c r="BI84" s="17"/>
    </row>
    <row r="85" spans="1:61" ht="22.5" customHeight="1" x14ac:dyDescent="0.25">
      <c r="A85" s="33"/>
      <c r="B85" s="17"/>
      <c r="C85" s="17"/>
      <c r="D85" s="17"/>
      <c r="E85" s="17"/>
      <c r="F85" s="17"/>
      <c r="G85" s="34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17"/>
      <c r="S85" s="17"/>
      <c r="T85" s="17"/>
      <c r="U85" s="17"/>
      <c r="V85" s="17"/>
      <c r="W85" s="17"/>
      <c r="X85" s="17"/>
      <c r="Y85" s="34"/>
      <c r="Z85" s="34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34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34"/>
      <c r="BG85" s="17"/>
      <c r="BH85" s="17"/>
      <c r="BI85" s="17"/>
    </row>
    <row r="86" spans="1:61" ht="22.5" customHeight="1" x14ac:dyDescent="0.25">
      <c r="A86" s="33"/>
      <c r="B86" s="17"/>
      <c r="C86" s="17"/>
      <c r="D86" s="17"/>
      <c r="E86" s="17"/>
      <c r="F86" s="17"/>
      <c r="G86" s="34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17"/>
      <c r="S86" s="17"/>
      <c r="T86" s="17"/>
      <c r="U86" s="17"/>
      <c r="V86" s="17"/>
      <c r="W86" s="17"/>
      <c r="X86" s="17"/>
      <c r="Y86" s="34"/>
      <c r="Z86" s="34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34"/>
      <c r="AT86" s="17"/>
      <c r="AU86" s="17"/>
      <c r="AV86" s="17"/>
      <c r="AW86" s="17"/>
      <c r="AX86" s="17"/>
      <c r="AY86" s="17"/>
      <c r="AZ86" s="17"/>
      <c r="BA86" s="17"/>
      <c r="BB86" s="17"/>
      <c r="BC86" s="17"/>
      <c r="BD86" s="17"/>
      <c r="BE86" s="17"/>
      <c r="BF86" s="34"/>
      <c r="BG86" s="17"/>
      <c r="BH86" s="17"/>
      <c r="BI86" s="17"/>
    </row>
    <row r="87" spans="1:61" ht="22.5" customHeight="1" x14ac:dyDescent="0.25">
      <c r="A87" s="33"/>
      <c r="B87" s="17"/>
      <c r="C87" s="17"/>
      <c r="D87" s="17"/>
      <c r="E87" s="17"/>
      <c r="F87" s="17"/>
      <c r="G87" s="34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17"/>
      <c r="S87" s="17"/>
      <c r="T87" s="17"/>
      <c r="U87" s="17"/>
      <c r="V87" s="17"/>
      <c r="W87" s="17"/>
      <c r="X87" s="17"/>
      <c r="Y87" s="34"/>
      <c r="Z87" s="34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34"/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34"/>
      <c r="BG87" s="17"/>
      <c r="BH87" s="17"/>
      <c r="BI87" s="17"/>
    </row>
    <row r="88" spans="1:61" ht="22.5" customHeight="1" x14ac:dyDescent="0.25">
      <c r="A88" s="33"/>
      <c r="B88" s="17"/>
      <c r="C88" s="17"/>
      <c r="D88" s="17"/>
      <c r="E88" s="17"/>
      <c r="F88" s="17"/>
      <c r="G88" s="34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17"/>
      <c r="S88" s="17"/>
      <c r="T88" s="17"/>
      <c r="U88" s="17"/>
      <c r="V88" s="17"/>
      <c r="W88" s="17"/>
      <c r="X88" s="17"/>
      <c r="Y88" s="34"/>
      <c r="Z88" s="34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34"/>
      <c r="AT88" s="17"/>
      <c r="AU88" s="17"/>
      <c r="AV88" s="17"/>
      <c r="AW88" s="17"/>
      <c r="AX88" s="17"/>
      <c r="AY88" s="17"/>
      <c r="AZ88" s="17"/>
      <c r="BA88" s="17"/>
      <c r="BB88" s="17"/>
      <c r="BC88" s="17"/>
      <c r="BD88" s="17"/>
      <c r="BE88" s="17"/>
      <c r="BF88" s="34"/>
      <c r="BG88" s="17"/>
      <c r="BH88" s="17"/>
      <c r="BI88" s="17"/>
    </row>
    <row r="89" spans="1:61" ht="22.5" customHeight="1" x14ac:dyDescent="0.25">
      <c r="A89" s="33"/>
      <c r="B89" s="17"/>
      <c r="C89" s="17"/>
      <c r="D89" s="17"/>
      <c r="E89" s="17"/>
      <c r="F89" s="17"/>
      <c r="G89" s="34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17"/>
      <c r="S89" s="17"/>
      <c r="T89" s="17"/>
      <c r="U89" s="17"/>
      <c r="V89" s="17"/>
      <c r="W89" s="17"/>
      <c r="X89" s="17"/>
      <c r="Y89" s="34"/>
      <c r="Z89" s="34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34"/>
      <c r="AT89" s="17"/>
      <c r="AU89" s="17"/>
      <c r="AV89" s="17"/>
      <c r="AW89" s="17"/>
      <c r="AX89" s="17"/>
      <c r="AY89" s="17"/>
      <c r="AZ89" s="17"/>
      <c r="BA89" s="17"/>
      <c r="BB89" s="17"/>
      <c r="BC89" s="17"/>
      <c r="BD89" s="17"/>
      <c r="BE89" s="17"/>
      <c r="BF89" s="34"/>
      <c r="BG89" s="17"/>
      <c r="BH89" s="17"/>
      <c r="BI89" s="17"/>
    </row>
    <row r="90" spans="1:61" ht="22.5" customHeight="1" x14ac:dyDescent="0.25">
      <c r="A90" s="33"/>
      <c r="B90" s="17"/>
      <c r="C90" s="17"/>
      <c r="D90" s="17"/>
      <c r="E90" s="17"/>
      <c r="F90" s="17"/>
      <c r="G90" s="34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17"/>
      <c r="S90" s="17"/>
      <c r="T90" s="17"/>
      <c r="U90" s="17"/>
      <c r="V90" s="17"/>
      <c r="W90" s="17"/>
      <c r="X90" s="17"/>
      <c r="Y90" s="34"/>
      <c r="Z90" s="34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34"/>
      <c r="AT90" s="17"/>
      <c r="AU90" s="17"/>
      <c r="AV90" s="17"/>
      <c r="AW90" s="17"/>
      <c r="AX90" s="17"/>
      <c r="AY90" s="17"/>
      <c r="AZ90" s="17"/>
      <c r="BA90" s="17"/>
      <c r="BB90" s="17"/>
      <c r="BC90" s="17"/>
      <c r="BD90" s="17"/>
      <c r="BE90" s="17"/>
      <c r="BF90" s="34"/>
      <c r="BG90" s="17"/>
      <c r="BH90" s="17"/>
      <c r="BI90" s="17"/>
    </row>
    <row r="91" spans="1:61" ht="22.5" customHeight="1" x14ac:dyDescent="0.25">
      <c r="A91" s="33"/>
      <c r="B91" s="17"/>
      <c r="C91" s="17"/>
      <c r="D91" s="17"/>
      <c r="E91" s="17"/>
      <c r="F91" s="17"/>
      <c r="G91" s="34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17"/>
      <c r="S91" s="17"/>
      <c r="T91" s="17"/>
      <c r="U91" s="17"/>
      <c r="V91" s="17"/>
      <c r="W91" s="17"/>
      <c r="X91" s="17"/>
      <c r="Y91" s="34"/>
      <c r="Z91" s="34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34"/>
      <c r="AT91" s="17"/>
      <c r="AU91" s="17"/>
      <c r="AV91" s="17"/>
      <c r="AW91" s="17"/>
      <c r="AX91" s="17"/>
      <c r="AY91" s="17"/>
      <c r="AZ91" s="17"/>
      <c r="BA91" s="17"/>
      <c r="BB91" s="17"/>
      <c r="BC91" s="17"/>
      <c r="BD91" s="17"/>
      <c r="BE91" s="17"/>
      <c r="BF91" s="34"/>
      <c r="BG91" s="17"/>
      <c r="BH91" s="17"/>
      <c r="BI91" s="17"/>
    </row>
    <row r="92" spans="1:61" ht="22.5" customHeight="1" x14ac:dyDescent="0.25">
      <c r="A92" s="33"/>
      <c r="B92" s="17"/>
      <c r="C92" s="17"/>
      <c r="D92" s="17"/>
      <c r="E92" s="17"/>
      <c r="F92" s="17"/>
      <c r="G92" s="34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17"/>
      <c r="S92" s="17"/>
      <c r="T92" s="17"/>
      <c r="U92" s="17"/>
      <c r="V92" s="17"/>
      <c r="W92" s="17"/>
      <c r="X92" s="17"/>
      <c r="Y92" s="34"/>
      <c r="Z92" s="34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34"/>
      <c r="AT92" s="17"/>
      <c r="AU92" s="17"/>
      <c r="AV92" s="17"/>
      <c r="AW92" s="17"/>
      <c r="AX92" s="17"/>
      <c r="AY92" s="17"/>
      <c r="AZ92" s="17"/>
      <c r="BA92" s="17"/>
      <c r="BB92" s="17"/>
      <c r="BC92" s="17"/>
      <c r="BD92" s="17"/>
      <c r="BE92" s="17"/>
      <c r="BF92" s="34"/>
      <c r="BG92" s="17"/>
      <c r="BH92" s="17"/>
      <c r="BI92" s="17"/>
    </row>
    <row r="93" spans="1:61" ht="22.5" customHeight="1" x14ac:dyDescent="0.25">
      <c r="A93" s="33"/>
      <c r="B93" s="17"/>
      <c r="C93" s="17"/>
      <c r="D93" s="17"/>
      <c r="E93" s="17"/>
      <c r="F93" s="17"/>
      <c r="G93" s="34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17"/>
      <c r="S93" s="17"/>
      <c r="T93" s="17"/>
      <c r="U93" s="17"/>
      <c r="V93" s="17"/>
      <c r="W93" s="17"/>
      <c r="X93" s="17"/>
      <c r="Y93" s="34"/>
      <c r="Z93" s="34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34"/>
      <c r="AT93" s="17"/>
      <c r="AU93" s="17"/>
      <c r="AV93" s="17"/>
      <c r="AW93" s="17"/>
      <c r="AX93" s="17"/>
      <c r="AY93" s="17"/>
      <c r="AZ93" s="17"/>
      <c r="BA93" s="17"/>
      <c r="BB93" s="17"/>
      <c r="BC93" s="17"/>
      <c r="BD93" s="17"/>
      <c r="BE93" s="17"/>
      <c r="BF93" s="34"/>
      <c r="BG93" s="17"/>
      <c r="BH93" s="17"/>
      <c r="BI93" s="17"/>
    </row>
    <row r="94" spans="1:61" ht="22.5" customHeight="1" x14ac:dyDescent="0.25">
      <c r="A94" s="33"/>
      <c r="B94" s="17"/>
      <c r="C94" s="17"/>
      <c r="D94" s="17"/>
      <c r="E94" s="17"/>
      <c r="F94" s="17"/>
      <c r="G94" s="34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17"/>
      <c r="S94" s="17"/>
      <c r="T94" s="17"/>
      <c r="U94" s="17"/>
      <c r="V94" s="17"/>
      <c r="W94" s="17"/>
      <c r="X94" s="17"/>
      <c r="Y94" s="34"/>
      <c r="Z94" s="34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34"/>
      <c r="AT94" s="17"/>
      <c r="AU94" s="17"/>
      <c r="AV94" s="17"/>
      <c r="AW94" s="17"/>
      <c r="AX94" s="17"/>
      <c r="AY94" s="17"/>
      <c r="AZ94" s="17"/>
      <c r="BA94" s="17"/>
      <c r="BB94" s="17"/>
      <c r="BC94" s="17"/>
      <c r="BD94" s="17"/>
      <c r="BE94" s="17"/>
      <c r="BF94" s="34"/>
      <c r="BG94" s="17"/>
      <c r="BH94" s="17"/>
      <c r="BI94" s="17"/>
    </row>
    <row r="95" spans="1:61" ht="22.5" customHeight="1" x14ac:dyDescent="0.25">
      <c r="A95" s="33"/>
      <c r="B95" s="17"/>
      <c r="C95" s="17"/>
      <c r="D95" s="17"/>
      <c r="E95" s="17"/>
      <c r="F95" s="17"/>
      <c r="G95" s="34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17"/>
      <c r="S95" s="17"/>
      <c r="T95" s="17"/>
      <c r="U95" s="17"/>
      <c r="V95" s="17"/>
      <c r="W95" s="17"/>
      <c r="X95" s="17"/>
      <c r="Y95" s="34"/>
      <c r="Z95" s="34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34"/>
      <c r="AT95" s="17"/>
      <c r="AU95" s="17"/>
      <c r="AV95" s="17"/>
      <c r="AW95" s="17"/>
      <c r="AX95" s="17"/>
      <c r="AY95" s="17"/>
      <c r="AZ95" s="17"/>
      <c r="BA95" s="17"/>
      <c r="BB95" s="17"/>
      <c r="BC95" s="17"/>
      <c r="BD95" s="17"/>
      <c r="BE95" s="17"/>
      <c r="BF95" s="34"/>
      <c r="BG95" s="17"/>
      <c r="BH95" s="17"/>
      <c r="BI95" s="17"/>
    </row>
    <row r="96" spans="1:61" ht="22.5" customHeight="1" x14ac:dyDescent="0.25">
      <c r="A96" s="33"/>
      <c r="B96" s="17"/>
      <c r="C96" s="17"/>
      <c r="D96" s="17"/>
      <c r="E96" s="17"/>
      <c r="F96" s="17"/>
      <c r="G96" s="34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17"/>
      <c r="S96" s="17"/>
      <c r="T96" s="17"/>
      <c r="U96" s="17"/>
      <c r="V96" s="17"/>
      <c r="W96" s="17"/>
      <c r="X96" s="17"/>
      <c r="Y96" s="34"/>
      <c r="Z96" s="34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34"/>
      <c r="AT96" s="17"/>
      <c r="AU96" s="17"/>
      <c r="AV96" s="17"/>
      <c r="AW96" s="17"/>
      <c r="AX96" s="17"/>
      <c r="AY96" s="17"/>
      <c r="AZ96" s="17"/>
      <c r="BA96" s="17"/>
      <c r="BB96" s="17"/>
      <c r="BC96" s="17"/>
      <c r="BD96" s="17"/>
      <c r="BE96" s="17"/>
      <c r="BF96" s="34"/>
      <c r="BG96" s="17"/>
      <c r="BH96" s="17"/>
      <c r="BI96" s="17"/>
    </row>
    <row r="97" spans="1:61" ht="22.5" customHeight="1" x14ac:dyDescent="0.25">
      <c r="A97" s="33"/>
      <c r="B97" s="17"/>
      <c r="C97" s="17"/>
      <c r="D97" s="17"/>
      <c r="E97" s="17"/>
      <c r="F97" s="17"/>
      <c r="G97" s="34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17"/>
      <c r="S97" s="17"/>
      <c r="T97" s="17"/>
      <c r="U97" s="17"/>
      <c r="V97" s="17"/>
      <c r="W97" s="17"/>
      <c r="X97" s="17"/>
      <c r="Y97" s="34"/>
      <c r="Z97" s="34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34"/>
      <c r="AT97" s="17"/>
      <c r="AU97" s="17"/>
      <c r="AV97" s="17"/>
      <c r="AW97" s="17"/>
      <c r="AX97" s="17"/>
      <c r="AY97" s="17"/>
      <c r="AZ97" s="17"/>
      <c r="BA97" s="17"/>
      <c r="BB97" s="17"/>
      <c r="BC97" s="17"/>
      <c r="BD97" s="17"/>
      <c r="BE97" s="17"/>
      <c r="BF97" s="34"/>
      <c r="BG97" s="17"/>
      <c r="BH97" s="17"/>
      <c r="BI97" s="17"/>
    </row>
    <row r="98" spans="1:61" ht="22.5" customHeight="1" x14ac:dyDescent="0.25">
      <c r="A98" s="33"/>
      <c r="B98" s="17"/>
      <c r="C98" s="17"/>
      <c r="D98" s="17"/>
      <c r="E98" s="17"/>
      <c r="F98" s="17"/>
      <c r="G98" s="34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17"/>
      <c r="S98" s="17"/>
      <c r="T98" s="17"/>
      <c r="U98" s="17"/>
      <c r="V98" s="17"/>
      <c r="W98" s="17"/>
      <c r="X98" s="17"/>
      <c r="Y98" s="34"/>
      <c r="Z98" s="34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34"/>
      <c r="AT98" s="17"/>
      <c r="AU98" s="17"/>
      <c r="AV98" s="17"/>
      <c r="AW98" s="17"/>
      <c r="AX98" s="17"/>
      <c r="AY98" s="17"/>
      <c r="AZ98" s="17"/>
      <c r="BA98" s="17"/>
      <c r="BB98" s="17"/>
      <c r="BC98" s="17"/>
      <c r="BD98" s="17"/>
      <c r="BE98" s="17"/>
      <c r="BF98" s="34"/>
      <c r="BG98" s="17"/>
      <c r="BH98" s="17"/>
      <c r="BI98" s="17"/>
    </row>
    <row r="99" spans="1:61" ht="22.5" customHeight="1" x14ac:dyDescent="0.25">
      <c r="A99" s="33"/>
      <c r="B99" s="17"/>
      <c r="C99" s="17"/>
      <c r="D99" s="17"/>
      <c r="E99" s="17"/>
      <c r="F99" s="17"/>
      <c r="G99" s="34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17"/>
      <c r="S99" s="17"/>
      <c r="T99" s="17"/>
      <c r="U99" s="17"/>
      <c r="V99" s="17"/>
      <c r="W99" s="17"/>
      <c r="X99" s="17"/>
      <c r="Y99" s="34"/>
      <c r="Z99" s="34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34"/>
      <c r="AT99" s="17"/>
      <c r="AU99" s="17"/>
      <c r="AV99" s="17"/>
      <c r="AW99" s="17"/>
      <c r="AX99" s="17"/>
      <c r="AY99" s="17"/>
      <c r="AZ99" s="17"/>
      <c r="BA99" s="17"/>
      <c r="BB99" s="17"/>
      <c r="BC99" s="17"/>
      <c r="BD99" s="17"/>
      <c r="BE99" s="17"/>
      <c r="BF99" s="34"/>
      <c r="BG99" s="17"/>
      <c r="BH99" s="17"/>
      <c r="BI99" s="17"/>
    </row>
    <row r="100" spans="1:61" ht="22.5" customHeight="1" x14ac:dyDescent="0.25">
      <c r="A100" s="33"/>
      <c r="B100" s="17"/>
      <c r="C100" s="17"/>
      <c r="D100" s="17"/>
      <c r="E100" s="17"/>
      <c r="F100" s="17"/>
      <c r="G100" s="34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17"/>
      <c r="S100" s="17"/>
      <c r="T100" s="17"/>
      <c r="U100" s="17"/>
      <c r="V100" s="17"/>
      <c r="W100" s="17"/>
      <c r="X100" s="17"/>
      <c r="Y100" s="34"/>
      <c r="Z100" s="34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34"/>
      <c r="AT100" s="17"/>
      <c r="AU100" s="17"/>
      <c r="AV100" s="17"/>
      <c r="AW100" s="17"/>
      <c r="AX100" s="17"/>
      <c r="AY100" s="17"/>
      <c r="AZ100" s="17"/>
      <c r="BA100" s="17"/>
      <c r="BB100" s="17"/>
      <c r="BC100" s="17"/>
      <c r="BD100" s="17"/>
      <c r="BE100" s="17"/>
      <c r="BF100" s="34"/>
      <c r="BG100" s="17"/>
      <c r="BH100" s="17"/>
      <c r="BI100" s="17"/>
    </row>
    <row r="101" spans="1:61" ht="22.5" customHeight="1" x14ac:dyDescent="0.25">
      <c r="A101" s="33"/>
      <c r="B101" s="17"/>
      <c r="C101" s="17"/>
      <c r="D101" s="17"/>
      <c r="E101" s="17"/>
      <c r="F101" s="17"/>
      <c r="G101" s="34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17"/>
      <c r="S101" s="17"/>
      <c r="T101" s="17"/>
      <c r="U101" s="17"/>
      <c r="V101" s="17"/>
      <c r="W101" s="17"/>
      <c r="X101" s="17"/>
      <c r="Y101" s="34"/>
      <c r="Z101" s="34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34"/>
      <c r="AT101" s="17"/>
      <c r="AU101" s="17"/>
      <c r="AV101" s="17"/>
      <c r="AW101" s="17"/>
      <c r="AX101" s="17"/>
      <c r="AY101" s="17"/>
      <c r="AZ101" s="17"/>
      <c r="BA101" s="17"/>
      <c r="BB101" s="17"/>
      <c r="BC101" s="17"/>
      <c r="BD101" s="17"/>
      <c r="BE101" s="17"/>
      <c r="BF101" s="34"/>
      <c r="BG101" s="17"/>
      <c r="BH101" s="17"/>
      <c r="BI101" s="17"/>
    </row>
    <row r="102" spans="1:61" ht="22.5" customHeight="1" x14ac:dyDescent="0.25">
      <c r="A102" s="33"/>
      <c r="B102" s="17"/>
      <c r="C102" s="17"/>
      <c r="D102" s="17"/>
      <c r="E102" s="17"/>
      <c r="F102" s="17"/>
      <c r="G102" s="34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17"/>
      <c r="S102" s="17"/>
      <c r="T102" s="17"/>
      <c r="U102" s="17"/>
      <c r="V102" s="17"/>
      <c r="W102" s="17"/>
      <c r="X102" s="17"/>
      <c r="Y102" s="34"/>
      <c r="Z102" s="34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34"/>
      <c r="AT102" s="17"/>
      <c r="AU102" s="17"/>
      <c r="AV102" s="17"/>
      <c r="AW102" s="17"/>
      <c r="AX102" s="17"/>
      <c r="AY102" s="17"/>
      <c r="AZ102" s="17"/>
      <c r="BA102" s="17"/>
      <c r="BB102" s="17"/>
      <c r="BC102" s="17"/>
      <c r="BD102" s="17"/>
      <c r="BE102" s="17"/>
      <c r="BF102" s="34"/>
      <c r="BG102" s="17"/>
      <c r="BH102" s="17"/>
      <c r="BI102" s="17"/>
    </row>
    <row r="103" spans="1:61" ht="22.5" customHeight="1" x14ac:dyDescent="0.25">
      <c r="A103" s="33"/>
      <c r="B103" s="17"/>
      <c r="C103" s="17"/>
      <c r="D103" s="17"/>
      <c r="E103" s="17"/>
      <c r="F103" s="17"/>
      <c r="G103" s="34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17"/>
      <c r="S103" s="17"/>
      <c r="T103" s="17"/>
      <c r="U103" s="17"/>
      <c r="V103" s="17"/>
      <c r="W103" s="17"/>
      <c r="X103" s="17"/>
      <c r="Y103" s="34"/>
      <c r="Z103" s="34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34"/>
      <c r="AT103" s="17"/>
      <c r="AU103" s="17"/>
      <c r="AV103" s="17"/>
      <c r="AW103" s="17"/>
      <c r="AX103" s="17"/>
      <c r="AY103" s="17"/>
      <c r="AZ103" s="17"/>
      <c r="BA103" s="17"/>
      <c r="BB103" s="17"/>
      <c r="BC103" s="17"/>
      <c r="BD103" s="17"/>
      <c r="BE103" s="17"/>
      <c r="BF103" s="34"/>
      <c r="BG103" s="17"/>
      <c r="BH103" s="17"/>
      <c r="BI103" s="17"/>
    </row>
    <row r="104" spans="1:61" ht="22.5" customHeight="1" x14ac:dyDescent="0.25">
      <c r="A104" s="33"/>
      <c r="B104" s="17"/>
      <c r="C104" s="17"/>
      <c r="D104" s="17"/>
      <c r="E104" s="17"/>
      <c r="F104" s="17"/>
      <c r="G104" s="34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17"/>
      <c r="S104" s="17"/>
      <c r="T104" s="17"/>
      <c r="U104" s="17"/>
      <c r="V104" s="17"/>
      <c r="W104" s="17"/>
      <c r="X104" s="17"/>
      <c r="Y104" s="34"/>
      <c r="Z104" s="34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34"/>
      <c r="AT104" s="17"/>
      <c r="AU104" s="17"/>
      <c r="AV104" s="17"/>
      <c r="AW104" s="17"/>
      <c r="AX104" s="17"/>
      <c r="AY104" s="17"/>
      <c r="AZ104" s="17"/>
      <c r="BA104" s="17"/>
      <c r="BB104" s="17"/>
      <c r="BC104" s="17"/>
      <c r="BD104" s="17"/>
      <c r="BE104" s="17"/>
      <c r="BF104" s="34"/>
      <c r="BG104" s="17"/>
      <c r="BH104" s="17"/>
      <c r="BI104" s="17"/>
    </row>
    <row r="105" spans="1:61" ht="22.5" customHeight="1" x14ac:dyDescent="0.25">
      <c r="A105" s="33"/>
      <c r="B105" s="17"/>
      <c r="C105" s="17"/>
      <c r="D105" s="17"/>
      <c r="E105" s="17"/>
      <c r="F105" s="17"/>
      <c r="G105" s="34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17"/>
      <c r="S105" s="17"/>
      <c r="T105" s="17"/>
      <c r="U105" s="17"/>
      <c r="V105" s="17"/>
      <c r="W105" s="17"/>
      <c r="X105" s="17"/>
      <c r="Y105" s="34"/>
      <c r="Z105" s="34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34"/>
      <c r="AT105" s="17"/>
      <c r="AU105" s="17"/>
      <c r="AV105" s="17"/>
      <c r="AW105" s="17"/>
      <c r="AX105" s="17"/>
      <c r="AY105" s="17"/>
      <c r="AZ105" s="17"/>
      <c r="BA105" s="17"/>
      <c r="BB105" s="17"/>
      <c r="BC105" s="17"/>
      <c r="BD105" s="17"/>
      <c r="BE105" s="17"/>
      <c r="BF105" s="34"/>
      <c r="BG105" s="17"/>
      <c r="BH105" s="17"/>
      <c r="BI105" s="17"/>
    </row>
    <row r="106" spans="1:61" ht="22.5" customHeight="1" x14ac:dyDescent="0.25">
      <c r="A106" s="33"/>
      <c r="B106" s="17"/>
      <c r="C106" s="17"/>
      <c r="D106" s="17"/>
      <c r="E106" s="17"/>
      <c r="F106" s="17"/>
      <c r="G106" s="34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17"/>
      <c r="S106" s="17"/>
      <c r="T106" s="17"/>
      <c r="U106" s="17"/>
      <c r="V106" s="17"/>
      <c r="W106" s="17"/>
      <c r="X106" s="17"/>
      <c r="Y106" s="34"/>
      <c r="Z106" s="34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34"/>
      <c r="AT106" s="17"/>
      <c r="AU106" s="17"/>
      <c r="AV106" s="17"/>
      <c r="AW106" s="17"/>
      <c r="AX106" s="17"/>
      <c r="AY106" s="17"/>
      <c r="AZ106" s="17"/>
      <c r="BA106" s="17"/>
      <c r="BB106" s="17"/>
      <c r="BC106" s="17"/>
      <c r="BD106" s="17"/>
      <c r="BE106" s="17"/>
      <c r="BF106" s="34"/>
      <c r="BG106" s="17"/>
      <c r="BH106" s="17"/>
      <c r="BI106" s="17"/>
    </row>
    <row r="107" spans="1:61" ht="22.5" customHeight="1" x14ac:dyDescent="0.25">
      <c r="A107" s="33"/>
      <c r="B107" s="17"/>
      <c r="C107" s="17"/>
      <c r="D107" s="17"/>
      <c r="E107" s="17"/>
      <c r="F107" s="17"/>
      <c r="G107" s="34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17"/>
      <c r="S107" s="17"/>
      <c r="T107" s="17"/>
      <c r="U107" s="17"/>
      <c r="V107" s="17"/>
      <c r="W107" s="17"/>
      <c r="X107" s="17"/>
      <c r="Y107" s="34"/>
      <c r="Z107" s="34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34"/>
      <c r="AT107" s="17"/>
      <c r="AU107" s="17"/>
      <c r="AV107" s="17"/>
      <c r="AW107" s="17"/>
      <c r="AX107" s="17"/>
      <c r="AY107" s="17"/>
      <c r="AZ107" s="17"/>
      <c r="BA107" s="17"/>
      <c r="BB107" s="17"/>
      <c r="BC107" s="17"/>
      <c r="BD107" s="17"/>
      <c r="BE107" s="17"/>
      <c r="BF107" s="34"/>
      <c r="BG107" s="17"/>
      <c r="BH107" s="17"/>
      <c r="BI107" s="17"/>
    </row>
    <row r="108" spans="1:61" ht="22.5" customHeight="1" x14ac:dyDescent="0.25">
      <c r="A108" s="33"/>
      <c r="B108" s="17"/>
      <c r="C108" s="17"/>
      <c r="D108" s="17"/>
      <c r="E108" s="17"/>
      <c r="F108" s="17"/>
      <c r="G108" s="34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17"/>
      <c r="S108" s="17"/>
      <c r="T108" s="17"/>
      <c r="U108" s="17"/>
      <c r="V108" s="17"/>
      <c r="W108" s="17"/>
      <c r="X108" s="17"/>
      <c r="Y108" s="34"/>
      <c r="Z108" s="34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34"/>
      <c r="AT108" s="17"/>
      <c r="AU108" s="17"/>
      <c r="AV108" s="17"/>
      <c r="AW108" s="17"/>
      <c r="AX108" s="17"/>
      <c r="AY108" s="17"/>
      <c r="AZ108" s="17"/>
      <c r="BA108" s="17"/>
      <c r="BB108" s="17"/>
      <c r="BC108" s="17"/>
      <c r="BD108" s="17"/>
      <c r="BE108" s="17"/>
      <c r="BF108" s="34"/>
      <c r="BG108" s="17"/>
      <c r="BH108" s="17"/>
      <c r="BI108" s="17"/>
    </row>
    <row r="109" spans="1:61" ht="22.5" customHeight="1" x14ac:dyDescent="0.25">
      <c r="A109" s="33"/>
      <c r="B109" s="17"/>
      <c r="C109" s="17"/>
      <c r="D109" s="17"/>
      <c r="E109" s="17"/>
      <c r="F109" s="17"/>
      <c r="G109" s="34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17"/>
      <c r="S109" s="17"/>
      <c r="T109" s="17"/>
      <c r="U109" s="17"/>
      <c r="V109" s="17"/>
      <c r="W109" s="17"/>
      <c r="X109" s="17"/>
      <c r="Y109" s="34"/>
      <c r="Z109" s="34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34"/>
      <c r="AT109" s="17"/>
      <c r="AU109" s="17"/>
      <c r="AV109" s="17"/>
      <c r="AW109" s="17"/>
      <c r="AX109" s="17"/>
      <c r="AY109" s="17"/>
      <c r="AZ109" s="17"/>
      <c r="BA109" s="17"/>
      <c r="BB109" s="17"/>
      <c r="BC109" s="17"/>
      <c r="BD109" s="17"/>
      <c r="BE109" s="17"/>
      <c r="BF109" s="34"/>
      <c r="BG109" s="17"/>
      <c r="BH109" s="17"/>
      <c r="BI109" s="17"/>
    </row>
    <row r="110" spans="1:61" ht="22.5" customHeight="1" x14ac:dyDescent="0.25">
      <c r="A110" s="33"/>
      <c r="B110" s="17"/>
      <c r="C110" s="17"/>
      <c r="D110" s="17"/>
      <c r="E110" s="17"/>
      <c r="F110" s="17"/>
      <c r="G110" s="34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17"/>
      <c r="S110" s="17"/>
      <c r="T110" s="17"/>
      <c r="U110" s="17"/>
      <c r="V110" s="17"/>
      <c r="W110" s="17"/>
      <c r="X110" s="17"/>
      <c r="Y110" s="34"/>
      <c r="Z110" s="34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34"/>
      <c r="AT110" s="17"/>
      <c r="AU110" s="17"/>
      <c r="AV110" s="17"/>
      <c r="AW110" s="17"/>
      <c r="AX110" s="17"/>
      <c r="AY110" s="17"/>
      <c r="AZ110" s="17"/>
      <c r="BA110" s="17"/>
      <c r="BB110" s="17"/>
      <c r="BC110" s="17"/>
      <c r="BD110" s="17"/>
      <c r="BE110" s="17"/>
      <c r="BF110" s="34"/>
      <c r="BG110" s="17"/>
      <c r="BH110" s="17"/>
      <c r="BI110" s="17"/>
    </row>
    <row r="111" spans="1:61" ht="22.5" customHeight="1" x14ac:dyDescent="0.25">
      <c r="A111" s="33"/>
      <c r="B111" s="17"/>
      <c r="C111" s="17"/>
      <c r="D111" s="17"/>
      <c r="E111" s="17"/>
      <c r="F111" s="17"/>
      <c r="G111" s="34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17"/>
      <c r="S111" s="17"/>
      <c r="T111" s="17"/>
      <c r="U111" s="17"/>
      <c r="V111" s="17"/>
      <c r="W111" s="17"/>
      <c r="X111" s="17"/>
      <c r="Y111" s="34"/>
      <c r="Z111" s="34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34"/>
      <c r="AT111" s="17"/>
      <c r="AU111" s="17"/>
      <c r="AV111" s="17"/>
      <c r="AW111" s="17"/>
      <c r="AX111" s="17"/>
      <c r="AY111" s="17"/>
      <c r="AZ111" s="17"/>
      <c r="BA111" s="17"/>
      <c r="BB111" s="17"/>
      <c r="BC111" s="17"/>
      <c r="BD111" s="17"/>
      <c r="BE111" s="17"/>
      <c r="BF111" s="34"/>
      <c r="BG111" s="17"/>
      <c r="BH111" s="17"/>
      <c r="BI111" s="17"/>
    </row>
    <row r="112" spans="1:61" ht="22.5" customHeight="1" x14ac:dyDescent="0.25">
      <c r="A112" s="33"/>
      <c r="B112" s="17"/>
      <c r="C112" s="17"/>
      <c r="D112" s="17"/>
      <c r="E112" s="17"/>
      <c r="F112" s="17"/>
      <c r="G112" s="34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17"/>
      <c r="S112" s="17"/>
      <c r="T112" s="17"/>
      <c r="U112" s="17"/>
      <c r="V112" s="17"/>
      <c r="W112" s="17"/>
      <c r="X112" s="17"/>
      <c r="Y112" s="34"/>
      <c r="Z112" s="34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34"/>
      <c r="AT112" s="17"/>
      <c r="AU112" s="17"/>
      <c r="AV112" s="17"/>
      <c r="AW112" s="17"/>
      <c r="AX112" s="17"/>
      <c r="AY112" s="17"/>
      <c r="AZ112" s="17"/>
      <c r="BA112" s="17"/>
      <c r="BB112" s="17"/>
      <c r="BC112" s="17"/>
      <c r="BD112" s="17"/>
      <c r="BE112" s="17"/>
      <c r="BF112" s="34"/>
      <c r="BG112" s="17"/>
      <c r="BH112" s="17"/>
      <c r="BI112" s="17"/>
    </row>
    <row r="113" spans="1:61" ht="22.5" customHeight="1" x14ac:dyDescent="0.25">
      <c r="A113" s="33"/>
      <c r="B113" s="17"/>
      <c r="C113" s="17"/>
      <c r="D113" s="17"/>
      <c r="E113" s="17"/>
      <c r="F113" s="17"/>
      <c r="G113" s="34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17"/>
      <c r="S113" s="17"/>
      <c r="T113" s="17"/>
      <c r="U113" s="17"/>
      <c r="V113" s="17"/>
      <c r="W113" s="17"/>
      <c r="X113" s="17"/>
      <c r="Y113" s="34"/>
      <c r="Z113" s="34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34"/>
      <c r="AT113" s="17"/>
      <c r="AU113" s="17"/>
      <c r="AV113" s="17"/>
      <c r="AW113" s="17"/>
      <c r="AX113" s="17"/>
      <c r="AY113" s="17"/>
      <c r="AZ113" s="17"/>
      <c r="BA113" s="17"/>
      <c r="BB113" s="17"/>
      <c r="BC113" s="17"/>
      <c r="BD113" s="17"/>
      <c r="BE113" s="17"/>
      <c r="BF113" s="34"/>
      <c r="BG113" s="17"/>
      <c r="BH113" s="17"/>
      <c r="BI113" s="17"/>
    </row>
    <row r="114" spans="1:61" ht="22.5" customHeight="1" x14ac:dyDescent="0.25">
      <c r="A114" s="33"/>
      <c r="B114" s="17"/>
      <c r="C114" s="17"/>
      <c r="D114" s="17"/>
      <c r="E114" s="17"/>
      <c r="F114" s="17"/>
      <c r="G114" s="34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17"/>
      <c r="S114" s="17"/>
      <c r="T114" s="17"/>
      <c r="U114" s="17"/>
      <c r="V114" s="17"/>
      <c r="W114" s="17"/>
      <c r="X114" s="17"/>
      <c r="Y114" s="34"/>
      <c r="Z114" s="34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34"/>
      <c r="AT114" s="17"/>
      <c r="AU114" s="17"/>
      <c r="AV114" s="17"/>
      <c r="AW114" s="17"/>
      <c r="AX114" s="17"/>
      <c r="AY114" s="17"/>
      <c r="AZ114" s="17"/>
      <c r="BA114" s="17"/>
      <c r="BB114" s="17"/>
      <c r="BC114" s="17"/>
      <c r="BD114" s="17"/>
      <c r="BE114" s="17"/>
      <c r="BF114" s="34"/>
      <c r="BG114" s="17"/>
      <c r="BH114" s="17"/>
      <c r="BI114" s="17"/>
    </row>
    <row r="115" spans="1:61" ht="22.5" customHeight="1" x14ac:dyDescent="0.25">
      <c r="A115" s="33"/>
      <c r="B115" s="17"/>
      <c r="C115" s="17"/>
      <c r="D115" s="17"/>
      <c r="E115" s="17"/>
      <c r="F115" s="17"/>
      <c r="G115" s="34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17"/>
      <c r="S115" s="17"/>
      <c r="T115" s="17"/>
      <c r="U115" s="17"/>
      <c r="V115" s="17"/>
      <c r="W115" s="17"/>
      <c r="X115" s="17"/>
      <c r="Y115" s="34"/>
      <c r="Z115" s="34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34"/>
      <c r="AT115" s="17"/>
      <c r="AU115" s="17"/>
      <c r="AV115" s="17"/>
      <c r="AW115" s="17"/>
      <c r="AX115" s="17"/>
      <c r="AY115" s="17"/>
      <c r="AZ115" s="17"/>
      <c r="BA115" s="17"/>
      <c r="BB115" s="17"/>
      <c r="BC115" s="17"/>
      <c r="BD115" s="17"/>
      <c r="BE115" s="17"/>
      <c r="BF115" s="34"/>
      <c r="BG115" s="17"/>
      <c r="BH115" s="17"/>
      <c r="BI115" s="17"/>
    </row>
    <row r="116" spans="1:61" ht="22.5" customHeight="1" x14ac:dyDescent="0.25">
      <c r="A116" s="33"/>
      <c r="B116" s="17"/>
      <c r="C116" s="17"/>
      <c r="D116" s="17"/>
      <c r="E116" s="17"/>
      <c r="F116" s="17"/>
      <c r="G116" s="34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17"/>
      <c r="S116" s="17"/>
      <c r="T116" s="17"/>
      <c r="U116" s="17"/>
      <c r="V116" s="17"/>
      <c r="W116" s="17"/>
      <c r="X116" s="17"/>
      <c r="Y116" s="34"/>
      <c r="Z116" s="34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34"/>
      <c r="AT116" s="17"/>
      <c r="AU116" s="17"/>
      <c r="AV116" s="17"/>
      <c r="AW116" s="17"/>
      <c r="AX116" s="17"/>
      <c r="AY116" s="17"/>
      <c r="AZ116" s="17"/>
      <c r="BA116" s="17"/>
      <c r="BB116" s="17"/>
      <c r="BC116" s="17"/>
      <c r="BD116" s="17"/>
      <c r="BE116" s="17"/>
      <c r="BF116" s="34"/>
      <c r="BG116" s="17"/>
      <c r="BH116" s="17"/>
      <c r="BI116" s="17"/>
    </row>
    <row r="117" spans="1:61" ht="22.5" customHeight="1" x14ac:dyDescent="0.25">
      <c r="A117" s="33"/>
      <c r="B117" s="17"/>
      <c r="C117" s="17"/>
      <c r="D117" s="17"/>
      <c r="E117" s="17"/>
      <c r="F117" s="17"/>
      <c r="G117" s="34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17"/>
      <c r="S117" s="17"/>
      <c r="T117" s="17"/>
      <c r="U117" s="17"/>
      <c r="V117" s="17"/>
      <c r="W117" s="17"/>
      <c r="X117" s="17"/>
      <c r="Y117" s="34"/>
      <c r="Z117" s="34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34"/>
      <c r="AT117" s="17"/>
      <c r="AU117" s="17"/>
      <c r="AV117" s="17"/>
      <c r="AW117" s="17"/>
      <c r="AX117" s="17"/>
      <c r="AY117" s="17"/>
      <c r="AZ117" s="17"/>
      <c r="BA117" s="17"/>
      <c r="BB117" s="17"/>
      <c r="BC117" s="17"/>
      <c r="BD117" s="17"/>
      <c r="BE117" s="17"/>
      <c r="BF117" s="34"/>
      <c r="BG117" s="17"/>
      <c r="BH117" s="17"/>
      <c r="BI117" s="17"/>
    </row>
    <row r="118" spans="1:61" ht="22.5" customHeight="1" x14ac:dyDescent="0.25">
      <c r="A118" s="33"/>
      <c r="B118" s="17"/>
      <c r="C118" s="17"/>
      <c r="D118" s="17"/>
      <c r="E118" s="17"/>
      <c r="F118" s="17"/>
      <c r="G118" s="34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17"/>
      <c r="S118" s="17"/>
      <c r="T118" s="17"/>
      <c r="U118" s="17"/>
      <c r="V118" s="17"/>
      <c r="W118" s="17"/>
      <c r="X118" s="17"/>
      <c r="Y118" s="34"/>
      <c r="Z118" s="34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34"/>
      <c r="AT118" s="17"/>
      <c r="AU118" s="17"/>
      <c r="AV118" s="17"/>
      <c r="AW118" s="17"/>
      <c r="AX118" s="17"/>
      <c r="AY118" s="17"/>
      <c r="AZ118" s="17"/>
      <c r="BA118" s="17"/>
      <c r="BB118" s="17"/>
      <c r="BC118" s="17"/>
      <c r="BD118" s="17"/>
      <c r="BE118" s="17"/>
      <c r="BF118" s="34"/>
      <c r="BG118" s="17"/>
      <c r="BH118" s="17"/>
      <c r="BI118" s="17"/>
    </row>
    <row r="119" spans="1:61" ht="22.5" customHeight="1" x14ac:dyDescent="0.25">
      <c r="A119" s="33"/>
      <c r="B119" s="17"/>
      <c r="C119" s="17"/>
      <c r="D119" s="17"/>
      <c r="E119" s="17"/>
      <c r="F119" s="17"/>
      <c r="G119" s="34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17"/>
      <c r="S119" s="17"/>
      <c r="T119" s="17"/>
      <c r="U119" s="17"/>
      <c r="V119" s="17"/>
      <c r="W119" s="17"/>
      <c r="X119" s="17"/>
      <c r="Y119" s="34"/>
      <c r="Z119" s="34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34"/>
      <c r="AT119" s="17"/>
      <c r="AU119" s="17"/>
      <c r="AV119" s="17"/>
      <c r="AW119" s="17"/>
      <c r="AX119" s="17"/>
      <c r="AY119" s="17"/>
      <c r="AZ119" s="17"/>
      <c r="BA119" s="17"/>
      <c r="BB119" s="17"/>
      <c r="BC119" s="17"/>
      <c r="BD119" s="17"/>
      <c r="BE119" s="17"/>
      <c r="BF119" s="34"/>
      <c r="BG119" s="17"/>
      <c r="BH119" s="17"/>
      <c r="BI119" s="17"/>
    </row>
    <row r="120" spans="1:61" ht="22.5" customHeight="1" x14ac:dyDescent="0.25">
      <c r="A120" s="33"/>
      <c r="B120" s="17"/>
      <c r="C120" s="17"/>
      <c r="D120" s="17"/>
      <c r="E120" s="17"/>
      <c r="F120" s="17"/>
      <c r="G120" s="34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17"/>
      <c r="S120" s="17"/>
      <c r="T120" s="17"/>
      <c r="U120" s="17"/>
      <c r="V120" s="17"/>
      <c r="W120" s="17"/>
      <c r="X120" s="17"/>
      <c r="Y120" s="34"/>
      <c r="Z120" s="34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34"/>
      <c r="AT120" s="17"/>
      <c r="AU120" s="17"/>
      <c r="AV120" s="17"/>
      <c r="AW120" s="17"/>
      <c r="AX120" s="17"/>
      <c r="AY120" s="17"/>
      <c r="AZ120" s="17"/>
      <c r="BA120" s="17"/>
      <c r="BB120" s="17"/>
      <c r="BC120" s="17"/>
      <c r="BD120" s="17"/>
      <c r="BE120" s="17"/>
      <c r="BF120" s="34"/>
      <c r="BG120" s="17"/>
      <c r="BH120" s="17"/>
      <c r="BI120" s="17"/>
    </row>
    <row r="121" spans="1:61" ht="22.5" customHeight="1" x14ac:dyDescent="0.25">
      <c r="A121" s="33"/>
      <c r="B121" s="17"/>
      <c r="C121" s="17"/>
      <c r="D121" s="17"/>
      <c r="E121" s="17"/>
      <c r="F121" s="17"/>
      <c r="G121" s="34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17"/>
      <c r="S121" s="17"/>
      <c r="T121" s="17"/>
      <c r="U121" s="17"/>
      <c r="V121" s="17"/>
      <c r="W121" s="17"/>
      <c r="X121" s="17"/>
      <c r="Y121" s="34"/>
      <c r="Z121" s="34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34"/>
      <c r="AT121" s="17"/>
      <c r="AU121" s="17"/>
      <c r="AV121" s="17"/>
      <c r="AW121" s="17"/>
      <c r="AX121" s="17"/>
      <c r="AY121" s="17"/>
      <c r="AZ121" s="17"/>
      <c r="BA121" s="17"/>
      <c r="BB121" s="17"/>
      <c r="BC121" s="17"/>
      <c r="BD121" s="17"/>
      <c r="BE121" s="17"/>
      <c r="BF121" s="34"/>
      <c r="BG121" s="17"/>
      <c r="BH121" s="17"/>
      <c r="BI121" s="17"/>
    </row>
    <row r="122" spans="1:61" ht="22.5" customHeight="1" x14ac:dyDescent="0.25">
      <c r="A122" s="33"/>
      <c r="B122" s="17"/>
      <c r="C122" s="17"/>
      <c r="D122" s="17"/>
      <c r="E122" s="17"/>
      <c r="F122" s="17"/>
      <c r="G122" s="34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17"/>
      <c r="S122" s="17"/>
      <c r="T122" s="17"/>
      <c r="U122" s="17"/>
      <c r="V122" s="17"/>
      <c r="W122" s="17"/>
      <c r="X122" s="17"/>
      <c r="Y122" s="34"/>
      <c r="Z122" s="34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34"/>
      <c r="AT122" s="17"/>
      <c r="AU122" s="17"/>
      <c r="AV122" s="17"/>
      <c r="AW122" s="17"/>
      <c r="AX122" s="17"/>
      <c r="AY122" s="17"/>
      <c r="AZ122" s="17"/>
      <c r="BA122" s="17"/>
      <c r="BB122" s="17"/>
      <c r="BC122" s="17"/>
      <c r="BD122" s="17"/>
      <c r="BE122" s="17"/>
      <c r="BF122" s="34"/>
      <c r="BG122" s="17"/>
      <c r="BH122" s="17"/>
      <c r="BI122" s="17"/>
    </row>
    <row r="123" spans="1:61" ht="22.5" customHeight="1" x14ac:dyDescent="0.25">
      <c r="A123" s="33"/>
      <c r="B123" s="17"/>
      <c r="C123" s="17"/>
      <c r="D123" s="17"/>
      <c r="E123" s="17"/>
      <c r="F123" s="17"/>
      <c r="G123" s="34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17"/>
      <c r="S123" s="17"/>
      <c r="T123" s="17"/>
      <c r="U123" s="17"/>
      <c r="V123" s="17"/>
      <c r="W123" s="17"/>
      <c r="X123" s="17"/>
      <c r="Y123" s="34"/>
      <c r="Z123" s="34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34"/>
      <c r="AT123" s="17"/>
      <c r="AU123" s="17"/>
      <c r="AV123" s="17"/>
      <c r="AW123" s="17"/>
      <c r="AX123" s="17"/>
      <c r="AY123" s="17"/>
      <c r="AZ123" s="17"/>
      <c r="BA123" s="17"/>
      <c r="BB123" s="17"/>
      <c r="BC123" s="17"/>
      <c r="BD123" s="17"/>
      <c r="BE123" s="17"/>
      <c r="BF123" s="34"/>
      <c r="BG123" s="17"/>
      <c r="BH123" s="17"/>
      <c r="BI123" s="17"/>
    </row>
    <row r="124" spans="1:61" ht="22.5" customHeight="1" x14ac:dyDescent="0.25">
      <c r="A124" s="33"/>
      <c r="B124" s="17"/>
      <c r="C124" s="17"/>
      <c r="D124" s="17"/>
      <c r="E124" s="17"/>
      <c r="F124" s="17"/>
      <c r="G124" s="34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17"/>
      <c r="S124" s="17"/>
      <c r="T124" s="17"/>
      <c r="U124" s="17"/>
      <c r="V124" s="17"/>
      <c r="W124" s="17"/>
      <c r="X124" s="17"/>
      <c r="Y124" s="34"/>
      <c r="Z124" s="34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34"/>
      <c r="AT124" s="17"/>
      <c r="AU124" s="17"/>
      <c r="AV124" s="17"/>
      <c r="AW124" s="17"/>
      <c r="AX124" s="17"/>
      <c r="AY124" s="17"/>
      <c r="AZ124" s="17"/>
      <c r="BA124" s="17"/>
      <c r="BB124" s="17"/>
      <c r="BC124" s="17"/>
      <c r="BD124" s="17"/>
      <c r="BE124" s="17"/>
      <c r="BF124" s="34"/>
      <c r="BG124" s="17"/>
      <c r="BH124" s="17"/>
      <c r="BI124" s="17"/>
    </row>
    <row r="125" spans="1:61" ht="22.5" customHeight="1" x14ac:dyDescent="0.25">
      <c r="A125" s="33"/>
      <c r="B125" s="17"/>
      <c r="C125" s="17"/>
      <c r="D125" s="17"/>
      <c r="E125" s="17"/>
      <c r="F125" s="17"/>
      <c r="G125" s="34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17"/>
      <c r="S125" s="17"/>
      <c r="T125" s="17"/>
      <c r="U125" s="17"/>
      <c r="V125" s="17"/>
      <c r="W125" s="17"/>
      <c r="X125" s="17"/>
      <c r="Y125" s="34"/>
      <c r="Z125" s="34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34"/>
      <c r="AT125" s="17"/>
      <c r="AU125" s="17"/>
      <c r="AV125" s="17"/>
      <c r="AW125" s="17"/>
      <c r="AX125" s="17"/>
      <c r="AY125" s="17"/>
      <c r="AZ125" s="17"/>
      <c r="BA125" s="17"/>
      <c r="BB125" s="17"/>
      <c r="BC125" s="17"/>
      <c r="BD125" s="17"/>
      <c r="BE125" s="17"/>
      <c r="BF125" s="34"/>
      <c r="BG125" s="17"/>
      <c r="BH125" s="17"/>
      <c r="BI125" s="17"/>
    </row>
    <row r="126" spans="1:61" ht="22.5" customHeight="1" x14ac:dyDescent="0.25">
      <c r="A126" s="33"/>
      <c r="B126" s="17"/>
      <c r="C126" s="17"/>
      <c r="D126" s="17"/>
      <c r="E126" s="17"/>
      <c r="F126" s="17"/>
      <c r="G126" s="34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17"/>
      <c r="S126" s="17"/>
      <c r="T126" s="17"/>
      <c r="U126" s="17"/>
      <c r="V126" s="17"/>
      <c r="W126" s="17"/>
      <c r="X126" s="17"/>
      <c r="Y126" s="34"/>
      <c r="Z126" s="34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34"/>
      <c r="AT126" s="17"/>
      <c r="AU126" s="17"/>
      <c r="AV126" s="17"/>
      <c r="AW126" s="17"/>
      <c r="AX126" s="17"/>
      <c r="AY126" s="17"/>
      <c r="AZ126" s="17"/>
      <c r="BA126" s="17"/>
      <c r="BB126" s="17"/>
      <c r="BC126" s="17"/>
      <c r="BD126" s="17"/>
      <c r="BE126" s="17"/>
      <c r="BF126" s="34"/>
      <c r="BG126" s="17"/>
      <c r="BH126" s="17"/>
      <c r="BI126" s="17"/>
    </row>
    <row r="127" spans="1:61" ht="22.5" customHeight="1" x14ac:dyDescent="0.25">
      <c r="A127" s="33"/>
      <c r="B127" s="17"/>
      <c r="C127" s="17"/>
      <c r="D127" s="17"/>
      <c r="E127" s="17"/>
      <c r="F127" s="17"/>
      <c r="G127" s="34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17"/>
      <c r="S127" s="17"/>
      <c r="T127" s="17"/>
      <c r="U127" s="17"/>
      <c r="V127" s="17"/>
      <c r="W127" s="17"/>
      <c r="X127" s="17"/>
      <c r="Y127" s="34"/>
      <c r="Z127" s="34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34"/>
      <c r="AT127" s="17"/>
      <c r="AU127" s="17"/>
      <c r="AV127" s="17"/>
      <c r="AW127" s="17"/>
      <c r="AX127" s="17"/>
      <c r="AY127" s="17"/>
      <c r="AZ127" s="17"/>
      <c r="BA127" s="17"/>
      <c r="BB127" s="17"/>
      <c r="BC127" s="17"/>
      <c r="BD127" s="17"/>
      <c r="BE127" s="17"/>
      <c r="BF127" s="34"/>
      <c r="BG127" s="17"/>
      <c r="BH127" s="17"/>
      <c r="BI127" s="17"/>
    </row>
    <row r="128" spans="1:61" ht="22.5" customHeight="1" x14ac:dyDescent="0.25">
      <c r="A128" s="33"/>
      <c r="B128" s="17"/>
      <c r="C128" s="17"/>
      <c r="D128" s="17"/>
      <c r="E128" s="17"/>
      <c r="F128" s="17"/>
      <c r="G128" s="34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17"/>
      <c r="S128" s="17"/>
      <c r="T128" s="17"/>
      <c r="U128" s="17"/>
      <c r="V128" s="17"/>
      <c r="W128" s="17"/>
      <c r="X128" s="17"/>
      <c r="Y128" s="34"/>
      <c r="Z128" s="34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34"/>
      <c r="AT128" s="17"/>
      <c r="AU128" s="17"/>
      <c r="AV128" s="17"/>
      <c r="AW128" s="17"/>
      <c r="AX128" s="17"/>
      <c r="AY128" s="17"/>
      <c r="AZ128" s="17"/>
      <c r="BA128" s="17"/>
      <c r="BB128" s="17"/>
      <c r="BC128" s="17"/>
      <c r="BD128" s="17"/>
      <c r="BE128" s="17"/>
      <c r="BF128" s="34"/>
      <c r="BG128" s="17"/>
      <c r="BH128" s="17"/>
      <c r="BI128" s="17"/>
    </row>
    <row r="129" spans="1:61" ht="22.5" customHeight="1" x14ac:dyDescent="0.25">
      <c r="A129" s="33"/>
      <c r="B129" s="17"/>
      <c r="C129" s="17"/>
      <c r="D129" s="17"/>
      <c r="E129" s="17"/>
      <c r="F129" s="17"/>
      <c r="G129" s="34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17"/>
      <c r="S129" s="17"/>
      <c r="T129" s="17"/>
      <c r="U129" s="17"/>
      <c r="V129" s="17"/>
      <c r="W129" s="17"/>
      <c r="X129" s="17"/>
      <c r="Y129" s="34"/>
      <c r="Z129" s="34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34"/>
      <c r="AT129" s="17"/>
      <c r="AU129" s="17"/>
      <c r="AV129" s="17"/>
      <c r="AW129" s="17"/>
      <c r="AX129" s="17"/>
      <c r="AY129" s="17"/>
      <c r="AZ129" s="17"/>
      <c r="BA129" s="17"/>
      <c r="BB129" s="17"/>
      <c r="BC129" s="17"/>
      <c r="BD129" s="17"/>
      <c r="BE129" s="17"/>
      <c r="BF129" s="34"/>
      <c r="BG129" s="17"/>
      <c r="BH129" s="17"/>
      <c r="BI129" s="17"/>
    </row>
    <row r="130" spans="1:61" ht="22.5" customHeight="1" x14ac:dyDescent="0.25">
      <c r="A130" s="33"/>
      <c r="B130" s="17"/>
      <c r="C130" s="17"/>
      <c r="D130" s="17"/>
      <c r="E130" s="17"/>
      <c r="F130" s="17"/>
      <c r="G130" s="34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17"/>
      <c r="S130" s="17"/>
      <c r="T130" s="17"/>
      <c r="U130" s="17"/>
      <c r="V130" s="17"/>
      <c r="W130" s="17"/>
      <c r="X130" s="17"/>
      <c r="Y130" s="34"/>
      <c r="Z130" s="34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34"/>
      <c r="AT130" s="17"/>
      <c r="AU130" s="17"/>
      <c r="AV130" s="17"/>
      <c r="AW130" s="17"/>
      <c r="AX130" s="17"/>
      <c r="AY130" s="17"/>
      <c r="AZ130" s="17"/>
      <c r="BA130" s="17"/>
      <c r="BB130" s="17"/>
      <c r="BC130" s="17"/>
      <c r="BD130" s="17"/>
      <c r="BE130" s="17"/>
      <c r="BF130" s="34"/>
      <c r="BG130" s="17"/>
      <c r="BH130" s="17"/>
      <c r="BI130" s="17"/>
    </row>
    <row r="131" spans="1:61" ht="22.5" customHeight="1" x14ac:dyDescent="0.25">
      <c r="A131" s="33"/>
      <c r="B131" s="17"/>
      <c r="C131" s="17"/>
      <c r="D131" s="17"/>
      <c r="E131" s="17"/>
      <c r="F131" s="17"/>
      <c r="G131" s="34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17"/>
      <c r="S131" s="17"/>
      <c r="T131" s="17"/>
      <c r="U131" s="17"/>
      <c r="V131" s="17"/>
      <c r="W131" s="17"/>
      <c r="X131" s="17"/>
      <c r="Y131" s="34"/>
      <c r="Z131" s="34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34"/>
      <c r="AT131" s="17"/>
      <c r="AU131" s="17"/>
      <c r="AV131" s="17"/>
      <c r="AW131" s="17"/>
      <c r="AX131" s="17"/>
      <c r="AY131" s="17"/>
      <c r="AZ131" s="17"/>
      <c r="BA131" s="17"/>
      <c r="BB131" s="17"/>
      <c r="BC131" s="17"/>
      <c r="BD131" s="17"/>
      <c r="BE131" s="17"/>
      <c r="BF131" s="34"/>
      <c r="BG131" s="17"/>
      <c r="BH131" s="17"/>
      <c r="BI131" s="17"/>
    </row>
    <row r="132" spans="1:61" ht="22.5" customHeight="1" x14ac:dyDescent="0.25">
      <c r="A132" s="33"/>
      <c r="B132" s="17"/>
      <c r="C132" s="17"/>
      <c r="D132" s="17"/>
      <c r="E132" s="17"/>
      <c r="F132" s="17"/>
      <c r="G132" s="34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17"/>
      <c r="S132" s="17"/>
      <c r="T132" s="17"/>
      <c r="U132" s="17"/>
      <c r="V132" s="17"/>
      <c r="W132" s="17"/>
      <c r="X132" s="17"/>
      <c r="Y132" s="34"/>
      <c r="Z132" s="34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34"/>
      <c r="AT132" s="17"/>
      <c r="AU132" s="17"/>
      <c r="AV132" s="17"/>
      <c r="AW132" s="17"/>
      <c r="AX132" s="17"/>
      <c r="AY132" s="17"/>
      <c r="AZ132" s="17"/>
      <c r="BA132" s="17"/>
      <c r="BB132" s="17"/>
      <c r="BC132" s="17"/>
      <c r="BD132" s="17"/>
      <c r="BE132" s="17"/>
      <c r="BF132" s="34"/>
      <c r="BG132" s="17"/>
      <c r="BH132" s="17"/>
      <c r="BI132" s="17"/>
    </row>
    <row r="133" spans="1:61" ht="22.5" customHeight="1" x14ac:dyDescent="0.25">
      <c r="A133" s="33"/>
      <c r="B133" s="17"/>
      <c r="C133" s="17"/>
      <c r="D133" s="17"/>
      <c r="E133" s="17"/>
      <c r="F133" s="17"/>
      <c r="G133" s="34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17"/>
      <c r="S133" s="17"/>
      <c r="T133" s="17"/>
      <c r="U133" s="17"/>
      <c r="V133" s="17"/>
      <c r="W133" s="17"/>
      <c r="X133" s="17"/>
      <c r="Y133" s="34"/>
      <c r="Z133" s="34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34"/>
      <c r="AT133" s="17"/>
      <c r="AU133" s="17"/>
      <c r="AV133" s="17"/>
      <c r="AW133" s="17"/>
      <c r="AX133" s="17"/>
      <c r="AY133" s="17"/>
      <c r="AZ133" s="17"/>
      <c r="BA133" s="17"/>
      <c r="BB133" s="17"/>
      <c r="BC133" s="17"/>
      <c r="BD133" s="17"/>
      <c r="BE133" s="17"/>
      <c r="BF133" s="34"/>
      <c r="BG133" s="17"/>
      <c r="BH133" s="17"/>
      <c r="BI133" s="17"/>
    </row>
    <row r="134" spans="1:61" ht="22.5" customHeight="1" x14ac:dyDescent="0.25">
      <c r="A134" s="33"/>
      <c r="B134" s="17"/>
      <c r="C134" s="17"/>
      <c r="D134" s="17"/>
      <c r="E134" s="17"/>
      <c r="F134" s="17"/>
      <c r="G134" s="34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17"/>
      <c r="S134" s="17"/>
      <c r="T134" s="17"/>
      <c r="U134" s="17"/>
      <c r="V134" s="17"/>
      <c r="W134" s="17"/>
      <c r="X134" s="17"/>
      <c r="Y134" s="34"/>
      <c r="Z134" s="34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34"/>
      <c r="AT134" s="17"/>
      <c r="AU134" s="17"/>
      <c r="AV134" s="17"/>
      <c r="AW134" s="17"/>
      <c r="AX134" s="17"/>
      <c r="AY134" s="17"/>
      <c r="AZ134" s="17"/>
      <c r="BA134" s="17"/>
      <c r="BB134" s="17"/>
      <c r="BC134" s="17"/>
      <c r="BD134" s="17"/>
      <c r="BE134" s="17"/>
      <c r="BF134" s="34"/>
      <c r="BG134" s="17"/>
      <c r="BH134" s="17"/>
      <c r="BI134" s="17"/>
    </row>
    <row r="135" spans="1:61" ht="22.5" customHeight="1" x14ac:dyDescent="0.25">
      <c r="A135" s="33"/>
      <c r="B135" s="17"/>
      <c r="C135" s="17"/>
      <c r="D135" s="17"/>
      <c r="E135" s="17"/>
      <c r="F135" s="17"/>
      <c r="G135" s="34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17"/>
      <c r="S135" s="17"/>
      <c r="T135" s="17"/>
      <c r="U135" s="17"/>
      <c r="V135" s="17"/>
      <c r="W135" s="17"/>
      <c r="X135" s="17"/>
      <c r="Y135" s="34"/>
      <c r="Z135" s="34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34"/>
      <c r="AT135" s="17"/>
      <c r="AU135" s="17"/>
      <c r="AV135" s="17"/>
      <c r="AW135" s="17"/>
      <c r="AX135" s="17"/>
      <c r="AY135" s="17"/>
      <c r="AZ135" s="17"/>
      <c r="BA135" s="17"/>
      <c r="BB135" s="17"/>
      <c r="BC135" s="17"/>
      <c r="BD135" s="17"/>
      <c r="BE135" s="17"/>
      <c r="BF135" s="34"/>
      <c r="BG135" s="17"/>
      <c r="BH135" s="17"/>
      <c r="BI135" s="17"/>
    </row>
    <row r="136" spans="1:61" ht="22.5" customHeight="1" x14ac:dyDescent="0.25">
      <c r="A136" s="33"/>
      <c r="B136" s="17"/>
      <c r="C136" s="17"/>
      <c r="D136" s="17"/>
      <c r="E136" s="17"/>
      <c r="F136" s="17"/>
      <c r="G136" s="34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17"/>
      <c r="S136" s="17"/>
      <c r="T136" s="17"/>
      <c r="U136" s="17"/>
      <c r="V136" s="17"/>
      <c r="W136" s="17"/>
      <c r="X136" s="17"/>
      <c r="Y136" s="34"/>
      <c r="Z136" s="34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34"/>
      <c r="AT136" s="17"/>
      <c r="AU136" s="17"/>
      <c r="AV136" s="17"/>
      <c r="AW136" s="17"/>
      <c r="AX136" s="17"/>
      <c r="AY136" s="17"/>
      <c r="AZ136" s="17"/>
      <c r="BA136" s="17"/>
      <c r="BB136" s="17"/>
      <c r="BC136" s="17"/>
      <c r="BD136" s="17"/>
      <c r="BE136" s="17"/>
      <c r="BF136" s="34"/>
      <c r="BG136" s="17"/>
      <c r="BH136" s="17"/>
      <c r="BI136" s="17"/>
    </row>
    <row r="137" spans="1:61" ht="22.5" customHeight="1" x14ac:dyDescent="0.25">
      <c r="A137" s="33"/>
      <c r="B137" s="17"/>
      <c r="C137" s="17"/>
      <c r="D137" s="17"/>
      <c r="E137" s="17"/>
      <c r="F137" s="17"/>
      <c r="G137" s="34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17"/>
      <c r="S137" s="17"/>
      <c r="T137" s="17"/>
      <c r="U137" s="17"/>
      <c r="V137" s="17"/>
      <c r="W137" s="17"/>
      <c r="X137" s="17"/>
      <c r="Y137" s="34"/>
      <c r="Z137" s="34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34"/>
      <c r="AT137" s="17"/>
      <c r="AU137" s="17"/>
      <c r="AV137" s="17"/>
      <c r="AW137" s="17"/>
      <c r="AX137" s="17"/>
      <c r="AY137" s="17"/>
      <c r="AZ137" s="17"/>
      <c r="BA137" s="17"/>
      <c r="BB137" s="17"/>
      <c r="BC137" s="17"/>
      <c r="BD137" s="17"/>
      <c r="BE137" s="17"/>
      <c r="BF137" s="34"/>
      <c r="BG137" s="17"/>
      <c r="BH137" s="17"/>
      <c r="BI137" s="17"/>
    </row>
    <row r="138" spans="1:61" ht="22.5" customHeight="1" x14ac:dyDescent="0.25">
      <c r="A138" s="33"/>
      <c r="B138" s="17"/>
      <c r="C138" s="17"/>
      <c r="D138" s="17"/>
      <c r="E138" s="17"/>
      <c r="F138" s="17"/>
      <c r="G138" s="34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17"/>
      <c r="S138" s="17"/>
      <c r="T138" s="17"/>
      <c r="U138" s="17"/>
      <c r="V138" s="17"/>
      <c r="W138" s="17"/>
      <c r="X138" s="17"/>
      <c r="Y138" s="34"/>
      <c r="Z138" s="34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34"/>
      <c r="AT138" s="17"/>
      <c r="AU138" s="17"/>
      <c r="AV138" s="17"/>
      <c r="AW138" s="17"/>
      <c r="AX138" s="17"/>
      <c r="AY138" s="17"/>
      <c r="AZ138" s="17"/>
      <c r="BA138" s="17"/>
      <c r="BB138" s="17"/>
      <c r="BC138" s="17"/>
      <c r="BD138" s="17"/>
      <c r="BE138" s="17"/>
      <c r="BF138" s="34"/>
      <c r="BG138" s="17"/>
      <c r="BH138" s="17"/>
      <c r="BI138" s="17"/>
    </row>
    <row r="139" spans="1:61" ht="22.5" customHeight="1" x14ac:dyDescent="0.25">
      <c r="A139" s="33"/>
      <c r="B139" s="17"/>
      <c r="C139" s="17"/>
      <c r="D139" s="17"/>
      <c r="E139" s="17"/>
      <c r="F139" s="17"/>
      <c r="G139" s="34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17"/>
      <c r="S139" s="17"/>
      <c r="T139" s="17"/>
      <c r="U139" s="17"/>
      <c r="V139" s="17"/>
      <c r="W139" s="17"/>
      <c r="X139" s="17"/>
      <c r="Y139" s="34"/>
      <c r="Z139" s="34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34"/>
      <c r="AT139" s="17"/>
      <c r="AU139" s="17"/>
      <c r="AV139" s="17"/>
      <c r="AW139" s="17"/>
      <c r="AX139" s="17"/>
      <c r="AY139" s="17"/>
      <c r="AZ139" s="17"/>
      <c r="BA139" s="17"/>
      <c r="BB139" s="17"/>
      <c r="BC139" s="17"/>
      <c r="BD139" s="17"/>
      <c r="BE139" s="17"/>
      <c r="BF139" s="34"/>
      <c r="BG139" s="17"/>
      <c r="BH139" s="17"/>
      <c r="BI139" s="17"/>
    </row>
    <row r="140" spans="1:61" ht="22.5" customHeight="1" x14ac:dyDescent="0.25">
      <c r="A140" s="33"/>
      <c r="B140" s="17"/>
      <c r="C140" s="17"/>
      <c r="D140" s="17"/>
      <c r="E140" s="17"/>
      <c r="F140" s="17"/>
      <c r="G140" s="34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17"/>
      <c r="S140" s="17"/>
      <c r="T140" s="17"/>
      <c r="U140" s="17"/>
      <c r="V140" s="17"/>
      <c r="W140" s="17"/>
      <c r="X140" s="17"/>
      <c r="Y140" s="34"/>
      <c r="Z140" s="34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34"/>
      <c r="AT140" s="17"/>
      <c r="AU140" s="17"/>
      <c r="AV140" s="17"/>
      <c r="AW140" s="17"/>
      <c r="AX140" s="17"/>
      <c r="AY140" s="17"/>
      <c r="AZ140" s="17"/>
      <c r="BA140" s="17"/>
      <c r="BB140" s="17"/>
      <c r="BC140" s="17"/>
      <c r="BD140" s="17"/>
      <c r="BE140" s="17"/>
      <c r="BF140" s="34"/>
      <c r="BG140" s="17"/>
      <c r="BH140" s="17"/>
      <c r="BI140" s="17"/>
    </row>
    <row r="141" spans="1:61" ht="22.5" customHeight="1" x14ac:dyDescent="0.25">
      <c r="A141" s="33"/>
      <c r="B141" s="17"/>
      <c r="C141" s="17"/>
      <c r="D141" s="17"/>
      <c r="E141" s="17"/>
      <c r="F141" s="17"/>
      <c r="G141" s="34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17"/>
      <c r="S141" s="17"/>
      <c r="T141" s="17"/>
      <c r="U141" s="17"/>
      <c r="V141" s="17"/>
      <c r="W141" s="17"/>
      <c r="X141" s="17"/>
      <c r="Y141" s="34"/>
      <c r="Z141" s="34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34"/>
      <c r="AT141" s="17"/>
      <c r="AU141" s="17"/>
      <c r="AV141" s="17"/>
      <c r="AW141" s="17"/>
      <c r="AX141" s="17"/>
      <c r="AY141" s="17"/>
      <c r="AZ141" s="17"/>
      <c r="BA141" s="17"/>
      <c r="BB141" s="17"/>
      <c r="BC141" s="17"/>
      <c r="BD141" s="17"/>
      <c r="BE141" s="17"/>
      <c r="BF141" s="34"/>
      <c r="BG141" s="17"/>
      <c r="BH141" s="17"/>
      <c r="BI141" s="17"/>
    </row>
    <row r="142" spans="1:61" ht="22.5" customHeight="1" x14ac:dyDescent="0.25">
      <c r="A142" s="33"/>
      <c r="B142" s="17"/>
      <c r="C142" s="17"/>
      <c r="D142" s="17"/>
      <c r="E142" s="17"/>
      <c r="F142" s="17"/>
      <c r="G142" s="34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17"/>
      <c r="S142" s="17"/>
      <c r="T142" s="17"/>
      <c r="U142" s="17"/>
      <c r="V142" s="17"/>
      <c r="W142" s="17"/>
      <c r="X142" s="17"/>
      <c r="Y142" s="34"/>
      <c r="Z142" s="34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34"/>
      <c r="AT142" s="17"/>
      <c r="AU142" s="17"/>
      <c r="AV142" s="17"/>
      <c r="AW142" s="17"/>
      <c r="AX142" s="17"/>
      <c r="AY142" s="17"/>
      <c r="AZ142" s="17"/>
      <c r="BA142" s="17"/>
      <c r="BB142" s="17"/>
      <c r="BC142" s="17"/>
      <c r="BD142" s="17"/>
      <c r="BE142" s="17"/>
      <c r="BF142" s="34"/>
      <c r="BG142" s="17"/>
      <c r="BH142" s="17"/>
      <c r="BI142" s="17"/>
    </row>
    <row r="143" spans="1:61" ht="22.5" customHeight="1" x14ac:dyDescent="0.25">
      <c r="A143" s="33"/>
      <c r="B143" s="17"/>
      <c r="C143" s="17"/>
      <c r="D143" s="17"/>
      <c r="E143" s="17"/>
      <c r="F143" s="17"/>
      <c r="G143" s="34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17"/>
      <c r="S143" s="17"/>
      <c r="T143" s="17"/>
      <c r="U143" s="17"/>
      <c r="V143" s="17"/>
      <c r="W143" s="17"/>
      <c r="X143" s="17"/>
      <c r="Y143" s="34"/>
      <c r="Z143" s="34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34"/>
      <c r="AT143" s="17"/>
      <c r="AU143" s="17"/>
      <c r="AV143" s="17"/>
      <c r="AW143" s="17"/>
      <c r="AX143" s="17"/>
      <c r="AY143" s="17"/>
      <c r="AZ143" s="17"/>
      <c r="BA143" s="17"/>
      <c r="BB143" s="17"/>
      <c r="BC143" s="17"/>
      <c r="BD143" s="17"/>
      <c r="BE143" s="17"/>
      <c r="BF143" s="34"/>
      <c r="BG143" s="17"/>
      <c r="BH143" s="17"/>
      <c r="BI143" s="17"/>
    </row>
    <row r="144" spans="1:61" ht="22.5" customHeight="1" x14ac:dyDescent="0.25">
      <c r="A144" s="33"/>
      <c r="B144" s="17"/>
      <c r="C144" s="17"/>
      <c r="D144" s="17"/>
      <c r="E144" s="17"/>
      <c r="F144" s="17"/>
      <c r="G144" s="34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17"/>
      <c r="S144" s="17"/>
      <c r="T144" s="17"/>
      <c r="U144" s="17"/>
      <c r="V144" s="17"/>
      <c r="W144" s="17"/>
      <c r="X144" s="17"/>
      <c r="Y144" s="34"/>
      <c r="Z144" s="34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34"/>
      <c r="AT144" s="17"/>
      <c r="AU144" s="17"/>
      <c r="AV144" s="17"/>
      <c r="AW144" s="17"/>
      <c r="AX144" s="17"/>
      <c r="AY144" s="17"/>
      <c r="AZ144" s="17"/>
      <c r="BA144" s="17"/>
      <c r="BB144" s="17"/>
      <c r="BC144" s="17"/>
      <c r="BD144" s="17"/>
      <c r="BE144" s="17"/>
      <c r="BF144" s="34"/>
      <c r="BG144" s="17"/>
      <c r="BH144" s="17"/>
      <c r="BI144" s="17"/>
    </row>
    <row r="145" spans="1:61" ht="22.5" customHeight="1" x14ac:dyDescent="0.25">
      <c r="A145" s="33"/>
      <c r="B145" s="17"/>
      <c r="C145" s="17"/>
      <c r="D145" s="17"/>
      <c r="E145" s="17"/>
      <c r="F145" s="17"/>
      <c r="G145" s="34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17"/>
      <c r="S145" s="17"/>
      <c r="T145" s="17"/>
      <c r="U145" s="17"/>
      <c r="V145" s="17"/>
      <c r="W145" s="17"/>
      <c r="X145" s="17"/>
      <c r="Y145" s="34"/>
      <c r="Z145" s="34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34"/>
      <c r="AT145" s="17"/>
      <c r="AU145" s="17"/>
      <c r="AV145" s="17"/>
      <c r="AW145" s="17"/>
      <c r="AX145" s="17"/>
      <c r="AY145" s="17"/>
      <c r="AZ145" s="17"/>
      <c r="BA145" s="17"/>
      <c r="BB145" s="17"/>
      <c r="BC145" s="17"/>
      <c r="BD145" s="17"/>
      <c r="BE145" s="17"/>
      <c r="BF145" s="34"/>
      <c r="BG145" s="17"/>
      <c r="BH145" s="17"/>
      <c r="BI145" s="17"/>
    </row>
    <row r="146" spans="1:61" ht="22.5" customHeight="1" x14ac:dyDescent="0.25">
      <c r="A146" s="33"/>
      <c r="B146" s="17"/>
      <c r="C146" s="17"/>
      <c r="D146" s="17"/>
      <c r="E146" s="17"/>
      <c r="F146" s="17"/>
      <c r="G146" s="34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17"/>
      <c r="S146" s="17"/>
      <c r="T146" s="17"/>
      <c r="U146" s="17"/>
      <c r="V146" s="17"/>
      <c r="W146" s="17"/>
      <c r="X146" s="17"/>
      <c r="Y146" s="34"/>
      <c r="Z146" s="34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34"/>
      <c r="AT146" s="17"/>
      <c r="AU146" s="17"/>
      <c r="AV146" s="17"/>
      <c r="AW146" s="17"/>
      <c r="AX146" s="17"/>
      <c r="AY146" s="17"/>
      <c r="AZ146" s="17"/>
      <c r="BA146" s="17"/>
      <c r="BB146" s="17"/>
      <c r="BC146" s="17"/>
      <c r="BD146" s="17"/>
      <c r="BE146" s="17"/>
      <c r="BF146" s="34"/>
      <c r="BG146" s="17"/>
      <c r="BH146" s="17"/>
      <c r="BI146" s="17"/>
    </row>
    <row r="147" spans="1:61" ht="22.5" customHeight="1" x14ac:dyDescent="0.25">
      <c r="A147" s="33"/>
      <c r="B147" s="17"/>
      <c r="C147" s="17"/>
      <c r="D147" s="17"/>
      <c r="E147" s="17"/>
      <c r="F147" s="17"/>
      <c r="G147" s="34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17"/>
      <c r="S147" s="17"/>
      <c r="T147" s="17"/>
      <c r="U147" s="17"/>
      <c r="V147" s="17"/>
      <c r="W147" s="17"/>
      <c r="X147" s="17"/>
      <c r="Y147" s="34"/>
      <c r="Z147" s="34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34"/>
      <c r="AT147" s="17"/>
      <c r="AU147" s="17"/>
      <c r="AV147" s="17"/>
      <c r="AW147" s="17"/>
      <c r="AX147" s="17"/>
      <c r="AY147" s="17"/>
      <c r="AZ147" s="17"/>
      <c r="BA147" s="17"/>
      <c r="BB147" s="17"/>
      <c r="BC147" s="17"/>
      <c r="BD147" s="17"/>
      <c r="BE147" s="17"/>
      <c r="BF147" s="34"/>
      <c r="BG147" s="17"/>
      <c r="BH147" s="17"/>
      <c r="BI147" s="17"/>
    </row>
    <row r="148" spans="1:61" ht="22.5" customHeight="1" x14ac:dyDescent="0.25">
      <c r="A148" s="33"/>
      <c r="B148" s="17"/>
      <c r="C148" s="17"/>
      <c r="D148" s="17"/>
      <c r="E148" s="17"/>
      <c r="F148" s="17"/>
      <c r="G148" s="34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17"/>
      <c r="S148" s="17"/>
      <c r="T148" s="17"/>
      <c r="U148" s="17"/>
      <c r="V148" s="17"/>
      <c r="W148" s="17"/>
      <c r="X148" s="17"/>
      <c r="Y148" s="34"/>
      <c r="Z148" s="34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34"/>
      <c r="AT148" s="17"/>
      <c r="AU148" s="17"/>
      <c r="AV148" s="17"/>
      <c r="AW148" s="17"/>
      <c r="AX148" s="17"/>
      <c r="AY148" s="17"/>
      <c r="AZ148" s="17"/>
      <c r="BA148" s="17"/>
      <c r="BB148" s="17"/>
      <c r="BC148" s="17"/>
      <c r="BD148" s="17"/>
      <c r="BE148" s="17"/>
      <c r="BF148" s="34"/>
      <c r="BG148" s="17"/>
      <c r="BH148" s="17"/>
      <c r="BI148" s="17"/>
    </row>
    <row r="149" spans="1:61" ht="22.5" customHeight="1" x14ac:dyDescent="0.25">
      <c r="A149" s="39"/>
      <c r="B149" s="18"/>
      <c r="C149" s="18"/>
      <c r="D149" s="18"/>
      <c r="E149" s="18"/>
      <c r="F149" s="18"/>
      <c r="G149" s="40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18"/>
      <c r="S149" s="18"/>
      <c r="T149" s="17"/>
      <c r="U149" s="18"/>
      <c r="V149" s="18"/>
      <c r="W149" s="18"/>
      <c r="X149" s="18"/>
      <c r="Y149" s="40"/>
      <c r="Z149" s="42"/>
      <c r="AA149" s="18"/>
      <c r="AB149" s="18"/>
      <c r="AC149" s="18"/>
      <c r="AD149" s="18"/>
      <c r="AE149" s="18"/>
      <c r="AF149" s="18"/>
      <c r="AG149" s="18"/>
      <c r="AH149" s="18"/>
      <c r="AI149" s="18"/>
      <c r="AJ149" s="18"/>
      <c r="AK149" s="18"/>
      <c r="AL149" s="18"/>
      <c r="AM149" s="18"/>
      <c r="AN149" s="18"/>
      <c r="AO149" s="18"/>
      <c r="AP149" s="18"/>
      <c r="AQ149" s="18"/>
      <c r="AR149" s="18"/>
      <c r="AS149" s="42"/>
      <c r="AT149" s="18"/>
      <c r="AU149" s="18"/>
      <c r="AV149" s="18"/>
      <c r="AW149" s="18"/>
      <c r="AX149" s="18"/>
      <c r="AY149" s="18"/>
      <c r="AZ149" s="18"/>
      <c r="BA149" s="18"/>
      <c r="BB149" s="18"/>
      <c r="BC149" s="18"/>
      <c r="BD149" s="18"/>
      <c r="BE149" s="18"/>
      <c r="BF149" s="42"/>
      <c r="BG149" s="18"/>
      <c r="BH149" s="18"/>
      <c r="BI149" s="18"/>
    </row>
    <row r="150" spans="1:61" ht="22.5" customHeight="1" x14ac:dyDescent="0.25">
      <c r="A150" s="43"/>
      <c r="B150" s="19"/>
      <c r="C150" s="19"/>
      <c r="D150" s="19"/>
      <c r="E150" s="19"/>
      <c r="F150" s="19"/>
      <c r="G150" s="44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19"/>
      <c r="S150" s="19"/>
      <c r="T150" s="17"/>
      <c r="U150" s="19"/>
      <c r="V150" s="19"/>
      <c r="W150" s="19"/>
      <c r="X150" s="19"/>
      <c r="Y150" s="44"/>
      <c r="Z150" s="44"/>
      <c r="AA150" s="19"/>
      <c r="AB150" s="19"/>
      <c r="AC150" s="19"/>
      <c r="AD150" s="19"/>
      <c r="AE150" s="19"/>
      <c r="AF150" s="19"/>
      <c r="AG150" s="19"/>
      <c r="AH150" s="19"/>
      <c r="AI150" s="19"/>
      <c r="AJ150" s="19"/>
      <c r="AK150" s="19"/>
      <c r="AL150" s="19"/>
      <c r="AM150" s="19"/>
      <c r="AN150" s="19"/>
      <c r="AO150" s="19"/>
      <c r="AP150" s="19"/>
      <c r="AQ150" s="19"/>
      <c r="AR150" s="19"/>
      <c r="AS150" s="44"/>
      <c r="AT150" s="19"/>
      <c r="AU150" s="19"/>
      <c r="AV150" s="19"/>
      <c r="AW150" s="19"/>
      <c r="AX150" s="19"/>
      <c r="AY150" s="19"/>
      <c r="AZ150" s="19"/>
      <c r="BA150" s="19"/>
      <c r="BB150" s="19"/>
      <c r="BC150" s="19"/>
      <c r="BD150" s="19"/>
      <c r="BE150" s="19"/>
      <c r="BF150" s="44"/>
      <c r="BG150" s="19"/>
      <c r="BH150" s="19"/>
      <c r="BI150" s="19"/>
    </row>
    <row r="151" spans="1:61" ht="22.5" customHeight="1" x14ac:dyDescent="0.25">
      <c r="A151" s="43"/>
      <c r="B151" s="19"/>
      <c r="C151" s="19"/>
      <c r="D151" s="19"/>
      <c r="E151" s="19"/>
      <c r="F151" s="19"/>
      <c r="G151" s="44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19"/>
      <c r="S151" s="19"/>
      <c r="T151" s="17"/>
      <c r="U151" s="19"/>
      <c r="V151" s="19"/>
      <c r="W151" s="19"/>
      <c r="X151" s="19"/>
      <c r="Y151" s="44"/>
      <c r="Z151" s="44"/>
      <c r="AA151" s="19"/>
      <c r="AB151" s="19"/>
      <c r="AC151" s="19"/>
      <c r="AD151" s="19"/>
      <c r="AE151" s="19"/>
      <c r="AF151" s="19"/>
      <c r="AG151" s="19"/>
      <c r="AH151" s="19"/>
      <c r="AI151" s="19"/>
      <c r="AJ151" s="19"/>
      <c r="AK151" s="19"/>
      <c r="AL151" s="19"/>
      <c r="AM151" s="19"/>
      <c r="AN151" s="19"/>
      <c r="AO151" s="19"/>
      <c r="AP151" s="19"/>
      <c r="AQ151" s="19"/>
      <c r="AR151" s="19"/>
      <c r="AS151" s="44"/>
      <c r="AT151" s="19"/>
      <c r="AU151" s="19"/>
      <c r="AV151" s="19"/>
      <c r="AW151" s="19"/>
      <c r="AX151" s="19"/>
      <c r="AY151" s="19"/>
      <c r="AZ151" s="19"/>
      <c r="BA151" s="19"/>
      <c r="BB151" s="19"/>
      <c r="BC151" s="19"/>
      <c r="BD151" s="19"/>
      <c r="BE151" s="19"/>
      <c r="BF151" s="44"/>
      <c r="BG151" s="19"/>
      <c r="BH151" s="19"/>
      <c r="BI151" s="19"/>
    </row>
    <row r="152" spans="1:61" ht="22.5" customHeight="1" x14ac:dyDescent="0.25">
      <c r="A152" s="33"/>
      <c r="B152" s="17"/>
      <c r="C152" s="17"/>
      <c r="D152" s="17"/>
      <c r="E152" s="17"/>
      <c r="F152" s="17"/>
      <c r="G152" s="34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17"/>
      <c r="S152" s="17"/>
      <c r="T152" s="17"/>
      <c r="U152" s="17"/>
      <c r="V152" s="17"/>
      <c r="W152" s="17"/>
      <c r="X152" s="17"/>
      <c r="Y152" s="34"/>
      <c r="Z152" s="34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34"/>
      <c r="AT152" s="17"/>
      <c r="AU152" s="17"/>
      <c r="AV152" s="17"/>
      <c r="AW152" s="17"/>
      <c r="AX152" s="17"/>
      <c r="AY152" s="17"/>
      <c r="AZ152" s="17"/>
      <c r="BA152" s="17"/>
      <c r="BB152" s="17"/>
      <c r="BC152" s="17"/>
      <c r="BD152" s="17"/>
      <c r="BE152" s="17"/>
      <c r="BF152" s="34"/>
      <c r="BG152" s="17"/>
      <c r="BH152" s="17"/>
      <c r="BI152" s="17"/>
    </row>
    <row r="153" spans="1:61" ht="22.5" customHeight="1" x14ac:dyDescent="0.25">
      <c r="A153" s="33"/>
      <c r="B153" s="17"/>
      <c r="C153" s="17"/>
      <c r="D153" s="17"/>
      <c r="E153" s="17"/>
      <c r="F153" s="17"/>
      <c r="G153" s="34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17"/>
      <c r="S153" s="17"/>
      <c r="T153" s="17"/>
      <c r="U153" s="17"/>
      <c r="V153" s="17"/>
      <c r="W153" s="17"/>
      <c r="X153" s="17"/>
      <c r="Y153" s="34"/>
      <c r="Z153" s="34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34"/>
      <c r="AT153" s="17"/>
      <c r="AU153" s="17"/>
      <c r="AV153" s="17"/>
      <c r="AW153" s="17"/>
      <c r="AX153" s="17"/>
      <c r="AY153" s="17"/>
      <c r="AZ153" s="17"/>
      <c r="BA153" s="17"/>
      <c r="BB153" s="17"/>
      <c r="BC153" s="17"/>
      <c r="BD153" s="17"/>
      <c r="BE153" s="17"/>
      <c r="BF153" s="34"/>
      <c r="BG153" s="17"/>
      <c r="BH153" s="17"/>
      <c r="BI153" s="17"/>
    </row>
    <row r="154" spans="1:61" ht="22.5" customHeight="1" x14ac:dyDescent="0.25">
      <c r="A154" s="33"/>
      <c r="B154" s="17"/>
      <c r="C154" s="17"/>
      <c r="D154" s="17"/>
      <c r="E154" s="17"/>
      <c r="F154" s="17"/>
      <c r="G154" s="34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17"/>
      <c r="S154" s="17"/>
      <c r="T154" s="17"/>
      <c r="U154" s="17"/>
      <c r="V154" s="17"/>
      <c r="W154" s="17"/>
      <c r="X154" s="17"/>
      <c r="Y154" s="34"/>
      <c r="Z154" s="34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34"/>
      <c r="AT154" s="17"/>
      <c r="AU154" s="17"/>
      <c r="AV154" s="17"/>
      <c r="AW154" s="17"/>
      <c r="AX154" s="17"/>
      <c r="AY154" s="17"/>
      <c r="AZ154" s="17"/>
      <c r="BA154" s="17"/>
      <c r="BB154" s="17"/>
      <c r="BC154" s="17"/>
      <c r="BD154" s="17"/>
      <c r="BE154" s="17"/>
      <c r="BF154" s="34"/>
      <c r="BG154" s="17"/>
      <c r="BH154" s="17"/>
      <c r="BI154" s="17"/>
    </row>
    <row r="155" spans="1:61" ht="22.5" customHeight="1" x14ac:dyDescent="0.25">
      <c r="A155" s="33"/>
      <c r="B155" s="17"/>
      <c r="C155" s="17"/>
      <c r="D155" s="17"/>
      <c r="E155" s="17"/>
      <c r="F155" s="17"/>
      <c r="G155" s="34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17"/>
      <c r="S155" s="17"/>
      <c r="T155" s="17"/>
      <c r="U155" s="17"/>
      <c r="V155" s="17"/>
      <c r="W155" s="17"/>
      <c r="X155" s="17"/>
      <c r="Y155" s="34"/>
      <c r="Z155" s="34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34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34"/>
      <c r="BG155" s="17"/>
      <c r="BH155" s="17"/>
      <c r="BI155" s="17"/>
    </row>
    <row r="156" spans="1:61" ht="22.5" customHeight="1" x14ac:dyDescent="0.25">
      <c r="A156" s="33"/>
      <c r="B156" s="17"/>
      <c r="C156" s="17"/>
      <c r="D156" s="17"/>
      <c r="E156" s="17"/>
      <c r="F156" s="17"/>
      <c r="G156" s="34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17"/>
      <c r="S156" s="17"/>
      <c r="T156" s="17"/>
      <c r="U156" s="17"/>
      <c r="V156" s="17"/>
      <c r="W156" s="17"/>
      <c r="X156" s="17"/>
      <c r="Y156" s="34"/>
      <c r="Z156" s="34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34"/>
      <c r="AT156" s="17"/>
      <c r="AU156" s="17"/>
      <c r="AV156" s="17"/>
      <c r="AW156" s="17"/>
      <c r="AX156" s="17"/>
      <c r="AY156" s="17"/>
      <c r="AZ156" s="17"/>
      <c r="BA156" s="17"/>
      <c r="BB156" s="17"/>
      <c r="BC156" s="17"/>
      <c r="BD156" s="17"/>
      <c r="BE156" s="17"/>
      <c r="BF156" s="34"/>
      <c r="BG156" s="17"/>
      <c r="BH156" s="17"/>
      <c r="BI156" s="17"/>
    </row>
    <row r="157" spans="1:61" ht="22.5" customHeight="1" x14ac:dyDescent="0.25">
      <c r="A157" s="33"/>
      <c r="B157" s="17"/>
      <c r="C157" s="17"/>
      <c r="D157" s="17"/>
      <c r="E157" s="17"/>
      <c r="F157" s="17"/>
      <c r="G157" s="34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17"/>
      <c r="S157" s="17"/>
      <c r="T157" s="17"/>
      <c r="U157" s="17"/>
      <c r="V157" s="17"/>
      <c r="W157" s="17"/>
      <c r="X157" s="17"/>
      <c r="Y157" s="34"/>
      <c r="Z157" s="34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34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34"/>
      <c r="BG157" s="17"/>
      <c r="BH157" s="17"/>
      <c r="BI157" s="17"/>
    </row>
    <row r="158" spans="1:61" ht="22.5" customHeight="1" x14ac:dyDescent="0.25">
      <c r="A158" s="33"/>
      <c r="B158" s="17"/>
      <c r="C158" s="17"/>
      <c r="D158" s="17"/>
      <c r="E158" s="17"/>
      <c r="F158" s="17"/>
      <c r="G158" s="34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17"/>
      <c r="S158" s="17"/>
      <c r="T158" s="17"/>
      <c r="U158" s="17"/>
      <c r="V158" s="17"/>
      <c r="W158" s="17"/>
      <c r="X158" s="17"/>
      <c r="Y158" s="34"/>
      <c r="Z158" s="34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34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34"/>
      <c r="BG158" s="17"/>
      <c r="BH158" s="17"/>
      <c r="BI158" s="17"/>
    </row>
    <row r="159" spans="1:61" ht="22.5" customHeight="1" x14ac:dyDescent="0.25">
      <c r="A159" s="33"/>
      <c r="B159" s="17"/>
      <c r="C159" s="17"/>
      <c r="D159" s="17"/>
      <c r="E159" s="17"/>
      <c r="F159" s="17"/>
      <c r="G159" s="34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17"/>
      <c r="S159" s="17"/>
      <c r="T159" s="17"/>
      <c r="U159" s="17"/>
      <c r="V159" s="17"/>
      <c r="W159" s="17"/>
      <c r="X159" s="17"/>
      <c r="Y159" s="34"/>
      <c r="Z159" s="34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34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34"/>
      <c r="BG159" s="17"/>
      <c r="BH159" s="17"/>
      <c r="BI159" s="17"/>
    </row>
    <row r="160" spans="1:61" ht="22.5" customHeight="1" x14ac:dyDescent="0.25">
      <c r="A160" s="33"/>
      <c r="B160" s="17"/>
      <c r="C160" s="17"/>
      <c r="D160" s="17"/>
      <c r="E160" s="17"/>
      <c r="F160" s="17"/>
      <c r="G160" s="34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17"/>
      <c r="S160" s="17"/>
      <c r="T160" s="17"/>
      <c r="U160" s="17"/>
      <c r="V160" s="17"/>
      <c r="W160" s="17"/>
      <c r="X160" s="17"/>
      <c r="Y160" s="34"/>
      <c r="Z160" s="34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34"/>
      <c r="AT160" s="17"/>
      <c r="AU160" s="17"/>
      <c r="AV160" s="17"/>
      <c r="AW160" s="17"/>
      <c r="AX160" s="17"/>
      <c r="AY160" s="17"/>
      <c r="AZ160" s="17"/>
      <c r="BA160" s="17"/>
      <c r="BB160" s="17"/>
      <c r="BC160" s="17"/>
      <c r="BD160" s="17"/>
      <c r="BE160" s="17"/>
      <c r="BF160" s="34"/>
      <c r="BG160" s="17"/>
      <c r="BH160" s="17"/>
      <c r="BI160" s="17"/>
    </row>
    <row r="161" spans="1:61" ht="22.5" customHeight="1" x14ac:dyDescent="0.25">
      <c r="A161" s="33"/>
      <c r="B161" s="17"/>
      <c r="C161" s="17"/>
      <c r="D161" s="17"/>
      <c r="E161" s="17"/>
      <c r="F161" s="17"/>
      <c r="G161" s="34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17"/>
      <c r="S161" s="17"/>
      <c r="T161" s="17"/>
      <c r="U161" s="17"/>
      <c r="V161" s="17"/>
      <c r="W161" s="17"/>
      <c r="X161" s="17"/>
      <c r="Y161" s="34"/>
      <c r="Z161" s="34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34"/>
      <c r="AT161" s="17"/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  <c r="BE161" s="17"/>
      <c r="BF161" s="34"/>
      <c r="BG161" s="17"/>
      <c r="BH161" s="17"/>
      <c r="BI161" s="17"/>
    </row>
    <row r="162" spans="1:61" ht="22.5" customHeight="1" x14ac:dyDescent="0.25">
      <c r="A162" s="33"/>
      <c r="B162" s="17"/>
      <c r="C162" s="17"/>
      <c r="D162" s="17"/>
      <c r="E162" s="17"/>
      <c r="F162" s="17"/>
      <c r="G162" s="34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17"/>
      <c r="S162" s="17"/>
      <c r="T162" s="17"/>
      <c r="U162" s="17"/>
      <c r="V162" s="17"/>
      <c r="W162" s="17"/>
      <c r="X162" s="17"/>
      <c r="Y162" s="34"/>
      <c r="Z162" s="34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34"/>
      <c r="AT162" s="17"/>
      <c r="AU162" s="17"/>
      <c r="AV162" s="17"/>
      <c r="AW162" s="17"/>
      <c r="AX162" s="17"/>
      <c r="AY162" s="17"/>
      <c r="AZ162" s="17"/>
      <c r="BA162" s="17"/>
      <c r="BB162" s="17"/>
      <c r="BC162" s="17"/>
      <c r="BD162" s="17"/>
      <c r="BE162" s="17"/>
      <c r="BF162" s="34"/>
      <c r="BG162" s="17"/>
      <c r="BH162" s="17"/>
      <c r="BI162" s="17"/>
    </row>
    <row r="163" spans="1:61" ht="22.5" customHeight="1" x14ac:dyDescent="0.25">
      <c r="A163" s="33"/>
      <c r="B163" s="17"/>
      <c r="C163" s="17"/>
      <c r="D163" s="17"/>
      <c r="E163" s="17"/>
      <c r="F163" s="17"/>
      <c r="G163" s="34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17"/>
      <c r="S163" s="17"/>
      <c r="T163" s="17"/>
      <c r="U163" s="17"/>
      <c r="V163" s="17"/>
      <c r="W163" s="17"/>
      <c r="X163" s="17"/>
      <c r="Y163" s="34"/>
      <c r="Z163" s="34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34"/>
      <c r="AT163" s="17"/>
      <c r="AU163" s="17"/>
      <c r="AV163" s="17"/>
      <c r="AW163" s="17"/>
      <c r="AX163" s="17"/>
      <c r="AY163" s="17"/>
      <c r="AZ163" s="17"/>
      <c r="BA163" s="17"/>
      <c r="BB163" s="17"/>
      <c r="BC163" s="17"/>
      <c r="BD163" s="17"/>
      <c r="BE163" s="17"/>
      <c r="BF163" s="34"/>
      <c r="BG163" s="17"/>
      <c r="BH163" s="17"/>
      <c r="BI163" s="17"/>
    </row>
    <row r="164" spans="1:61" ht="22.5" customHeight="1" x14ac:dyDescent="0.25">
      <c r="A164" s="39"/>
      <c r="B164" s="18"/>
      <c r="C164" s="18"/>
      <c r="D164" s="18"/>
      <c r="E164" s="18"/>
      <c r="F164" s="18"/>
      <c r="G164" s="40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18"/>
      <c r="S164" s="18"/>
      <c r="T164" s="17"/>
      <c r="U164" s="18"/>
      <c r="V164" s="18"/>
      <c r="W164" s="18"/>
      <c r="X164" s="18"/>
      <c r="Y164" s="40"/>
      <c r="Z164" s="42"/>
      <c r="AA164" s="18"/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  <c r="AS164" s="42"/>
      <c r="AT164" s="18"/>
      <c r="AU164" s="18"/>
      <c r="AV164" s="18"/>
      <c r="AW164" s="18"/>
      <c r="AX164" s="18"/>
      <c r="AY164" s="18"/>
      <c r="AZ164" s="18"/>
      <c r="BA164" s="18"/>
      <c r="BB164" s="18"/>
      <c r="BC164" s="18"/>
      <c r="BD164" s="18"/>
      <c r="BE164" s="18"/>
      <c r="BF164" s="42"/>
      <c r="BG164" s="18"/>
      <c r="BH164" s="18"/>
      <c r="BI164" s="18"/>
    </row>
    <row r="165" spans="1:61" ht="22.5" customHeight="1" x14ac:dyDescent="0.25">
      <c r="A165" s="43"/>
      <c r="B165" s="19"/>
      <c r="C165" s="19"/>
      <c r="D165" s="19"/>
      <c r="E165" s="19"/>
      <c r="F165" s="19"/>
      <c r="G165" s="44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19"/>
      <c r="S165" s="19"/>
      <c r="T165" s="17"/>
      <c r="U165" s="19"/>
      <c r="V165" s="19"/>
      <c r="W165" s="19"/>
      <c r="X165" s="19"/>
      <c r="Y165" s="44"/>
      <c r="Z165" s="44"/>
      <c r="AA165" s="19"/>
      <c r="AB165" s="19"/>
      <c r="AC165" s="19"/>
      <c r="AD165" s="19"/>
      <c r="AE165" s="19"/>
      <c r="AF165" s="19"/>
      <c r="AG165" s="19"/>
      <c r="AH165" s="19"/>
      <c r="AI165" s="19"/>
      <c r="AJ165" s="19"/>
      <c r="AK165" s="19"/>
      <c r="AL165" s="19"/>
      <c r="AM165" s="19"/>
      <c r="AN165" s="19"/>
      <c r="AO165" s="19"/>
      <c r="AP165" s="19"/>
      <c r="AQ165" s="19"/>
      <c r="AR165" s="19"/>
      <c r="AS165" s="44"/>
      <c r="AT165" s="19"/>
      <c r="AU165" s="19"/>
      <c r="AV165" s="19"/>
      <c r="AW165" s="19"/>
      <c r="AX165" s="19"/>
      <c r="AY165" s="19"/>
      <c r="AZ165" s="19"/>
      <c r="BA165" s="19"/>
      <c r="BB165" s="19"/>
      <c r="BC165" s="19"/>
      <c r="BD165" s="19"/>
      <c r="BE165" s="19"/>
      <c r="BF165" s="44"/>
      <c r="BG165" s="19"/>
      <c r="BH165" s="19"/>
      <c r="BI165" s="19"/>
    </row>
    <row r="166" spans="1:61" ht="22.5" customHeight="1" x14ac:dyDescent="0.25">
      <c r="A166" s="43"/>
      <c r="B166" s="19"/>
      <c r="C166" s="19"/>
      <c r="D166" s="19"/>
      <c r="E166" s="19"/>
      <c r="F166" s="19"/>
      <c r="G166" s="44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19"/>
      <c r="S166" s="19"/>
      <c r="T166" s="17"/>
      <c r="U166" s="19"/>
      <c r="V166" s="19"/>
      <c r="W166" s="19"/>
      <c r="X166" s="19"/>
      <c r="Y166" s="44"/>
      <c r="Z166" s="44"/>
      <c r="AA166" s="19"/>
      <c r="AB166" s="19"/>
      <c r="AC166" s="19"/>
      <c r="AD166" s="19"/>
      <c r="AE166" s="19"/>
      <c r="AF166" s="19"/>
      <c r="AG166" s="19"/>
      <c r="AH166" s="19"/>
      <c r="AI166" s="19"/>
      <c r="AJ166" s="19"/>
      <c r="AK166" s="19"/>
      <c r="AL166" s="19"/>
      <c r="AM166" s="19"/>
      <c r="AN166" s="19"/>
      <c r="AO166" s="19"/>
      <c r="AP166" s="19"/>
      <c r="AQ166" s="19"/>
      <c r="AR166" s="19"/>
      <c r="AS166" s="44"/>
      <c r="AT166" s="19"/>
      <c r="AU166" s="19"/>
      <c r="AV166" s="19"/>
      <c r="AW166" s="19"/>
      <c r="AX166" s="19"/>
      <c r="AY166" s="19"/>
      <c r="AZ166" s="19"/>
      <c r="BA166" s="19"/>
      <c r="BB166" s="19"/>
      <c r="BC166" s="19"/>
      <c r="BD166" s="19"/>
      <c r="BE166" s="19"/>
      <c r="BF166" s="44"/>
      <c r="BG166" s="19"/>
      <c r="BH166" s="19"/>
      <c r="BI166" s="19"/>
    </row>
    <row r="167" spans="1:61" ht="22.5" customHeight="1" x14ac:dyDescent="0.25">
      <c r="A167" s="33"/>
      <c r="B167" s="17"/>
      <c r="C167" s="17"/>
      <c r="D167" s="17"/>
      <c r="E167" s="17"/>
      <c r="F167" s="17"/>
      <c r="G167" s="34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17"/>
      <c r="S167" s="17"/>
      <c r="T167" s="17"/>
      <c r="U167" s="17"/>
      <c r="V167" s="17"/>
      <c r="W167" s="17"/>
      <c r="X167" s="17"/>
      <c r="Y167" s="34"/>
      <c r="Z167" s="34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34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34"/>
      <c r="BG167" s="17"/>
      <c r="BH167" s="17"/>
      <c r="BI167" s="17"/>
    </row>
    <row r="168" spans="1:61" ht="22.5" customHeight="1" x14ac:dyDescent="0.25">
      <c r="A168" s="33"/>
      <c r="B168" s="17"/>
      <c r="C168" s="17"/>
      <c r="D168" s="17"/>
      <c r="E168" s="17"/>
      <c r="F168" s="17"/>
      <c r="G168" s="34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17"/>
      <c r="S168" s="17"/>
      <c r="T168" s="17"/>
      <c r="U168" s="17"/>
      <c r="V168" s="17"/>
      <c r="W168" s="17"/>
      <c r="X168" s="17"/>
      <c r="Y168" s="34"/>
      <c r="Z168" s="34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34"/>
      <c r="AT168" s="17"/>
      <c r="AU168" s="17"/>
      <c r="AV168" s="17"/>
      <c r="AW168" s="17"/>
      <c r="AX168" s="17"/>
      <c r="AY168" s="17"/>
      <c r="AZ168" s="17"/>
      <c r="BA168" s="17"/>
      <c r="BB168" s="17"/>
      <c r="BC168" s="17"/>
      <c r="BD168" s="17"/>
      <c r="BE168" s="17"/>
      <c r="BF168" s="34"/>
      <c r="BG168" s="17"/>
      <c r="BH168" s="17"/>
      <c r="BI168" s="17"/>
    </row>
    <row r="169" spans="1:61" ht="22.5" customHeight="1" x14ac:dyDescent="0.25">
      <c r="A169" s="33"/>
      <c r="B169" s="17"/>
      <c r="C169" s="17"/>
      <c r="D169" s="17"/>
      <c r="E169" s="17"/>
      <c r="F169" s="17"/>
      <c r="G169" s="34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17"/>
      <c r="S169" s="17"/>
      <c r="T169" s="17"/>
      <c r="U169" s="17"/>
      <c r="V169" s="17"/>
      <c r="W169" s="17"/>
      <c r="X169" s="17"/>
      <c r="Y169" s="34"/>
      <c r="Z169" s="34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34"/>
      <c r="AT169" s="17"/>
      <c r="AU169" s="17"/>
      <c r="AV169" s="17"/>
      <c r="AW169" s="17"/>
      <c r="AX169" s="17"/>
      <c r="AY169" s="17"/>
      <c r="AZ169" s="17"/>
      <c r="BA169" s="17"/>
      <c r="BB169" s="17"/>
      <c r="BC169" s="17"/>
      <c r="BD169" s="17"/>
      <c r="BE169" s="17"/>
      <c r="BF169" s="34"/>
      <c r="BG169" s="17"/>
      <c r="BH169" s="17"/>
      <c r="BI169" s="17"/>
    </row>
    <row r="170" spans="1:61" ht="22.5" customHeight="1" x14ac:dyDescent="0.25">
      <c r="A170" s="33"/>
      <c r="B170" s="17"/>
      <c r="C170" s="17"/>
      <c r="D170" s="17"/>
      <c r="E170" s="17"/>
      <c r="F170" s="17"/>
      <c r="G170" s="34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17"/>
      <c r="S170" s="17"/>
      <c r="T170" s="17"/>
      <c r="U170" s="17"/>
      <c r="V170" s="17"/>
      <c r="W170" s="17"/>
      <c r="X170" s="17"/>
      <c r="Y170" s="34"/>
      <c r="Z170" s="34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34"/>
      <c r="AT170" s="17"/>
      <c r="AU170" s="17"/>
      <c r="AV170" s="17"/>
      <c r="AW170" s="17"/>
      <c r="AX170" s="17"/>
      <c r="AY170" s="17"/>
      <c r="AZ170" s="17"/>
      <c r="BA170" s="17"/>
      <c r="BB170" s="17"/>
      <c r="BC170" s="17"/>
      <c r="BD170" s="17"/>
      <c r="BE170" s="17"/>
      <c r="BF170" s="34"/>
      <c r="BG170" s="17"/>
      <c r="BH170" s="17"/>
      <c r="BI170" s="17"/>
    </row>
    <row r="171" spans="1:61" ht="22.5" customHeight="1" x14ac:dyDescent="0.25">
      <c r="A171" s="33"/>
      <c r="B171" s="17"/>
      <c r="C171" s="17"/>
      <c r="D171" s="17"/>
      <c r="E171" s="17"/>
      <c r="F171" s="17"/>
      <c r="G171" s="34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17"/>
      <c r="S171" s="17"/>
      <c r="T171" s="17"/>
      <c r="U171" s="17"/>
      <c r="V171" s="17"/>
      <c r="W171" s="17"/>
      <c r="X171" s="17"/>
      <c r="Y171" s="34"/>
      <c r="Z171" s="34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34"/>
      <c r="AT171" s="17"/>
      <c r="AU171" s="17"/>
      <c r="AV171" s="17"/>
      <c r="AW171" s="17"/>
      <c r="AX171" s="17"/>
      <c r="AY171" s="17"/>
      <c r="AZ171" s="17"/>
      <c r="BA171" s="17"/>
      <c r="BB171" s="17"/>
      <c r="BC171" s="17"/>
      <c r="BD171" s="17"/>
      <c r="BE171" s="17"/>
      <c r="BF171" s="34"/>
      <c r="BG171" s="17"/>
      <c r="BH171" s="17"/>
      <c r="BI171" s="17"/>
    </row>
    <row r="172" spans="1:61" ht="22.5" customHeight="1" x14ac:dyDescent="0.25">
      <c r="A172" s="33"/>
      <c r="B172" s="17"/>
      <c r="C172" s="17"/>
      <c r="D172" s="17"/>
      <c r="E172" s="17"/>
      <c r="F172" s="17"/>
      <c r="G172" s="34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17"/>
      <c r="S172" s="17"/>
      <c r="T172" s="17"/>
      <c r="U172" s="17"/>
      <c r="V172" s="17"/>
      <c r="W172" s="17"/>
      <c r="X172" s="17"/>
      <c r="Y172" s="34"/>
      <c r="Z172" s="34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34"/>
      <c r="AT172" s="17"/>
      <c r="AU172" s="17"/>
      <c r="AV172" s="17"/>
      <c r="AW172" s="17"/>
      <c r="AX172" s="17"/>
      <c r="AY172" s="17"/>
      <c r="AZ172" s="17"/>
      <c r="BA172" s="17"/>
      <c r="BB172" s="17"/>
      <c r="BC172" s="17"/>
      <c r="BD172" s="17"/>
      <c r="BE172" s="17"/>
      <c r="BF172" s="34"/>
      <c r="BG172" s="17"/>
      <c r="BH172" s="17"/>
      <c r="BI172" s="17"/>
    </row>
    <row r="173" spans="1:61" ht="22.5" customHeight="1" x14ac:dyDescent="0.25">
      <c r="A173" s="33"/>
      <c r="B173" s="17"/>
      <c r="C173" s="17"/>
      <c r="D173" s="17"/>
      <c r="E173" s="17"/>
      <c r="F173" s="17"/>
      <c r="G173" s="34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17"/>
      <c r="S173" s="17"/>
      <c r="T173" s="17"/>
      <c r="U173" s="17"/>
      <c r="V173" s="17"/>
      <c r="W173" s="17"/>
      <c r="X173" s="17"/>
      <c r="Y173" s="34"/>
      <c r="Z173" s="34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34"/>
      <c r="AT173" s="17"/>
      <c r="AU173" s="17"/>
      <c r="AV173" s="17"/>
      <c r="AW173" s="17"/>
      <c r="AX173" s="17"/>
      <c r="AY173" s="17"/>
      <c r="AZ173" s="17"/>
      <c r="BA173" s="17"/>
      <c r="BB173" s="17"/>
      <c r="BC173" s="17"/>
      <c r="BD173" s="17"/>
      <c r="BE173" s="17"/>
      <c r="BF173" s="34"/>
      <c r="BG173" s="17"/>
      <c r="BH173" s="17"/>
      <c r="BI173" s="17"/>
    </row>
    <row r="174" spans="1:61" ht="22.5" customHeight="1" x14ac:dyDescent="0.25">
      <c r="A174" s="33"/>
      <c r="B174" s="17"/>
      <c r="C174" s="17"/>
      <c r="D174" s="17"/>
      <c r="E174" s="17"/>
      <c r="F174" s="17"/>
      <c r="G174" s="34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17"/>
      <c r="S174" s="17"/>
      <c r="T174" s="17"/>
      <c r="U174" s="17"/>
      <c r="V174" s="17"/>
      <c r="W174" s="17"/>
      <c r="X174" s="17"/>
      <c r="Y174" s="34"/>
      <c r="Z174" s="34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34"/>
      <c r="AT174" s="17"/>
      <c r="AU174" s="17"/>
      <c r="AV174" s="17"/>
      <c r="AW174" s="17"/>
      <c r="AX174" s="17"/>
      <c r="AY174" s="17"/>
      <c r="AZ174" s="17"/>
      <c r="BA174" s="17"/>
      <c r="BB174" s="17"/>
      <c r="BC174" s="17"/>
      <c r="BD174" s="17"/>
      <c r="BE174" s="17"/>
      <c r="BF174" s="34"/>
      <c r="BG174" s="17"/>
      <c r="BH174" s="17"/>
      <c r="BI174" s="17"/>
    </row>
    <row r="175" spans="1:61" ht="22.5" customHeight="1" x14ac:dyDescent="0.25">
      <c r="A175" s="33"/>
      <c r="B175" s="17"/>
      <c r="C175" s="17"/>
      <c r="D175" s="17"/>
      <c r="E175" s="17"/>
      <c r="F175" s="17"/>
      <c r="G175" s="34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17"/>
      <c r="S175" s="17"/>
      <c r="T175" s="17"/>
      <c r="U175" s="17"/>
      <c r="V175" s="17"/>
      <c r="W175" s="17"/>
      <c r="X175" s="17"/>
      <c r="Y175" s="34"/>
      <c r="Z175" s="34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34"/>
      <c r="AT175" s="17"/>
      <c r="AU175" s="17"/>
      <c r="AV175" s="17"/>
      <c r="AW175" s="17"/>
      <c r="AX175" s="17"/>
      <c r="AY175" s="17"/>
      <c r="AZ175" s="17"/>
      <c r="BA175" s="17"/>
      <c r="BB175" s="17"/>
      <c r="BC175" s="17"/>
      <c r="BD175" s="17"/>
      <c r="BE175" s="17"/>
      <c r="BF175" s="34"/>
      <c r="BG175" s="17"/>
      <c r="BH175" s="17"/>
      <c r="BI175" s="17"/>
    </row>
    <row r="176" spans="1:61" ht="22.5" customHeight="1" x14ac:dyDescent="0.25">
      <c r="A176" s="33"/>
      <c r="B176" s="17"/>
      <c r="C176" s="17"/>
      <c r="D176" s="17"/>
      <c r="E176" s="17"/>
      <c r="F176" s="17"/>
      <c r="G176" s="34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17"/>
      <c r="S176" s="17"/>
      <c r="T176" s="17"/>
      <c r="U176" s="17"/>
      <c r="V176" s="17"/>
      <c r="W176" s="17"/>
      <c r="X176" s="17"/>
      <c r="Y176" s="34"/>
      <c r="Z176" s="34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34"/>
      <c r="AT176" s="17"/>
      <c r="AU176" s="17"/>
      <c r="AV176" s="17"/>
      <c r="AW176" s="17"/>
      <c r="AX176" s="17"/>
      <c r="AY176" s="17"/>
      <c r="AZ176" s="17"/>
      <c r="BA176" s="17"/>
      <c r="BB176" s="17"/>
      <c r="BC176" s="17"/>
      <c r="BD176" s="17"/>
      <c r="BE176" s="17"/>
      <c r="BF176" s="34"/>
      <c r="BG176" s="17"/>
      <c r="BH176" s="17"/>
      <c r="BI176" s="17"/>
    </row>
    <row r="177" spans="1:61" ht="22.5" customHeight="1" x14ac:dyDescent="0.25">
      <c r="A177" s="33"/>
      <c r="B177" s="17"/>
      <c r="C177" s="17"/>
      <c r="D177" s="17"/>
      <c r="E177" s="17"/>
      <c r="F177" s="17"/>
      <c r="G177" s="34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17"/>
      <c r="S177" s="17"/>
      <c r="T177" s="17"/>
      <c r="U177" s="17"/>
      <c r="V177" s="17"/>
      <c r="W177" s="17"/>
      <c r="X177" s="17"/>
      <c r="Y177" s="34"/>
      <c r="Z177" s="34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34"/>
      <c r="AT177" s="17"/>
      <c r="AU177" s="17"/>
      <c r="AV177" s="17"/>
      <c r="AW177" s="17"/>
      <c r="AX177" s="17"/>
      <c r="AY177" s="17"/>
      <c r="AZ177" s="17"/>
      <c r="BA177" s="17"/>
      <c r="BB177" s="17"/>
      <c r="BC177" s="17"/>
      <c r="BD177" s="17"/>
      <c r="BE177" s="17"/>
      <c r="BF177" s="34"/>
      <c r="BG177" s="17"/>
      <c r="BH177" s="17"/>
      <c r="BI177" s="17"/>
    </row>
    <row r="178" spans="1:61" ht="22.5" customHeight="1" x14ac:dyDescent="0.25">
      <c r="A178" s="33"/>
      <c r="B178" s="17"/>
      <c r="C178" s="17"/>
      <c r="D178" s="17"/>
      <c r="E178" s="17"/>
      <c r="F178" s="17"/>
      <c r="G178" s="34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17"/>
      <c r="S178" s="17"/>
      <c r="T178" s="17"/>
      <c r="U178" s="17"/>
      <c r="V178" s="17"/>
      <c r="W178" s="17"/>
      <c r="X178" s="17"/>
      <c r="Y178" s="34"/>
      <c r="Z178" s="34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34"/>
      <c r="AT178" s="17"/>
      <c r="AU178" s="17"/>
      <c r="AV178" s="17"/>
      <c r="AW178" s="17"/>
      <c r="AX178" s="17"/>
      <c r="AY178" s="17"/>
      <c r="AZ178" s="17"/>
      <c r="BA178" s="17"/>
      <c r="BB178" s="17"/>
      <c r="BC178" s="17"/>
      <c r="BD178" s="17"/>
      <c r="BE178" s="17"/>
      <c r="BF178" s="34"/>
      <c r="BG178" s="17"/>
      <c r="BH178" s="17"/>
      <c r="BI178" s="17"/>
    </row>
    <row r="179" spans="1:61" ht="22.5" customHeight="1" x14ac:dyDescent="0.25">
      <c r="A179" s="33"/>
      <c r="B179" s="17"/>
      <c r="C179" s="17"/>
      <c r="D179" s="17"/>
      <c r="E179" s="17"/>
      <c r="F179" s="17"/>
      <c r="G179" s="34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17"/>
      <c r="S179" s="17"/>
      <c r="T179" s="17"/>
      <c r="U179" s="17"/>
      <c r="V179" s="17"/>
      <c r="W179" s="17"/>
      <c r="X179" s="17"/>
      <c r="Y179" s="34"/>
      <c r="Z179" s="34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34"/>
      <c r="AT179" s="17"/>
      <c r="AU179" s="17"/>
      <c r="AV179" s="17"/>
      <c r="AW179" s="17"/>
      <c r="AX179" s="17"/>
      <c r="AY179" s="17"/>
      <c r="AZ179" s="17"/>
      <c r="BA179" s="17"/>
      <c r="BB179" s="17"/>
      <c r="BC179" s="17"/>
      <c r="BD179" s="17"/>
      <c r="BE179" s="17"/>
      <c r="BF179" s="34"/>
      <c r="BG179" s="17"/>
      <c r="BH179" s="17"/>
      <c r="BI179" s="17"/>
    </row>
    <row r="180" spans="1:61" ht="22.5" customHeight="1" x14ac:dyDescent="0.25">
      <c r="A180" s="33"/>
      <c r="B180" s="17"/>
      <c r="C180" s="17"/>
      <c r="D180" s="17"/>
      <c r="E180" s="17"/>
      <c r="F180" s="17"/>
      <c r="G180" s="34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17"/>
      <c r="S180" s="17"/>
      <c r="T180" s="17"/>
      <c r="U180" s="17"/>
      <c r="V180" s="17"/>
      <c r="W180" s="17"/>
      <c r="X180" s="17"/>
      <c r="Y180" s="34"/>
      <c r="Z180" s="34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34"/>
      <c r="AT180" s="17"/>
      <c r="AU180" s="17"/>
      <c r="AV180" s="17"/>
      <c r="AW180" s="17"/>
      <c r="AX180" s="17"/>
      <c r="AY180" s="17"/>
      <c r="AZ180" s="17"/>
      <c r="BA180" s="17"/>
      <c r="BB180" s="17"/>
      <c r="BC180" s="17"/>
      <c r="BD180" s="17"/>
      <c r="BE180" s="17"/>
      <c r="BF180" s="34"/>
      <c r="BG180" s="17"/>
      <c r="BH180" s="17"/>
      <c r="BI180" s="17"/>
    </row>
    <row r="181" spans="1:61" ht="22.5" customHeight="1" x14ac:dyDescent="0.25">
      <c r="A181" s="33"/>
      <c r="B181" s="17"/>
      <c r="C181" s="17"/>
      <c r="D181" s="17"/>
      <c r="E181" s="17"/>
      <c r="F181" s="17"/>
      <c r="G181" s="34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17"/>
      <c r="S181" s="17"/>
      <c r="T181" s="17"/>
      <c r="U181" s="17"/>
      <c r="V181" s="17"/>
      <c r="W181" s="17"/>
      <c r="X181" s="17"/>
      <c r="Y181" s="34"/>
      <c r="Z181" s="34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34"/>
      <c r="AT181" s="17"/>
      <c r="AU181" s="17"/>
      <c r="AV181" s="17"/>
      <c r="AW181" s="17"/>
      <c r="AX181" s="17"/>
      <c r="AY181" s="17"/>
      <c r="AZ181" s="17"/>
      <c r="BA181" s="17"/>
      <c r="BB181" s="17"/>
      <c r="BC181" s="17"/>
      <c r="BD181" s="17"/>
      <c r="BE181" s="17"/>
      <c r="BF181" s="34"/>
      <c r="BG181" s="17"/>
      <c r="BH181" s="17"/>
      <c r="BI181" s="17"/>
    </row>
    <row r="182" spans="1:61" ht="22.5" customHeight="1" x14ac:dyDescent="0.25">
      <c r="A182" s="33"/>
      <c r="B182" s="17"/>
      <c r="C182" s="17"/>
      <c r="D182" s="17"/>
      <c r="E182" s="17"/>
      <c r="F182" s="17"/>
      <c r="G182" s="34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17"/>
      <c r="S182" s="17"/>
      <c r="T182" s="17"/>
      <c r="U182" s="17"/>
      <c r="V182" s="17"/>
      <c r="W182" s="17"/>
      <c r="X182" s="17"/>
      <c r="Y182" s="34"/>
      <c r="Z182" s="34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34"/>
      <c r="AT182" s="17"/>
      <c r="AU182" s="17"/>
      <c r="AV182" s="17"/>
      <c r="AW182" s="17"/>
      <c r="AX182" s="17"/>
      <c r="AY182" s="17"/>
      <c r="AZ182" s="17"/>
      <c r="BA182" s="17"/>
      <c r="BB182" s="17"/>
      <c r="BC182" s="17"/>
      <c r="BD182" s="17"/>
      <c r="BE182" s="17"/>
      <c r="BF182" s="34"/>
      <c r="BG182" s="17"/>
      <c r="BH182" s="17"/>
      <c r="BI182" s="17"/>
    </row>
    <row r="183" spans="1:61" ht="22.5" customHeight="1" x14ac:dyDescent="0.25">
      <c r="A183" s="33"/>
      <c r="B183" s="17"/>
      <c r="C183" s="17"/>
      <c r="D183" s="17"/>
      <c r="E183" s="17"/>
      <c r="F183" s="17"/>
      <c r="G183" s="34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17"/>
      <c r="S183" s="17"/>
      <c r="T183" s="17"/>
      <c r="U183" s="17"/>
      <c r="V183" s="17"/>
      <c r="W183" s="17"/>
      <c r="X183" s="17"/>
      <c r="Y183" s="34"/>
      <c r="Z183" s="34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34"/>
      <c r="AT183" s="17"/>
      <c r="AU183" s="17"/>
      <c r="AV183" s="17"/>
      <c r="AW183" s="17"/>
      <c r="AX183" s="17"/>
      <c r="AY183" s="17"/>
      <c r="AZ183" s="17"/>
      <c r="BA183" s="17"/>
      <c r="BB183" s="17"/>
      <c r="BC183" s="17"/>
      <c r="BD183" s="17"/>
      <c r="BE183" s="17"/>
      <c r="BF183" s="34"/>
      <c r="BG183" s="17"/>
      <c r="BH183" s="17"/>
      <c r="BI183" s="17"/>
    </row>
    <row r="184" spans="1:61" ht="22.5" customHeight="1" x14ac:dyDescent="0.25">
      <c r="A184" s="33"/>
      <c r="B184" s="17"/>
      <c r="C184" s="17"/>
      <c r="D184" s="17"/>
      <c r="E184" s="17"/>
      <c r="F184" s="17"/>
      <c r="G184" s="34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17"/>
      <c r="S184" s="17"/>
      <c r="T184" s="17"/>
      <c r="U184" s="17"/>
      <c r="V184" s="17"/>
      <c r="W184" s="17"/>
      <c r="X184" s="17"/>
      <c r="Y184" s="34"/>
      <c r="Z184" s="34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34"/>
      <c r="AT184" s="17"/>
      <c r="AU184" s="17"/>
      <c r="AV184" s="17"/>
      <c r="AW184" s="17"/>
      <c r="AX184" s="17"/>
      <c r="AY184" s="17"/>
      <c r="AZ184" s="17"/>
      <c r="BA184" s="17"/>
      <c r="BB184" s="17"/>
      <c r="BC184" s="17"/>
      <c r="BD184" s="17"/>
      <c r="BE184" s="17"/>
      <c r="BF184" s="34"/>
      <c r="BG184" s="17"/>
      <c r="BH184" s="17"/>
      <c r="BI184" s="17"/>
    </row>
    <row r="185" spans="1:61" ht="22.5" customHeight="1" x14ac:dyDescent="0.25">
      <c r="A185" s="39"/>
      <c r="B185" s="18"/>
      <c r="C185" s="18"/>
      <c r="D185" s="18"/>
      <c r="E185" s="18"/>
      <c r="F185" s="18"/>
      <c r="G185" s="40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18"/>
      <c r="S185" s="18"/>
      <c r="T185" s="17"/>
      <c r="U185" s="18"/>
      <c r="V185" s="18"/>
      <c r="W185" s="18"/>
      <c r="X185" s="18"/>
      <c r="Y185" s="40"/>
      <c r="Z185" s="42"/>
      <c r="AA185" s="18"/>
      <c r="AB185" s="18"/>
      <c r="AC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  <c r="AN185" s="18"/>
      <c r="AO185" s="18"/>
      <c r="AP185" s="18"/>
      <c r="AQ185" s="18"/>
      <c r="AR185" s="18"/>
      <c r="AS185" s="42"/>
      <c r="AT185" s="18"/>
      <c r="AU185" s="18"/>
      <c r="AV185" s="18"/>
      <c r="AW185" s="18"/>
      <c r="AX185" s="18"/>
      <c r="AY185" s="18"/>
      <c r="AZ185" s="18"/>
      <c r="BA185" s="18"/>
      <c r="BB185" s="18"/>
      <c r="BC185" s="18"/>
      <c r="BD185" s="18"/>
      <c r="BE185" s="18"/>
      <c r="BF185" s="42"/>
      <c r="BG185" s="18"/>
      <c r="BH185" s="18"/>
      <c r="BI185" s="18"/>
    </row>
    <row r="186" spans="1:61" ht="22.5" customHeight="1" x14ac:dyDescent="0.25">
      <c r="A186" s="43"/>
      <c r="B186" s="19"/>
      <c r="C186" s="19"/>
      <c r="D186" s="19"/>
      <c r="E186" s="19"/>
      <c r="F186" s="19"/>
      <c r="G186" s="44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19"/>
      <c r="S186" s="19"/>
      <c r="T186" s="17"/>
      <c r="U186" s="19"/>
      <c r="V186" s="19"/>
      <c r="W186" s="19"/>
      <c r="X186" s="19"/>
      <c r="Y186" s="44"/>
      <c r="Z186" s="44"/>
      <c r="AA186" s="19"/>
      <c r="AB186" s="19"/>
      <c r="AC186" s="19"/>
      <c r="AD186" s="19"/>
      <c r="AE186" s="19"/>
      <c r="AF186" s="19"/>
      <c r="AG186" s="19"/>
      <c r="AH186" s="19"/>
      <c r="AI186" s="19"/>
      <c r="AJ186" s="19"/>
      <c r="AK186" s="19"/>
      <c r="AL186" s="19"/>
      <c r="AM186" s="19"/>
      <c r="AN186" s="19"/>
      <c r="AO186" s="19"/>
      <c r="AP186" s="19"/>
      <c r="AQ186" s="19"/>
      <c r="AR186" s="19"/>
      <c r="AS186" s="44"/>
      <c r="AT186" s="19"/>
      <c r="AU186" s="19"/>
      <c r="AV186" s="19"/>
      <c r="AW186" s="19"/>
      <c r="AX186" s="19"/>
      <c r="AY186" s="19"/>
      <c r="AZ186" s="19"/>
      <c r="BA186" s="19"/>
      <c r="BB186" s="19"/>
      <c r="BC186" s="19"/>
      <c r="BD186" s="19"/>
      <c r="BE186" s="19"/>
      <c r="BF186" s="44"/>
      <c r="BG186" s="19"/>
      <c r="BH186" s="19"/>
      <c r="BI186" s="19"/>
    </row>
    <row r="187" spans="1:61" ht="22.5" customHeight="1" x14ac:dyDescent="0.25">
      <c r="A187" s="43"/>
      <c r="B187" s="19"/>
      <c r="C187" s="19"/>
      <c r="D187" s="19"/>
      <c r="E187" s="19"/>
      <c r="F187" s="19"/>
      <c r="G187" s="44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19"/>
      <c r="S187" s="19"/>
      <c r="T187" s="17"/>
      <c r="U187" s="19"/>
      <c r="V187" s="19"/>
      <c r="W187" s="19"/>
      <c r="X187" s="19"/>
      <c r="Y187" s="44"/>
      <c r="Z187" s="44"/>
      <c r="AA187" s="19"/>
      <c r="AB187" s="19"/>
      <c r="AC187" s="19"/>
      <c r="AD187" s="19"/>
      <c r="AE187" s="19"/>
      <c r="AF187" s="19"/>
      <c r="AG187" s="19"/>
      <c r="AH187" s="19"/>
      <c r="AI187" s="19"/>
      <c r="AJ187" s="19"/>
      <c r="AK187" s="19"/>
      <c r="AL187" s="19"/>
      <c r="AM187" s="19"/>
      <c r="AN187" s="19"/>
      <c r="AO187" s="19"/>
      <c r="AP187" s="19"/>
      <c r="AQ187" s="19"/>
      <c r="AR187" s="19"/>
      <c r="AS187" s="44"/>
      <c r="AT187" s="19"/>
      <c r="AU187" s="19"/>
      <c r="AV187" s="19"/>
      <c r="AW187" s="19"/>
      <c r="AX187" s="19"/>
      <c r="AY187" s="19"/>
      <c r="AZ187" s="19"/>
      <c r="BA187" s="19"/>
      <c r="BB187" s="19"/>
      <c r="BC187" s="19"/>
      <c r="BD187" s="19"/>
      <c r="BE187" s="19"/>
      <c r="BF187" s="44"/>
      <c r="BG187" s="19"/>
      <c r="BH187" s="19"/>
      <c r="BI187" s="19"/>
    </row>
    <row r="188" spans="1:61" ht="22.5" customHeight="1" x14ac:dyDescent="0.25">
      <c r="A188" s="33"/>
      <c r="B188" s="17"/>
      <c r="C188" s="17"/>
      <c r="D188" s="17"/>
      <c r="E188" s="17"/>
      <c r="F188" s="17"/>
      <c r="G188" s="34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17"/>
      <c r="S188" s="17"/>
      <c r="T188" s="17"/>
      <c r="U188" s="17"/>
      <c r="V188" s="17"/>
      <c r="W188" s="17"/>
      <c r="X188" s="17"/>
      <c r="Y188" s="34"/>
      <c r="Z188" s="34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34"/>
      <c r="AT188" s="17"/>
      <c r="AU188" s="17"/>
      <c r="AV188" s="17"/>
      <c r="AW188" s="17"/>
      <c r="AX188" s="17"/>
      <c r="AY188" s="17"/>
      <c r="AZ188" s="17"/>
      <c r="BA188" s="17"/>
      <c r="BB188" s="17"/>
      <c r="BC188" s="17"/>
      <c r="BD188" s="17"/>
      <c r="BE188" s="17"/>
      <c r="BF188" s="34"/>
      <c r="BG188" s="17"/>
      <c r="BH188" s="17"/>
      <c r="BI188" s="17"/>
    </row>
    <row r="189" spans="1:61" ht="22.5" customHeight="1" x14ac:dyDescent="0.25">
      <c r="A189" s="33"/>
      <c r="B189" s="17"/>
      <c r="C189" s="17"/>
      <c r="D189" s="17"/>
      <c r="E189" s="17"/>
      <c r="F189" s="17"/>
      <c r="G189" s="34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17"/>
      <c r="S189" s="17"/>
      <c r="T189" s="17"/>
      <c r="U189" s="17"/>
      <c r="V189" s="17"/>
      <c r="W189" s="17"/>
      <c r="X189" s="17"/>
      <c r="Y189" s="34"/>
      <c r="Z189" s="34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34"/>
      <c r="AT189" s="17"/>
      <c r="AU189" s="17"/>
      <c r="AV189" s="17"/>
      <c r="AW189" s="17"/>
      <c r="AX189" s="17"/>
      <c r="AY189" s="17"/>
      <c r="AZ189" s="17"/>
      <c r="BA189" s="17"/>
      <c r="BB189" s="17"/>
      <c r="BC189" s="17"/>
      <c r="BD189" s="17"/>
      <c r="BE189" s="17"/>
      <c r="BF189" s="34"/>
      <c r="BG189" s="17"/>
      <c r="BH189" s="17"/>
      <c r="BI189" s="17"/>
    </row>
    <row r="190" spans="1:61" ht="22.5" customHeight="1" x14ac:dyDescent="0.25">
      <c r="A190" s="33"/>
      <c r="B190" s="17"/>
      <c r="C190" s="17"/>
      <c r="D190" s="17"/>
      <c r="E190" s="17"/>
      <c r="F190" s="17"/>
      <c r="G190" s="34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17"/>
      <c r="S190" s="17"/>
      <c r="T190" s="17"/>
      <c r="U190" s="17"/>
      <c r="V190" s="17"/>
      <c r="W190" s="17"/>
      <c r="X190" s="17"/>
      <c r="Y190" s="34"/>
      <c r="Z190" s="34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34"/>
      <c r="AT190" s="17"/>
      <c r="AU190" s="17"/>
      <c r="AV190" s="17"/>
      <c r="AW190" s="17"/>
      <c r="AX190" s="17"/>
      <c r="AY190" s="17"/>
      <c r="AZ190" s="17"/>
      <c r="BA190" s="17"/>
      <c r="BB190" s="17"/>
      <c r="BC190" s="17"/>
      <c r="BD190" s="17"/>
      <c r="BE190" s="17"/>
      <c r="BF190" s="34"/>
      <c r="BG190" s="17"/>
      <c r="BH190" s="17"/>
      <c r="BI190" s="17"/>
    </row>
    <row r="191" spans="1:61" ht="22.5" customHeight="1" x14ac:dyDescent="0.25">
      <c r="A191" s="33"/>
      <c r="B191" s="17"/>
      <c r="C191" s="17"/>
      <c r="D191" s="17"/>
      <c r="E191" s="17"/>
      <c r="F191" s="17"/>
      <c r="G191" s="34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17"/>
      <c r="S191" s="17"/>
      <c r="T191" s="17"/>
      <c r="U191" s="17"/>
      <c r="V191" s="17"/>
      <c r="W191" s="17"/>
      <c r="X191" s="17"/>
      <c r="Y191" s="34"/>
      <c r="Z191" s="34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34"/>
      <c r="AT191" s="17"/>
      <c r="AU191" s="17"/>
      <c r="AV191" s="17"/>
      <c r="AW191" s="17"/>
      <c r="AX191" s="17"/>
      <c r="AY191" s="17"/>
      <c r="AZ191" s="17"/>
      <c r="BA191" s="17"/>
      <c r="BB191" s="17"/>
      <c r="BC191" s="17"/>
      <c r="BD191" s="17"/>
      <c r="BE191" s="17"/>
      <c r="BF191" s="34"/>
      <c r="BG191" s="17"/>
      <c r="BH191" s="17"/>
      <c r="BI191" s="17"/>
    </row>
    <row r="192" spans="1:61" ht="22.5" customHeight="1" x14ac:dyDescent="0.25">
      <c r="A192" s="33"/>
      <c r="B192" s="17"/>
      <c r="C192" s="17"/>
      <c r="D192" s="17"/>
      <c r="E192" s="17"/>
      <c r="F192" s="17"/>
      <c r="G192" s="34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17"/>
      <c r="S192" s="17"/>
      <c r="T192" s="17"/>
      <c r="U192" s="17"/>
      <c r="V192" s="17"/>
      <c r="W192" s="17"/>
      <c r="X192" s="17"/>
      <c r="Y192" s="34"/>
      <c r="Z192" s="34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34"/>
      <c r="AT192" s="17"/>
      <c r="AU192" s="17"/>
      <c r="AV192" s="17"/>
      <c r="AW192" s="17"/>
      <c r="AX192" s="17"/>
      <c r="AY192" s="17"/>
      <c r="AZ192" s="17"/>
      <c r="BA192" s="17"/>
      <c r="BB192" s="17"/>
      <c r="BC192" s="17"/>
      <c r="BD192" s="17"/>
      <c r="BE192" s="17"/>
      <c r="BF192" s="34"/>
      <c r="BG192" s="17"/>
      <c r="BH192" s="17"/>
      <c r="BI192" s="17"/>
    </row>
    <row r="193" spans="1:61" ht="22.5" customHeight="1" x14ac:dyDescent="0.25">
      <c r="A193" s="33"/>
      <c r="B193" s="17"/>
      <c r="C193" s="17"/>
      <c r="D193" s="17"/>
      <c r="E193" s="17"/>
      <c r="F193" s="17"/>
      <c r="G193" s="34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17"/>
      <c r="S193" s="17"/>
      <c r="T193" s="17"/>
      <c r="U193" s="17"/>
      <c r="V193" s="17"/>
      <c r="W193" s="17"/>
      <c r="X193" s="17"/>
      <c r="Y193" s="34"/>
      <c r="Z193" s="34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34"/>
      <c r="AT193" s="17"/>
      <c r="AU193" s="17"/>
      <c r="AV193" s="17"/>
      <c r="AW193" s="17"/>
      <c r="AX193" s="17"/>
      <c r="AY193" s="17"/>
      <c r="AZ193" s="17"/>
      <c r="BA193" s="17"/>
      <c r="BB193" s="17"/>
      <c r="BC193" s="17"/>
      <c r="BD193" s="17"/>
      <c r="BE193" s="17"/>
      <c r="BF193" s="34"/>
      <c r="BG193" s="17"/>
      <c r="BH193" s="17"/>
      <c r="BI193" s="17"/>
    </row>
    <row r="194" spans="1:61" ht="22.5" customHeight="1" x14ac:dyDescent="0.25">
      <c r="A194" s="33"/>
      <c r="B194" s="17"/>
      <c r="C194" s="17"/>
      <c r="D194" s="17"/>
      <c r="E194" s="17"/>
      <c r="F194" s="17"/>
      <c r="G194" s="34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17"/>
      <c r="S194" s="17"/>
      <c r="T194" s="17"/>
      <c r="U194" s="17"/>
      <c r="V194" s="17"/>
      <c r="W194" s="17"/>
      <c r="X194" s="17"/>
      <c r="Y194" s="34"/>
      <c r="Z194" s="34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34"/>
      <c r="AT194" s="17"/>
      <c r="AU194" s="17"/>
      <c r="AV194" s="17"/>
      <c r="AW194" s="17"/>
      <c r="AX194" s="17"/>
      <c r="AY194" s="17"/>
      <c r="AZ194" s="17"/>
      <c r="BA194" s="17"/>
      <c r="BB194" s="17"/>
      <c r="BC194" s="17"/>
      <c r="BD194" s="17"/>
      <c r="BE194" s="17"/>
      <c r="BF194" s="34"/>
      <c r="BG194" s="17"/>
      <c r="BH194" s="17"/>
      <c r="BI194" s="17"/>
    </row>
    <row r="195" spans="1:61" ht="22.5" customHeight="1" x14ac:dyDescent="0.25">
      <c r="A195" s="33"/>
      <c r="B195" s="17"/>
      <c r="C195" s="17"/>
      <c r="D195" s="17"/>
      <c r="E195" s="17"/>
      <c r="F195" s="17"/>
      <c r="G195" s="34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17"/>
      <c r="S195" s="17"/>
      <c r="T195" s="17"/>
      <c r="U195" s="17"/>
      <c r="V195" s="17"/>
      <c r="W195" s="17"/>
      <c r="X195" s="17"/>
      <c r="Y195" s="34"/>
      <c r="Z195" s="34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34"/>
      <c r="AT195" s="17"/>
      <c r="AU195" s="17"/>
      <c r="AV195" s="17"/>
      <c r="AW195" s="17"/>
      <c r="AX195" s="17"/>
      <c r="AY195" s="17"/>
      <c r="AZ195" s="17"/>
      <c r="BA195" s="17"/>
      <c r="BB195" s="17"/>
      <c r="BC195" s="17"/>
      <c r="BD195" s="17"/>
      <c r="BE195" s="17"/>
      <c r="BF195" s="34"/>
      <c r="BG195" s="17"/>
      <c r="BH195" s="17"/>
      <c r="BI195" s="17"/>
    </row>
    <row r="196" spans="1:61" ht="22.5" customHeight="1" x14ac:dyDescent="0.25">
      <c r="A196" s="33"/>
      <c r="B196" s="17"/>
      <c r="C196" s="17"/>
      <c r="D196" s="17"/>
      <c r="E196" s="17"/>
      <c r="F196" s="17"/>
      <c r="G196" s="34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17"/>
      <c r="S196" s="17"/>
      <c r="T196" s="17"/>
      <c r="U196" s="17"/>
      <c r="V196" s="17"/>
      <c r="W196" s="17"/>
      <c r="X196" s="17"/>
      <c r="Y196" s="34"/>
      <c r="Z196" s="34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34"/>
      <c r="AT196" s="17"/>
      <c r="AU196" s="17"/>
      <c r="AV196" s="17"/>
      <c r="AW196" s="17"/>
      <c r="AX196" s="17"/>
      <c r="AY196" s="17"/>
      <c r="AZ196" s="17"/>
      <c r="BA196" s="17"/>
      <c r="BB196" s="17"/>
      <c r="BC196" s="17"/>
      <c r="BD196" s="17"/>
      <c r="BE196" s="17"/>
      <c r="BF196" s="34"/>
      <c r="BG196" s="17"/>
      <c r="BH196" s="17"/>
      <c r="BI196" s="17"/>
    </row>
    <row r="197" spans="1:61" ht="22.5" customHeight="1" x14ac:dyDescent="0.25">
      <c r="A197" s="33"/>
      <c r="B197" s="17"/>
      <c r="C197" s="17"/>
      <c r="D197" s="17"/>
      <c r="E197" s="17"/>
      <c r="F197" s="17"/>
      <c r="G197" s="34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17"/>
      <c r="S197" s="17"/>
      <c r="T197" s="17"/>
      <c r="U197" s="17"/>
      <c r="V197" s="17"/>
      <c r="W197" s="17"/>
      <c r="X197" s="17"/>
      <c r="Y197" s="34"/>
      <c r="Z197" s="34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34"/>
      <c r="AT197" s="17"/>
      <c r="AU197" s="17"/>
      <c r="AV197" s="17"/>
      <c r="AW197" s="17"/>
      <c r="AX197" s="17"/>
      <c r="AY197" s="17"/>
      <c r="AZ197" s="17"/>
      <c r="BA197" s="17"/>
      <c r="BB197" s="17"/>
      <c r="BC197" s="17"/>
      <c r="BD197" s="17"/>
      <c r="BE197" s="17"/>
      <c r="BF197" s="34"/>
      <c r="BG197" s="17"/>
      <c r="BH197" s="17"/>
      <c r="BI197" s="17"/>
    </row>
    <row r="198" spans="1:61" ht="22.5" customHeight="1" x14ac:dyDescent="0.25">
      <c r="A198" s="33"/>
      <c r="B198" s="17"/>
      <c r="C198" s="17"/>
      <c r="D198" s="17"/>
      <c r="E198" s="17"/>
      <c r="F198" s="17"/>
      <c r="G198" s="34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17"/>
      <c r="S198" s="17"/>
      <c r="T198" s="17"/>
      <c r="U198" s="17"/>
      <c r="V198" s="17"/>
      <c r="W198" s="17"/>
      <c r="X198" s="17"/>
      <c r="Y198" s="34"/>
      <c r="Z198" s="34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34"/>
      <c r="AT198" s="17"/>
      <c r="AU198" s="17"/>
      <c r="AV198" s="17"/>
      <c r="AW198" s="17"/>
      <c r="AX198" s="17"/>
      <c r="AY198" s="17"/>
      <c r="AZ198" s="17"/>
      <c r="BA198" s="17"/>
      <c r="BB198" s="17"/>
      <c r="BC198" s="17"/>
      <c r="BD198" s="17"/>
      <c r="BE198" s="17"/>
      <c r="BF198" s="34"/>
      <c r="BG198" s="17"/>
      <c r="BH198" s="17"/>
      <c r="BI198" s="17"/>
    </row>
    <row r="199" spans="1:61" ht="22.5" customHeight="1" x14ac:dyDescent="0.25">
      <c r="A199" s="33"/>
      <c r="B199" s="17"/>
      <c r="C199" s="17"/>
      <c r="D199" s="17"/>
      <c r="E199" s="17"/>
      <c r="F199" s="17"/>
      <c r="G199" s="34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17"/>
      <c r="S199" s="17"/>
      <c r="T199" s="17"/>
      <c r="U199" s="17"/>
      <c r="V199" s="17"/>
      <c r="W199" s="17"/>
      <c r="X199" s="17"/>
      <c r="Y199" s="34"/>
      <c r="Z199" s="34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34"/>
      <c r="AT199" s="17"/>
      <c r="AU199" s="17"/>
      <c r="AV199" s="17"/>
      <c r="AW199" s="17"/>
      <c r="AX199" s="17"/>
      <c r="AY199" s="17"/>
      <c r="AZ199" s="17"/>
      <c r="BA199" s="17"/>
      <c r="BB199" s="17"/>
      <c r="BC199" s="17"/>
      <c r="BD199" s="17"/>
      <c r="BE199" s="17"/>
      <c r="BF199" s="34"/>
      <c r="BG199" s="17"/>
      <c r="BH199" s="17"/>
      <c r="BI199" s="17"/>
    </row>
    <row r="200" spans="1:61" ht="22.5" customHeight="1" x14ac:dyDescent="0.25">
      <c r="A200" s="39"/>
      <c r="B200" s="18"/>
      <c r="C200" s="18"/>
      <c r="D200" s="18"/>
      <c r="E200" s="18"/>
      <c r="F200" s="18"/>
      <c r="G200" s="40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18"/>
      <c r="S200" s="18"/>
      <c r="T200" s="17"/>
      <c r="U200" s="18"/>
      <c r="V200" s="18"/>
      <c r="W200" s="18"/>
      <c r="X200" s="18"/>
      <c r="Y200" s="40"/>
      <c r="Z200" s="42"/>
      <c r="AA200" s="18"/>
      <c r="AB200" s="18"/>
      <c r="AC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  <c r="AS200" s="42"/>
      <c r="AT200" s="18"/>
      <c r="AU200" s="18"/>
      <c r="AV200" s="18"/>
      <c r="AW200" s="18"/>
      <c r="AX200" s="18"/>
      <c r="AY200" s="18"/>
      <c r="AZ200" s="18"/>
      <c r="BA200" s="18"/>
      <c r="BB200" s="18"/>
      <c r="BC200" s="18"/>
      <c r="BD200" s="18"/>
      <c r="BE200" s="18"/>
      <c r="BF200" s="42"/>
      <c r="BG200" s="18"/>
      <c r="BH200" s="18"/>
      <c r="BI200" s="18"/>
    </row>
    <row r="201" spans="1:61" ht="22.5" customHeight="1" x14ac:dyDescent="0.25">
      <c r="A201" s="43"/>
      <c r="B201" s="19"/>
      <c r="C201" s="19"/>
      <c r="D201" s="19"/>
      <c r="E201" s="19"/>
      <c r="F201" s="19"/>
      <c r="G201" s="44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19"/>
      <c r="S201" s="19"/>
      <c r="T201" s="17"/>
      <c r="U201" s="19"/>
      <c r="V201" s="19"/>
      <c r="W201" s="19"/>
      <c r="X201" s="19"/>
      <c r="Y201" s="44"/>
      <c r="Z201" s="44"/>
      <c r="AA201" s="19"/>
      <c r="AB201" s="19"/>
      <c r="AC201" s="19"/>
      <c r="AD201" s="19"/>
      <c r="AE201" s="19"/>
      <c r="AF201" s="19"/>
      <c r="AG201" s="19"/>
      <c r="AH201" s="19"/>
      <c r="AI201" s="19"/>
      <c r="AJ201" s="19"/>
      <c r="AK201" s="19"/>
      <c r="AL201" s="19"/>
      <c r="AM201" s="19"/>
      <c r="AN201" s="19"/>
      <c r="AO201" s="19"/>
      <c r="AP201" s="19"/>
      <c r="AQ201" s="19"/>
      <c r="AR201" s="19"/>
      <c r="AS201" s="44"/>
      <c r="AT201" s="19"/>
      <c r="AU201" s="19"/>
      <c r="AV201" s="19"/>
      <c r="AW201" s="19"/>
      <c r="AX201" s="19"/>
      <c r="AY201" s="19"/>
      <c r="AZ201" s="19"/>
      <c r="BA201" s="19"/>
      <c r="BB201" s="19"/>
      <c r="BC201" s="19"/>
      <c r="BD201" s="19"/>
      <c r="BE201" s="19"/>
      <c r="BF201" s="44"/>
      <c r="BG201" s="19"/>
      <c r="BH201" s="19"/>
      <c r="BI201" s="19"/>
    </row>
    <row r="202" spans="1:61" ht="22.5" customHeight="1" x14ac:dyDescent="0.25">
      <c r="A202" s="43"/>
      <c r="B202" s="19"/>
      <c r="C202" s="19"/>
      <c r="D202" s="19"/>
      <c r="E202" s="19"/>
      <c r="F202" s="19"/>
      <c r="G202" s="44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19"/>
      <c r="S202" s="19"/>
      <c r="T202" s="17"/>
      <c r="U202" s="19"/>
      <c r="V202" s="19"/>
      <c r="W202" s="19"/>
      <c r="X202" s="19"/>
      <c r="Y202" s="44"/>
      <c r="Z202" s="44"/>
      <c r="AA202" s="19"/>
      <c r="AB202" s="19"/>
      <c r="AC202" s="19"/>
      <c r="AD202" s="19"/>
      <c r="AE202" s="19"/>
      <c r="AF202" s="19"/>
      <c r="AG202" s="19"/>
      <c r="AH202" s="19"/>
      <c r="AI202" s="19"/>
      <c r="AJ202" s="19"/>
      <c r="AK202" s="19"/>
      <c r="AL202" s="19"/>
      <c r="AM202" s="19"/>
      <c r="AN202" s="19"/>
      <c r="AO202" s="19"/>
      <c r="AP202" s="19"/>
      <c r="AQ202" s="19"/>
      <c r="AR202" s="19"/>
      <c r="AS202" s="44"/>
      <c r="AT202" s="19"/>
      <c r="AU202" s="19"/>
      <c r="AV202" s="19"/>
      <c r="AW202" s="19"/>
      <c r="AX202" s="19"/>
      <c r="AY202" s="19"/>
      <c r="AZ202" s="19"/>
      <c r="BA202" s="19"/>
      <c r="BB202" s="19"/>
      <c r="BC202" s="19"/>
      <c r="BD202" s="19"/>
      <c r="BE202" s="19"/>
      <c r="BF202" s="44"/>
      <c r="BG202" s="19"/>
      <c r="BH202" s="19"/>
      <c r="BI202" s="19"/>
    </row>
    <row r="203" spans="1:61" ht="22.5" customHeight="1" x14ac:dyDescent="0.25">
      <c r="A203" s="33"/>
      <c r="B203" s="17"/>
      <c r="C203" s="17"/>
      <c r="D203" s="17"/>
      <c r="E203" s="17"/>
      <c r="F203" s="17"/>
      <c r="G203" s="34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17"/>
      <c r="S203" s="17"/>
      <c r="T203" s="17"/>
      <c r="U203" s="17"/>
      <c r="V203" s="17"/>
      <c r="W203" s="17"/>
      <c r="X203" s="17"/>
      <c r="Y203" s="34"/>
      <c r="Z203" s="34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34"/>
      <c r="AT203" s="17"/>
      <c r="AU203" s="17"/>
      <c r="AV203" s="17"/>
      <c r="AW203" s="17"/>
      <c r="AX203" s="17"/>
      <c r="AY203" s="17"/>
      <c r="AZ203" s="17"/>
      <c r="BA203" s="17"/>
      <c r="BB203" s="17"/>
      <c r="BC203" s="17"/>
      <c r="BD203" s="17"/>
      <c r="BE203" s="17"/>
      <c r="BF203" s="34"/>
      <c r="BG203" s="17"/>
      <c r="BH203" s="17"/>
      <c r="BI203" s="17"/>
    </row>
    <row r="204" spans="1:61" ht="22.5" customHeight="1" x14ac:dyDescent="0.25">
      <c r="A204" s="33"/>
      <c r="B204" s="17"/>
      <c r="C204" s="17"/>
      <c r="D204" s="17"/>
      <c r="E204" s="17"/>
      <c r="F204" s="17"/>
      <c r="G204" s="34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17"/>
      <c r="S204" s="17"/>
      <c r="T204" s="17"/>
      <c r="U204" s="17"/>
      <c r="V204" s="17"/>
      <c r="W204" s="17"/>
      <c r="X204" s="17"/>
      <c r="Y204" s="34"/>
      <c r="Z204" s="34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34"/>
      <c r="AT204" s="17"/>
      <c r="AU204" s="17"/>
      <c r="AV204" s="17"/>
      <c r="AW204" s="17"/>
      <c r="AX204" s="17"/>
      <c r="AY204" s="17"/>
      <c r="AZ204" s="17"/>
      <c r="BA204" s="17"/>
      <c r="BB204" s="17"/>
      <c r="BC204" s="17"/>
      <c r="BD204" s="17"/>
      <c r="BE204" s="17"/>
      <c r="BF204" s="34"/>
      <c r="BG204" s="17"/>
      <c r="BH204" s="17"/>
      <c r="BI204" s="17"/>
    </row>
    <row r="205" spans="1:61" ht="22.5" customHeight="1" x14ac:dyDescent="0.25">
      <c r="A205" s="39"/>
      <c r="B205" s="18"/>
      <c r="C205" s="18"/>
      <c r="D205" s="18"/>
      <c r="E205" s="18"/>
      <c r="F205" s="18"/>
      <c r="G205" s="40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18"/>
      <c r="S205" s="18"/>
      <c r="T205" s="17"/>
      <c r="U205" s="18"/>
      <c r="V205" s="18"/>
      <c r="W205" s="18"/>
      <c r="X205" s="18"/>
      <c r="Y205" s="40"/>
      <c r="Z205" s="42"/>
      <c r="AA205" s="18"/>
      <c r="AB205" s="18"/>
      <c r="AC205" s="18"/>
      <c r="AD205" s="18"/>
      <c r="AE205" s="18"/>
      <c r="AF205" s="18"/>
      <c r="AG205" s="18"/>
      <c r="AH205" s="18"/>
      <c r="AI205" s="18"/>
      <c r="AJ205" s="18"/>
      <c r="AK205" s="18"/>
      <c r="AL205" s="18"/>
      <c r="AM205" s="18"/>
      <c r="AN205" s="18"/>
      <c r="AO205" s="18"/>
      <c r="AP205" s="18"/>
      <c r="AQ205" s="18"/>
      <c r="AR205" s="18"/>
      <c r="AS205" s="42"/>
      <c r="AT205" s="18"/>
      <c r="AU205" s="18"/>
      <c r="AV205" s="18"/>
      <c r="AW205" s="18"/>
      <c r="AX205" s="18"/>
      <c r="AY205" s="18"/>
      <c r="AZ205" s="18"/>
      <c r="BA205" s="18"/>
      <c r="BB205" s="18"/>
      <c r="BC205" s="18"/>
      <c r="BD205" s="18"/>
      <c r="BE205" s="18"/>
      <c r="BF205" s="42"/>
      <c r="BG205" s="18"/>
      <c r="BH205" s="18"/>
      <c r="BI205" s="18"/>
    </row>
    <row r="206" spans="1:61" ht="22.5" customHeight="1" x14ac:dyDescent="0.25">
      <c r="A206" s="43"/>
      <c r="B206" s="19"/>
      <c r="C206" s="19"/>
      <c r="D206" s="19"/>
      <c r="E206" s="19"/>
      <c r="F206" s="19"/>
      <c r="G206" s="44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19"/>
      <c r="S206" s="19"/>
      <c r="T206" s="17"/>
      <c r="U206" s="19"/>
      <c r="V206" s="19"/>
      <c r="W206" s="19"/>
      <c r="X206" s="19"/>
      <c r="Y206" s="44"/>
      <c r="Z206" s="44"/>
      <c r="AA206" s="19"/>
      <c r="AB206" s="19"/>
      <c r="AC206" s="19"/>
      <c r="AD206" s="19"/>
      <c r="AE206" s="19"/>
      <c r="AF206" s="19"/>
      <c r="AG206" s="19"/>
      <c r="AH206" s="19"/>
      <c r="AI206" s="19"/>
      <c r="AJ206" s="19"/>
      <c r="AK206" s="19"/>
      <c r="AL206" s="19"/>
      <c r="AM206" s="19"/>
      <c r="AN206" s="19"/>
      <c r="AO206" s="19"/>
      <c r="AP206" s="19"/>
      <c r="AQ206" s="19"/>
      <c r="AR206" s="19"/>
      <c r="AS206" s="44"/>
      <c r="AT206" s="19"/>
      <c r="AU206" s="19"/>
      <c r="AV206" s="19"/>
      <c r="AW206" s="19"/>
      <c r="AX206" s="19"/>
      <c r="AY206" s="19"/>
      <c r="AZ206" s="19"/>
      <c r="BA206" s="19"/>
      <c r="BB206" s="19"/>
      <c r="BC206" s="19"/>
      <c r="BD206" s="19"/>
      <c r="BE206" s="19"/>
      <c r="BF206" s="44"/>
      <c r="BG206" s="19"/>
      <c r="BH206" s="19"/>
      <c r="BI206" s="19"/>
    </row>
    <row r="207" spans="1:61" ht="22.5" customHeight="1" x14ac:dyDescent="0.25">
      <c r="A207" s="43"/>
      <c r="B207" s="19"/>
      <c r="C207" s="19"/>
      <c r="D207" s="19"/>
      <c r="E207" s="19"/>
      <c r="F207" s="19"/>
      <c r="G207" s="44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19"/>
      <c r="S207" s="19"/>
      <c r="T207" s="17"/>
      <c r="U207" s="19"/>
      <c r="V207" s="19"/>
      <c r="W207" s="19"/>
      <c r="X207" s="19"/>
      <c r="Y207" s="44"/>
      <c r="Z207" s="44"/>
      <c r="AA207" s="19"/>
      <c r="AB207" s="19"/>
      <c r="AC207" s="19"/>
      <c r="AD207" s="19"/>
      <c r="AE207" s="19"/>
      <c r="AF207" s="19"/>
      <c r="AG207" s="19"/>
      <c r="AH207" s="19"/>
      <c r="AI207" s="19"/>
      <c r="AJ207" s="19"/>
      <c r="AK207" s="19"/>
      <c r="AL207" s="19"/>
      <c r="AM207" s="19"/>
      <c r="AN207" s="19"/>
      <c r="AO207" s="19"/>
      <c r="AP207" s="19"/>
      <c r="AQ207" s="19"/>
      <c r="AR207" s="19"/>
      <c r="AS207" s="44"/>
      <c r="AT207" s="19"/>
      <c r="AU207" s="19"/>
      <c r="AV207" s="19"/>
      <c r="AW207" s="19"/>
      <c r="AX207" s="19"/>
      <c r="AY207" s="19"/>
      <c r="AZ207" s="19"/>
      <c r="BA207" s="19"/>
      <c r="BB207" s="19"/>
      <c r="BC207" s="19"/>
      <c r="BD207" s="19"/>
      <c r="BE207" s="19"/>
      <c r="BF207" s="44"/>
      <c r="BG207" s="19"/>
      <c r="BH207" s="19"/>
      <c r="BI207" s="19"/>
    </row>
    <row r="208" spans="1:61" ht="22.5" customHeight="1" x14ac:dyDescent="0.25">
      <c r="A208" s="33"/>
      <c r="B208" s="17"/>
      <c r="C208" s="17"/>
      <c r="D208" s="17"/>
      <c r="E208" s="17"/>
      <c r="F208" s="17"/>
      <c r="G208" s="34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17"/>
      <c r="S208" s="17"/>
      <c r="T208" s="17"/>
      <c r="U208" s="17"/>
      <c r="V208" s="17"/>
      <c r="W208" s="17"/>
      <c r="X208" s="17"/>
      <c r="Y208" s="34"/>
      <c r="Z208" s="34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34"/>
      <c r="AT208" s="17"/>
      <c r="AU208" s="17"/>
      <c r="AV208" s="17"/>
      <c r="AW208" s="17"/>
      <c r="AX208" s="17"/>
      <c r="AY208" s="17"/>
      <c r="AZ208" s="17"/>
      <c r="BA208" s="17"/>
      <c r="BB208" s="17"/>
      <c r="BC208" s="17"/>
      <c r="BD208" s="17"/>
      <c r="BE208" s="17"/>
      <c r="BF208" s="34"/>
      <c r="BG208" s="17"/>
      <c r="BH208" s="17"/>
      <c r="BI208" s="17"/>
    </row>
    <row r="209" spans="1:61" ht="22.5" customHeight="1" x14ac:dyDescent="0.25">
      <c r="A209" s="33"/>
      <c r="B209" s="17"/>
      <c r="C209" s="17"/>
      <c r="D209" s="17"/>
      <c r="E209" s="17"/>
      <c r="F209" s="17"/>
      <c r="G209" s="34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17"/>
      <c r="S209" s="17"/>
      <c r="T209" s="17"/>
      <c r="U209" s="17"/>
      <c r="V209" s="17"/>
      <c r="W209" s="17"/>
      <c r="X209" s="17"/>
      <c r="Y209" s="34"/>
      <c r="Z209" s="34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34"/>
      <c r="AT209" s="17"/>
      <c r="AU209" s="17"/>
      <c r="AV209" s="17"/>
      <c r="AW209" s="17"/>
      <c r="AX209" s="17"/>
      <c r="AY209" s="17"/>
      <c r="AZ209" s="17"/>
      <c r="BA209" s="17"/>
      <c r="BB209" s="17"/>
      <c r="BC209" s="17"/>
      <c r="BD209" s="17"/>
      <c r="BE209" s="17"/>
      <c r="BF209" s="34"/>
      <c r="BG209" s="17"/>
      <c r="BH209" s="17"/>
      <c r="BI209" s="17"/>
    </row>
    <row r="210" spans="1:61" ht="22.5" customHeight="1" x14ac:dyDescent="0.25">
      <c r="A210" s="33"/>
      <c r="B210" s="17"/>
      <c r="C210" s="17"/>
      <c r="D210" s="17"/>
      <c r="E210" s="17"/>
      <c r="F210" s="17"/>
      <c r="G210" s="34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17"/>
      <c r="S210" s="17"/>
      <c r="T210" s="17"/>
      <c r="U210" s="17"/>
      <c r="V210" s="17"/>
      <c r="W210" s="17"/>
      <c r="X210" s="17"/>
      <c r="Y210" s="34"/>
      <c r="Z210" s="34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34"/>
      <c r="AT210" s="17"/>
      <c r="AU210" s="17"/>
      <c r="AV210" s="17"/>
      <c r="AW210" s="17"/>
      <c r="AX210" s="17"/>
      <c r="AY210" s="17"/>
      <c r="AZ210" s="17"/>
      <c r="BA210" s="17"/>
      <c r="BB210" s="17"/>
      <c r="BC210" s="17"/>
      <c r="BD210" s="17"/>
      <c r="BE210" s="17"/>
      <c r="BF210" s="34"/>
      <c r="BG210" s="17"/>
      <c r="BH210" s="17"/>
      <c r="BI210" s="17"/>
    </row>
    <row r="211" spans="1:61" ht="22.5" customHeight="1" x14ac:dyDescent="0.25">
      <c r="A211" s="33"/>
      <c r="B211" s="17"/>
      <c r="C211" s="17"/>
      <c r="D211" s="17"/>
      <c r="E211" s="17"/>
      <c r="F211" s="17"/>
      <c r="G211" s="34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17"/>
      <c r="S211" s="17"/>
      <c r="T211" s="17"/>
      <c r="U211" s="17"/>
      <c r="V211" s="17"/>
      <c r="W211" s="17"/>
      <c r="X211" s="17"/>
      <c r="Y211" s="34"/>
      <c r="Z211" s="34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34"/>
      <c r="AT211" s="17"/>
      <c r="AU211" s="17"/>
      <c r="AV211" s="17"/>
      <c r="AW211" s="17"/>
      <c r="AX211" s="17"/>
      <c r="AY211" s="17"/>
      <c r="AZ211" s="17"/>
      <c r="BA211" s="17"/>
      <c r="BB211" s="17"/>
      <c r="BC211" s="17"/>
      <c r="BD211" s="17"/>
      <c r="BE211" s="17"/>
      <c r="BF211" s="34"/>
      <c r="BG211" s="17"/>
      <c r="BH211" s="17"/>
      <c r="BI211" s="17"/>
    </row>
    <row r="212" spans="1:61" ht="22.5" customHeight="1" x14ac:dyDescent="0.25">
      <c r="A212" s="39"/>
      <c r="B212" s="18"/>
      <c r="C212" s="18"/>
      <c r="D212" s="18"/>
      <c r="E212" s="18"/>
      <c r="F212" s="18"/>
      <c r="G212" s="40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18"/>
      <c r="S212" s="18"/>
      <c r="T212" s="17"/>
      <c r="U212" s="18"/>
      <c r="V212" s="18"/>
      <c r="W212" s="18"/>
      <c r="X212" s="18"/>
      <c r="Y212" s="40"/>
      <c r="Z212" s="42"/>
      <c r="AA212" s="18"/>
      <c r="AB212" s="18"/>
      <c r="AC212" s="18"/>
      <c r="AD212" s="18"/>
      <c r="AE212" s="18"/>
      <c r="AF212" s="18"/>
      <c r="AG212" s="18"/>
      <c r="AH212" s="18"/>
      <c r="AI212" s="18"/>
      <c r="AJ212" s="18"/>
      <c r="AK212" s="18"/>
      <c r="AL212" s="18"/>
      <c r="AM212" s="18"/>
      <c r="AN212" s="18"/>
      <c r="AO212" s="18"/>
      <c r="AP212" s="18"/>
      <c r="AQ212" s="18"/>
      <c r="AR212" s="18"/>
      <c r="AS212" s="42"/>
      <c r="AT212" s="18"/>
      <c r="AU212" s="18"/>
      <c r="AV212" s="18"/>
      <c r="AW212" s="18"/>
      <c r="AX212" s="18"/>
      <c r="AY212" s="18"/>
      <c r="AZ212" s="18"/>
      <c r="BA212" s="18"/>
      <c r="BB212" s="18"/>
      <c r="BC212" s="18"/>
      <c r="BD212" s="18"/>
      <c r="BE212" s="18"/>
      <c r="BF212" s="42"/>
      <c r="BG212" s="18"/>
      <c r="BH212" s="18"/>
      <c r="BI212" s="18"/>
    </row>
    <row r="213" spans="1:61" ht="22.5" customHeight="1" x14ac:dyDescent="0.25">
      <c r="A213" s="43"/>
      <c r="B213" s="19"/>
      <c r="C213" s="19"/>
      <c r="D213" s="19"/>
      <c r="E213" s="19"/>
      <c r="F213" s="19"/>
      <c r="G213" s="44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19"/>
      <c r="S213" s="19"/>
      <c r="T213" s="17"/>
      <c r="U213" s="19"/>
      <c r="V213" s="19"/>
      <c r="W213" s="19"/>
      <c r="X213" s="19"/>
      <c r="Y213" s="44"/>
      <c r="Z213" s="44"/>
      <c r="AA213" s="19"/>
      <c r="AB213" s="19"/>
      <c r="AC213" s="19"/>
      <c r="AD213" s="19"/>
      <c r="AE213" s="19"/>
      <c r="AF213" s="19"/>
      <c r="AG213" s="19"/>
      <c r="AH213" s="19"/>
      <c r="AI213" s="19"/>
      <c r="AJ213" s="19"/>
      <c r="AK213" s="19"/>
      <c r="AL213" s="19"/>
      <c r="AM213" s="19"/>
      <c r="AN213" s="19"/>
      <c r="AO213" s="19"/>
      <c r="AP213" s="19"/>
      <c r="AQ213" s="19"/>
      <c r="AR213" s="19"/>
      <c r="AS213" s="44"/>
      <c r="AT213" s="19"/>
      <c r="AU213" s="19"/>
      <c r="AV213" s="19"/>
      <c r="AW213" s="19"/>
      <c r="AX213" s="19"/>
      <c r="AY213" s="19"/>
      <c r="AZ213" s="19"/>
      <c r="BA213" s="19"/>
      <c r="BB213" s="19"/>
      <c r="BC213" s="19"/>
      <c r="BD213" s="19"/>
      <c r="BE213" s="19"/>
      <c r="BF213" s="44"/>
      <c r="BG213" s="19"/>
      <c r="BH213" s="19"/>
      <c r="BI213" s="19"/>
    </row>
    <row r="214" spans="1:61" ht="22.5" customHeight="1" x14ac:dyDescent="0.25">
      <c r="A214" s="43"/>
      <c r="B214" s="19"/>
      <c r="C214" s="19"/>
      <c r="D214" s="19"/>
      <c r="E214" s="19"/>
      <c r="F214" s="19"/>
      <c r="G214" s="44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19"/>
      <c r="S214" s="19"/>
      <c r="T214" s="17"/>
      <c r="U214" s="19"/>
      <c r="V214" s="19"/>
      <c r="W214" s="19"/>
      <c r="X214" s="19"/>
      <c r="Y214" s="44"/>
      <c r="Z214" s="44"/>
      <c r="AA214" s="19"/>
      <c r="AB214" s="19"/>
      <c r="AC214" s="19"/>
      <c r="AD214" s="19"/>
      <c r="AE214" s="19"/>
      <c r="AF214" s="19"/>
      <c r="AG214" s="19"/>
      <c r="AH214" s="19"/>
      <c r="AI214" s="19"/>
      <c r="AJ214" s="19"/>
      <c r="AK214" s="19"/>
      <c r="AL214" s="19"/>
      <c r="AM214" s="19"/>
      <c r="AN214" s="19"/>
      <c r="AO214" s="19"/>
      <c r="AP214" s="19"/>
      <c r="AQ214" s="19"/>
      <c r="AR214" s="19"/>
      <c r="AS214" s="44"/>
      <c r="AT214" s="19"/>
      <c r="AU214" s="19"/>
      <c r="AV214" s="19"/>
      <c r="AW214" s="19"/>
      <c r="AX214" s="19"/>
      <c r="AY214" s="19"/>
      <c r="AZ214" s="19"/>
      <c r="BA214" s="19"/>
      <c r="BB214" s="19"/>
      <c r="BC214" s="19"/>
      <c r="BD214" s="19"/>
      <c r="BE214" s="19"/>
      <c r="BF214" s="44"/>
      <c r="BG214" s="19"/>
      <c r="BH214" s="19"/>
      <c r="BI214" s="19"/>
    </row>
    <row r="215" spans="1:61" ht="22.5" customHeight="1" x14ac:dyDescent="0.25">
      <c r="A215" s="33"/>
      <c r="B215" s="17"/>
      <c r="C215" s="17"/>
      <c r="D215" s="17"/>
      <c r="E215" s="17"/>
      <c r="F215" s="17"/>
      <c r="G215" s="34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17"/>
      <c r="S215" s="17"/>
      <c r="T215" s="17"/>
      <c r="U215" s="17"/>
      <c r="V215" s="17"/>
      <c r="W215" s="17"/>
      <c r="X215" s="17"/>
      <c r="Y215" s="34"/>
      <c r="Z215" s="34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34"/>
      <c r="AT215" s="17"/>
      <c r="AU215" s="17"/>
      <c r="AV215" s="17"/>
      <c r="AW215" s="17"/>
      <c r="AX215" s="17"/>
      <c r="AY215" s="17"/>
      <c r="AZ215" s="17"/>
      <c r="BA215" s="17"/>
      <c r="BB215" s="17"/>
      <c r="BC215" s="17"/>
      <c r="BD215" s="17"/>
      <c r="BE215" s="17"/>
      <c r="BF215" s="34"/>
      <c r="BG215" s="17"/>
      <c r="BH215" s="17"/>
      <c r="BI215" s="17"/>
    </row>
    <row r="216" spans="1:61" ht="22.5" customHeight="1" x14ac:dyDescent="0.25">
      <c r="A216" s="33"/>
      <c r="B216" s="17"/>
      <c r="C216" s="17"/>
      <c r="D216" s="17"/>
      <c r="E216" s="17"/>
      <c r="F216" s="17"/>
      <c r="G216" s="34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17"/>
      <c r="S216" s="17"/>
      <c r="T216" s="17"/>
      <c r="U216" s="17"/>
      <c r="V216" s="17"/>
      <c r="W216" s="17"/>
      <c r="X216" s="17"/>
      <c r="Y216" s="34"/>
      <c r="Z216" s="34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34"/>
      <c r="AT216" s="17"/>
      <c r="AU216" s="17"/>
      <c r="AV216" s="17"/>
      <c r="AW216" s="17"/>
      <c r="AX216" s="17"/>
      <c r="AY216" s="17"/>
      <c r="AZ216" s="17"/>
      <c r="BA216" s="17"/>
      <c r="BB216" s="17"/>
      <c r="BC216" s="17"/>
      <c r="BD216" s="17"/>
      <c r="BE216" s="17"/>
      <c r="BF216" s="34"/>
      <c r="BG216" s="17"/>
      <c r="BH216" s="17"/>
      <c r="BI216" s="17"/>
    </row>
    <row r="217" spans="1:61" ht="22.5" customHeight="1" x14ac:dyDescent="0.25">
      <c r="A217" s="33"/>
      <c r="B217" s="17"/>
      <c r="C217" s="17"/>
      <c r="D217" s="17"/>
      <c r="E217" s="17"/>
      <c r="F217" s="17"/>
      <c r="G217" s="34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17"/>
      <c r="S217" s="17"/>
      <c r="T217" s="17"/>
      <c r="U217" s="17"/>
      <c r="V217" s="17"/>
      <c r="W217" s="17"/>
      <c r="X217" s="17"/>
      <c r="Y217" s="34"/>
      <c r="Z217" s="34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34"/>
      <c r="AT217" s="17"/>
      <c r="AU217" s="17"/>
      <c r="AV217" s="17"/>
      <c r="AW217" s="17"/>
      <c r="AX217" s="17"/>
      <c r="AY217" s="17"/>
      <c r="AZ217" s="17"/>
      <c r="BA217" s="17"/>
      <c r="BB217" s="17"/>
      <c r="BC217" s="17"/>
      <c r="BD217" s="17"/>
      <c r="BE217" s="17"/>
      <c r="BF217" s="34"/>
      <c r="BG217" s="17"/>
      <c r="BH217" s="17"/>
      <c r="BI217" s="17"/>
    </row>
    <row r="218" spans="1:61" ht="22.5" customHeight="1" x14ac:dyDescent="0.25">
      <c r="A218" s="33"/>
      <c r="B218" s="17"/>
      <c r="C218" s="17"/>
      <c r="D218" s="17"/>
      <c r="E218" s="17"/>
      <c r="F218" s="17"/>
      <c r="G218" s="34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17"/>
      <c r="S218" s="17"/>
      <c r="T218" s="17"/>
      <c r="U218" s="17"/>
      <c r="V218" s="17"/>
      <c r="W218" s="17"/>
      <c r="X218" s="17"/>
      <c r="Y218" s="34"/>
      <c r="Z218" s="34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34"/>
      <c r="AT218" s="17"/>
      <c r="AU218" s="17"/>
      <c r="AV218" s="17"/>
      <c r="AW218" s="17"/>
      <c r="AX218" s="17"/>
      <c r="AY218" s="17"/>
      <c r="AZ218" s="17"/>
      <c r="BA218" s="17"/>
      <c r="BB218" s="17"/>
      <c r="BC218" s="17"/>
      <c r="BD218" s="17"/>
      <c r="BE218" s="17"/>
      <c r="BF218" s="34"/>
      <c r="BG218" s="17"/>
      <c r="BH218" s="17"/>
      <c r="BI218" s="17"/>
    </row>
    <row r="219" spans="1:61" ht="22.5" customHeight="1" x14ac:dyDescent="0.25">
      <c r="A219" s="33"/>
      <c r="B219" s="17"/>
      <c r="C219" s="17"/>
      <c r="D219" s="17"/>
      <c r="E219" s="17"/>
      <c r="F219" s="17"/>
      <c r="G219" s="34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17"/>
      <c r="S219" s="17"/>
      <c r="T219" s="17"/>
      <c r="U219" s="17"/>
      <c r="V219" s="17"/>
      <c r="W219" s="17"/>
      <c r="X219" s="17"/>
      <c r="Y219" s="34"/>
      <c r="Z219" s="34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34"/>
      <c r="AT219" s="17"/>
      <c r="AU219" s="17"/>
      <c r="AV219" s="17"/>
      <c r="AW219" s="17"/>
      <c r="AX219" s="17"/>
      <c r="AY219" s="17"/>
      <c r="AZ219" s="17"/>
      <c r="BA219" s="17"/>
      <c r="BB219" s="17"/>
      <c r="BC219" s="17"/>
      <c r="BD219" s="17"/>
      <c r="BE219" s="17"/>
      <c r="BF219" s="34"/>
      <c r="BG219" s="17"/>
      <c r="BH219" s="17"/>
      <c r="BI219" s="17"/>
    </row>
    <row r="220" spans="1:61" ht="22.5" customHeight="1" x14ac:dyDescent="0.25">
      <c r="A220" s="33"/>
      <c r="B220" s="17"/>
      <c r="C220" s="17"/>
      <c r="D220" s="17"/>
      <c r="E220" s="17"/>
      <c r="F220" s="17"/>
      <c r="G220" s="34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17"/>
      <c r="S220" s="17"/>
      <c r="T220" s="17"/>
      <c r="U220" s="17"/>
      <c r="V220" s="17"/>
      <c r="W220" s="17"/>
      <c r="X220" s="17"/>
      <c r="Y220" s="34"/>
      <c r="Z220" s="34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34"/>
      <c r="AT220" s="17"/>
      <c r="AU220" s="17"/>
      <c r="AV220" s="17"/>
      <c r="AW220" s="17"/>
      <c r="AX220" s="17"/>
      <c r="AY220" s="17"/>
      <c r="AZ220" s="17"/>
      <c r="BA220" s="17"/>
      <c r="BB220" s="17"/>
      <c r="BC220" s="17"/>
      <c r="BD220" s="17"/>
      <c r="BE220" s="17"/>
      <c r="BF220" s="34"/>
      <c r="BG220" s="17"/>
      <c r="BH220" s="17"/>
      <c r="BI220" s="17"/>
    </row>
    <row r="221" spans="1:61" ht="22.5" customHeight="1" x14ac:dyDescent="0.25">
      <c r="A221" s="33"/>
      <c r="B221" s="17"/>
      <c r="C221" s="17"/>
      <c r="D221" s="17"/>
      <c r="E221" s="17"/>
      <c r="F221" s="17"/>
      <c r="G221" s="34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17"/>
      <c r="S221" s="17"/>
      <c r="T221" s="17"/>
      <c r="U221" s="17"/>
      <c r="V221" s="17"/>
      <c r="W221" s="17"/>
      <c r="X221" s="17"/>
      <c r="Y221" s="34"/>
      <c r="Z221" s="34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34"/>
      <c r="AT221" s="17"/>
      <c r="AU221" s="17"/>
      <c r="AV221" s="17"/>
      <c r="AW221" s="17"/>
      <c r="AX221" s="17"/>
      <c r="AY221" s="17"/>
      <c r="AZ221" s="17"/>
      <c r="BA221" s="17"/>
      <c r="BB221" s="17"/>
      <c r="BC221" s="17"/>
      <c r="BD221" s="17"/>
      <c r="BE221" s="17"/>
      <c r="BF221" s="34"/>
      <c r="BG221" s="17"/>
      <c r="BH221" s="17"/>
      <c r="BI221" s="17"/>
    </row>
    <row r="222" spans="1:61" ht="22.5" customHeight="1" x14ac:dyDescent="0.25">
      <c r="A222" s="33"/>
      <c r="B222" s="17"/>
      <c r="C222" s="17"/>
      <c r="D222" s="17"/>
      <c r="E222" s="17"/>
      <c r="F222" s="17"/>
      <c r="G222" s="34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17"/>
      <c r="S222" s="17"/>
      <c r="T222" s="17"/>
      <c r="U222" s="17"/>
      <c r="V222" s="17"/>
      <c r="W222" s="17"/>
      <c r="X222" s="17"/>
      <c r="Y222" s="34"/>
      <c r="Z222" s="34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34"/>
      <c r="AT222" s="17"/>
      <c r="AU222" s="17"/>
      <c r="AV222" s="17"/>
      <c r="AW222" s="17"/>
      <c r="AX222" s="17"/>
      <c r="AY222" s="17"/>
      <c r="AZ222" s="17"/>
      <c r="BA222" s="17"/>
      <c r="BB222" s="17"/>
      <c r="BC222" s="17"/>
      <c r="BD222" s="17"/>
      <c r="BE222" s="17"/>
      <c r="BF222" s="34"/>
      <c r="BG222" s="17"/>
      <c r="BH222" s="17"/>
      <c r="BI222" s="17"/>
    </row>
    <row r="223" spans="1:61" ht="22.5" customHeight="1" x14ac:dyDescent="0.25">
      <c r="A223" s="33"/>
      <c r="B223" s="17"/>
      <c r="C223" s="17"/>
      <c r="D223" s="17"/>
      <c r="E223" s="17"/>
      <c r="F223" s="17"/>
      <c r="G223" s="34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17"/>
      <c r="S223" s="17"/>
      <c r="T223" s="17"/>
      <c r="U223" s="17"/>
      <c r="V223" s="17"/>
      <c r="W223" s="17"/>
      <c r="X223" s="17"/>
      <c r="Y223" s="34"/>
      <c r="Z223" s="34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34"/>
      <c r="AT223" s="17"/>
      <c r="AU223" s="17"/>
      <c r="AV223" s="17"/>
      <c r="AW223" s="17"/>
      <c r="AX223" s="17"/>
      <c r="AY223" s="17"/>
      <c r="AZ223" s="17"/>
      <c r="BA223" s="17"/>
      <c r="BB223" s="17"/>
      <c r="BC223" s="17"/>
      <c r="BD223" s="17"/>
      <c r="BE223" s="17"/>
      <c r="BF223" s="34"/>
      <c r="BG223" s="17"/>
      <c r="BH223" s="17"/>
      <c r="BI223" s="17"/>
    </row>
    <row r="224" spans="1:61" ht="22.5" customHeight="1" x14ac:dyDescent="0.25">
      <c r="A224" s="33"/>
      <c r="B224" s="17"/>
      <c r="C224" s="17"/>
      <c r="D224" s="17"/>
      <c r="E224" s="17"/>
      <c r="F224" s="17"/>
      <c r="G224" s="34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17"/>
      <c r="S224" s="17"/>
      <c r="T224" s="17"/>
      <c r="U224" s="17"/>
      <c r="V224" s="17"/>
      <c r="W224" s="17"/>
      <c r="X224" s="17"/>
      <c r="Y224" s="34"/>
      <c r="Z224" s="34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34"/>
      <c r="AT224" s="17"/>
      <c r="AU224" s="17"/>
      <c r="AV224" s="17"/>
      <c r="AW224" s="17"/>
      <c r="AX224" s="17"/>
      <c r="AY224" s="17"/>
      <c r="AZ224" s="17"/>
      <c r="BA224" s="17"/>
      <c r="BB224" s="17"/>
      <c r="BC224" s="17"/>
      <c r="BD224" s="17"/>
      <c r="BE224" s="17"/>
      <c r="BF224" s="34"/>
      <c r="BG224" s="17"/>
      <c r="BH224" s="17"/>
      <c r="BI224" s="17"/>
    </row>
    <row r="225" spans="1:61" ht="22.5" customHeight="1" x14ac:dyDescent="0.25">
      <c r="A225" s="33"/>
      <c r="B225" s="17"/>
      <c r="C225" s="17"/>
      <c r="D225" s="17"/>
      <c r="E225" s="17"/>
      <c r="F225" s="17"/>
      <c r="G225" s="34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17"/>
      <c r="S225" s="17"/>
      <c r="T225" s="17"/>
      <c r="U225" s="17"/>
      <c r="V225" s="17"/>
      <c r="W225" s="17"/>
      <c r="X225" s="17"/>
      <c r="Y225" s="34"/>
      <c r="Z225" s="34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34"/>
      <c r="AT225" s="17"/>
      <c r="AU225" s="17"/>
      <c r="AV225" s="17"/>
      <c r="AW225" s="17"/>
      <c r="AX225" s="17"/>
      <c r="AY225" s="17"/>
      <c r="AZ225" s="17"/>
      <c r="BA225" s="17"/>
      <c r="BB225" s="17"/>
      <c r="BC225" s="17"/>
      <c r="BD225" s="17"/>
      <c r="BE225" s="17"/>
      <c r="BF225" s="34"/>
      <c r="BG225" s="17"/>
      <c r="BH225" s="17"/>
      <c r="BI225" s="17"/>
    </row>
    <row r="226" spans="1:61" ht="22.5" customHeight="1" x14ac:dyDescent="0.25">
      <c r="A226" s="33"/>
      <c r="B226" s="17"/>
      <c r="C226" s="17"/>
      <c r="D226" s="17"/>
      <c r="E226" s="17"/>
      <c r="F226" s="17"/>
      <c r="G226" s="34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17"/>
      <c r="S226" s="17"/>
      <c r="T226" s="17"/>
      <c r="U226" s="17"/>
      <c r="V226" s="17"/>
      <c r="W226" s="17"/>
      <c r="X226" s="17"/>
      <c r="Y226" s="34"/>
      <c r="Z226" s="34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34"/>
      <c r="AT226" s="17"/>
      <c r="AU226" s="17"/>
      <c r="AV226" s="17"/>
      <c r="AW226" s="17"/>
      <c r="AX226" s="17"/>
      <c r="AY226" s="17"/>
      <c r="AZ226" s="17"/>
      <c r="BA226" s="17"/>
      <c r="BB226" s="17"/>
      <c r="BC226" s="17"/>
      <c r="BD226" s="17"/>
      <c r="BE226" s="17"/>
      <c r="BF226" s="34"/>
      <c r="BG226" s="17"/>
      <c r="BH226" s="17"/>
      <c r="BI226" s="17"/>
    </row>
    <row r="227" spans="1:61" ht="22.5" customHeight="1" x14ac:dyDescent="0.25">
      <c r="A227" s="33"/>
      <c r="B227" s="17"/>
      <c r="C227" s="17"/>
      <c r="D227" s="17"/>
      <c r="E227" s="17"/>
      <c r="F227" s="17"/>
      <c r="G227" s="34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17"/>
      <c r="S227" s="17"/>
      <c r="T227" s="17"/>
      <c r="U227" s="17"/>
      <c r="V227" s="17"/>
      <c r="W227" s="17"/>
      <c r="X227" s="17"/>
      <c r="Y227" s="34"/>
      <c r="Z227" s="34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34"/>
      <c r="AT227" s="17"/>
      <c r="AU227" s="17"/>
      <c r="AV227" s="17"/>
      <c r="AW227" s="17"/>
      <c r="AX227" s="17"/>
      <c r="AY227" s="17"/>
      <c r="AZ227" s="17"/>
      <c r="BA227" s="17"/>
      <c r="BB227" s="17"/>
      <c r="BC227" s="17"/>
      <c r="BD227" s="17"/>
      <c r="BE227" s="17"/>
      <c r="BF227" s="34"/>
      <c r="BG227" s="17"/>
      <c r="BH227" s="17"/>
      <c r="BI227" s="17"/>
    </row>
    <row r="228" spans="1:61" ht="22.5" customHeight="1" x14ac:dyDescent="0.25">
      <c r="A228" s="33"/>
      <c r="B228" s="17"/>
      <c r="C228" s="17"/>
      <c r="D228" s="17"/>
      <c r="E228" s="17"/>
      <c r="F228" s="17"/>
      <c r="G228" s="34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17"/>
      <c r="S228" s="17"/>
      <c r="T228" s="17"/>
      <c r="U228" s="17"/>
      <c r="V228" s="17"/>
      <c r="W228" s="17"/>
      <c r="X228" s="17"/>
      <c r="Y228" s="34"/>
      <c r="Z228" s="34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34"/>
      <c r="AT228" s="17"/>
      <c r="AU228" s="17"/>
      <c r="AV228" s="17"/>
      <c r="AW228" s="17"/>
      <c r="AX228" s="17"/>
      <c r="AY228" s="17"/>
      <c r="AZ228" s="17"/>
      <c r="BA228" s="17"/>
      <c r="BB228" s="17"/>
      <c r="BC228" s="17"/>
      <c r="BD228" s="17"/>
      <c r="BE228" s="17"/>
      <c r="BF228" s="34"/>
      <c r="BG228" s="17"/>
      <c r="BH228" s="17"/>
      <c r="BI228" s="17"/>
    </row>
    <row r="229" spans="1:61" ht="22.5" customHeight="1" x14ac:dyDescent="0.25">
      <c r="A229" s="33"/>
      <c r="B229" s="17"/>
      <c r="C229" s="17"/>
      <c r="D229" s="17"/>
      <c r="E229" s="17"/>
      <c r="F229" s="17"/>
      <c r="G229" s="34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17"/>
      <c r="S229" s="17"/>
      <c r="T229" s="17"/>
      <c r="U229" s="17"/>
      <c r="V229" s="17"/>
      <c r="W229" s="17"/>
      <c r="X229" s="17"/>
      <c r="Y229" s="34"/>
      <c r="Z229" s="34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34"/>
      <c r="AT229" s="17"/>
      <c r="AU229" s="17"/>
      <c r="AV229" s="17"/>
      <c r="AW229" s="17"/>
      <c r="AX229" s="17"/>
      <c r="AY229" s="17"/>
      <c r="AZ229" s="17"/>
      <c r="BA229" s="17"/>
      <c r="BB229" s="17"/>
      <c r="BC229" s="17"/>
      <c r="BD229" s="17"/>
      <c r="BE229" s="17"/>
      <c r="BF229" s="34"/>
      <c r="BG229" s="17"/>
      <c r="BH229" s="17"/>
      <c r="BI229" s="17"/>
    </row>
    <row r="230" spans="1:61" ht="22.5" customHeight="1" x14ac:dyDescent="0.25">
      <c r="A230" s="33"/>
      <c r="B230" s="17"/>
      <c r="C230" s="17"/>
      <c r="D230" s="17"/>
      <c r="E230" s="17"/>
      <c r="F230" s="17"/>
      <c r="G230" s="34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17"/>
      <c r="S230" s="17"/>
      <c r="T230" s="17"/>
      <c r="U230" s="17"/>
      <c r="V230" s="17"/>
      <c r="W230" s="17"/>
      <c r="X230" s="17"/>
      <c r="Y230" s="34"/>
      <c r="Z230" s="34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34"/>
      <c r="AT230" s="17"/>
      <c r="AU230" s="17"/>
      <c r="AV230" s="17"/>
      <c r="AW230" s="17"/>
      <c r="AX230" s="17"/>
      <c r="AY230" s="17"/>
      <c r="AZ230" s="17"/>
      <c r="BA230" s="17"/>
      <c r="BB230" s="17"/>
      <c r="BC230" s="17"/>
      <c r="BD230" s="17"/>
      <c r="BE230" s="17"/>
      <c r="BF230" s="34"/>
      <c r="BG230" s="17"/>
      <c r="BH230" s="17"/>
      <c r="BI230" s="17"/>
    </row>
    <row r="231" spans="1:61" ht="22.5" customHeight="1" x14ac:dyDescent="0.25">
      <c r="A231" s="33"/>
      <c r="B231" s="17"/>
      <c r="C231" s="17"/>
      <c r="D231" s="17"/>
      <c r="E231" s="17"/>
      <c r="F231" s="17"/>
      <c r="G231" s="34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17"/>
      <c r="S231" s="17"/>
      <c r="T231" s="17"/>
      <c r="U231" s="17"/>
      <c r="V231" s="17"/>
      <c r="W231" s="17"/>
      <c r="X231" s="17"/>
      <c r="Y231" s="34"/>
      <c r="Z231" s="34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34"/>
      <c r="AT231" s="17"/>
      <c r="AU231" s="17"/>
      <c r="AV231" s="17"/>
      <c r="AW231" s="17"/>
      <c r="AX231" s="17"/>
      <c r="AY231" s="17"/>
      <c r="AZ231" s="17"/>
      <c r="BA231" s="17"/>
      <c r="BB231" s="17"/>
      <c r="BC231" s="17"/>
      <c r="BD231" s="17"/>
      <c r="BE231" s="17"/>
      <c r="BF231" s="34"/>
      <c r="BG231" s="17"/>
      <c r="BH231" s="17"/>
      <c r="BI231" s="17"/>
    </row>
    <row r="232" spans="1:61" ht="22.5" customHeight="1" x14ac:dyDescent="0.25">
      <c r="A232" s="33"/>
      <c r="B232" s="17"/>
      <c r="C232" s="17"/>
      <c r="D232" s="17"/>
      <c r="E232" s="17"/>
      <c r="F232" s="17"/>
      <c r="G232" s="34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17"/>
      <c r="S232" s="17"/>
      <c r="T232" s="17"/>
      <c r="U232" s="17"/>
      <c r="V232" s="17"/>
      <c r="W232" s="17"/>
      <c r="X232" s="17"/>
      <c r="Y232" s="34"/>
      <c r="Z232" s="34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34"/>
      <c r="AT232" s="17"/>
      <c r="AU232" s="17"/>
      <c r="AV232" s="17"/>
      <c r="AW232" s="17"/>
      <c r="AX232" s="17"/>
      <c r="AY232" s="17"/>
      <c r="AZ232" s="17"/>
      <c r="BA232" s="17"/>
      <c r="BB232" s="17"/>
      <c r="BC232" s="17"/>
      <c r="BD232" s="17"/>
      <c r="BE232" s="17"/>
      <c r="BF232" s="34"/>
      <c r="BG232" s="17"/>
      <c r="BH232" s="17"/>
      <c r="BI232" s="17"/>
    </row>
    <row r="233" spans="1:61" ht="22.5" customHeight="1" x14ac:dyDescent="0.25">
      <c r="A233" s="33"/>
      <c r="B233" s="17"/>
      <c r="C233" s="17"/>
      <c r="D233" s="17"/>
      <c r="E233" s="17"/>
      <c r="F233" s="17"/>
      <c r="G233" s="34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17"/>
      <c r="S233" s="17"/>
      <c r="T233" s="17"/>
      <c r="U233" s="17"/>
      <c r="V233" s="17"/>
      <c r="W233" s="17"/>
      <c r="X233" s="17"/>
      <c r="Y233" s="34"/>
      <c r="Z233" s="34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34"/>
      <c r="AT233" s="17"/>
      <c r="AU233" s="17"/>
      <c r="AV233" s="17"/>
      <c r="AW233" s="17"/>
      <c r="AX233" s="17"/>
      <c r="AY233" s="17"/>
      <c r="AZ233" s="17"/>
      <c r="BA233" s="17"/>
      <c r="BB233" s="17"/>
      <c r="BC233" s="17"/>
      <c r="BD233" s="17"/>
      <c r="BE233" s="17"/>
      <c r="BF233" s="34"/>
      <c r="BG233" s="17"/>
      <c r="BH233" s="17"/>
      <c r="BI233" s="17"/>
    </row>
    <row r="234" spans="1:61" ht="22.5" customHeight="1" x14ac:dyDescent="0.25">
      <c r="A234" s="33"/>
      <c r="B234" s="17"/>
      <c r="C234" s="17"/>
      <c r="D234" s="17"/>
      <c r="E234" s="17"/>
      <c r="F234" s="17"/>
      <c r="G234" s="34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17"/>
      <c r="S234" s="17"/>
      <c r="T234" s="17"/>
      <c r="U234" s="17"/>
      <c r="V234" s="17"/>
      <c r="W234" s="17"/>
      <c r="X234" s="17"/>
      <c r="Y234" s="34"/>
      <c r="Z234" s="34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34"/>
      <c r="AT234" s="17"/>
      <c r="AU234" s="17"/>
      <c r="AV234" s="17"/>
      <c r="AW234" s="17"/>
      <c r="AX234" s="17"/>
      <c r="AY234" s="17"/>
      <c r="AZ234" s="17"/>
      <c r="BA234" s="17"/>
      <c r="BB234" s="17"/>
      <c r="BC234" s="17"/>
      <c r="BD234" s="17"/>
      <c r="BE234" s="17"/>
      <c r="BF234" s="34"/>
      <c r="BG234" s="17"/>
      <c r="BH234" s="17"/>
      <c r="BI234" s="17"/>
    </row>
    <row r="235" spans="1:61" ht="22.5" customHeight="1" x14ac:dyDescent="0.25">
      <c r="A235" s="33"/>
      <c r="B235" s="17"/>
      <c r="C235" s="17"/>
      <c r="D235" s="17"/>
      <c r="E235" s="17"/>
      <c r="F235" s="17"/>
      <c r="G235" s="34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17"/>
      <c r="S235" s="17"/>
      <c r="T235" s="17"/>
      <c r="U235" s="17"/>
      <c r="V235" s="17"/>
      <c r="W235" s="17"/>
      <c r="X235" s="17"/>
      <c r="Y235" s="34"/>
      <c r="Z235" s="34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34"/>
      <c r="AT235" s="17"/>
      <c r="AU235" s="17"/>
      <c r="AV235" s="17"/>
      <c r="AW235" s="17"/>
      <c r="AX235" s="17"/>
      <c r="AY235" s="17"/>
      <c r="AZ235" s="17"/>
      <c r="BA235" s="17"/>
      <c r="BB235" s="17"/>
      <c r="BC235" s="17"/>
      <c r="BD235" s="17"/>
      <c r="BE235" s="17"/>
      <c r="BF235" s="34"/>
      <c r="BG235" s="17"/>
      <c r="BH235" s="17"/>
      <c r="BI235" s="17"/>
    </row>
    <row r="236" spans="1:61" ht="22.5" customHeight="1" x14ac:dyDescent="0.25">
      <c r="A236" s="33"/>
      <c r="B236" s="17"/>
      <c r="C236" s="17"/>
      <c r="D236" s="17"/>
      <c r="E236" s="17"/>
      <c r="F236" s="17"/>
      <c r="G236" s="34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17"/>
      <c r="S236" s="17"/>
      <c r="T236" s="17"/>
      <c r="U236" s="17"/>
      <c r="V236" s="17"/>
      <c r="W236" s="17"/>
      <c r="X236" s="17"/>
      <c r="Y236" s="34"/>
      <c r="Z236" s="34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34"/>
      <c r="AT236" s="17"/>
      <c r="AU236" s="17"/>
      <c r="AV236" s="17"/>
      <c r="AW236" s="17"/>
      <c r="AX236" s="17"/>
      <c r="AY236" s="17"/>
      <c r="AZ236" s="17"/>
      <c r="BA236" s="17"/>
      <c r="BB236" s="17"/>
      <c r="BC236" s="17"/>
      <c r="BD236" s="17"/>
      <c r="BE236" s="17"/>
      <c r="BF236" s="34"/>
      <c r="BG236" s="17"/>
      <c r="BH236" s="17"/>
      <c r="BI236" s="17"/>
    </row>
    <row r="237" spans="1:61" ht="22.5" customHeight="1" x14ac:dyDescent="0.25">
      <c r="A237" s="33"/>
      <c r="B237" s="17"/>
      <c r="C237" s="17"/>
      <c r="D237" s="17"/>
      <c r="E237" s="17"/>
      <c r="F237" s="17"/>
      <c r="G237" s="34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17"/>
      <c r="S237" s="17"/>
      <c r="T237" s="17"/>
      <c r="U237" s="17"/>
      <c r="V237" s="17"/>
      <c r="W237" s="17"/>
      <c r="X237" s="17"/>
      <c r="Y237" s="34"/>
      <c r="Z237" s="34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34"/>
      <c r="AT237" s="17"/>
      <c r="AU237" s="17"/>
      <c r="AV237" s="17"/>
      <c r="AW237" s="17"/>
      <c r="AX237" s="17"/>
      <c r="AY237" s="17"/>
      <c r="AZ237" s="17"/>
      <c r="BA237" s="17"/>
      <c r="BB237" s="17"/>
      <c r="BC237" s="17"/>
      <c r="BD237" s="17"/>
      <c r="BE237" s="17"/>
      <c r="BF237" s="34"/>
      <c r="BG237" s="17"/>
      <c r="BH237" s="17"/>
      <c r="BI237" s="17"/>
    </row>
    <row r="238" spans="1:61" ht="22.5" customHeight="1" x14ac:dyDescent="0.25">
      <c r="A238" s="33"/>
      <c r="B238" s="17"/>
      <c r="C238" s="17"/>
      <c r="D238" s="17"/>
      <c r="E238" s="17"/>
      <c r="F238" s="17"/>
      <c r="G238" s="34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17"/>
      <c r="S238" s="17"/>
      <c r="T238" s="17"/>
      <c r="U238" s="17"/>
      <c r="V238" s="17"/>
      <c r="W238" s="17"/>
      <c r="X238" s="17"/>
      <c r="Y238" s="34"/>
      <c r="Z238" s="34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34"/>
      <c r="AT238" s="17"/>
      <c r="AU238" s="17"/>
      <c r="AV238" s="17"/>
      <c r="AW238" s="17"/>
      <c r="AX238" s="17"/>
      <c r="AY238" s="17"/>
      <c r="AZ238" s="17"/>
      <c r="BA238" s="17"/>
      <c r="BB238" s="17"/>
      <c r="BC238" s="17"/>
      <c r="BD238" s="17"/>
      <c r="BE238" s="17"/>
      <c r="BF238" s="34"/>
      <c r="BG238" s="17"/>
      <c r="BH238" s="17"/>
      <c r="BI238" s="17"/>
    </row>
    <row r="239" spans="1:61" ht="22.5" customHeight="1" x14ac:dyDescent="0.25">
      <c r="A239" s="33"/>
      <c r="B239" s="17"/>
      <c r="C239" s="17"/>
      <c r="D239" s="17"/>
      <c r="E239" s="17"/>
      <c r="F239" s="17"/>
      <c r="G239" s="34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17"/>
      <c r="S239" s="17"/>
      <c r="T239" s="17"/>
      <c r="U239" s="17"/>
      <c r="V239" s="17"/>
      <c r="W239" s="17"/>
      <c r="X239" s="17"/>
      <c r="Y239" s="34"/>
      <c r="Z239" s="34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34"/>
      <c r="AT239" s="17"/>
      <c r="AU239" s="17"/>
      <c r="AV239" s="17"/>
      <c r="AW239" s="17"/>
      <c r="AX239" s="17"/>
      <c r="AY239" s="17"/>
      <c r="AZ239" s="17"/>
      <c r="BA239" s="17"/>
      <c r="BB239" s="17"/>
      <c r="BC239" s="17"/>
      <c r="BD239" s="17"/>
      <c r="BE239" s="17"/>
      <c r="BF239" s="34"/>
      <c r="BG239" s="17"/>
      <c r="BH239" s="17"/>
      <c r="BI239" s="17"/>
    </row>
    <row r="240" spans="1:61" ht="22.5" customHeight="1" x14ac:dyDescent="0.25">
      <c r="A240" s="33"/>
      <c r="B240" s="17"/>
      <c r="C240" s="17"/>
      <c r="D240" s="17"/>
      <c r="E240" s="17"/>
      <c r="F240" s="17"/>
      <c r="G240" s="34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17"/>
      <c r="S240" s="17"/>
      <c r="T240" s="17"/>
      <c r="U240" s="17"/>
      <c r="V240" s="17"/>
      <c r="W240" s="17"/>
      <c r="X240" s="17"/>
      <c r="Y240" s="34"/>
      <c r="Z240" s="34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34"/>
      <c r="AT240" s="17"/>
      <c r="AU240" s="17"/>
      <c r="AV240" s="17"/>
      <c r="AW240" s="17"/>
      <c r="AX240" s="17"/>
      <c r="AY240" s="17"/>
      <c r="AZ240" s="17"/>
      <c r="BA240" s="17"/>
      <c r="BB240" s="17"/>
      <c r="BC240" s="17"/>
      <c r="BD240" s="17"/>
      <c r="BE240" s="17"/>
      <c r="BF240" s="34"/>
      <c r="BG240" s="17"/>
      <c r="BH240" s="17"/>
      <c r="BI240" s="17"/>
    </row>
    <row r="241" spans="1:61" ht="22.5" customHeight="1" x14ac:dyDescent="0.25">
      <c r="A241" s="33"/>
      <c r="B241" s="17"/>
      <c r="C241" s="17"/>
      <c r="D241" s="17"/>
      <c r="E241" s="17"/>
      <c r="F241" s="17"/>
      <c r="G241" s="34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17"/>
      <c r="S241" s="17"/>
      <c r="T241" s="17"/>
      <c r="U241" s="17"/>
      <c r="V241" s="17"/>
      <c r="W241" s="17"/>
      <c r="X241" s="17"/>
      <c r="Y241" s="34"/>
      <c r="Z241" s="34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34"/>
      <c r="AT241" s="17"/>
      <c r="AU241" s="17"/>
      <c r="AV241" s="17"/>
      <c r="AW241" s="17"/>
      <c r="AX241" s="17"/>
      <c r="AY241" s="17"/>
      <c r="AZ241" s="17"/>
      <c r="BA241" s="17"/>
      <c r="BB241" s="17"/>
      <c r="BC241" s="17"/>
      <c r="BD241" s="17"/>
      <c r="BE241" s="17"/>
      <c r="BF241" s="34"/>
      <c r="BG241" s="17"/>
      <c r="BH241" s="17"/>
      <c r="BI241" s="17"/>
    </row>
    <row r="242" spans="1:61" ht="22.5" customHeight="1" x14ac:dyDescent="0.25">
      <c r="A242" s="33"/>
      <c r="B242" s="17"/>
      <c r="C242" s="17"/>
      <c r="D242" s="17"/>
      <c r="E242" s="17"/>
      <c r="F242" s="17"/>
      <c r="G242" s="34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17"/>
      <c r="S242" s="17"/>
      <c r="T242" s="17"/>
      <c r="U242" s="17"/>
      <c r="V242" s="17"/>
      <c r="W242" s="17"/>
      <c r="X242" s="17"/>
      <c r="Y242" s="34"/>
      <c r="Z242" s="34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34"/>
      <c r="AT242" s="17"/>
      <c r="AU242" s="17"/>
      <c r="AV242" s="17"/>
      <c r="AW242" s="17"/>
      <c r="AX242" s="17"/>
      <c r="AY242" s="17"/>
      <c r="AZ242" s="17"/>
      <c r="BA242" s="17"/>
      <c r="BB242" s="17"/>
      <c r="BC242" s="17"/>
      <c r="BD242" s="17"/>
      <c r="BE242" s="17"/>
      <c r="BF242" s="34"/>
      <c r="BG242" s="17"/>
      <c r="BH242" s="17"/>
      <c r="BI242" s="17"/>
    </row>
    <row r="243" spans="1:61" ht="22.5" customHeight="1" x14ac:dyDescent="0.25">
      <c r="A243" s="33"/>
      <c r="B243" s="17"/>
      <c r="C243" s="17"/>
      <c r="D243" s="17"/>
      <c r="E243" s="17"/>
      <c r="F243" s="17"/>
      <c r="G243" s="34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17"/>
      <c r="S243" s="17"/>
      <c r="T243" s="17"/>
      <c r="U243" s="17"/>
      <c r="V243" s="17"/>
      <c r="W243" s="17"/>
      <c r="X243" s="17"/>
      <c r="Y243" s="34"/>
      <c r="Z243" s="34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34"/>
      <c r="AT243" s="17"/>
      <c r="AU243" s="17"/>
      <c r="AV243" s="17"/>
      <c r="AW243" s="17"/>
      <c r="AX243" s="17"/>
      <c r="AY243" s="17"/>
      <c r="AZ243" s="17"/>
      <c r="BA243" s="17"/>
      <c r="BB243" s="17"/>
      <c r="BC243" s="17"/>
      <c r="BD243" s="17"/>
      <c r="BE243" s="17"/>
      <c r="BF243" s="34"/>
      <c r="BG243" s="17"/>
      <c r="BH243" s="17"/>
      <c r="BI243" s="17"/>
    </row>
    <row r="244" spans="1:61" ht="22.5" customHeight="1" x14ac:dyDescent="0.25">
      <c r="A244" s="33"/>
      <c r="B244" s="17"/>
      <c r="C244" s="17"/>
      <c r="D244" s="17"/>
      <c r="E244" s="17"/>
      <c r="F244" s="17"/>
      <c r="G244" s="34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17"/>
      <c r="S244" s="17"/>
      <c r="T244" s="17"/>
      <c r="U244" s="17"/>
      <c r="V244" s="17"/>
      <c r="W244" s="17"/>
      <c r="X244" s="17"/>
      <c r="Y244" s="34"/>
      <c r="Z244" s="34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34"/>
      <c r="AT244" s="17"/>
      <c r="AU244" s="17"/>
      <c r="AV244" s="17"/>
      <c r="AW244" s="17"/>
      <c r="AX244" s="17"/>
      <c r="AY244" s="17"/>
      <c r="AZ244" s="17"/>
      <c r="BA244" s="17"/>
      <c r="BB244" s="17"/>
      <c r="BC244" s="17"/>
      <c r="BD244" s="17"/>
      <c r="BE244" s="17"/>
      <c r="BF244" s="34"/>
      <c r="BG244" s="17"/>
      <c r="BH244" s="17"/>
      <c r="BI244" s="17"/>
    </row>
    <row r="245" spans="1:61" ht="22.5" customHeight="1" x14ac:dyDescent="0.25">
      <c r="A245" s="33"/>
      <c r="B245" s="17"/>
      <c r="C245" s="17"/>
      <c r="D245" s="17"/>
      <c r="E245" s="17"/>
      <c r="F245" s="17"/>
      <c r="G245" s="34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17"/>
      <c r="S245" s="17"/>
      <c r="T245" s="17"/>
      <c r="U245" s="17"/>
      <c r="V245" s="17"/>
      <c r="W245" s="17"/>
      <c r="X245" s="17"/>
      <c r="Y245" s="34"/>
      <c r="Z245" s="34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34"/>
      <c r="AT245" s="17"/>
      <c r="AU245" s="17"/>
      <c r="AV245" s="17"/>
      <c r="AW245" s="17"/>
      <c r="AX245" s="17"/>
      <c r="AY245" s="17"/>
      <c r="AZ245" s="17"/>
      <c r="BA245" s="17"/>
      <c r="BB245" s="17"/>
      <c r="BC245" s="17"/>
      <c r="BD245" s="17"/>
      <c r="BE245" s="17"/>
      <c r="BF245" s="34"/>
      <c r="BG245" s="17"/>
      <c r="BH245" s="17"/>
      <c r="BI245" s="17"/>
    </row>
    <row r="246" spans="1:61" ht="22.5" customHeight="1" x14ac:dyDescent="0.25">
      <c r="A246" s="33"/>
      <c r="B246" s="17"/>
      <c r="C246" s="17"/>
      <c r="D246" s="17"/>
      <c r="E246" s="17"/>
      <c r="F246" s="17"/>
      <c r="G246" s="34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17"/>
      <c r="S246" s="17"/>
      <c r="T246" s="17"/>
      <c r="U246" s="17"/>
      <c r="V246" s="17"/>
      <c r="W246" s="17"/>
      <c r="X246" s="17"/>
      <c r="Y246" s="34"/>
      <c r="Z246" s="34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34"/>
      <c r="AT246" s="17"/>
      <c r="AU246" s="17"/>
      <c r="AV246" s="17"/>
      <c r="AW246" s="17"/>
      <c r="AX246" s="17"/>
      <c r="AY246" s="17"/>
      <c r="AZ246" s="17"/>
      <c r="BA246" s="17"/>
      <c r="BB246" s="17"/>
      <c r="BC246" s="17"/>
      <c r="BD246" s="17"/>
      <c r="BE246" s="17"/>
      <c r="BF246" s="34"/>
      <c r="BG246" s="17"/>
      <c r="BH246" s="17"/>
      <c r="BI246" s="17"/>
    </row>
    <row r="247" spans="1:61" ht="22.5" customHeight="1" x14ac:dyDescent="0.25">
      <c r="A247" s="33"/>
      <c r="B247" s="17"/>
      <c r="C247" s="17"/>
      <c r="D247" s="17"/>
      <c r="E247" s="17"/>
      <c r="F247" s="17"/>
      <c r="G247" s="34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17"/>
      <c r="S247" s="17"/>
      <c r="T247" s="17"/>
      <c r="U247" s="17"/>
      <c r="V247" s="17"/>
      <c r="W247" s="17"/>
      <c r="X247" s="17"/>
      <c r="Y247" s="34"/>
      <c r="Z247" s="34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34"/>
      <c r="AT247" s="17"/>
      <c r="AU247" s="17"/>
      <c r="AV247" s="17"/>
      <c r="AW247" s="17"/>
      <c r="AX247" s="17"/>
      <c r="AY247" s="17"/>
      <c r="AZ247" s="17"/>
      <c r="BA247" s="17"/>
      <c r="BB247" s="17"/>
      <c r="BC247" s="17"/>
      <c r="BD247" s="17"/>
      <c r="BE247" s="17"/>
      <c r="BF247" s="34"/>
      <c r="BG247" s="17"/>
      <c r="BH247" s="17"/>
      <c r="BI247" s="17"/>
    </row>
    <row r="248" spans="1:61" ht="22.5" customHeight="1" x14ac:dyDescent="0.25">
      <c r="A248" s="33"/>
      <c r="B248" s="17"/>
      <c r="C248" s="17"/>
      <c r="D248" s="17"/>
      <c r="E248" s="17"/>
      <c r="F248" s="17"/>
      <c r="G248" s="34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17"/>
      <c r="S248" s="17"/>
      <c r="T248" s="17"/>
      <c r="U248" s="17"/>
      <c r="V248" s="17"/>
      <c r="W248" s="17"/>
      <c r="X248" s="17"/>
      <c r="Y248" s="34"/>
      <c r="Z248" s="34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34"/>
      <c r="AT248" s="17"/>
      <c r="AU248" s="17"/>
      <c r="AV248" s="17"/>
      <c r="AW248" s="17"/>
      <c r="AX248" s="17"/>
      <c r="AY248" s="17"/>
      <c r="AZ248" s="17"/>
      <c r="BA248" s="17"/>
      <c r="BB248" s="17"/>
      <c r="BC248" s="17"/>
      <c r="BD248" s="17"/>
      <c r="BE248" s="17"/>
      <c r="BF248" s="34"/>
      <c r="BG248" s="17"/>
      <c r="BH248" s="17"/>
      <c r="BI248" s="17"/>
    </row>
    <row r="249" spans="1:61" ht="22.5" customHeight="1" x14ac:dyDescent="0.25">
      <c r="A249" s="33"/>
      <c r="B249" s="17"/>
      <c r="C249" s="17"/>
      <c r="D249" s="17"/>
      <c r="E249" s="17"/>
      <c r="F249" s="17"/>
      <c r="G249" s="34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17"/>
      <c r="S249" s="17"/>
      <c r="T249" s="17"/>
      <c r="U249" s="17"/>
      <c r="V249" s="17"/>
      <c r="W249" s="17"/>
      <c r="X249" s="17"/>
      <c r="Y249" s="34"/>
      <c r="Z249" s="34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34"/>
      <c r="AT249" s="17"/>
      <c r="AU249" s="17"/>
      <c r="AV249" s="17"/>
      <c r="AW249" s="17"/>
      <c r="AX249" s="17"/>
      <c r="AY249" s="17"/>
      <c r="AZ249" s="17"/>
      <c r="BA249" s="17"/>
      <c r="BB249" s="17"/>
      <c r="BC249" s="17"/>
      <c r="BD249" s="17"/>
      <c r="BE249" s="17"/>
      <c r="BF249" s="34"/>
      <c r="BG249" s="17"/>
      <c r="BH249" s="17"/>
      <c r="BI249" s="17"/>
    </row>
    <row r="250" spans="1:61" ht="22.5" customHeight="1" x14ac:dyDescent="0.25">
      <c r="A250" s="33"/>
      <c r="B250" s="17"/>
      <c r="C250" s="17"/>
      <c r="D250" s="17"/>
      <c r="E250" s="17"/>
      <c r="F250" s="17"/>
      <c r="G250" s="34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17"/>
      <c r="S250" s="17"/>
      <c r="T250" s="17"/>
      <c r="U250" s="17"/>
      <c r="V250" s="17"/>
      <c r="W250" s="17"/>
      <c r="X250" s="17"/>
      <c r="Y250" s="34"/>
      <c r="Z250" s="34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34"/>
      <c r="AT250" s="17"/>
      <c r="AU250" s="17"/>
      <c r="AV250" s="17"/>
      <c r="AW250" s="17"/>
      <c r="AX250" s="17"/>
      <c r="AY250" s="17"/>
      <c r="AZ250" s="17"/>
      <c r="BA250" s="17"/>
      <c r="BB250" s="17"/>
      <c r="BC250" s="17"/>
      <c r="BD250" s="17"/>
      <c r="BE250" s="17"/>
      <c r="BF250" s="34"/>
      <c r="BG250" s="17"/>
      <c r="BH250" s="17"/>
      <c r="BI250" s="17"/>
    </row>
    <row r="251" spans="1:61" ht="22.5" customHeight="1" x14ac:dyDescent="0.25">
      <c r="A251" s="33"/>
      <c r="B251" s="17"/>
      <c r="C251" s="17"/>
      <c r="D251" s="17"/>
      <c r="E251" s="17"/>
      <c r="F251" s="17"/>
      <c r="G251" s="34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17"/>
      <c r="S251" s="17"/>
      <c r="T251" s="17"/>
      <c r="U251" s="17"/>
      <c r="V251" s="17"/>
      <c r="W251" s="17"/>
      <c r="X251" s="17"/>
      <c r="Y251" s="34"/>
      <c r="Z251" s="34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34"/>
      <c r="AT251" s="17"/>
      <c r="AU251" s="17"/>
      <c r="AV251" s="17"/>
      <c r="AW251" s="17"/>
      <c r="AX251" s="17"/>
      <c r="AY251" s="17"/>
      <c r="AZ251" s="17"/>
      <c r="BA251" s="17"/>
      <c r="BB251" s="17"/>
      <c r="BC251" s="17"/>
      <c r="BD251" s="17"/>
      <c r="BE251" s="17"/>
      <c r="BF251" s="34"/>
      <c r="BG251" s="17"/>
      <c r="BH251" s="17"/>
      <c r="BI251" s="17"/>
    </row>
    <row r="252" spans="1:61" ht="22.5" customHeight="1" x14ac:dyDescent="0.25">
      <c r="A252" s="33"/>
      <c r="B252" s="17"/>
      <c r="C252" s="17"/>
      <c r="D252" s="17"/>
      <c r="E252" s="17"/>
      <c r="F252" s="17"/>
      <c r="G252" s="34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17"/>
      <c r="S252" s="17"/>
      <c r="T252" s="17"/>
      <c r="U252" s="17"/>
      <c r="V252" s="17"/>
      <c r="W252" s="17"/>
      <c r="X252" s="17"/>
      <c r="Y252" s="34"/>
      <c r="Z252" s="34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34"/>
      <c r="AT252" s="17"/>
      <c r="AU252" s="17"/>
      <c r="AV252" s="17"/>
      <c r="AW252" s="17"/>
      <c r="AX252" s="17"/>
      <c r="AY252" s="17"/>
      <c r="AZ252" s="17"/>
      <c r="BA252" s="17"/>
      <c r="BB252" s="17"/>
      <c r="BC252" s="17"/>
      <c r="BD252" s="17"/>
      <c r="BE252" s="17"/>
      <c r="BF252" s="34"/>
      <c r="BG252" s="17"/>
      <c r="BH252" s="17"/>
      <c r="BI252" s="17"/>
    </row>
    <row r="253" spans="1:61" ht="22.5" customHeight="1" x14ac:dyDescent="0.25">
      <c r="A253" s="33"/>
      <c r="B253" s="17"/>
      <c r="C253" s="17"/>
      <c r="D253" s="17"/>
      <c r="E253" s="17"/>
      <c r="F253" s="17"/>
      <c r="G253" s="34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17"/>
      <c r="S253" s="17"/>
      <c r="T253" s="17"/>
      <c r="U253" s="17"/>
      <c r="V253" s="17"/>
      <c r="W253" s="17"/>
      <c r="X253" s="17"/>
      <c r="Y253" s="34"/>
      <c r="Z253" s="34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34"/>
      <c r="AT253" s="17"/>
      <c r="AU253" s="17"/>
      <c r="AV253" s="17"/>
      <c r="AW253" s="17"/>
      <c r="AX253" s="17"/>
      <c r="AY253" s="17"/>
      <c r="AZ253" s="17"/>
      <c r="BA253" s="17"/>
      <c r="BB253" s="17"/>
      <c r="BC253" s="17"/>
      <c r="BD253" s="17"/>
      <c r="BE253" s="17"/>
      <c r="BF253" s="34"/>
      <c r="BG253" s="17"/>
      <c r="BH253" s="17"/>
      <c r="BI253" s="17"/>
    </row>
    <row r="254" spans="1:61" ht="22.5" customHeight="1" x14ac:dyDescent="0.25">
      <c r="A254" s="33"/>
      <c r="B254" s="17"/>
      <c r="C254" s="17"/>
      <c r="D254" s="17"/>
      <c r="E254" s="17"/>
      <c r="F254" s="17"/>
      <c r="G254" s="34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17"/>
      <c r="S254" s="17"/>
      <c r="T254" s="17"/>
      <c r="U254" s="17"/>
      <c r="V254" s="17"/>
      <c r="W254" s="17"/>
      <c r="X254" s="17"/>
      <c r="Y254" s="34"/>
      <c r="Z254" s="34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34"/>
      <c r="AT254" s="17"/>
      <c r="AU254" s="17"/>
      <c r="AV254" s="17"/>
      <c r="AW254" s="17"/>
      <c r="AX254" s="17"/>
      <c r="AY254" s="17"/>
      <c r="AZ254" s="17"/>
      <c r="BA254" s="17"/>
      <c r="BB254" s="17"/>
      <c r="BC254" s="17"/>
      <c r="BD254" s="17"/>
      <c r="BE254" s="17"/>
      <c r="BF254" s="34"/>
      <c r="BG254" s="17"/>
      <c r="BH254" s="17"/>
      <c r="BI254" s="17"/>
    </row>
    <row r="255" spans="1:61" ht="22.5" customHeight="1" x14ac:dyDescent="0.25">
      <c r="A255" s="33"/>
      <c r="B255" s="17"/>
      <c r="C255" s="17"/>
      <c r="D255" s="17"/>
      <c r="E255" s="17"/>
      <c r="F255" s="17"/>
      <c r="G255" s="34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17"/>
      <c r="S255" s="17"/>
      <c r="T255" s="17"/>
      <c r="U255" s="17"/>
      <c r="V255" s="17"/>
      <c r="W255" s="17"/>
      <c r="X255" s="17"/>
      <c r="Y255" s="34"/>
      <c r="Z255" s="34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34"/>
      <c r="AT255" s="17"/>
      <c r="AU255" s="17"/>
      <c r="AV255" s="17"/>
      <c r="AW255" s="17"/>
      <c r="AX255" s="17"/>
      <c r="AY255" s="17"/>
      <c r="AZ255" s="17"/>
      <c r="BA255" s="17"/>
      <c r="BB255" s="17"/>
      <c r="BC255" s="17"/>
      <c r="BD255" s="17"/>
      <c r="BE255" s="17"/>
      <c r="BF255" s="34"/>
      <c r="BG255" s="17"/>
      <c r="BH255" s="17"/>
      <c r="BI255" s="17"/>
    </row>
    <row r="256" spans="1:61" ht="22.5" customHeight="1" x14ac:dyDescent="0.25">
      <c r="A256" s="33"/>
      <c r="B256" s="17"/>
      <c r="C256" s="17"/>
      <c r="D256" s="17"/>
      <c r="E256" s="17"/>
      <c r="F256" s="17"/>
      <c r="G256" s="34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17"/>
      <c r="S256" s="17"/>
      <c r="T256" s="17"/>
      <c r="U256" s="17"/>
      <c r="V256" s="17"/>
      <c r="W256" s="17"/>
      <c r="X256" s="17"/>
      <c r="Y256" s="34"/>
      <c r="Z256" s="34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34"/>
      <c r="AT256" s="17"/>
      <c r="AU256" s="17"/>
      <c r="AV256" s="17"/>
      <c r="AW256" s="17"/>
      <c r="AX256" s="17"/>
      <c r="AY256" s="17"/>
      <c r="AZ256" s="17"/>
      <c r="BA256" s="17"/>
      <c r="BB256" s="17"/>
      <c r="BC256" s="17"/>
      <c r="BD256" s="17"/>
      <c r="BE256" s="17"/>
      <c r="BF256" s="34"/>
      <c r="BG256" s="17"/>
      <c r="BH256" s="17"/>
      <c r="BI256" s="17"/>
    </row>
    <row r="257" spans="1:61" ht="22.5" customHeight="1" x14ac:dyDescent="0.25">
      <c r="A257" s="33"/>
      <c r="B257" s="17"/>
      <c r="C257" s="17"/>
      <c r="D257" s="17"/>
      <c r="E257" s="17"/>
      <c r="F257" s="17"/>
      <c r="G257" s="34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17"/>
      <c r="S257" s="17"/>
      <c r="T257" s="17"/>
      <c r="U257" s="17"/>
      <c r="V257" s="17"/>
      <c r="W257" s="17"/>
      <c r="X257" s="17"/>
      <c r="Y257" s="34"/>
      <c r="Z257" s="34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34"/>
      <c r="AT257" s="17"/>
      <c r="AU257" s="17"/>
      <c r="AV257" s="17"/>
      <c r="AW257" s="17"/>
      <c r="AX257" s="17"/>
      <c r="AY257" s="17"/>
      <c r="AZ257" s="17"/>
      <c r="BA257" s="17"/>
      <c r="BB257" s="17"/>
      <c r="BC257" s="17"/>
      <c r="BD257" s="17"/>
      <c r="BE257" s="17"/>
      <c r="BF257" s="34"/>
      <c r="BG257" s="17"/>
      <c r="BH257" s="17"/>
      <c r="BI257" s="17"/>
    </row>
    <row r="258" spans="1:61" ht="22.5" customHeight="1" x14ac:dyDescent="0.25">
      <c r="A258" s="33"/>
      <c r="B258" s="17"/>
      <c r="C258" s="17"/>
      <c r="D258" s="17"/>
      <c r="E258" s="17"/>
      <c r="F258" s="17"/>
      <c r="G258" s="34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17"/>
      <c r="S258" s="17"/>
      <c r="T258" s="17"/>
      <c r="U258" s="17"/>
      <c r="V258" s="17"/>
      <c r="W258" s="17"/>
      <c r="X258" s="17"/>
      <c r="Y258" s="34"/>
      <c r="Z258" s="34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34"/>
      <c r="AT258" s="17"/>
      <c r="AU258" s="17"/>
      <c r="AV258" s="17"/>
      <c r="AW258" s="17"/>
      <c r="AX258" s="17"/>
      <c r="AY258" s="17"/>
      <c r="AZ258" s="17"/>
      <c r="BA258" s="17"/>
      <c r="BB258" s="17"/>
      <c r="BC258" s="17"/>
      <c r="BD258" s="17"/>
      <c r="BE258" s="17"/>
      <c r="BF258" s="34"/>
      <c r="BG258" s="17"/>
      <c r="BH258" s="17"/>
      <c r="BI258" s="17"/>
    </row>
    <row r="259" spans="1:61" ht="22.5" customHeight="1" x14ac:dyDescent="0.25">
      <c r="A259" s="33"/>
      <c r="B259" s="17"/>
      <c r="C259" s="17"/>
      <c r="D259" s="17"/>
      <c r="E259" s="17"/>
      <c r="F259" s="17"/>
      <c r="G259" s="34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17"/>
      <c r="S259" s="17"/>
      <c r="T259" s="17"/>
      <c r="U259" s="17"/>
      <c r="V259" s="17"/>
      <c r="W259" s="17"/>
      <c r="X259" s="17"/>
      <c r="Y259" s="34"/>
      <c r="Z259" s="34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34"/>
      <c r="AT259" s="17"/>
      <c r="AU259" s="17"/>
      <c r="AV259" s="17"/>
      <c r="AW259" s="17"/>
      <c r="AX259" s="17"/>
      <c r="AY259" s="17"/>
      <c r="AZ259" s="17"/>
      <c r="BA259" s="17"/>
      <c r="BB259" s="17"/>
      <c r="BC259" s="17"/>
      <c r="BD259" s="17"/>
      <c r="BE259" s="17"/>
      <c r="BF259" s="34"/>
      <c r="BG259" s="17"/>
      <c r="BH259" s="17"/>
      <c r="BI259" s="17"/>
    </row>
    <row r="260" spans="1:61" ht="22.5" customHeight="1" x14ac:dyDescent="0.25">
      <c r="A260" s="33"/>
      <c r="B260" s="17"/>
      <c r="C260" s="17"/>
      <c r="D260" s="17"/>
      <c r="E260" s="17"/>
      <c r="F260" s="17"/>
      <c r="G260" s="34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17"/>
      <c r="S260" s="17"/>
      <c r="T260" s="17"/>
      <c r="U260" s="17"/>
      <c r="V260" s="17"/>
      <c r="W260" s="17"/>
      <c r="X260" s="17"/>
      <c r="Y260" s="34"/>
      <c r="Z260" s="34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34"/>
      <c r="AT260" s="17"/>
      <c r="AU260" s="17"/>
      <c r="AV260" s="17"/>
      <c r="AW260" s="17"/>
      <c r="AX260" s="17"/>
      <c r="AY260" s="17"/>
      <c r="AZ260" s="17"/>
      <c r="BA260" s="17"/>
      <c r="BB260" s="17"/>
      <c r="BC260" s="17"/>
      <c r="BD260" s="17"/>
      <c r="BE260" s="17"/>
      <c r="BF260" s="34"/>
      <c r="BG260" s="17"/>
      <c r="BH260" s="17"/>
      <c r="BI260" s="17"/>
    </row>
    <row r="261" spans="1:61" ht="22.5" customHeight="1" x14ac:dyDescent="0.25">
      <c r="A261" s="33"/>
      <c r="B261" s="17"/>
      <c r="C261" s="17"/>
      <c r="D261" s="17"/>
      <c r="E261" s="17"/>
      <c r="F261" s="17"/>
      <c r="G261" s="34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17"/>
      <c r="S261" s="17"/>
      <c r="T261" s="17"/>
      <c r="U261" s="17"/>
      <c r="V261" s="17"/>
      <c r="W261" s="17"/>
      <c r="X261" s="17"/>
      <c r="Y261" s="34"/>
      <c r="Z261" s="34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34"/>
      <c r="AT261" s="17"/>
      <c r="AU261" s="17"/>
      <c r="AV261" s="17"/>
      <c r="AW261" s="17"/>
      <c r="AX261" s="17"/>
      <c r="AY261" s="17"/>
      <c r="AZ261" s="17"/>
      <c r="BA261" s="17"/>
      <c r="BB261" s="17"/>
      <c r="BC261" s="17"/>
      <c r="BD261" s="17"/>
      <c r="BE261" s="17"/>
      <c r="BF261" s="34"/>
      <c r="BG261" s="17"/>
      <c r="BH261" s="17"/>
      <c r="BI261" s="17"/>
    </row>
    <row r="262" spans="1:61" ht="22.5" customHeight="1" x14ac:dyDescent="0.25">
      <c r="A262" s="33"/>
      <c r="B262" s="17"/>
      <c r="C262" s="17"/>
      <c r="D262" s="17"/>
      <c r="E262" s="17"/>
      <c r="F262" s="17"/>
      <c r="G262" s="34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17"/>
      <c r="S262" s="17"/>
      <c r="T262" s="17"/>
      <c r="U262" s="17"/>
      <c r="V262" s="17"/>
      <c r="W262" s="17"/>
      <c r="X262" s="17"/>
      <c r="Y262" s="34"/>
      <c r="Z262" s="34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34"/>
      <c r="AT262" s="17"/>
      <c r="AU262" s="17"/>
      <c r="AV262" s="17"/>
      <c r="AW262" s="17"/>
      <c r="AX262" s="17"/>
      <c r="AY262" s="17"/>
      <c r="AZ262" s="17"/>
      <c r="BA262" s="17"/>
      <c r="BB262" s="17"/>
      <c r="BC262" s="17"/>
      <c r="BD262" s="17"/>
      <c r="BE262" s="17"/>
      <c r="BF262" s="34"/>
      <c r="BG262" s="17"/>
      <c r="BH262" s="17"/>
      <c r="BI262" s="17"/>
    </row>
    <row r="263" spans="1:61" ht="22.5" customHeight="1" x14ac:dyDescent="0.25">
      <c r="A263" s="33"/>
      <c r="B263" s="17"/>
      <c r="C263" s="17"/>
      <c r="D263" s="17"/>
      <c r="E263" s="17"/>
      <c r="F263" s="17"/>
      <c r="G263" s="34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17"/>
      <c r="S263" s="17"/>
      <c r="T263" s="17"/>
      <c r="U263" s="17"/>
      <c r="V263" s="17"/>
      <c r="W263" s="17"/>
      <c r="X263" s="17"/>
      <c r="Y263" s="34"/>
      <c r="Z263" s="34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34"/>
      <c r="AT263" s="17"/>
      <c r="AU263" s="17"/>
      <c r="AV263" s="17"/>
      <c r="AW263" s="17"/>
      <c r="AX263" s="17"/>
      <c r="AY263" s="17"/>
      <c r="AZ263" s="17"/>
      <c r="BA263" s="17"/>
      <c r="BB263" s="17"/>
      <c r="BC263" s="17"/>
      <c r="BD263" s="17"/>
      <c r="BE263" s="17"/>
      <c r="BF263" s="34"/>
      <c r="BG263" s="17"/>
      <c r="BH263" s="17"/>
      <c r="BI263" s="17"/>
    </row>
    <row r="264" spans="1:61" ht="22.5" customHeight="1" x14ac:dyDescent="0.25">
      <c r="A264" s="33"/>
      <c r="B264" s="17"/>
      <c r="C264" s="17"/>
      <c r="D264" s="17"/>
      <c r="E264" s="17"/>
      <c r="F264" s="17"/>
      <c r="G264" s="34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17"/>
      <c r="S264" s="17"/>
      <c r="T264" s="17"/>
      <c r="U264" s="17"/>
      <c r="V264" s="17"/>
      <c r="W264" s="17"/>
      <c r="X264" s="17"/>
      <c r="Y264" s="34"/>
      <c r="Z264" s="34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34"/>
      <c r="AT264" s="17"/>
      <c r="AU264" s="17"/>
      <c r="AV264" s="17"/>
      <c r="AW264" s="17"/>
      <c r="AX264" s="17"/>
      <c r="AY264" s="17"/>
      <c r="AZ264" s="17"/>
      <c r="BA264" s="17"/>
      <c r="BB264" s="17"/>
      <c r="BC264" s="17"/>
      <c r="BD264" s="17"/>
      <c r="BE264" s="17"/>
      <c r="BF264" s="34"/>
      <c r="BG264" s="17"/>
      <c r="BH264" s="17"/>
      <c r="BI264" s="17"/>
    </row>
    <row r="265" spans="1:61" ht="22.5" customHeight="1" x14ac:dyDescent="0.25">
      <c r="A265" s="33"/>
      <c r="B265" s="17"/>
      <c r="C265" s="17"/>
      <c r="D265" s="17"/>
      <c r="E265" s="17"/>
      <c r="F265" s="17"/>
      <c r="G265" s="34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17"/>
      <c r="S265" s="17"/>
      <c r="T265" s="17"/>
      <c r="U265" s="17"/>
      <c r="V265" s="17"/>
      <c r="W265" s="17"/>
      <c r="X265" s="17"/>
      <c r="Y265" s="34"/>
      <c r="Z265" s="34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34"/>
      <c r="AT265" s="17"/>
      <c r="AU265" s="17"/>
      <c r="AV265" s="17"/>
      <c r="AW265" s="17"/>
      <c r="AX265" s="17"/>
      <c r="AY265" s="17"/>
      <c r="AZ265" s="17"/>
      <c r="BA265" s="17"/>
      <c r="BB265" s="17"/>
      <c r="BC265" s="17"/>
      <c r="BD265" s="17"/>
      <c r="BE265" s="17"/>
      <c r="BF265" s="34"/>
      <c r="BG265" s="17"/>
      <c r="BH265" s="17"/>
      <c r="BI265" s="17"/>
    </row>
    <row r="266" spans="1:61" x14ac:dyDescent="0.25">
      <c r="T266" s="17"/>
    </row>
    <row r="267" spans="1:61" x14ac:dyDescent="0.25">
      <c r="T267" s="17"/>
    </row>
    <row r="268" spans="1:61" x14ac:dyDescent="0.25">
      <c r="T268" s="17"/>
    </row>
    <row r="269" spans="1:61" x14ac:dyDescent="0.25">
      <c r="T269" s="17"/>
    </row>
    <row r="270" spans="1:61" x14ac:dyDescent="0.25">
      <c r="T270" s="17"/>
    </row>
    <row r="271" spans="1:61" x14ac:dyDescent="0.25">
      <c r="T271" s="17"/>
    </row>
    <row r="272" spans="1:61" x14ac:dyDescent="0.25">
      <c r="T272" s="17"/>
    </row>
    <row r="273" spans="20:20" x14ac:dyDescent="0.25">
      <c r="T273" s="17"/>
    </row>
    <row r="274" spans="20:20" x14ac:dyDescent="0.25">
      <c r="T274" s="17"/>
    </row>
    <row r="275" spans="20:20" x14ac:dyDescent="0.25">
      <c r="T275" s="17"/>
    </row>
    <row r="276" spans="20:20" x14ac:dyDescent="0.25">
      <c r="T276" s="17"/>
    </row>
    <row r="277" spans="20:20" x14ac:dyDescent="0.25">
      <c r="T277" s="17"/>
    </row>
    <row r="278" spans="20:20" x14ac:dyDescent="0.25">
      <c r="T278" s="17"/>
    </row>
    <row r="279" spans="20:20" x14ac:dyDescent="0.25">
      <c r="T279" s="17"/>
    </row>
    <row r="280" spans="20:20" x14ac:dyDescent="0.25">
      <c r="T280" s="17"/>
    </row>
    <row r="281" spans="20:20" x14ac:dyDescent="0.25">
      <c r="T281" s="17"/>
    </row>
    <row r="282" spans="20:20" x14ac:dyDescent="0.25">
      <c r="T282" s="17"/>
    </row>
    <row r="283" spans="20:20" x14ac:dyDescent="0.25">
      <c r="T283" s="17"/>
    </row>
  </sheetData>
  <mergeCells count="9">
    <mergeCell ref="AM5:AR5"/>
    <mergeCell ref="AS5:BE5"/>
    <mergeCell ref="BF5:BI5"/>
    <mergeCell ref="A2:F2"/>
    <mergeCell ref="D3:F3"/>
    <mergeCell ref="A5:R5"/>
    <mergeCell ref="T5:Z5"/>
    <mergeCell ref="AA5:AE5"/>
    <mergeCell ref="AF5:AL5"/>
  </mergeCells>
  <dataValidations count="1">
    <dataValidation type="decimal" allowBlank="1" showInputMessage="1" sqref="Y7:Y10001 H7:Q10001">
      <formula1>-2147483648</formula1>
      <formula2>2147483647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Q265"/>
  <sheetViews>
    <sheetView workbookViewId="0">
      <selection activeCell="A7" sqref="A7"/>
    </sheetView>
  </sheetViews>
  <sheetFormatPr baseColWidth="10" defaultRowHeight="15" x14ac:dyDescent="0.25"/>
  <cols>
    <col min="1" max="1" width="26" style="20" bestFit="1" customWidth="1"/>
    <col min="2" max="7" width="11.42578125" style="7"/>
  </cols>
  <sheetData>
    <row r="2" spans="1:17" x14ac:dyDescent="0.25">
      <c r="A2" s="7"/>
    </row>
    <row r="3" spans="1:17" ht="15.75" thickBot="1" x14ac:dyDescent="0.3"/>
    <row r="4" spans="1:17" ht="15.75" thickBot="1" x14ac:dyDescent="0.3">
      <c r="P4" s="25" t="s">
        <v>56</v>
      </c>
      <c r="Q4" s="26" t="s">
        <v>57</v>
      </c>
    </row>
    <row r="5" spans="1:17" x14ac:dyDescent="0.25">
      <c r="A5" s="7"/>
      <c r="P5" s="24" t="s">
        <v>58</v>
      </c>
      <c r="Q5" s="24" t="s">
        <v>55</v>
      </c>
    </row>
    <row r="6" spans="1:17" x14ac:dyDescent="0.25">
      <c r="A6" s="21"/>
      <c r="P6" s="24" t="s">
        <v>59</v>
      </c>
      <c r="Q6" s="23" t="s">
        <v>70</v>
      </c>
    </row>
    <row r="7" spans="1:17" x14ac:dyDescent="0.25">
      <c r="A7" s="29"/>
      <c r="F7" s="28"/>
      <c r="H7" t="str">
        <f>IF(A7&lt;10,CONCATENATE("0",A7),A7)</f>
        <v>0</v>
      </c>
      <c r="I7" s="8" t="e">
        <f>+CONCATENATE(H7,"/",VLOOKUP(C7,$P$4:$Q$16,2,FALSE),"/",E7)</f>
        <v>#N/A</v>
      </c>
      <c r="P7" s="24" t="s">
        <v>60</v>
      </c>
      <c r="Q7" s="23" t="s">
        <v>71</v>
      </c>
    </row>
    <row r="8" spans="1:17" x14ac:dyDescent="0.25">
      <c r="A8" s="17"/>
      <c r="F8" s="28"/>
      <c r="H8" s="15" t="str">
        <f t="shared" ref="H8:H71" si="0">IF(A8&lt;10,CONCATENATE("0",A8),A8)</f>
        <v>0</v>
      </c>
      <c r="I8" s="8" t="e">
        <f t="shared" ref="I8:I71" si="1">+CONCATENATE(H8,"/",VLOOKUP(C8,$P$4:$Q$16,2,FALSE),"/",E8)</f>
        <v>#N/A</v>
      </c>
      <c r="P8" s="24" t="s">
        <v>61</v>
      </c>
      <c r="Q8" s="23" t="s">
        <v>72</v>
      </c>
    </row>
    <row r="9" spans="1:17" x14ac:dyDescent="0.25">
      <c r="A9" s="17"/>
      <c r="F9" s="28"/>
      <c r="H9" s="15" t="str">
        <f t="shared" si="0"/>
        <v>0</v>
      </c>
      <c r="I9" s="8" t="e">
        <f t="shared" si="1"/>
        <v>#N/A</v>
      </c>
      <c r="P9" s="24" t="s">
        <v>62</v>
      </c>
      <c r="Q9" s="24" t="s">
        <v>54</v>
      </c>
    </row>
    <row r="10" spans="1:17" x14ac:dyDescent="0.25">
      <c r="A10" s="17"/>
      <c r="F10" s="28"/>
      <c r="H10" s="15" t="str">
        <f t="shared" si="0"/>
        <v>0</v>
      </c>
      <c r="I10" s="8" t="e">
        <f t="shared" si="1"/>
        <v>#N/A</v>
      </c>
      <c r="P10" s="24" t="s">
        <v>63</v>
      </c>
      <c r="Q10" s="23" t="s">
        <v>73</v>
      </c>
    </row>
    <row r="11" spans="1:17" x14ac:dyDescent="0.25">
      <c r="A11" s="17"/>
      <c r="F11" s="28"/>
      <c r="H11" s="15" t="str">
        <f t="shared" si="0"/>
        <v>0</v>
      </c>
      <c r="I11" s="8" t="e">
        <f t="shared" si="1"/>
        <v>#N/A</v>
      </c>
      <c r="P11" s="24" t="s">
        <v>64</v>
      </c>
      <c r="Q11" s="23" t="s">
        <v>74</v>
      </c>
    </row>
    <row r="12" spans="1:17" x14ac:dyDescent="0.25">
      <c r="A12" s="17"/>
      <c r="F12" s="28"/>
      <c r="H12" s="15" t="str">
        <f t="shared" si="0"/>
        <v>0</v>
      </c>
      <c r="I12" s="8" t="e">
        <f t="shared" si="1"/>
        <v>#N/A</v>
      </c>
      <c r="P12" s="24" t="s">
        <v>65</v>
      </c>
      <c r="Q12" s="23" t="s">
        <v>75</v>
      </c>
    </row>
    <row r="13" spans="1:17" x14ac:dyDescent="0.25">
      <c r="A13" s="17"/>
      <c r="F13" s="28"/>
      <c r="H13" s="15" t="str">
        <f t="shared" si="0"/>
        <v>0</v>
      </c>
      <c r="I13" s="8" t="e">
        <f t="shared" si="1"/>
        <v>#N/A</v>
      </c>
      <c r="P13" s="24" t="s">
        <v>66</v>
      </c>
      <c r="Q13" s="24" t="s">
        <v>76</v>
      </c>
    </row>
    <row r="14" spans="1:17" x14ac:dyDescent="0.25">
      <c r="A14" s="17"/>
      <c r="F14" s="28"/>
      <c r="H14" s="15" t="str">
        <f t="shared" si="0"/>
        <v>0</v>
      </c>
      <c r="I14" s="8" t="e">
        <f t="shared" si="1"/>
        <v>#N/A</v>
      </c>
      <c r="P14" s="24" t="s">
        <v>67</v>
      </c>
      <c r="Q14" s="23" t="s">
        <v>77</v>
      </c>
    </row>
    <row r="15" spans="1:17" x14ac:dyDescent="0.25">
      <c r="A15" s="17"/>
      <c r="F15" s="28"/>
      <c r="H15" s="15" t="str">
        <f t="shared" si="0"/>
        <v>0</v>
      </c>
      <c r="I15" s="8" t="e">
        <f t="shared" si="1"/>
        <v>#N/A</v>
      </c>
      <c r="P15" s="24" t="s">
        <v>68</v>
      </c>
      <c r="Q15" s="23" t="s">
        <v>78</v>
      </c>
    </row>
    <row r="16" spans="1:17" x14ac:dyDescent="0.25">
      <c r="A16" s="17"/>
      <c r="F16" s="28"/>
      <c r="H16" s="15" t="str">
        <f t="shared" si="0"/>
        <v>0</v>
      </c>
      <c r="I16" s="8" t="e">
        <f t="shared" si="1"/>
        <v>#N/A</v>
      </c>
      <c r="P16" s="24" t="s">
        <v>69</v>
      </c>
      <c r="Q16" s="23" t="s">
        <v>79</v>
      </c>
    </row>
    <row r="17" spans="1:9" x14ac:dyDescent="0.25">
      <c r="A17" s="17"/>
      <c r="F17" s="28"/>
      <c r="H17" s="15" t="str">
        <f t="shared" si="0"/>
        <v>0</v>
      </c>
      <c r="I17" s="8" t="e">
        <f t="shared" si="1"/>
        <v>#N/A</v>
      </c>
    </row>
    <row r="18" spans="1:9" x14ac:dyDescent="0.25">
      <c r="A18" s="17"/>
      <c r="F18" s="28"/>
      <c r="H18" s="15" t="str">
        <f t="shared" si="0"/>
        <v>0</v>
      </c>
      <c r="I18" s="8" t="e">
        <f t="shared" si="1"/>
        <v>#N/A</v>
      </c>
    </row>
    <row r="19" spans="1:9" x14ac:dyDescent="0.25">
      <c r="A19" s="17"/>
      <c r="F19" s="28"/>
      <c r="H19" s="15" t="str">
        <f t="shared" si="0"/>
        <v>0</v>
      </c>
      <c r="I19" s="8" t="e">
        <f t="shared" si="1"/>
        <v>#N/A</v>
      </c>
    </row>
    <row r="20" spans="1:9" x14ac:dyDescent="0.25">
      <c r="A20" s="17"/>
      <c r="F20" s="28"/>
      <c r="H20" s="15" t="str">
        <f t="shared" si="0"/>
        <v>0</v>
      </c>
      <c r="I20" s="8" t="e">
        <f t="shared" si="1"/>
        <v>#N/A</v>
      </c>
    </row>
    <row r="21" spans="1:9" x14ac:dyDescent="0.25">
      <c r="A21" s="17"/>
      <c r="F21" s="28"/>
      <c r="H21" s="15" t="str">
        <f t="shared" si="0"/>
        <v>0</v>
      </c>
      <c r="I21" s="8" t="e">
        <f t="shared" si="1"/>
        <v>#N/A</v>
      </c>
    </row>
    <row r="22" spans="1:9" x14ac:dyDescent="0.25">
      <c r="A22" s="17"/>
      <c r="F22" s="28"/>
      <c r="H22" s="15" t="str">
        <f t="shared" si="0"/>
        <v>0</v>
      </c>
      <c r="I22" s="8" t="e">
        <f t="shared" si="1"/>
        <v>#N/A</v>
      </c>
    </row>
    <row r="23" spans="1:9" x14ac:dyDescent="0.25">
      <c r="A23" s="17"/>
      <c r="F23" s="28"/>
      <c r="H23" s="15" t="str">
        <f t="shared" si="0"/>
        <v>0</v>
      </c>
      <c r="I23" s="8" t="e">
        <f t="shared" si="1"/>
        <v>#N/A</v>
      </c>
    </row>
    <row r="24" spans="1:9" x14ac:dyDescent="0.25">
      <c r="A24" s="17"/>
      <c r="F24" s="28"/>
      <c r="H24" s="15" t="str">
        <f t="shared" si="0"/>
        <v>0</v>
      </c>
      <c r="I24" s="8" t="e">
        <f t="shared" si="1"/>
        <v>#N/A</v>
      </c>
    </row>
    <row r="25" spans="1:9" x14ac:dyDescent="0.25">
      <c r="A25" s="17"/>
      <c r="F25" s="28"/>
      <c r="H25" s="15" t="str">
        <f t="shared" si="0"/>
        <v>0</v>
      </c>
      <c r="I25" s="8" t="e">
        <f t="shared" si="1"/>
        <v>#N/A</v>
      </c>
    </row>
    <row r="26" spans="1:9" x14ac:dyDescent="0.25">
      <c r="A26" s="17"/>
      <c r="F26" s="28"/>
      <c r="H26" s="15" t="str">
        <f t="shared" si="0"/>
        <v>0</v>
      </c>
      <c r="I26" s="8" t="e">
        <f t="shared" si="1"/>
        <v>#N/A</v>
      </c>
    </row>
    <row r="27" spans="1:9" x14ac:dyDescent="0.25">
      <c r="A27" s="17"/>
      <c r="F27" s="28"/>
      <c r="H27" s="15" t="str">
        <f t="shared" si="0"/>
        <v>0</v>
      </c>
      <c r="I27" s="8" t="e">
        <f t="shared" si="1"/>
        <v>#N/A</v>
      </c>
    </row>
    <row r="28" spans="1:9" x14ac:dyDescent="0.25">
      <c r="A28" s="17"/>
      <c r="F28" s="28"/>
      <c r="H28" s="15" t="str">
        <f t="shared" si="0"/>
        <v>0</v>
      </c>
      <c r="I28" s="8" t="e">
        <f t="shared" si="1"/>
        <v>#N/A</v>
      </c>
    </row>
    <row r="29" spans="1:9" x14ac:dyDescent="0.25">
      <c r="A29" s="17"/>
      <c r="F29" s="28"/>
      <c r="H29" s="15" t="str">
        <f t="shared" si="0"/>
        <v>0</v>
      </c>
      <c r="I29" s="8" t="e">
        <f t="shared" si="1"/>
        <v>#N/A</v>
      </c>
    </row>
    <row r="30" spans="1:9" x14ac:dyDescent="0.25">
      <c r="A30" s="17"/>
      <c r="F30" s="28"/>
      <c r="H30" s="15" t="str">
        <f t="shared" si="0"/>
        <v>0</v>
      </c>
      <c r="I30" s="8" t="e">
        <f t="shared" si="1"/>
        <v>#N/A</v>
      </c>
    </row>
    <row r="31" spans="1:9" x14ac:dyDescent="0.25">
      <c r="A31" s="17"/>
      <c r="F31" s="28"/>
      <c r="H31" s="15" t="str">
        <f t="shared" si="0"/>
        <v>0</v>
      </c>
      <c r="I31" s="8" t="e">
        <f t="shared" si="1"/>
        <v>#N/A</v>
      </c>
    </row>
    <row r="32" spans="1:9" x14ac:dyDescent="0.25">
      <c r="A32" s="17"/>
      <c r="F32" s="28"/>
      <c r="H32" s="15" t="str">
        <f t="shared" si="0"/>
        <v>0</v>
      </c>
      <c r="I32" s="8" t="e">
        <f t="shared" si="1"/>
        <v>#N/A</v>
      </c>
    </row>
    <row r="33" spans="1:9" x14ac:dyDescent="0.25">
      <c r="A33" s="17"/>
      <c r="F33" s="28"/>
      <c r="H33" s="15" t="str">
        <f t="shared" si="0"/>
        <v>0</v>
      </c>
      <c r="I33" s="8" t="e">
        <f t="shared" si="1"/>
        <v>#N/A</v>
      </c>
    </row>
    <row r="34" spans="1:9" x14ac:dyDescent="0.25">
      <c r="A34" s="17"/>
      <c r="F34" s="28"/>
      <c r="H34" s="15" t="str">
        <f t="shared" si="0"/>
        <v>0</v>
      </c>
      <c r="I34" s="8" t="e">
        <f t="shared" si="1"/>
        <v>#N/A</v>
      </c>
    </row>
    <row r="35" spans="1:9" x14ac:dyDescent="0.25">
      <c r="A35" s="17"/>
      <c r="F35" s="28"/>
      <c r="H35" s="15" t="str">
        <f t="shared" si="0"/>
        <v>0</v>
      </c>
      <c r="I35" s="8" t="e">
        <f t="shared" si="1"/>
        <v>#N/A</v>
      </c>
    </row>
    <row r="36" spans="1:9" x14ac:dyDescent="0.25">
      <c r="A36" s="17"/>
      <c r="F36" s="28"/>
      <c r="H36" s="15" t="str">
        <f t="shared" si="0"/>
        <v>0</v>
      </c>
      <c r="I36" s="8" t="e">
        <f t="shared" si="1"/>
        <v>#N/A</v>
      </c>
    </row>
    <row r="37" spans="1:9" x14ac:dyDescent="0.25">
      <c r="A37" s="17"/>
      <c r="F37" s="28"/>
      <c r="H37" s="15" t="str">
        <f t="shared" si="0"/>
        <v>0</v>
      </c>
      <c r="I37" s="8" t="e">
        <f t="shared" si="1"/>
        <v>#N/A</v>
      </c>
    </row>
    <row r="38" spans="1:9" x14ac:dyDescent="0.25">
      <c r="A38" s="17"/>
      <c r="F38" s="28"/>
      <c r="H38" s="15" t="str">
        <f t="shared" si="0"/>
        <v>0</v>
      </c>
      <c r="I38" s="8" t="e">
        <f t="shared" si="1"/>
        <v>#N/A</v>
      </c>
    </row>
    <row r="39" spans="1:9" x14ac:dyDescent="0.25">
      <c r="A39" s="17"/>
      <c r="F39" s="28"/>
      <c r="H39" s="15" t="str">
        <f t="shared" si="0"/>
        <v>0</v>
      </c>
      <c r="I39" s="8" t="e">
        <f t="shared" si="1"/>
        <v>#N/A</v>
      </c>
    </row>
    <row r="40" spans="1:9" x14ac:dyDescent="0.25">
      <c r="A40" s="17"/>
      <c r="F40" s="28"/>
      <c r="H40" s="15" t="str">
        <f t="shared" si="0"/>
        <v>0</v>
      </c>
      <c r="I40" s="8" t="e">
        <f t="shared" si="1"/>
        <v>#N/A</v>
      </c>
    </row>
    <row r="41" spans="1:9" x14ac:dyDescent="0.25">
      <c r="A41" s="17"/>
      <c r="F41" s="28"/>
      <c r="H41" s="15" t="str">
        <f t="shared" si="0"/>
        <v>0</v>
      </c>
      <c r="I41" s="8" t="e">
        <f t="shared" si="1"/>
        <v>#N/A</v>
      </c>
    </row>
    <row r="42" spans="1:9" x14ac:dyDescent="0.25">
      <c r="A42" s="17"/>
      <c r="F42" s="28"/>
      <c r="H42" s="15" t="str">
        <f t="shared" si="0"/>
        <v>0</v>
      </c>
      <c r="I42" s="8" t="e">
        <f t="shared" si="1"/>
        <v>#N/A</v>
      </c>
    </row>
    <row r="43" spans="1:9" x14ac:dyDescent="0.25">
      <c r="A43" s="17"/>
      <c r="F43" s="28"/>
      <c r="H43" s="15" t="str">
        <f t="shared" si="0"/>
        <v>0</v>
      </c>
      <c r="I43" s="8" t="e">
        <f t="shared" si="1"/>
        <v>#N/A</v>
      </c>
    </row>
    <row r="44" spans="1:9" x14ac:dyDescent="0.25">
      <c r="A44" s="17"/>
      <c r="F44" s="28"/>
      <c r="H44" s="15" t="str">
        <f t="shared" si="0"/>
        <v>0</v>
      </c>
      <c r="I44" s="8" t="e">
        <f t="shared" si="1"/>
        <v>#N/A</v>
      </c>
    </row>
    <row r="45" spans="1:9" x14ac:dyDescent="0.25">
      <c r="A45" s="17"/>
      <c r="F45" s="28"/>
      <c r="H45" s="15" t="str">
        <f t="shared" si="0"/>
        <v>0</v>
      </c>
      <c r="I45" s="8" t="e">
        <f t="shared" si="1"/>
        <v>#N/A</v>
      </c>
    </row>
    <row r="46" spans="1:9" x14ac:dyDescent="0.25">
      <c r="A46" s="17"/>
      <c r="F46" s="28"/>
      <c r="H46" s="15" t="str">
        <f t="shared" si="0"/>
        <v>0</v>
      </c>
      <c r="I46" s="8" t="e">
        <f t="shared" si="1"/>
        <v>#N/A</v>
      </c>
    </row>
    <row r="47" spans="1:9" x14ac:dyDescent="0.25">
      <c r="A47" s="17"/>
      <c r="F47" s="28"/>
      <c r="H47" s="15" t="str">
        <f t="shared" si="0"/>
        <v>0</v>
      </c>
      <c r="I47" s="8" t="e">
        <f t="shared" si="1"/>
        <v>#N/A</v>
      </c>
    </row>
    <row r="48" spans="1:9" x14ac:dyDescent="0.25">
      <c r="A48" s="17"/>
      <c r="F48" s="28"/>
      <c r="H48" s="15" t="str">
        <f t="shared" si="0"/>
        <v>0</v>
      </c>
      <c r="I48" s="8" t="e">
        <f t="shared" si="1"/>
        <v>#N/A</v>
      </c>
    </row>
    <row r="49" spans="1:9" x14ac:dyDescent="0.25">
      <c r="A49" s="17"/>
      <c r="F49" s="28"/>
      <c r="H49" s="15" t="str">
        <f t="shared" si="0"/>
        <v>0</v>
      </c>
      <c r="I49" s="8" t="e">
        <f t="shared" si="1"/>
        <v>#N/A</v>
      </c>
    </row>
    <row r="50" spans="1:9" x14ac:dyDescent="0.25">
      <c r="A50" s="17"/>
      <c r="F50" s="28"/>
      <c r="H50" s="15" t="str">
        <f t="shared" si="0"/>
        <v>0</v>
      </c>
      <c r="I50" s="8" t="e">
        <f t="shared" si="1"/>
        <v>#N/A</v>
      </c>
    </row>
    <row r="51" spans="1:9" x14ac:dyDescent="0.25">
      <c r="A51" s="17"/>
      <c r="F51" s="28"/>
      <c r="H51" s="15" t="str">
        <f t="shared" si="0"/>
        <v>0</v>
      </c>
      <c r="I51" s="8" t="e">
        <f t="shared" si="1"/>
        <v>#N/A</v>
      </c>
    </row>
    <row r="52" spans="1:9" x14ac:dyDescent="0.25">
      <c r="A52" s="17"/>
      <c r="F52" s="28"/>
      <c r="H52" s="15" t="str">
        <f t="shared" si="0"/>
        <v>0</v>
      </c>
      <c r="I52" s="8" t="e">
        <f t="shared" si="1"/>
        <v>#N/A</v>
      </c>
    </row>
    <row r="53" spans="1:9" x14ac:dyDescent="0.25">
      <c r="A53" s="17"/>
      <c r="F53" s="28"/>
      <c r="H53" s="15" t="str">
        <f t="shared" si="0"/>
        <v>0</v>
      </c>
      <c r="I53" s="8" t="e">
        <f t="shared" si="1"/>
        <v>#N/A</v>
      </c>
    </row>
    <row r="54" spans="1:9" x14ac:dyDescent="0.25">
      <c r="A54" s="17"/>
      <c r="F54" s="28"/>
      <c r="H54" s="15" t="str">
        <f t="shared" si="0"/>
        <v>0</v>
      </c>
      <c r="I54" s="8" t="e">
        <f t="shared" si="1"/>
        <v>#N/A</v>
      </c>
    </row>
    <row r="55" spans="1:9" x14ac:dyDescent="0.25">
      <c r="A55" s="17"/>
      <c r="F55" s="28"/>
      <c r="H55" s="15" t="str">
        <f t="shared" si="0"/>
        <v>0</v>
      </c>
      <c r="I55" s="8" t="e">
        <f t="shared" si="1"/>
        <v>#N/A</v>
      </c>
    </row>
    <row r="56" spans="1:9" x14ac:dyDescent="0.25">
      <c r="A56" s="17"/>
      <c r="F56" s="28"/>
      <c r="H56" s="15" t="str">
        <f t="shared" si="0"/>
        <v>0</v>
      </c>
      <c r="I56" s="8" t="e">
        <f t="shared" si="1"/>
        <v>#N/A</v>
      </c>
    </row>
    <row r="57" spans="1:9" x14ac:dyDescent="0.25">
      <c r="A57" s="17"/>
      <c r="F57" s="28"/>
      <c r="H57" s="15" t="str">
        <f t="shared" si="0"/>
        <v>0</v>
      </c>
      <c r="I57" s="8" t="e">
        <f t="shared" si="1"/>
        <v>#N/A</v>
      </c>
    </row>
    <row r="58" spans="1:9" x14ac:dyDescent="0.25">
      <c r="A58" s="17"/>
      <c r="F58" s="28"/>
      <c r="H58" s="15" t="str">
        <f t="shared" si="0"/>
        <v>0</v>
      </c>
      <c r="I58" s="8" t="e">
        <f t="shared" si="1"/>
        <v>#N/A</v>
      </c>
    </row>
    <row r="59" spans="1:9" x14ac:dyDescent="0.25">
      <c r="A59" s="18"/>
      <c r="F59" s="28"/>
      <c r="H59" s="15" t="str">
        <f t="shared" si="0"/>
        <v>0</v>
      </c>
      <c r="I59" s="8" t="e">
        <f t="shared" si="1"/>
        <v>#N/A</v>
      </c>
    </row>
    <row r="60" spans="1:9" x14ac:dyDescent="0.25">
      <c r="A60" s="19"/>
      <c r="F60" s="28"/>
      <c r="H60" s="15" t="str">
        <f t="shared" si="0"/>
        <v>0</v>
      </c>
      <c r="I60" s="8" t="e">
        <f t="shared" si="1"/>
        <v>#N/A</v>
      </c>
    </row>
    <row r="61" spans="1:9" x14ac:dyDescent="0.25">
      <c r="A61" s="19"/>
      <c r="F61" s="28"/>
      <c r="H61" s="15" t="str">
        <f t="shared" si="0"/>
        <v>0</v>
      </c>
      <c r="I61" s="8" t="e">
        <f t="shared" si="1"/>
        <v>#N/A</v>
      </c>
    </row>
    <row r="62" spans="1:9" x14ac:dyDescent="0.25">
      <c r="A62" s="17"/>
      <c r="F62" s="28"/>
      <c r="H62" s="15" t="str">
        <f t="shared" si="0"/>
        <v>0</v>
      </c>
      <c r="I62" s="8" t="e">
        <f t="shared" si="1"/>
        <v>#N/A</v>
      </c>
    </row>
    <row r="63" spans="1:9" x14ac:dyDescent="0.25">
      <c r="A63" s="17"/>
      <c r="F63" s="28"/>
      <c r="H63" s="15" t="str">
        <f t="shared" si="0"/>
        <v>0</v>
      </c>
      <c r="I63" s="8" t="e">
        <f t="shared" si="1"/>
        <v>#N/A</v>
      </c>
    </row>
    <row r="64" spans="1:9" x14ac:dyDescent="0.25">
      <c r="A64" s="17"/>
      <c r="F64" s="28"/>
      <c r="H64" s="15" t="str">
        <f t="shared" si="0"/>
        <v>0</v>
      </c>
      <c r="I64" s="8" t="e">
        <f t="shared" si="1"/>
        <v>#N/A</v>
      </c>
    </row>
    <row r="65" spans="1:9" x14ac:dyDescent="0.25">
      <c r="A65" s="17"/>
      <c r="F65" s="28"/>
      <c r="H65" s="15" t="str">
        <f t="shared" si="0"/>
        <v>0</v>
      </c>
      <c r="I65" s="8" t="e">
        <f t="shared" si="1"/>
        <v>#N/A</v>
      </c>
    </row>
    <row r="66" spans="1:9" x14ac:dyDescent="0.25">
      <c r="A66" s="17"/>
      <c r="F66" s="28"/>
      <c r="H66" s="15" t="str">
        <f t="shared" si="0"/>
        <v>0</v>
      </c>
      <c r="I66" s="8" t="e">
        <f t="shared" si="1"/>
        <v>#N/A</v>
      </c>
    </row>
    <row r="67" spans="1:9" x14ac:dyDescent="0.25">
      <c r="A67" s="17"/>
      <c r="F67" s="28"/>
      <c r="H67" s="15" t="str">
        <f t="shared" si="0"/>
        <v>0</v>
      </c>
      <c r="I67" s="8" t="e">
        <f t="shared" si="1"/>
        <v>#N/A</v>
      </c>
    </row>
    <row r="68" spans="1:9" x14ac:dyDescent="0.25">
      <c r="A68" s="17"/>
      <c r="F68" s="28"/>
      <c r="H68" s="15" t="str">
        <f t="shared" si="0"/>
        <v>0</v>
      </c>
      <c r="I68" s="8" t="e">
        <f t="shared" si="1"/>
        <v>#N/A</v>
      </c>
    </row>
    <row r="69" spans="1:9" x14ac:dyDescent="0.25">
      <c r="A69" s="17"/>
      <c r="F69" s="28"/>
      <c r="H69" s="15" t="str">
        <f t="shared" si="0"/>
        <v>0</v>
      </c>
      <c r="I69" s="8" t="e">
        <f t="shared" si="1"/>
        <v>#N/A</v>
      </c>
    </row>
    <row r="70" spans="1:9" x14ac:dyDescent="0.25">
      <c r="A70" s="17"/>
      <c r="F70" s="28"/>
      <c r="H70" s="15" t="str">
        <f t="shared" si="0"/>
        <v>0</v>
      </c>
      <c r="I70" s="8" t="e">
        <f t="shared" si="1"/>
        <v>#N/A</v>
      </c>
    </row>
    <row r="71" spans="1:9" x14ac:dyDescent="0.25">
      <c r="A71" s="17"/>
      <c r="F71" s="28"/>
      <c r="H71" s="15" t="str">
        <f t="shared" si="0"/>
        <v>0</v>
      </c>
      <c r="I71" s="8" t="e">
        <f t="shared" si="1"/>
        <v>#N/A</v>
      </c>
    </row>
    <row r="72" spans="1:9" x14ac:dyDescent="0.25">
      <c r="A72" s="17"/>
      <c r="F72" s="28"/>
      <c r="H72" s="15" t="str">
        <f t="shared" ref="H72:H135" si="2">IF(A72&lt;10,CONCATENATE("0",A72),A72)</f>
        <v>0</v>
      </c>
      <c r="I72" s="8" t="e">
        <f t="shared" ref="I72:I135" si="3">+CONCATENATE(H72,"/",VLOOKUP(C72,$P$4:$Q$16,2,FALSE),"/",E72)</f>
        <v>#N/A</v>
      </c>
    </row>
    <row r="73" spans="1:9" x14ac:dyDescent="0.25">
      <c r="A73" s="17"/>
      <c r="F73" s="28"/>
      <c r="H73" s="15" t="str">
        <f t="shared" si="2"/>
        <v>0</v>
      </c>
      <c r="I73" s="8" t="e">
        <f t="shared" si="3"/>
        <v>#N/A</v>
      </c>
    </row>
    <row r="74" spans="1:9" x14ac:dyDescent="0.25">
      <c r="A74" s="17"/>
      <c r="F74" s="28"/>
      <c r="H74" s="15" t="str">
        <f t="shared" si="2"/>
        <v>0</v>
      </c>
      <c r="I74" s="8" t="e">
        <f t="shared" si="3"/>
        <v>#N/A</v>
      </c>
    </row>
    <row r="75" spans="1:9" x14ac:dyDescent="0.25">
      <c r="A75" s="17"/>
      <c r="F75" s="28"/>
      <c r="H75" s="15" t="str">
        <f t="shared" si="2"/>
        <v>0</v>
      </c>
      <c r="I75" s="8" t="e">
        <f t="shared" si="3"/>
        <v>#N/A</v>
      </c>
    </row>
    <row r="76" spans="1:9" x14ac:dyDescent="0.25">
      <c r="A76" s="17"/>
      <c r="F76" s="28"/>
      <c r="H76" s="15" t="str">
        <f t="shared" si="2"/>
        <v>0</v>
      </c>
      <c r="I76" s="8" t="e">
        <f t="shared" si="3"/>
        <v>#N/A</v>
      </c>
    </row>
    <row r="77" spans="1:9" x14ac:dyDescent="0.25">
      <c r="A77" s="17"/>
      <c r="F77" s="28"/>
      <c r="H77" s="15" t="str">
        <f t="shared" si="2"/>
        <v>0</v>
      </c>
      <c r="I77" s="8" t="e">
        <f t="shared" si="3"/>
        <v>#N/A</v>
      </c>
    </row>
    <row r="78" spans="1:9" x14ac:dyDescent="0.25">
      <c r="A78" s="17"/>
      <c r="F78" s="28"/>
      <c r="H78" s="15" t="str">
        <f t="shared" si="2"/>
        <v>0</v>
      </c>
      <c r="I78" s="8" t="e">
        <f t="shared" si="3"/>
        <v>#N/A</v>
      </c>
    </row>
    <row r="79" spans="1:9" x14ac:dyDescent="0.25">
      <c r="A79" s="17"/>
      <c r="F79" s="28"/>
      <c r="H79" s="15" t="str">
        <f t="shared" si="2"/>
        <v>0</v>
      </c>
      <c r="I79" s="8" t="e">
        <f t="shared" si="3"/>
        <v>#N/A</v>
      </c>
    </row>
    <row r="80" spans="1:9" x14ac:dyDescent="0.25">
      <c r="A80" s="17"/>
      <c r="F80" s="28"/>
      <c r="H80" s="15" t="str">
        <f t="shared" si="2"/>
        <v>0</v>
      </c>
      <c r="I80" s="8" t="e">
        <f t="shared" si="3"/>
        <v>#N/A</v>
      </c>
    </row>
    <row r="81" spans="1:9" x14ac:dyDescent="0.25">
      <c r="A81" s="17"/>
      <c r="F81" s="28"/>
      <c r="H81" s="15" t="str">
        <f t="shared" si="2"/>
        <v>0</v>
      </c>
      <c r="I81" s="8" t="e">
        <f t="shared" si="3"/>
        <v>#N/A</v>
      </c>
    </row>
    <row r="82" spans="1:9" x14ac:dyDescent="0.25">
      <c r="A82" s="17"/>
      <c r="F82" s="28"/>
      <c r="H82" s="15" t="str">
        <f t="shared" si="2"/>
        <v>0</v>
      </c>
      <c r="I82" s="8" t="e">
        <f t="shared" si="3"/>
        <v>#N/A</v>
      </c>
    </row>
    <row r="83" spans="1:9" x14ac:dyDescent="0.25">
      <c r="A83" s="17"/>
      <c r="F83" s="28"/>
      <c r="H83" s="15" t="str">
        <f t="shared" si="2"/>
        <v>0</v>
      </c>
      <c r="I83" s="8" t="e">
        <f t="shared" si="3"/>
        <v>#N/A</v>
      </c>
    </row>
    <row r="84" spans="1:9" x14ac:dyDescent="0.25">
      <c r="A84" s="17"/>
      <c r="F84" s="28"/>
      <c r="H84" s="15" t="str">
        <f t="shared" si="2"/>
        <v>0</v>
      </c>
      <c r="I84" s="8" t="e">
        <f t="shared" si="3"/>
        <v>#N/A</v>
      </c>
    </row>
    <row r="85" spans="1:9" x14ac:dyDescent="0.25">
      <c r="A85" s="17"/>
      <c r="F85" s="28"/>
      <c r="H85" s="15" t="str">
        <f t="shared" si="2"/>
        <v>0</v>
      </c>
      <c r="I85" s="8" t="e">
        <f t="shared" si="3"/>
        <v>#N/A</v>
      </c>
    </row>
    <row r="86" spans="1:9" x14ac:dyDescent="0.25">
      <c r="A86" s="17"/>
      <c r="F86" s="28"/>
      <c r="H86" s="15" t="str">
        <f t="shared" si="2"/>
        <v>0</v>
      </c>
      <c r="I86" s="8" t="e">
        <f t="shared" si="3"/>
        <v>#N/A</v>
      </c>
    </row>
    <row r="87" spans="1:9" x14ac:dyDescent="0.25">
      <c r="A87" s="17"/>
      <c r="F87" s="28"/>
      <c r="H87" s="15" t="str">
        <f t="shared" si="2"/>
        <v>0</v>
      </c>
      <c r="I87" s="8" t="e">
        <f t="shared" si="3"/>
        <v>#N/A</v>
      </c>
    </row>
    <row r="88" spans="1:9" x14ac:dyDescent="0.25">
      <c r="A88" s="17"/>
      <c r="F88" s="28"/>
      <c r="H88" s="15" t="str">
        <f t="shared" si="2"/>
        <v>0</v>
      </c>
      <c r="I88" s="8" t="e">
        <f t="shared" si="3"/>
        <v>#N/A</v>
      </c>
    </row>
    <row r="89" spans="1:9" x14ac:dyDescent="0.25">
      <c r="A89" s="17"/>
      <c r="F89" s="28"/>
      <c r="H89" s="15" t="str">
        <f t="shared" si="2"/>
        <v>0</v>
      </c>
      <c r="I89" s="8" t="e">
        <f t="shared" si="3"/>
        <v>#N/A</v>
      </c>
    </row>
    <row r="90" spans="1:9" x14ac:dyDescent="0.25">
      <c r="A90" s="17"/>
      <c r="F90" s="28"/>
      <c r="H90" s="15" t="str">
        <f t="shared" si="2"/>
        <v>0</v>
      </c>
      <c r="I90" s="8" t="e">
        <f t="shared" si="3"/>
        <v>#N/A</v>
      </c>
    </row>
    <row r="91" spans="1:9" x14ac:dyDescent="0.25">
      <c r="A91" s="17"/>
      <c r="F91" s="28"/>
      <c r="H91" s="15" t="str">
        <f t="shared" si="2"/>
        <v>0</v>
      </c>
      <c r="I91" s="8" t="e">
        <f t="shared" si="3"/>
        <v>#N/A</v>
      </c>
    </row>
    <row r="92" spans="1:9" x14ac:dyDescent="0.25">
      <c r="A92" s="17"/>
      <c r="F92" s="28"/>
      <c r="H92" s="15" t="str">
        <f t="shared" si="2"/>
        <v>0</v>
      </c>
      <c r="I92" s="8" t="e">
        <f t="shared" si="3"/>
        <v>#N/A</v>
      </c>
    </row>
    <row r="93" spans="1:9" x14ac:dyDescent="0.25">
      <c r="A93" s="17"/>
      <c r="F93" s="28"/>
      <c r="H93" s="15" t="str">
        <f t="shared" si="2"/>
        <v>0</v>
      </c>
      <c r="I93" s="8" t="e">
        <f t="shared" si="3"/>
        <v>#N/A</v>
      </c>
    </row>
    <row r="94" spans="1:9" x14ac:dyDescent="0.25">
      <c r="A94" s="17"/>
      <c r="F94" s="28"/>
      <c r="H94" s="15" t="str">
        <f t="shared" si="2"/>
        <v>0</v>
      </c>
      <c r="I94" s="8" t="e">
        <f t="shared" si="3"/>
        <v>#N/A</v>
      </c>
    </row>
    <row r="95" spans="1:9" x14ac:dyDescent="0.25">
      <c r="A95" s="17"/>
      <c r="F95" s="28"/>
      <c r="H95" s="15" t="str">
        <f t="shared" si="2"/>
        <v>0</v>
      </c>
      <c r="I95" s="8" t="e">
        <f t="shared" si="3"/>
        <v>#N/A</v>
      </c>
    </row>
    <row r="96" spans="1:9" x14ac:dyDescent="0.25">
      <c r="A96" s="17"/>
      <c r="F96" s="28"/>
      <c r="H96" s="15" t="str">
        <f t="shared" si="2"/>
        <v>0</v>
      </c>
      <c r="I96" s="8" t="e">
        <f t="shared" si="3"/>
        <v>#N/A</v>
      </c>
    </row>
    <row r="97" spans="1:9" x14ac:dyDescent="0.25">
      <c r="A97" s="17"/>
      <c r="F97" s="28"/>
      <c r="H97" s="15" t="str">
        <f t="shared" si="2"/>
        <v>0</v>
      </c>
      <c r="I97" s="8" t="e">
        <f t="shared" si="3"/>
        <v>#N/A</v>
      </c>
    </row>
    <row r="98" spans="1:9" x14ac:dyDescent="0.25">
      <c r="A98" s="17"/>
      <c r="F98" s="28"/>
      <c r="H98" s="15" t="str">
        <f t="shared" si="2"/>
        <v>0</v>
      </c>
      <c r="I98" s="8" t="e">
        <f t="shared" si="3"/>
        <v>#N/A</v>
      </c>
    </row>
    <row r="99" spans="1:9" x14ac:dyDescent="0.25">
      <c r="A99" s="17"/>
      <c r="F99" s="28"/>
      <c r="H99" s="15" t="str">
        <f t="shared" si="2"/>
        <v>0</v>
      </c>
      <c r="I99" s="8" t="e">
        <f t="shared" si="3"/>
        <v>#N/A</v>
      </c>
    </row>
    <row r="100" spans="1:9" x14ac:dyDescent="0.25">
      <c r="A100" s="17"/>
      <c r="F100" s="28"/>
      <c r="H100" s="15" t="str">
        <f t="shared" si="2"/>
        <v>0</v>
      </c>
      <c r="I100" s="8" t="e">
        <f t="shared" si="3"/>
        <v>#N/A</v>
      </c>
    </row>
    <row r="101" spans="1:9" x14ac:dyDescent="0.25">
      <c r="A101" s="17"/>
      <c r="F101" s="28"/>
      <c r="H101" s="15" t="str">
        <f t="shared" si="2"/>
        <v>0</v>
      </c>
      <c r="I101" s="8" t="e">
        <f t="shared" si="3"/>
        <v>#N/A</v>
      </c>
    </row>
    <row r="102" spans="1:9" x14ac:dyDescent="0.25">
      <c r="A102" s="17"/>
      <c r="F102" s="28"/>
      <c r="H102" s="15" t="str">
        <f t="shared" si="2"/>
        <v>0</v>
      </c>
      <c r="I102" s="8" t="e">
        <f t="shared" si="3"/>
        <v>#N/A</v>
      </c>
    </row>
    <row r="103" spans="1:9" x14ac:dyDescent="0.25">
      <c r="A103" s="17"/>
      <c r="F103" s="28"/>
      <c r="H103" s="15" t="str">
        <f t="shared" si="2"/>
        <v>0</v>
      </c>
      <c r="I103" s="8" t="e">
        <f t="shared" si="3"/>
        <v>#N/A</v>
      </c>
    </row>
    <row r="104" spans="1:9" x14ac:dyDescent="0.25">
      <c r="A104" s="17"/>
      <c r="F104" s="28"/>
      <c r="H104" s="15" t="str">
        <f t="shared" si="2"/>
        <v>0</v>
      </c>
      <c r="I104" s="8" t="e">
        <f t="shared" si="3"/>
        <v>#N/A</v>
      </c>
    </row>
    <row r="105" spans="1:9" x14ac:dyDescent="0.25">
      <c r="A105" s="17"/>
      <c r="F105" s="28"/>
      <c r="H105" s="15" t="str">
        <f t="shared" si="2"/>
        <v>0</v>
      </c>
      <c r="I105" s="8" t="e">
        <f t="shared" si="3"/>
        <v>#N/A</v>
      </c>
    </row>
    <row r="106" spans="1:9" x14ac:dyDescent="0.25">
      <c r="A106" s="17"/>
      <c r="F106" s="28"/>
      <c r="H106" s="15" t="str">
        <f t="shared" si="2"/>
        <v>0</v>
      </c>
      <c r="I106" s="8" t="e">
        <f t="shared" si="3"/>
        <v>#N/A</v>
      </c>
    </row>
    <row r="107" spans="1:9" x14ac:dyDescent="0.25">
      <c r="A107" s="17"/>
      <c r="F107" s="28"/>
      <c r="H107" s="15" t="str">
        <f t="shared" si="2"/>
        <v>0</v>
      </c>
      <c r="I107" s="8" t="e">
        <f t="shared" si="3"/>
        <v>#N/A</v>
      </c>
    </row>
    <row r="108" spans="1:9" x14ac:dyDescent="0.25">
      <c r="A108" s="17"/>
      <c r="F108" s="28"/>
      <c r="H108" s="15" t="str">
        <f t="shared" si="2"/>
        <v>0</v>
      </c>
      <c r="I108" s="8" t="e">
        <f t="shared" si="3"/>
        <v>#N/A</v>
      </c>
    </row>
    <row r="109" spans="1:9" x14ac:dyDescent="0.25">
      <c r="A109" s="17"/>
      <c r="F109" s="28"/>
      <c r="H109" s="15" t="str">
        <f t="shared" si="2"/>
        <v>0</v>
      </c>
      <c r="I109" s="8" t="e">
        <f t="shared" si="3"/>
        <v>#N/A</v>
      </c>
    </row>
    <row r="110" spans="1:9" x14ac:dyDescent="0.25">
      <c r="A110" s="17"/>
      <c r="F110" s="28"/>
      <c r="H110" s="15" t="str">
        <f t="shared" si="2"/>
        <v>0</v>
      </c>
      <c r="I110" s="8" t="e">
        <f t="shared" si="3"/>
        <v>#N/A</v>
      </c>
    </row>
    <row r="111" spans="1:9" x14ac:dyDescent="0.25">
      <c r="A111" s="17"/>
      <c r="F111" s="28"/>
      <c r="H111" s="15" t="str">
        <f t="shared" si="2"/>
        <v>0</v>
      </c>
      <c r="I111" s="8" t="e">
        <f t="shared" si="3"/>
        <v>#N/A</v>
      </c>
    </row>
    <row r="112" spans="1:9" x14ac:dyDescent="0.25">
      <c r="A112" s="17"/>
      <c r="F112" s="28"/>
      <c r="H112" s="15" t="str">
        <f t="shared" si="2"/>
        <v>0</v>
      </c>
      <c r="I112" s="8" t="e">
        <f t="shared" si="3"/>
        <v>#N/A</v>
      </c>
    </row>
    <row r="113" spans="1:9" x14ac:dyDescent="0.25">
      <c r="A113" s="17"/>
      <c r="F113" s="28"/>
      <c r="H113" s="15" t="str">
        <f t="shared" si="2"/>
        <v>0</v>
      </c>
      <c r="I113" s="8" t="e">
        <f t="shared" si="3"/>
        <v>#N/A</v>
      </c>
    </row>
    <row r="114" spans="1:9" x14ac:dyDescent="0.25">
      <c r="A114" s="17"/>
      <c r="F114" s="28"/>
      <c r="H114" s="15" t="str">
        <f t="shared" si="2"/>
        <v>0</v>
      </c>
      <c r="I114" s="8" t="e">
        <f t="shared" si="3"/>
        <v>#N/A</v>
      </c>
    </row>
    <row r="115" spans="1:9" x14ac:dyDescent="0.25">
      <c r="A115" s="17"/>
      <c r="F115" s="28"/>
      <c r="H115" s="15" t="str">
        <f t="shared" si="2"/>
        <v>0</v>
      </c>
      <c r="I115" s="8" t="e">
        <f t="shared" si="3"/>
        <v>#N/A</v>
      </c>
    </row>
    <row r="116" spans="1:9" x14ac:dyDescent="0.25">
      <c r="A116" s="17"/>
      <c r="F116" s="28"/>
      <c r="H116" s="15" t="str">
        <f t="shared" si="2"/>
        <v>0</v>
      </c>
      <c r="I116" s="8" t="e">
        <f t="shared" si="3"/>
        <v>#N/A</v>
      </c>
    </row>
    <row r="117" spans="1:9" x14ac:dyDescent="0.25">
      <c r="A117" s="17"/>
      <c r="F117" s="28"/>
      <c r="H117" s="15" t="str">
        <f t="shared" si="2"/>
        <v>0</v>
      </c>
      <c r="I117" s="8" t="e">
        <f t="shared" si="3"/>
        <v>#N/A</v>
      </c>
    </row>
    <row r="118" spans="1:9" x14ac:dyDescent="0.25">
      <c r="A118" s="17"/>
      <c r="F118" s="28"/>
      <c r="H118" s="15" t="str">
        <f t="shared" si="2"/>
        <v>0</v>
      </c>
      <c r="I118" s="8" t="e">
        <f t="shared" si="3"/>
        <v>#N/A</v>
      </c>
    </row>
    <row r="119" spans="1:9" x14ac:dyDescent="0.25">
      <c r="A119" s="17"/>
      <c r="F119" s="28"/>
      <c r="H119" s="15" t="str">
        <f t="shared" si="2"/>
        <v>0</v>
      </c>
      <c r="I119" s="8" t="e">
        <f t="shared" si="3"/>
        <v>#N/A</v>
      </c>
    </row>
    <row r="120" spans="1:9" x14ac:dyDescent="0.25">
      <c r="A120" s="17"/>
      <c r="F120" s="28"/>
      <c r="H120" s="15" t="str">
        <f t="shared" si="2"/>
        <v>0</v>
      </c>
      <c r="I120" s="8" t="e">
        <f t="shared" si="3"/>
        <v>#N/A</v>
      </c>
    </row>
    <row r="121" spans="1:9" x14ac:dyDescent="0.25">
      <c r="A121" s="17"/>
      <c r="F121" s="28"/>
      <c r="H121" s="15" t="str">
        <f t="shared" si="2"/>
        <v>0</v>
      </c>
      <c r="I121" s="8" t="e">
        <f t="shared" si="3"/>
        <v>#N/A</v>
      </c>
    </row>
    <row r="122" spans="1:9" x14ac:dyDescent="0.25">
      <c r="A122" s="17"/>
      <c r="F122" s="28"/>
      <c r="H122" s="15" t="str">
        <f t="shared" si="2"/>
        <v>0</v>
      </c>
      <c r="I122" s="8" t="e">
        <f t="shared" si="3"/>
        <v>#N/A</v>
      </c>
    </row>
    <row r="123" spans="1:9" x14ac:dyDescent="0.25">
      <c r="A123" s="17"/>
      <c r="F123" s="28"/>
      <c r="H123" s="15" t="str">
        <f t="shared" si="2"/>
        <v>0</v>
      </c>
      <c r="I123" s="8" t="e">
        <f t="shared" si="3"/>
        <v>#N/A</v>
      </c>
    </row>
    <row r="124" spans="1:9" x14ac:dyDescent="0.25">
      <c r="A124" s="17"/>
      <c r="F124" s="28"/>
      <c r="H124" s="15" t="str">
        <f t="shared" si="2"/>
        <v>0</v>
      </c>
      <c r="I124" s="8" t="e">
        <f t="shared" si="3"/>
        <v>#N/A</v>
      </c>
    </row>
    <row r="125" spans="1:9" x14ac:dyDescent="0.25">
      <c r="A125" s="17"/>
      <c r="F125" s="28"/>
      <c r="H125" s="15" t="str">
        <f t="shared" si="2"/>
        <v>0</v>
      </c>
      <c r="I125" s="8" t="e">
        <f t="shared" si="3"/>
        <v>#N/A</v>
      </c>
    </row>
    <row r="126" spans="1:9" x14ac:dyDescent="0.25">
      <c r="A126" s="17"/>
      <c r="F126" s="28"/>
      <c r="H126" s="15" t="str">
        <f t="shared" si="2"/>
        <v>0</v>
      </c>
      <c r="I126" s="8" t="e">
        <f t="shared" si="3"/>
        <v>#N/A</v>
      </c>
    </row>
    <row r="127" spans="1:9" x14ac:dyDescent="0.25">
      <c r="A127" s="17"/>
      <c r="F127" s="28"/>
      <c r="H127" s="15" t="str">
        <f t="shared" si="2"/>
        <v>0</v>
      </c>
      <c r="I127" s="8" t="e">
        <f t="shared" si="3"/>
        <v>#N/A</v>
      </c>
    </row>
    <row r="128" spans="1:9" x14ac:dyDescent="0.25">
      <c r="A128" s="17"/>
      <c r="F128" s="28"/>
      <c r="H128" s="15" t="str">
        <f t="shared" si="2"/>
        <v>0</v>
      </c>
      <c r="I128" s="8" t="e">
        <f t="shared" si="3"/>
        <v>#N/A</v>
      </c>
    </row>
    <row r="129" spans="1:9" x14ac:dyDescent="0.25">
      <c r="A129" s="17"/>
      <c r="F129" s="28"/>
      <c r="H129" s="15" t="str">
        <f t="shared" si="2"/>
        <v>0</v>
      </c>
      <c r="I129" s="8" t="e">
        <f t="shared" si="3"/>
        <v>#N/A</v>
      </c>
    </row>
    <row r="130" spans="1:9" x14ac:dyDescent="0.25">
      <c r="A130" s="17"/>
      <c r="F130" s="28"/>
      <c r="H130" s="15" t="str">
        <f t="shared" si="2"/>
        <v>0</v>
      </c>
      <c r="I130" s="8" t="e">
        <f t="shared" si="3"/>
        <v>#N/A</v>
      </c>
    </row>
    <row r="131" spans="1:9" x14ac:dyDescent="0.25">
      <c r="A131" s="17"/>
      <c r="F131" s="28"/>
      <c r="H131" s="15" t="str">
        <f t="shared" si="2"/>
        <v>0</v>
      </c>
      <c r="I131" s="8" t="e">
        <f t="shared" si="3"/>
        <v>#N/A</v>
      </c>
    </row>
    <row r="132" spans="1:9" x14ac:dyDescent="0.25">
      <c r="A132" s="17"/>
      <c r="F132" s="28"/>
      <c r="H132" s="15" t="str">
        <f t="shared" si="2"/>
        <v>0</v>
      </c>
      <c r="I132" s="8" t="e">
        <f t="shared" si="3"/>
        <v>#N/A</v>
      </c>
    </row>
    <row r="133" spans="1:9" x14ac:dyDescent="0.25">
      <c r="A133" s="17"/>
      <c r="F133" s="28"/>
      <c r="H133" s="15" t="str">
        <f t="shared" si="2"/>
        <v>0</v>
      </c>
      <c r="I133" s="8" t="e">
        <f t="shared" si="3"/>
        <v>#N/A</v>
      </c>
    </row>
    <row r="134" spans="1:9" x14ac:dyDescent="0.25">
      <c r="A134" s="17"/>
      <c r="F134" s="28"/>
      <c r="H134" s="15" t="str">
        <f t="shared" si="2"/>
        <v>0</v>
      </c>
      <c r="I134" s="8" t="e">
        <f t="shared" si="3"/>
        <v>#N/A</v>
      </c>
    </row>
    <row r="135" spans="1:9" x14ac:dyDescent="0.25">
      <c r="A135" s="17"/>
      <c r="F135" s="28"/>
      <c r="H135" s="15" t="str">
        <f t="shared" si="2"/>
        <v>0</v>
      </c>
      <c r="I135" s="8" t="e">
        <f t="shared" si="3"/>
        <v>#N/A</v>
      </c>
    </row>
    <row r="136" spans="1:9" x14ac:dyDescent="0.25">
      <c r="A136" s="17"/>
      <c r="F136" s="28"/>
      <c r="H136" s="15" t="str">
        <f t="shared" ref="H136:H199" si="4">IF(A136&lt;10,CONCATENATE("0",A136),A136)</f>
        <v>0</v>
      </c>
      <c r="I136" s="8" t="e">
        <f t="shared" ref="I136:I199" si="5">+CONCATENATE(H136,"/",VLOOKUP(C136,$P$4:$Q$16,2,FALSE),"/",E136)</f>
        <v>#N/A</v>
      </c>
    </row>
    <row r="137" spans="1:9" x14ac:dyDescent="0.25">
      <c r="A137" s="17"/>
      <c r="F137" s="28"/>
      <c r="H137" s="15" t="str">
        <f t="shared" si="4"/>
        <v>0</v>
      </c>
      <c r="I137" s="8" t="e">
        <f t="shared" si="5"/>
        <v>#N/A</v>
      </c>
    </row>
    <row r="138" spans="1:9" x14ac:dyDescent="0.25">
      <c r="A138" s="17"/>
      <c r="F138" s="28"/>
      <c r="H138" s="15" t="str">
        <f t="shared" si="4"/>
        <v>0</v>
      </c>
      <c r="I138" s="8" t="e">
        <f t="shared" si="5"/>
        <v>#N/A</v>
      </c>
    </row>
    <row r="139" spans="1:9" x14ac:dyDescent="0.25">
      <c r="A139" s="17"/>
      <c r="F139" s="28"/>
      <c r="H139" s="15" t="str">
        <f t="shared" si="4"/>
        <v>0</v>
      </c>
      <c r="I139" s="8" t="e">
        <f t="shared" si="5"/>
        <v>#N/A</v>
      </c>
    </row>
    <row r="140" spans="1:9" x14ac:dyDescent="0.25">
      <c r="A140" s="17"/>
      <c r="F140" s="28"/>
      <c r="H140" s="15" t="str">
        <f t="shared" si="4"/>
        <v>0</v>
      </c>
      <c r="I140" s="8" t="e">
        <f t="shared" si="5"/>
        <v>#N/A</v>
      </c>
    </row>
    <row r="141" spans="1:9" x14ac:dyDescent="0.25">
      <c r="A141" s="17"/>
      <c r="F141" s="28"/>
      <c r="H141" s="15" t="str">
        <f t="shared" si="4"/>
        <v>0</v>
      </c>
      <c r="I141" s="8" t="e">
        <f t="shared" si="5"/>
        <v>#N/A</v>
      </c>
    </row>
    <row r="142" spans="1:9" x14ac:dyDescent="0.25">
      <c r="A142" s="17"/>
      <c r="F142" s="28"/>
      <c r="H142" s="15" t="str">
        <f t="shared" si="4"/>
        <v>0</v>
      </c>
      <c r="I142" s="8" t="e">
        <f t="shared" si="5"/>
        <v>#N/A</v>
      </c>
    </row>
    <row r="143" spans="1:9" x14ac:dyDescent="0.25">
      <c r="A143" s="17"/>
      <c r="F143" s="28"/>
      <c r="H143" s="15" t="str">
        <f t="shared" si="4"/>
        <v>0</v>
      </c>
      <c r="I143" s="8" t="e">
        <f t="shared" si="5"/>
        <v>#N/A</v>
      </c>
    </row>
    <row r="144" spans="1:9" x14ac:dyDescent="0.25">
      <c r="A144" s="17"/>
      <c r="F144" s="28"/>
      <c r="H144" s="15" t="str">
        <f t="shared" si="4"/>
        <v>0</v>
      </c>
      <c r="I144" s="8" t="e">
        <f t="shared" si="5"/>
        <v>#N/A</v>
      </c>
    </row>
    <row r="145" spans="1:9" x14ac:dyDescent="0.25">
      <c r="A145" s="17"/>
      <c r="F145" s="28"/>
      <c r="H145" s="15" t="str">
        <f t="shared" si="4"/>
        <v>0</v>
      </c>
      <c r="I145" s="8" t="e">
        <f t="shared" si="5"/>
        <v>#N/A</v>
      </c>
    </row>
    <row r="146" spans="1:9" x14ac:dyDescent="0.25">
      <c r="A146" s="17"/>
      <c r="F146" s="28"/>
      <c r="H146" s="15" t="str">
        <f t="shared" si="4"/>
        <v>0</v>
      </c>
      <c r="I146" s="8" t="e">
        <f t="shared" si="5"/>
        <v>#N/A</v>
      </c>
    </row>
    <row r="147" spans="1:9" x14ac:dyDescent="0.25">
      <c r="A147" s="17"/>
      <c r="F147" s="28"/>
      <c r="H147" s="15" t="str">
        <f t="shared" si="4"/>
        <v>0</v>
      </c>
      <c r="I147" s="8" t="e">
        <f t="shared" si="5"/>
        <v>#N/A</v>
      </c>
    </row>
    <row r="148" spans="1:9" x14ac:dyDescent="0.25">
      <c r="A148" s="17"/>
      <c r="F148" s="28"/>
      <c r="H148" s="15" t="str">
        <f t="shared" si="4"/>
        <v>0</v>
      </c>
      <c r="I148" s="8" t="e">
        <f t="shared" si="5"/>
        <v>#N/A</v>
      </c>
    </row>
    <row r="149" spans="1:9" x14ac:dyDescent="0.25">
      <c r="A149" s="18"/>
      <c r="F149" s="28"/>
      <c r="H149" s="15" t="str">
        <f t="shared" si="4"/>
        <v>0</v>
      </c>
      <c r="I149" s="8" t="e">
        <f t="shared" si="5"/>
        <v>#N/A</v>
      </c>
    </row>
    <row r="150" spans="1:9" x14ac:dyDescent="0.25">
      <c r="A150" s="19"/>
      <c r="F150" s="28"/>
      <c r="H150" s="15" t="str">
        <f t="shared" si="4"/>
        <v>0</v>
      </c>
      <c r="I150" s="8" t="e">
        <f t="shared" si="5"/>
        <v>#N/A</v>
      </c>
    </row>
    <row r="151" spans="1:9" x14ac:dyDescent="0.25">
      <c r="A151" s="19"/>
      <c r="F151" s="28"/>
      <c r="H151" s="15" t="str">
        <f t="shared" si="4"/>
        <v>0</v>
      </c>
      <c r="I151" s="8" t="e">
        <f t="shared" si="5"/>
        <v>#N/A</v>
      </c>
    </row>
    <row r="152" spans="1:9" x14ac:dyDescent="0.25">
      <c r="A152" s="17"/>
      <c r="F152" s="28"/>
      <c r="H152" s="15" t="str">
        <f t="shared" si="4"/>
        <v>0</v>
      </c>
      <c r="I152" s="8" t="e">
        <f t="shared" si="5"/>
        <v>#N/A</v>
      </c>
    </row>
    <row r="153" spans="1:9" x14ac:dyDescent="0.25">
      <c r="A153" s="17"/>
      <c r="F153" s="28"/>
      <c r="H153" s="15" t="str">
        <f t="shared" si="4"/>
        <v>0</v>
      </c>
      <c r="I153" s="8" t="e">
        <f t="shared" si="5"/>
        <v>#N/A</v>
      </c>
    </row>
    <row r="154" spans="1:9" x14ac:dyDescent="0.25">
      <c r="A154" s="17"/>
      <c r="F154" s="28"/>
      <c r="H154" s="15" t="str">
        <f t="shared" si="4"/>
        <v>0</v>
      </c>
      <c r="I154" s="8" t="e">
        <f t="shared" si="5"/>
        <v>#N/A</v>
      </c>
    </row>
    <row r="155" spans="1:9" x14ac:dyDescent="0.25">
      <c r="A155" s="17"/>
      <c r="F155" s="28"/>
      <c r="H155" s="15" t="str">
        <f t="shared" si="4"/>
        <v>0</v>
      </c>
      <c r="I155" s="8" t="e">
        <f t="shared" si="5"/>
        <v>#N/A</v>
      </c>
    </row>
    <row r="156" spans="1:9" x14ac:dyDescent="0.25">
      <c r="A156" s="17"/>
      <c r="F156" s="28"/>
      <c r="H156" s="15" t="str">
        <f t="shared" si="4"/>
        <v>0</v>
      </c>
      <c r="I156" s="8" t="e">
        <f t="shared" si="5"/>
        <v>#N/A</v>
      </c>
    </row>
    <row r="157" spans="1:9" x14ac:dyDescent="0.25">
      <c r="A157" s="17"/>
      <c r="F157" s="28"/>
      <c r="H157" s="15" t="str">
        <f t="shared" si="4"/>
        <v>0</v>
      </c>
      <c r="I157" s="8" t="e">
        <f t="shared" si="5"/>
        <v>#N/A</v>
      </c>
    </row>
    <row r="158" spans="1:9" x14ac:dyDescent="0.25">
      <c r="A158" s="17"/>
      <c r="F158" s="28"/>
      <c r="H158" s="15" t="str">
        <f t="shared" si="4"/>
        <v>0</v>
      </c>
      <c r="I158" s="8" t="e">
        <f t="shared" si="5"/>
        <v>#N/A</v>
      </c>
    </row>
    <row r="159" spans="1:9" x14ac:dyDescent="0.25">
      <c r="A159" s="17"/>
      <c r="F159" s="28"/>
      <c r="H159" s="15" t="str">
        <f t="shared" si="4"/>
        <v>0</v>
      </c>
      <c r="I159" s="8" t="e">
        <f t="shared" si="5"/>
        <v>#N/A</v>
      </c>
    </row>
    <row r="160" spans="1:9" x14ac:dyDescent="0.25">
      <c r="A160" s="17"/>
      <c r="F160" s="28"/>
      <c r="H160" s="15" t="str">
        <f t="shared" si="4"/>
        <v>0</v>
      </c>
      <c r="I160" s="8" t="e">
        <f t="shared" si="5"/>
        <v>#N/A</v>
      </c>
    </row>
    <row r="161" spans="1:9" x14ac:dyDescent="0.25">
      <c r="A161" s="17"/>
      <c r="F161" s="28"/>
      <c r="H161" s="15" t="str">
        <f t="shared" si="4"/>
        <v>0</v>
      </c>
      <c r="I161" s="8" t="e">
        <f t="shared" si="5"/>
        <v>#N/A</v>
      </c>
    </row>
    <row r="162" spans="1:9" x14ac:dyDescent="0.25">
      <c r="A162" s="17"/>
      <c r="F162" s="28"/>
      <c r="H162" s="15" t="str">
        <f t="shared" si="4"/>
        <v>0</v>
      </c>
      <c r="I162" s="8" t="e">
        <f t="shared" si="5"/>
        <v>#N/A</v>
      </c>
    </row>
    <row r="163" spans="1:9" x14ac:dyDescent="0.25">
      <c r="A163" s="17"/>
      <c r="F163" s="28"/>
      <c r="H163" s="15" t="str">
        <f t="shared" si="4"/>
        <v>0</v>
      </c>
      <c r="I163" s="8" t="e">
        <f t="shared" si="5"/>
        <v>#N/A</v>
      </c>
    </row>
    <row r="164" spans="1:9" x14ac:dyDescent="0.25">
      <c r="A164" s="18"/>
      <c r="F164" s="28"/>
      <c r="H164" s="15" t="str">
        <f t="shared" si="4"/>
        <v>0</v>
      </c>
      <c r="I164" s="8" t="e">
        <f t="shared" si="5"/>
        <v>#N/A</v>
      </c>
    </row>
    <row r="165" spans="1:9" x14ac:dyDescent="0.25">
      <c r="A165" s="19"/>
      <c r="F165" s="28"/>
      <c r="H165" s="15" t="str">
        <f t="shared" si="4"/>
        <v>0</v>
      </c>
      <c r="I165" s="8" t="e">
        <f t="shared" si="5"/>
        <v>#N/A</v>
      </c>
    </row>
    <row r="166" spans="1:9" x14ac:dyDescent="0.25">
      <c r="A166" s="19"/>
      <c r="F166" s="28"/>
      <c r="H166" s="15" t="str">
        <f t="shared" si="4"/>
        <v>0</v>
      </c>
      <c r="I166" s="8" t="e">
        <f t="shared" si="5"/>
        <v>#N/A</v>
      </c>
    </row>
    <row r="167" spans="1:9" x14ac:dyDescent="0.25">
      <c r="A167" s="17"/>
      <c r="F167" s="28"/>
      <c r="H167" s="15" t="str">
        <f t="shared" si="4"/>
        <v>0</v>
      </c>
      <c r="I167" s="8" t="e">
        <f t="shared" si="5"/>
        <v>#N/A</v>
      </c>
    </row>
    <row r="168" spans="1:9" x14ac:dyDescent="0.25">
      <c r="A168" s="17"/>
      <c r="F168" s="28"/>
      <c r="H168" s="15" t="str">
        <f t="shared" si="4"/>
        <v>0</v>
      </c>
      <c r="I168" s="8" t="e">
        <f t="shared" si="5"/>
        <v>#N/A</v>
      </c>
    </row>
    <row r="169" spans="1:9" x14ac:dyDescent="0.25">
      <c r="A169" s="17"/>
      <c r="F169" s="28"/>
      <c r="H169" s="15" t="str">
        <f t="shared" si="4"/>
        <v>0</v>
      </c>
      <c r="I169" s="8" t="e">
        <f t="shared" si="5"/>
        <v>#N/A</v>
      </c>
    </row>
    <row r="170" spans="1:9" x14ac:dyDescent="0.25">
      <c r="A170" s="17"/>
      <c r="F170" s="28"/>
      <c r="H170" s="15" t="str">
        <f t="shared" si="4"/>
        <v>0</v>
      </c>
      <c r="I170" s="8" t="e">
        <f t="shared" si="5"/>
        <v>#N/A</v>
      </c>
    </row>
    <row r="171" spans="1:9" x14ac:dyDescent="0.25">
      <c r="A171" s="17"/>
      <c r="F171" s="28"/>
      <c r="H171" s="15" t="str">
        <f t="shared" si="4"/>
        <v>0</v>
      </c>
      <c r="I171" s="8" t="e">
        <f t="shared" si="5"/>
        <v>#N/A</v>
      </c>
    </row>
    <row r="172" spans="1:9" x14ac:dyDescent="0.25">
      <c r="A172" s="17"/>
      <c r="F172" s="28"/>
      <c r="H172" s="15" t="str">
        <f t="shared" si="4"/>
        <v>0</v>
      </c>
      <c r="I172" s="8" t="e">
        <f t="shared" si="5"/>
        <v>#N/A</v>
      </c>
    </row>
    <row r="173" spans="1:9" x14ac:dyDescent="0.25">
      <c r="A173" s="17"/>
      <c r="F173" s="28"/>
      <c r="H173" s="15" t="str">
        <f t="shared" si="4"/>
        <v>0</v>
      </c>
      <c r="I173" s="8" t="e">
        <f t="shared" si="5"/>
        <v>#N/A</v>
      </c>
    </row>
    <row r="174" spans="1:9" x14ac:dyDescent="0.25">
      <c r="A174" s="17"/>
      <c r="F174" s="28"/>
      <c r="H174" s="15" t="str">
        <f t="shared" si="4"/>
        <v>0</v>
      </c>
      <c r="I174" s="8" t="e">
        <f t="shared" si="5"/>
        <v>#N/A</v>
      </c>
    </row>
    <row r="175" spans="1:9" x14ac:dyDescent="0.25">
      <c r="A175" s="17"/>
      <c r="F175" s="28"/>
      <c r="H175" s="15" t="str">
        <f t="shared" si="4"/>
        <v>0</v>
      </c>
      <c r="I175" s="8" t="e">
        <f t="shared" si="5"/>
        <v>#N/A</v>
      </c>
    </row>
    <row r="176" spans="1:9" x14ac:dyDescent="0.25">
      <c r="A176" s="17"/>
      <c r="F176" s="28"/>
      <c r="H176" s="15" t="str">
        <f t="shared" si="4"/>
        <v>0</v>
      </c>
      <c r="I176" s="8" t="e">
        <f t="shared" si="5"/>
        <v>#N/A</v>
      </c>
    </row>
    <row r="177" spans="1:9" x14ac:dyDescent="0.25">
      <c r="A177" s="17"/>
      <c r="F177" s="28"/>
      <c r="H177" s="15" t="str">
        <f t="shared" si="4"/>
        <v>0</v>
      </c>
      <c r="I177" s="8" t="e">
        <f t="shared" si="5"/>
        <v>#N/A</v>
      </c>
    </row>
    <row r="178" spans="1:9" x14ac:dyDescent="0.25">
      <c r="A178" s="17"/>
      <c r="F178" s="28"/>
      <c r="H178" s="15" t="str">
        <f t="shared" si="4"/>
        <v>0</v>
      </c>
      <c r="I178" s="8" t="e">
        <f t="shared" si="5"/>
        <v>#N/A</v>
      </c>
    </row>
    <row r="179" spans="1:9" x14ac:dyDescent="0.25">
      <c r="A179" s="17"/>
      <c r="F179" s="28"/>
      <c r="H179" s="15" t="str">
        <f t="shared" si="4"/>
        <v>0</v>
      </c>
      <c r="I179" s="8" t="e">
        <f t="shared" si="5"/>
        <v>#N/A</v>
      </c>
    </row>
    <row r="180" spans="1:9" x14ac:dyDescent="0.25">
      <c r="A180" s="17"/>
      <c r="F180" s="28"/>
      <c r="H180" s="15" t="str">
        <f t="shared" si="4"/>
        <v>0</v>
      </c>
      <c r="I180" s="8" t="e">
        <f t="shared" si="5"/>
        <v>#N/A</v>
      </c>
    </row>
    <row r="181" spans="1:9" x14ac:dyDescent="0.25">
      <c r="A181" s="17"/>
      <c r="F181" s="28"/>
      <c r="H181" s="15" t="str">
        <f t="shared" si="4"/>
        <v>0</v>
      </c>
      <c r="I181" s="8" t="e">
        <f t="shared" si="5"/>
        <v>#N/A</v>
      </c>
    </row>
    <row r="182" spans="1:9" x14ac:dyDescent="0.25">
      <c r="A182" s="17"/>
      <c r="F182" s="28"/>
      <c r="H182" s="15" t="str">
        <f t="shared" si="4"/>
        <v>0</v>
      </c>
      <c r="I182" s="8" t="e">
        <f t="shared" si="5"/>
        <v>#N/A</v>
      </c>
    </row>
    <row r="183" spans="1:9" x14ac:dyDescent="0.25">
      <c r="A183" s="17"/>
      <c r="F183" s="28"/>
      <c r="H183" s="15" t="str">
        <f t="shared" si="4"/>
        <v>0</v>
      </c>
      <c r="I183" s="8" t="e">
        <f t="shared" si="5"/>
        <v>#N/A</v>
      </c>
    </row>
    <row r="184" spans="1:9" x14ac:dyDescent="0.25">
      <c r="A184" s="17"/>
      <c r="F184" s="28"/>
      <c r="H184" s="15" t="str">
        <f t="shared" si="4"/>
        <v>0</v>
      </c>
      <c r="I184" s="8" t="e">
        <f t="shared" si="5"/>
        <v>#N/A</v>
      </c>
    </row>
    <row r="185" spans="1:9" x14ac:dyDescent="0.25">
      <c r="A185" s="18"/>
      <c r="F185" s="28"/>
      <c r="H185" s="15" t="str">
        <f t="shared" si="4"/>
        <v>0</v>
      </c>
      <c r="I185" s="8" t="e">
        <f t="shared" si="5"/>
        <v>#N/A</v>
      </c>
    </row>
    <row r="186" spans="1:9" x14ac:dyDescent="0.25">
      <c r="A186" s="19"/>
      <c r="F186" s="28"/>
      <c r="H186" s="15" t="str">
        <f t="shared" si="4"/>
        <v>0</v>
      </c>
      <c r="I186" s="8" t="e">
        <f t="shared" si="5"/>
        <v>#N/A</v>
      </c>
    </row>
    <row r="187" spans="1:9" x14ac:dyDescent="0.25">
      <c r="A187" s="19"/>
      <c r="F187" s="28"/>
      <c r="H187" s="15" t="str">
        <f t="shared" si="4"/>
        <v>0</v>
      </c>
      <c r="I187" s="8" t="e">
        <f t="shared" si="5"/>
        <v>#N/A</v>
      </c>
    </row>
    <row r="188" spans="1:9" x14ac:dyDescent="0.25">
      <c r="A188" s="17"/>
      <c r="F188" s="28"/>
      <c r="H188" s="15" t="str">
        <f t="shared" si="4"/>
        <v>0</v>
      </c>
      <c r="I188" s="8" t="e">
        <f t="shared" si="5"/>
        <v>#N/A</v>
      </c>
    </row>
    <row r="189" spans="1:9" x14ac:dyDescent="0.25">
      <c r="A189" s="17"/>
      <c r="F189" s="28"/>
      <c r="H189" s="15" t="str">
        <f t="shared" si="4"/>
        <v>0</v>
      </c>
      <c r="I189" s="8" t="e">
        <f t="shared" si="5"/>
        <v>#N/A</v>
      </c>
    </row>
    <row r="190" spans="1:9" x14ac:dyDescent="0.25">
      <c r="A190" s="17"/>
      <c r="F190" s="28"/>
      <c r="H190" s="15" t="str">
        <f t="shared" si="4"/>
        <v>0</v>
      </c>
      <c r="I190" s="8" t="e">
        <f t="shared" si="5"/>
        <v>#N/A</v>
      </c>
    </row>
    <row r="191" spans="1:9" x14ac:dyDescent="0.25">
      <c r="A191" s="17"/>
      <c r="F191" s="28"/>
      <c r="H191" s="15" t="str">
        <f t="shared" si="4"/>
        <v>0</v>
      </c>
      <c r="I191" s="8" t="e">
        <f t="shared" si="5"/>
        <v>#N/A</v>
      </c>
    </row>
    <row r="192" spans="1:9" x14ac:dyDescent="0.25">
      <c r="A192" s="17"/>
      <c r="F192" s="28"/>
      <c r="H192" s="15" t="str">
        <f t="shared" si="4"/>
        <v>0</v>
      </c>
      <c r="I192" s="8" t="e">
        <f t="shared" si="5"/>
        <v>#N/A</v>
      </c>
    </row>
    <row r="193" spans="1:9" x14ac:dyDescent="0.25">
      <c r="A193" s="17"/>
      <c r="F193" s="28"/>
      <c r="H193" s="15" t="str">
        <f t="shared" si="4"/>
        <v>0</v>
      </c>
      <c r="I193" s="8" t="e">
        <f t="shared" si="5"/>
        <v>#N/A</v>
      </c>
    </row>
    <row r="194" spans="1:9" x14ac:dyDescent="0.25">
      <c r="A194" s="17"/>
      <c r="F194" s="28"/>
      <c r="H194" s="15" t="str">
        <f t="shared" si="4"/>
        <v>0</v>
      </c>
      <c r="I194" s="8" t="e">
        <f t="shared" si="5"/>
        <v>#N/A</v>
      </c>
    </row>
    <row r="195" spans="1:9" x14ac:dyDescent="0.25">
      <c r="A195" s="17"/>
      <c r="F195" s="28"/>
      <c r="H195" s="15" t="str">
        <f t="shared" si="4"/>
        <v>0</v>
      </c>
      <c r="I195" s="8" t="e">
        <f t="shared" si="5"/>
        <v>#N/A</v>
      </c>
    </row>
    <row r="196" spans="1:9" x14ac:dyDescent="0.25">
      <c r="A196" s="17"/>
      <c r="F196" s="28"/>
      <c r="H196" s="15" t="str">
        <f t="shared" si="4"/>
        <v>0</v>
      </c>
      <c r="I196" s="8" t="e">
        <f t="shared" si="5"/>
        <v>#N/A</v>
      </c>
    </row>
    <row r="197" spans="1:9" x14ac:dyDescent="0.25">
      <c r="A197" s="17"/>
      <c r="F197" s="28"/>
      <c r="H197" s="15" t="str">
        <f t="shared" si="4"/>
        <v>0</v>
      </c>
      <c r="I197" s="8" t="e">
        <f t="shared" si="5"/>
        <v>#N/A</v>
      </c>
    </row>
    <row r="198" spans="1:9" x14ac:dyDescent="0.25">
      <c r="A198" s="17"/>
      <c r="F198" s="28"/>
      <c r="H198" s="15" t="str">
        <f t="shared" si="4"/>
        <v>0</v>
      </c>
      <c r="I198" s="8" t="e">
        <f t="shared" si="5"/>
        <v>#N/A</v>
      </c>
    </row>
    <row r="199" spans="1:9" x14ac:dyDescent="0.25">
      <c r="A199" s="17"/>
      <c r="F199" s="28"/>
      <c r="H199" s="15" t="str">
        <f t="shared" si="4"/>
        <v>0</v>
      </c>
      <c r="I199" s="8" t="e">
        <f t="shared" si="5"/>
        <v>#N/A</v>
      </c>
    </row>
    <row r="200" spans="1:9" x14ac:dyDescent="0.25">
      <c r="A200" s="18"/>
      <c r="F200" s="28"/>
      <c r="H200" s="15" t="str">
        <f t="shared" ref="H200:H263" si="6">IF(A200&lt;10,CONCATENATE("0",A200),A200)</f>
        <v>0</v>
      </c>
      <c r="I200" s="8" t="e">
        <f t="shared" ref="I200:I263" si="7">+CONCATENATE(H200,"/",VLOOKUP(C200,$P$4:$Q$16,2,FALSE),"/",E200)</f>
        <v>#N/A</v>
      </c>
    </row>
    <row r="201" spans="1:9" x14ac:dyDescent="0.25">
      <c r="A201" s="19"/>
      <c r="F201" s="28"/>
      <c r="H201" s="15" t="str">
        <f t="shared" si="6"/>
        <v>0</v>
      </c>
      <c r="I201" s="8" t="e">
        <f t="shared" si="7"/>
        <v>#N/A</v>
      </c>
    </row>
    <row r="202" spans="1:9" x14ac:dyDescent="0.25">
      <c r="A202" s="19"/>
      <c r="F202" s="28"/>
      <c r="H202" s="15" t="str">
        <f t="shared" si="6"/>
        <v>0</v>
      </c>
      <c r="I202" s="8" t="e">
        <f t="shared" si="7"/>
        <v>#N/A</v>
      </c>
    </row>
    <row r="203" spans="1:9" x14ac:dyDescent="0.25">
      <c r="A203" s="17"/>
      <c r="F203" s="28"/>
      <c r="H203" s="15" t="str">
        <f t="shared" si="6"/>
        <v>0</v>
      </c>
      <c r="I203" s="8" t="e">
        <f t="shared" si="7"/>
        <v>#N/A</v>
      </c>
    </row>
    <row r="204" spans="1:9" x14ac:dyDescent="0.25">
      <c r="A204" s="17"/>
      <c r="F204" s="28"/>
      <c r="H204" s="15" t="str">
        <f t="shared" si="6"/>
        <v>0</v>
      </c>
      <c r="I204" s="8" t="e">
        <f t="shared" si="7"/>
        <v>#N/A</v>
      </c>
    </row>
    <row r="205" spans="1:9" x14ac:dyDescent="0.25">
      <c r="A205" s="18"/>
      <c r="F205" s="28"/>
      <c r="H205" s="15" t="str">
        <f t="shared" si="6"/>
        <v>0</v>
      </c>
      <c r="I205" s="8" t="e">
        <f t="shared" si="7"/>
        <v>#N/A</v>
      </c>
    </row>
    <row r="206" spans="1:9" x14ac:dyDescent="0.25">
      <c r="A206" s="19"/>
      <c r="F206" s="28"/>
      <c r="H206" s="15" t="str">
        <f t="shared" si="6"/>
        <v>0</v>
      </c>
      <c r="I206" s="8" t="e">
        <f t="shared" si="7"/>
        <v>#N/A</v>
      </c>
    </row>
    <row r="207" spans="1:9" x14ac:dyDescent="0.25">
      <c r="A207" s="19"/>
      <c r="F207" s="28"/>
      <c r="H207" s="15" t="str">
        <f t="shared" si="6"/>
        <v>0</v>
      </c>
      <c r="I207" s="8" t="e">
        <f t="shared" si="7"/>
        <v>#N/A</v>
      </c>
    </row>
    <row r="208" spans="1:9" x14ac:dyDescent="0.25">
      <c r="A208" s="17"/>
      <c r="F208" s="28"/>
      <c r="H208" s="15" t="str">
        <f t="shared" si="6"/>
        <v>0</v>
      </c>
      <c r="I208" s="8" t="e">
        <f t="shared" si="7"/>
        <v>#N/A</v>
      </c>
    </row>
    <row r="209" spans="1:9" x14ac:dyDescent="0.25">
      <c r="A209" s="17"/>
      <c r="F209" s="28"/>
      <c r="H209" s="15" t="str">
        <f t="shared" si="6"/>
        <v>0</v>
      </c>
      <c r="I209" s="8" t="e">
        <f t="shared" si="7"/>
        <v>#N/A</v>
      </c>
    </row>
    <row r="210" spans="1:9" x14ac:dyDescent="0.25">
      <c r="A210" s="17"/>
      <c r="F210" s="28"/>
      <c r="H210" s="15" t="str">
        <f t="shared" si="6"/>
        <v>0</v>
      </c>
      <c r="I210" s="8" t="e">
        <f t="shared" si="7"/>
        <v>#N/A</v>
      </c>
    </row>
    <row r="211" spans="1:9" x14ac:dyDescent="0.25">
      <c r="A211" s="17"/>
      <c r="F211" s="28"/>
      <c r="H211" s="15" t="str">
        <f t="shared" si="6"/>
        <v>0</v>
      </c>
      <c r="I211" s="8" t="e">
        <f t="shared" si="7"/>
        <v>#N/A</v>
      </c>
    </row>
    <row r="212" spans="1:9" x14ac:dyDescent="0.25">
      <c r="A212" s="18"/>
      <c r="F212" s="28"/>
      <c r="H212" s="15" t="str">
        <f t="shared" si="6"/>
        <v>0</v>
      </c>
      <c r="I212" s="8" t="e">
        <f t="shared" si="7"/>
        <v>#N/A</v>
      </c>
    </row>
    <row r="213" spans="1:9" x14ac:dyDescent="0.25">
      <c r="A213" s="19"/>
      <c r="F213" s="28"/>
      <c r="H213" s="15" t="str">
        <f t="shared" si="6"/>
        <v>0</v>
      </c>
      <c r="I213" s="8" t="e">
        <f t="shared" si="7"/>
        <v>#N/A</v>
      </c>
    </row>
    <row r="214" spans="1:9" x14ac:dyDescent="0.25">
      <c r="A214" s="19"/>
      <c r="F214" s="28"/>
      <c r="H214" s="15" t="str">
        <f t="shared" si="6"/>
        <v>0</v>
      </c>
      <c r="I214" s="8" t="e">
        <f t="shared" si="7"/>
        <v>#N/A</v>
      </c>
    </row>
    <row r="215" spans="1:9" x14ac:dyDescent="0.25">
      <c r="A215" s="17"/>
      <c r="F215" s="28"/>
      <c r="H215" s="15" t="str">
        <f t="shared" si="6"/>
        <v>0</v>
      </c>
      <c r="I215" s="8" t="e">
        <f t="shared" si="7"/>
        <v>#N/A</v>
      </c>
    </row>
    <row r="216" spans="1:9" x14ac:dyDescent="0.25">
      <c r="A216" s="17"/>
      <c r="F216" s="28"/>
      <c r="H216" s="15" t="str">
        <f t="shared" si="6"/>
        <v>0</v>
      </c>
      <c r="I216" s="8" t="e">
        <f t="shared" si="7"/>
        <v>#N/A</v>
      </c>
    </row>
    <row r="217" spans="1:9" x14ac:dyDescent="0.25">
      <c r="A217" s="17"/>
      <c r="F217" s="28"/>
      <c r="H217" s="15" t="str">
        <f t="shared" si="6"/>
        <v>0</v>
      </c>
      <c r="I217" s="8" t="e">
        <f t="shared" si="7"/>
        <v>#N/A</v>
      </c>
    </row>
    <row r="218" spans="1:9" x14ac:dyDescent="0.25">
      <c r="A218" s="17"/>
      <c r="F218" s="28"/>
      <c r="H218" s="15" t="str">
        <f t="shared" si="6"/>
        <v>0</v>
      </c>
      <c r="I218" s="8" t="e">
        <f t="shared" si="7"/>
        <v>#N/A</v>
      </c>
    </row>
    <row r="219" spans="1:9" x14ac:dyDescent="0.25">
      <c r="A219" s="17"/>
      <c r="F219" s="28"/>
      <c r="H219" s="15" t="str">
        <f t="shared" si="6"/>
        <v>0</v>
      </c>
      <c r="I219" s="8" t="e">
        <f t="shared" si="7"/>
        <v>#N/A</v>
      </c>
    </row>
    <row r="220" spans="1:9" x14ac:dyDescent="0.25">
      <c r="A220" s="17"/>
      <c r="F220" s="28"/>
      <c r="H220" s="15" t="str">
        <f t="shared" si="6"/>
        <v>0</v>
      </c>
      <c r="I220" s="8" t="e">
        <f t="shared" si="7"/>
        <v>#N/A</v>
      </c>
    </row>
    <row r="221" spans="1:9" x14ac:dyDescent="0.25">
      <c r="A221" s="17"/>
      <c r="F221" s="28"/>
      <c r="H221" s="15" t="str">
        <f t="shared" si="6"/>
        <v>0</v>
      </c>
      <c r="I221" s="8" t="e">
        <f t="shared" si="7"/>
        <v>#N/A</v>
      </c>
    </row>
    <row r="222" spans="1:9" x14ac:dyDescent="0.25">
      <c r="A222" s="17"/>
      <c r="F222" s="28"/>
      <c r="H222" s="15" t="str">
        <f t="shared" si="6"/>
        <v>0</v>
      </c>
      <c r="I222" s="8" t="e">
        <f t="shared" si="7"/>
        <v>#N/A</v>
      </c>
    </row>
    <row r="223" spans="1:9" x14ac:dyDescent="0.25">
      <c r="A223" s="17"/>
      <c r="F223" s="28"/>
      <c r="H223" s="15" t="str">
        <f t="shared" si="6"/>
        <v>0</v>
      </c>
      <c r="I223" s="8" t="e">
        <f t="shared" si="7"/>
        <v>#N/A</v>
      </c>
    </row>
    <row r="224" spans="1:9" x14ac:dyDescent="0.25">
      <c r="A224" s="17"/>
      <c r="F224" s="28"/>
      <c r="H224" s="15" t="str">
        <f t="shared" si="6"/>
        <v>0</v>
      </c>
      <c r="I224" s="8" t="e">
        <f t="shared" si="7"/>
        <v>#N/A</v>
      </c>
    </row>
    <row r="225" spans="1:9" x14ac:dyDescent="0.25">
      <c r="A225" s="17"/>
      <c r="F225" s="28"/>
      <c r="H225" s="15" t="str">
        <f t="shared" si="6"/>
        <v>0</v>
      </c>
      <c r="I225" s="8" t="e">
        <f t="shared" si="7"/>
        <v>#N/A</v>
      </c>
    </row>
    <row r="226" spans="1:9" x14ac:dyDescent="0.25">
      <c r="A226" s="17"/>
      <c r="F226" s="28"/>
      <c r="H226" s="15" t="str">
        <f t="shared" si="6"/>
        <v>0</v>
      </c>
      <c r="I226" s="8" t="e">
        <f t="shared" si="7"/>
        <v>#N/A</v>
      </c>
    </row>
    <row r="227" spans="1:9" x14ac:dyDescent="0.25">
      <c r="A227" s="17"/>
      <c r="F227" s="28"/>
      <c r="H227" s="15" t="str">
        <f t="shared" si="6"/>
        <v>0</v>
      </c>
      <c r="I227" s="8" t="e">
        <f t="shared" si="7"/>
        <v>#N/A</v>
      </c>
    </row>
    <row r="228" spans="1:9" x14ac:dyDescent="0.25">
      <c r="A228" s="17"/>
      <c r="F228" s="28"/>
      <c r="H228" s="15" t="str">
        <f t="shared" si="6"/>
        <v>0</v>
      </c>
      <c r="I228" s="8" t="e">
        <f t="shared" si="7"/>
        <v>#N/A</v>
      </c>
    </row>
    <row r="229" spans="1:9" x14ac:dyDescent="0.25">
      <c r="A229" s="17"/>
      <c r="F229" s="28"/>
      <c r="H229" s="15" t="str">
        <f t="shared" si="6"/>
        <v>0</v>
      </c>
      <c r="I229" s="8" t="e">
        <f t="shared" si="7"/>
        <v>#N/A</v>
      </c>
    </row>
    <row r="230" spans="1:9" x14ac:dyDescent="0.25">
      <c r="A230" s="17"/>
      <c r="F230" s="28"/>
      <c r="H230" s="15" t="str">
        <f t="shared" si="6"/>
        <v>0</v>
      </c>
      <c r="I230" s="8" t="e">
        <f t="shared" si="7"/>
        <v>#N/A</v>
      </c>
    </row>
    <row r="231" spans="1:9" x14ac:dyDescent="0.25">
      <c r="A231" s="17"/>
      <c r="F231" s="28"/>
      <c r="H231" s="15" t="str">
        <f t="shared" si="6"/>
        <v>0</v>
      </c>
      <c r="I231" s="8" t="e">
        <f t="shared" si="7"/>
        <v>#N/A</v>
      </c>
    </row>
    <row r="232" spans="1:9" x14ac:dyDescent="0.25">
      <c r="A232" s="17"/>
      <c r="F232" s="28"/>
      <c r="H232" s="15" t="str">
        <f t="shared" si="6"/>
        <v>0</v>
      </c>
      <c r="I232" s="8" t="e">
        <f t="shared" si="7"/>
        <v>#N/A</v>
      </c>
    </row>
    <row r="233" spans="1:9" x14ac:dyDescent="0.25">
      <c r="A233" s="17"/>
      <c r="F233" s="28"/>
      <c r="H233" s="15" t="str">
        <f t="shared" si="6"/>
        <v>0</v>
      </c>
      <c r="I233" s="8" t="e">
        <f t="shared" si="7"/>
        <v>#N/A</v>
      </c>
    </row>
    <row r="234" spans="1:9" x14ac:dyDescent="0.25">
      <c r="A234" s="17"/>
      <c r="F234" s="28"/>
      <c r="H234" s="15" t="str">
        <f t="shared" si="6"/>
        <v>0</v>
      </c>
      <c r="I234" s="8" t="e">
        <f t="shared" si="7"/>
        <v>#N/A</v>
      </c>
    </row>
    <row r="235" spans="1:9" x14ac:dyDescent="0.25">
      <c r="A235" s="17"/>
      <c r="F235" s="28"/>
      <c r="H235" s="15" t="str">
        <f t="shared" si="6"/>
        <v>0</v>
      </c>
      <c r="I235" s="8" t="e">
        <f t="shared" si="7"/>
        <v>#N/A</v>
      </c>
    </row>
    <row r="236" spans="1:9" x14ac:dyDescent="0.25">
      <c r="A236" s="17"/>
      <c r="F236" s="28"/>
      <c r="H236" s="15" t="str">
        <f t="shared" si="6"/>
        <v>0</v>
      </c>
      <c r="I236" s="8" t="e">
        <f t="shared" si="7"/>
        <v>#N/A</v>
      </c>
    </row>
    <row r="237" spans="1:9" x14ac:dyDescent="0.25">
      <c r="A237" s="17"/>
      <c r="F237" s="28"/>
      <c r="H237" s="15" t="str">
        <f t="shared" si="6"/>
        <v>0</v>
      </c>
      <c r="I237" s="8" t="e">
        <f t="shared" si="7"/>
        <v>#N/A</v>
      </c>
    </row>
    <row r="238" spans="1:9" x14ac:dyDescent="0.25">
      <c r="A238" s="17"/>
      <c r="F238" s="28"/>
      <c r="H238" s="15" t="str">
        <f t="shared" si="6"/>
        <v>0</v>
      </c>
      <c r="I238" s="8" t="e">
        <f t="shared" si="7"/>
        <v>#N/A</v>
      </c>
    </row>
    <row r="239" spans="1:9" x14ac:dyDescent="0.25">
      <c r="A239" s="17"/>
      <c r="F239" s="28"/>
      <c r="H239" s="15" t="str">
        <f t="shared" si="6"/>
        <v>0</v>
      </c>
      <c r="I239" s="8" t="e">
        <f t="shared" si="7"/>
        <v>#N/A</v>
      </c>
    </row>
    <row r="240" spans="1:9" x14ac:dyDescent="0.25">
      <c r="A240" s="17"/>
      <c r="F240" s="28"/>
      <c r="H240" s="15" t="str">
        <f t="shared" si="6"/>
        <v>0</v>
      </c>
      <c r="I240" s="8" t="e">
        <f t="shared" si="7"/>
        <v>#N/A</v>
      </c>
    </row>
    <row r="241" spans="1:9" x14ac:dyDescent="0.25">
      <c r="A241" s="17"/>
      <c r="F241" s="28"/>
      <c r="H241" s="15" t="str">
        <f t="shared" si="6"/>
        <v>0</v>
      </c>
      <c r="I241" s="8" t="e">
        <f t="shared" si="7"/>
        <v>#N/A</v>
      </c>
    </row>
    <row r="242" spans="1:9" x14ac:dyDescent="0.25">
      <c r="A242" s="17"/>
      <c r="F242" s="28"/>
      <c r="H242" s="15" t="str">
        <f t="shared" si="6"/>
        <v>0</v>
      </c>
      <c r="I242" s="8" t="e">
        <f t="shared" si="7"/>
        <v>#N/A</v>
      </c>
    </row>
    <row r="243" spans="1:9" x14ac:dyDescent="0.25">
      <c r="A243" s="17"/>
      <c r="F243" s="28"/>
      <c r="H243" s="15" t="str">
        <f t="shared" si="6"/>
        <v>0</v>
      </c>
      <c r="I243" s="8" t="e">
        <f t="shared" si="7"/>
        <v>#N/A</v>
      </c>
    </row>
    <row r="244" spans="1:9" x14ac:dyDescent="0.25">
      <c r="A244" s="17"/>
      <c r="F244" s="28"/>
      <c r="H244" s="15" t="str">
        <f t="shared" si="6"/>
        <v>0</v>
      </c>
      <c r="I244" s="8" t="e">
        <f t="shared" si="7"/>
        <v>#N/A</v>
      </c>
    </row>
    <row r="245" spans="1:9" x14ac:dyDescent="0.25">
      <c r="A245" s="17"/>
      <c r="F245" s="28"/>
      <c r="H245" s="15" t="str">
        <f t="shared" si="6"/>
        <v>0</v>
      </c>
      <c r="I245" s="8" t="e">
        <f t="shared" si="7"/>
        <v>#N/A</v>
      </c>
    </row>
    <row r="246" spans="1:9" x14ac:dyDescent="0.25">
      <c r="A246" s="17"/>
      <c r="F246" s="28"/>
      <c r="H246" s="15" t="str">
        <f t="shared" si="6"/>
        <v>0</v>
      </c>
      <c r="I246" s="8" t="e">
        <f t="shared" si="7"/>
        <v>#N/A</v>
      </c>
    </row>
    <row r="247" spans="1:9" x14ac:dyDescent="0.25">
      <c r="A247" s="17"/>
      <c r="F247" s="28"/>
      <c r="H247" s="15" t="str">
        <f t="shared" si="6"/>
        <v>0</v>
      </c>
      <c r="I247" s="8" t="e">
        <f t="shared" si="7"/>
        <v>#N/A</v>
      </c>
    </row>
    <row r="248" spans="1:9" x14ac:dyDescent="0.25">
      <c r="A248" s="17"/>
      <c r="F248" s="28"/>
      <c r="H248" s="15" t="str">
        <f t="shared" si="6"/>
        <v>0</v>
      </c>
      <c r="I248" s="8" t="e">
        <f t="shared" si="7"/>
        <v>#N/A</v>
      </c>
    </row>
    <row r="249" spans="1:9" x14ac:dyDescent="0.25">
      <c r="A249" s="17"/>
      <c r="F249" s="28"/>
      <c r="H249" s="15" t="str">
        <f t="shared" si="6"/>
        <v>0</v>
      </c>
      <c r="I249" s="8" t="e">
        <f t="shared" si="7"/>
        <v>#N/A</v>
      </c>
    </row>
    <row r="250" spans="1:9" x14ac:dyDescent="0.25">
      <c r="A250" s="17"/>
      <c r="F250" s="28"/>
      <c r="H250" s="15" t="str">
        <f t="shared" si="6"/>
        <v>0</v>
      </c>
      <c r="I250" s="8" t="e">
        <f t="shared" si="7"/>
        <v>#N/A</v>
      </c>
    </row>
    <row r="251" spans="1:9" x14ac:dyDescent="0.25">
      <c r="A251" s="17"/>
      <c r="F251" s="28"/>
      <c r="H251" s="15" t="str">
        <f t="shared" si="6"/>
        <v>0</v>
      </c>
      <c r="I251" s="8" t="e">
        <f t="shared" si="7"/>
        <v>#N/A</v>
      </c>
    </row>
    <row r="252" spans="1:9" x14ac:dyDescent="0.25">
      <c r="A252" s="17"/>
      <c r="F252" s="28"/>
      <c r="H252" s="15" t="str">
        <f t="shared" si="6"/>
        <v>0</v>
      </c>
      <c r="I252" s="8" t="e">
        <f t="shared" si="7"/>
        <v>#N/A</v>
      </c>
    </row>
    <row r="253" spans="1:9" x14ac:dyDescent="0.25">
      <c r="A253" s="17"/>
      <c r="F253" s="28"/>
      <c r="H253" s="15" t="str">
        <f t="shared" si="6"/>
        <v>0</v>
      </c>
      <c r="I253" s="8" t="e">
        <f t="shared" si="7"/>
        <v>#N/A</v>
      </c>
    </row>
    <row r="254" spans="1:9" x14ac:dyDescent="0.25">
      <c r="A254" s="17"/>
      <c r="F254" s="28"/>
      <c r="H254" s="15" t="str">
        <f t="shared" si="6"/>
        <v>0</v>
      </c>
      <c r="I254" s="8" t="e">
        <f t="shared" si="7"/>
        <v>#N/A</v>
      </c>
    </row>
    <row r="255" spans="1:9" x14ac:dyDescent="0.25">
      <c r="A255" s="17"/>
      <c r="F255" s="28"/>
      <c r="H255" s="15" t="str">
        <f t="shared" si="6"/>
        <v>0</v>
      </c>
      <c r="I255" s="8" t="e">
        <f t="shared" si="7"/>
        <v>#N/A</v>
      </c>
    </row>
    <row r="256" spans="1:9" x14ac:dyDescent="0.25">
      <c r="A256" s="17"/>
      <c r="F256" s="28"/>
      <c r="H256" s="15" t="str">
        <f t="shared" si="6"/>
        <v>0</v>
      </c>
      <c r="I256" s="8" t="e">
        <f t="shared" si="7"/>
        <v>#N/A</v>
      </c>
    </row>
    <row r="257" spans="1:9" x14ac:dyDescent="0.25">
      <c r="A257" s="17"/>
      <c r="F257" s="28"/>
      <c r="H257" s="15" t="str">
        <f t="shared" si="6"/>
        <v>0</v>
      </c>
      <c r="I257" s="8" t="e">
        <f t="shared" si="7"/>
        <v>#N/A</v>
      </c>
    </row>
    <row r="258" spans="1:9" x14ac:dyDescent="0.25">
      <c r="A258" s="17"/>
      <c r="F258" s="28"/>
      <c r="H258" s="15" t="str">
        <f t="shared" si="6"/>
        <v>0</v>
      </c>
      <c r="I258" s="8" t="e">
        <f t="shared" si="7"/>
        <v>#N/A</v>
      </c>
    </row>
    <row r="259" spans="1:9" x14ac:dyDescent="0.25">
      <c r="A259" s="17"/>
      <c r="F259" s="28"/>
      <c r="H259" s="15" t="str">
        <f t="shared" si="6"/>
        <v>0</v>
      </c>
      <c r="I259" s="8" t="e">
        <f t="shared" si="7"/>
        <v>#N/A</v>
      </c>
    </row>
    <row r="260" spans="1:9" x14ac:dyDescent="0.25">
      <c r="A260" s="17"/>
      <c r="F260" s="28"/>
      <c r="H260" s="15" t="str">
        <f t="shared" si="6"/>
        <v>0</v>
      </c>
      <c r="I260" s="8" t="e">
        <f t="shared" si="7"/>
        <v>#N/A</v>
      </c>
    </row>
    <row r="261" spans="1:9" x14ac:dyDescent="0.25">
      <c r="A261" s="17"/>
      <c r="F261" s="28"/>
      <c r="H261" s="15" t="str">
        <f t="shared" si="6"/>
        <v>0</v>
      </c>
      <c r="I261" s="8" t="e">
        <f t="shared" si="7"/>
        <v>#N/A</v>
      </c>
    </row>
    <row r="262" spans="1:9" x14ac:dyDescent="0.25">
      <c r="A262" s="17"/>
      <c r="F262" s="28"/>
      <c r="H262" s="15" t="str">
        <f t="shared" si="6"/>
        <v>0</v>
      </c>
      <c r="I262" s="8" t="e">
        <f t="shared" si="7"/>
        <v>#N/A</v>
      </c>
    </row>
    <row r="263" spans="1:9" x14ac:dyDescent="0.25">
      <c r="A263" s="17"/>
      <c r="F263" s="28"/>
      <c r="H263" s="15" t="str">
        <f t="shared" si="6"/>
        <v>0</v>
      </c>
      <c r="I263" s="8" t="e">
        <f t="shared" si="7"/>
        <v>#N/A</v>
      </c>
    </row>
    <row r="264" spans="1:9" x14ac:dyDescent="0.25">
      <c r="A264" s="17"/>
      <c r="F264" s="28"/>
      <c r="H264" s="15" t="str">
        <f t="shared" ref="H264:H265" si="8">IF(A264&lt;10,CONCATENATE("0",A264),A264)</f>
        <v>0</v>
      </c>
      <c r="I264" s="8" t="e">
        <f t="shared" ref="I264:I265" si="9">+CONCATENATE(H264,"/",VLOOKUP(C264,$P$4:$Q$16,2,FALSE),"/",E264)</f>
        <v>#N/A</v>
      </c>
    </row>
    <row r="265" spans="1:9" x14ac:dyDescent="0.25">
      <c r="A265" s="17"/>
      <c r="F265" s="28"/>
      <c r="H265" s="15" t="str">
        <f t="shared" si="8"/>
        <v>0</v>
      </c>
      <c r="I265" s="8" t="e">
        <f t="shared" si="9"/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Comprobantes de Clientes GB.</vt:lpstr>
      <vt:lpstr>Pegar ML</vt:lpstr>
      <vt:lpstr>AjusteFecha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global</dc:creator>
  <cp:lastModifiedBy>global</cp:lastModifiedBy>
  <dcterms:created xsi:type="dcterms:W3CDTF">2022-08-30T14:46:12Z</dcterms:created>
  <dcterms:modified xsi:type="dcterms:W3CDTF">2025-07-21T16:43:38Z</dcterms:modified>
</cp:coreProperties>
</file>