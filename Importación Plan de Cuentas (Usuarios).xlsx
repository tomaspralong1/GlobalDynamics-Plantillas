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4400" yWindow="0" windowWidth="14400" windowHeight="15600" activeTab="1"/>
  </bookViews>
  <sheets>
    <sheet name="Plan de Cuentas" sheetId="2" r:id="rId1"/>
    <sheet name="Hoja1" sheetId="3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3" l="1"/>
  <c r="D13" i="2"/>
  <c r="D327" i="2"/>
  <c r="E327" i="2"/>
  <c r="F327" i="2"/>
  <c r="G327" i="2"/>
  <c r="H327" i="2"/>
  <c r="J327" i="2"/>
  <c r="K327" i="2"/>
  <c r="X327" i="2"/>
  <c r="D328" i="2"/>
  <c r="E328" i="2"/>
  <c r="F328" i="2"/>
  <c r="G328" i="2"/>
  <c r="X328" i="2" s="1"/>
  <c r="H328" i="2"/>
  <c r="J328" i="2"/>
  <c r="K328" i="2"/>
  <c r="D329" i="2"/>
  <c r="E329" i="2"/>
  <c r="F329" i="2"/>
  <c r="G329" i="2"/>
  <c r="H329" i="2"/>
  <c r="J329" i="2"/>
  <c r="K329" i="2"/>
  <c r="X329" i="2"/>
  <c r="D330" i="2"/>
  <c r="E330" i="2"/>
  <c r="F330" i="2"/>
  <c r="G330" i="2"/>
  <c r="H330" i="2"/>
  <c r="J330" i="2"/>
  <c r="K330" i="2"/>
  <c r="X330" i="2"/>
  <c r="D331" i="2"/>
  <c r="E331" i="2"/>
  <c r="F331" i="2"/>
  <c r="G331" i="2"/>
  <c r="X331" i="2" s="1"/>
  <c r="H331" i="2"/>
  <c r="J331" i="2"/>
  <c r="K331" i="2"/>
  <c r="D332" i="2"/>
  <c r="E332" i="2"/>
  <c r="F332" i="2"/>
  <c r="G332" i="2"/>
  <c r="H332" i="2"/>
  <c r="J332" i="2"/>
  <c r="K332" i="2"/>
  <c r="X332" i="2"/>
  <c r="D333" i="2"/>
  <c r="E333" i="2"/>
  <c r="F333" i="2"/>
  <c r="G333" i="2"/>
  <c r="H333" i="2"/>
  <c r="J333" i="2"/>
  <c r="K333" i="2"/>
  <c r="X333" i="2"/>
  <c r="D334" i="2"/>
  <c r="E334" i="2"/>
  <c r="F334" i="2"/>
  <c r="G334" i="2"/>
  <c r="X334" i="2" s="1"/>
  <c r="H334" i="2"/>
  <c r="J334" i="2"/>
  <c r="K334" i="2"/>
  <c r="D335" i="2"/>
  <c r="E335" i="2"/>
  <c r="F335" i="2"/>
  <c r="G335" i="2"/>
  <c r="X335" i="2" s="1"/>
  <c r="H335" i="2"/>
  <c r="J335" i="2"/>
  <c r="K335" i="2"/>
  <c r="D336" i="2"/>
  <c r="E336" i="2"/>
  <c r="F336" i="2"/>
  <c r="G336" i="2"/>
  <c r="H336" i="2"/>
  <c r="J336" i="2"/>
  <c r="K336" i="2"/>
  <c r="X336" i="2"/>
  <c r="D337" i="2"/>
  <c r="E337" i="2"/>
  <c r="F337" i="2"/>
  <c r="G337" i="2"/>
  <c r="X337" i="2" s="1"/>
  <c r="H337" i="2"/>
  <c r="J337" i="2"/>
  <c r="K337" i="2"/>
  <c r="D338" i="2"/>
  <c r="E338" i="2"/>
  <c r="F338" i="2"/>
  <c r="G338" i="2"/>
  <c r="H338" i="2"/>
  <c r="J338" i="2"/>
  <c r="K338" i="2"/>
  <c r="X338" i="2"/>
  <c r="D339" i="2"/>
  <c r="E339" i="2"/>
  <c r="F339" i="2"/>
  <c r="G339" i="2"/>
  <c r="H339" i="2"/>
  <c r="J339" i="2"/>
  <c r="K339" i="2"/>
  <c r="X339" i="2"/>
  <c r="D340" i="2"/>
  <c r="E340" i="2"/>
  <c r="F340" i="2"/>
  <c r="G340" i="2"/>
  <c r="X340" i="2" s="1"/>
  <c r="H340" i="2"/>
  <c r="J340" i="2"/>
  <c r="K340" i="2"/>
  <c r="D341" i="2"/>
  <c r="E341" i="2"/>
  <c r="F341" i="2"/>
  <c r="G341" i="2"/>
  <c r="H341" i="2"/>
  <c r="J341" i="2"/>
  <c r="K341" i="2"/>
  <c r="X341" i="2"/>
  <c r="D342" i="2"/>
  <c r="E342" i="2"/>
  <c r="F342" i="2"/>
  <c r="G342" i="2"/>
  <c r="H342" i="2"/>
  <c r="J342" i="2"/>
  <c r="K342" i="2"/>
  <c r="X342" i="2"/>
  <c r="D343" i="2"/>
  <c r="E343" i="2"/>
  <c r="F343" i="2"/>
  <c r="G343" i="2"/>
  <c r="X343" i="2" s="1"/>
  <c r="H343" i="2"/>
  <c r="J343" i="2"/>
  <c r="K343" i="2"/>
  <c r="D344" i="2"/>
  <c r="E344" i="2"/>
  <c r="F344" i="2"/>
  <c r="G344" i="2"/>
  <c r="H344" i="2"/>
  <c r="J344" i="2"/>
  <c r="K344" i="2"/>
  <c r="X344" i="2"/>
  <c r="D345" i="2"/>
  <c r="E345" i="2"/>
  <c r="F345" i="2"/>
  <c r="G345" i="2"/>
  <c r="H345" i="2"/>
  <c r="J345" i="2"/>
  <c r="K345" i="2"/>
  <c r="X345" i="2"/>
  <c r="D346" i="2"/>
  <c r="E346" i="2"/>
  <c r="F346" i="2"/>
  <c r="G346" i="2"/>
  <c r="X346" i="2" s="1"/>
  <c r="H346" i="2"/>
  <c r="J346" i="2"/>
  <c r="K346" i="2"/>
  <c r="D347" i="2"/>
  <c r="E347" i="2"/>
  <c r="F347" i="2"/>
  <c r="G347" i="2"/>
  <c r="H347" i="2"/>
  <c r="J347" i="2"/>
  <c r="K347" i="2"/>
  <c r="X347" i="2"/>
  <c r="D348" i="2"/>
  <c r="E348" i="2"/>
  <c r="F348" i="2"/>
  <c r="G348" i="2"/>
  <c r="H348" i="2"/>
  <c r="J348" i="2"/>
  <c r="K348" i="2"/>
  <c r="X348" i="2"/>
  <c r="D349" i="2"/>
  <c r="E349" i="2"/>
  <c r="F349" i="2"/>
  <c r="G349" i="2"/>
  <c r="X349" i="2" s="1"/>
  <c r="H349" i="2"/>
  <c r="J349" i="2"/>
  <c r="K349" i="2"/>
  <c r="D350" i="2"/>
  <c r="E350" i="2"/>
  <c r="F350" i="2"/>
  <c r="G350" i="2"/>
  <c r="X350" i="2" s="1"/>
  <c r="H350" i="2"/>
  <c r="J350" i="2"/>
  <c r="K350" i="2"/>
  <c r="D351" i="2"/>
  <c r="E351" i="2"/>
  <c r="F351" i="2"/>
  <c r="G351" i="2"/>
  <c r="H351" i="2"/>
  <c r="J351" i="2"/>
  <c r="K351" i="2"/>
  <c r="X351" i="2"/>
  <c r="D352" i="2"/>
  <c r="E352" i="2"/>
  <c r="F352" i="2"/>
  <c r="G352" i="2"/>
  <c r="X352" i="2" s="1"/>
  <c r="H352" i="2"/>
  <c r="J352" i="2"/>
  <c r="K352" i="2"/>
  <c r="D353" i="2"/>
  <c r="E353" i="2"/>
  <c r="F353" i="2"/>
  <c r="G353" i="2"/>
  <c r="X353" i="2" s="1"/>
  <c r="H353" i="2"/>
  <c r="J353" i="2"/>
  <c r="K353" i="2"/>
  <c r="D354" i="2"/>
  <c r="E354" i="2"/>
  <c r="F354" i="2"/>
  <c r="G354" i="2"/>
  <c r="H354" i="2"/>
  <c r="J354" i="2"/>
  <c r="K354" i="2"/>
  <c r="X354" i="2"/>
  <c r="D355" i="2"/>
  <c r="E355" i="2"/>
  <c r="F355" i="2"/>
  <c r="G355" i="2"/>
  <c r="X355" i="2" s="1"/>
  <c r="H355" i="2"/>
  <c r="J355" i="2"/>
  <c r="K355" i="2"/>
  <c r="D356" i="2"/>
  <c r="E356" i="2"/>
  <c r="F356" i="2"/>
  <c r="G356" i="2"/>
  <c r="X356" i="2" s="1"/>
  <c r="H356" i="2"/>
  <c r="J356" i="2"/>
  <c r="K356" i="2"/>
  <c r="D357" i="2"/>
  <c r="E357" i="2"/>
  <c r="F357" i="2"/>
  <c r="G357" i="2"/>
  <c r="H357" i="2"/>
  <c r="J357" i="2"/>
  <c r="K357" i="2"/>
  <c r="X357" i="2"/>
  <c r="D358" i="2"/>
  <c r="E358" i="2"/>
  <c r="F358" i="2"/>
  <c r="G358" i="2"/>
  <c r="X358" i="2" s="1"/>
  <c r="H358" i="2"/>
  <c r="J358" i="2"/>
  <c r="K358" i="2"/>
  <c r="D359" i="2"/>
  <c r="E359" i="2"/>
  <c r="F359" i="2"/>
  <c r="G359" i="2"/>
  <c r="X359" i="2" s="1"/>
  <c r="H359" i="2"/>
  <c r="J359" i="2"/>
  <c r="K359" i="2"/>
  <c r="D360" i="2"/>
  <c r="E360" i="2"/>
  <c r="F360" i="2"/>
  <c r="G360" i="2"/>
  <c r="H360" i="2"/>
  <c r="J360" i="2"/>
  <c r="K360" i="2"/>
  <c r="X360" i="2"/>
  <c r="D361" i="2"/>
  <c r="E361" i="2"/>
  <c r="F361" i="2"/>
  <c r="G361" i="2"/>
  <c r="X361" i="2" s="1"/>
  <c r="H361" i="2"/>
  <c r="J361" i="2"/>
  <c r="K361" i="2"/>
  <c r="D362" i="2"/>
  <c r="E362" i="2"/>
  <c r="F362" i="2"/>
  <c r="G362" i="2"/>
  <c r="H362" i="2"/>
  <c r="J362" i="2"/>
  <c r="K362" i="2"/>
  <c r="X362" i="2"/>
  <c r="D363" i="2"/>
  <c r="E363" i="2"/>
  <c r="F363" i="2"/>
  <c r="G363" i="2"/>
  <c r="H363" i="2"/>
  <c r="J363" i="2"/>
  <c r="K363" i="2"/>
  <c r="X363" i="2"/>
  <c r="D364" i="2"/>
  <c r="E364" i="2"/>
  <c r="F364" i="2"/>
  <c r="G364" i="2"/>
  <c r="X364" i="2" s="1"/>
  <c r="H364" i="2"/>
  <c r="J364" i="2"/>
  <c r="K364" i="2"/>
  <c r="D365" i="2"/>
  <c r="E365" i="2"/>
  <c r="F365" i="2"/>
  <c r="G365" i="2"/>
  <c r="H365" i="2"/>
  <c r="J365" i="2"/>
  <c r="K365" i="2"/>
  <c r="X365" i="2"/>
  <c r="D366" i="2"/>
  <c r="E366" i="2"/>
  <c r="F366" i="2"/>
  <c r="G366" i="2"/>
  <c r="H366" i="2"/>
  <c r="J366" i="2"/>
  <c r="K366" i="2"/>
  <c r="X366" i="2"/>
  <c r="D367" i="2"/>
  <c r="E367" i="2"/>
  <c r="F367" i="2"/>
  <c r="G367" i="2"/>
  <c r="X367" i="2" s="1"/>
  <c r="H367" i="2"/>
  <c r="J367" i="2"/>
  <c r="K367" i="2"/>
  <c r="D368" i="2"/>
  <c r="E368" i="2"/>
  <c r="F368" i="2"/>
  <c r="G368" i="2"/>
  <c r="H368" i="2"/>
  <c r="J368" i="2"/>
  <c r="K368" i="2"/>
  <c r="X368" i="2"/>
  <c r="D369" i="2"/>
  <c r="E369" i="2"/>
  <c r="F369" i="2"/>
  <c r="G369" i="2"/>
  <c r="H369" i="2"/>
  <c r="J369" i="2"/>
  <c r="K369" i="2"/>
  <c r="X369" i="2"/>
  <c r="D370" i="2"/>
  <c r="E370" i="2"/>
  <c r="F370" i="2"/>
  <c r="G370" i="2"/>
  <c r="X370" i="2" s="1"/>
  <c r="H370" i="2"/>
  <c r="J370" i="2"/>
  <c r="K370" i="2"/>
  <c r="D371" i="2"/>
  <c r="E371" i="2"/>
  <c r="F371" i="2"/>
  <c r="G371" i="2"/>
  <c r="H371" i="2"/>
  <c r="J371" i="2"/>
  <c r="K371" i="2"/>
  <c r="X371" i="2"/>
  <c r="D372" i="2"/>
  <c r="E372" i="2"/>
  <c r="F372" i="2"/>
  <c r="G372" i="2"/>
  <c r="H372" i="2"/>
  <c r="J372" i="2"/>
  <c r="K372" i="2"/>
  <c r="X372" i="2"/>
  <c r="D373" i="2"/>
  <c r="E373" i="2"/>
  <c r="F373" i="2"/>
  <c r="G373" i="2"/>
  <c r="X373" i="2" s="1"/>
  <c r="H373" i="2"/>
  <c r="J373" i="2"/>
  <c r="K373" i="2"/>
  <c r="D374" i="2"/>
  <c r="E374" i="2"/>
  <c r="F374" i="2"/>
  <c r="G374" i="2"/>
  <c r="H374" i="2"/>
  <c r="J374" i="2"/>
  <c r="K374" i="2"/>
  <c r="X374" i="2"/>
  <c r="D375" i="2"/>
  <c r="E375" i="2"/>
  <c r="F375" i="2"/>
  <c r="G375" i="2"/>
  <c r="H375" i="2"/>
  <c r="J375" i="2"/>
  <c r="K375" i="2"/>
  <c r="X375" i="2"/>
  <c r="D376" i="2"/>
  <c r="E376" i="2"/>
  <c r="F376" i="2"/>
  <c r="G376" i="2"/>
  <c r="X376" i="2" s="1"/>
  <c r="H376" i="2"/>
  <c r="J376" i="2"/>
  <c r="K376" i="2"/>
  <c r="D377" i="2"/>
  <c r="E377" i="2"/>
  <c r="F377" i="2"/>
  <c r="G377" i="2"/>
  <c r="H377" i="2"/>
  <c r="J377" i="2"/>
  <c r="K377" i="2"/>
  <c r="X377" i="2"/>
  <c r="D378" i="2"/>
  <c r="E378" i="2"/>
  <c r="F378" i="2"/>
  <c r="G378" i="2"/>
  <c r="H378" i="2"/>
  <c r="J378" i="2"/>
  <c r="K378" i="2"/>
  <c r="X378" i="2"/>
  <c r="D379" i="2"/>
  <c r="E379" i="2"/>
  <c r="F379" i="2"/>
  <c r="G379" i="2"/>
  <c r="X379" i="2" s="1"/>
  <c r="H379" i="2"/>
  <c r="J379" i="2"/>
  <c r="K379" i="2"/>
  <c r="D380" i="2"/>
  <c r="E380" i="2"/>
  <c r="F380" i="2"/>
  <c r="G380" i="2"/>
  <c r="H380" i="2"/>
  <c r="J380" i="2"/>
  <c r="K380" i="2"/>
  <c r="X380" i="2"/>
  <c r="D381" i="2"/>
  <c r="E381" i="2"/>
  <c r="F381" i="2"/>
  <c r="G381" i="2"/>
  <c r="H381" i="2"/>
  <c r="J381" i="2"/>
  <c r="K381" i="2"/>
  <c r="X381" i="2"/>
  <c r="D382" i="2"/>
  <c r="E382" i="2"/>
  <c r="F382" i="2"/>
  <c r="G382" i="2"/>
  <c r="X382" i="2" s="1"/>
  <c r="H382" i="2"/>
  <c r="J382" i="2"/>
  <c r="K382" i="2"/>
  <c r="D383" i="2"/>
  <c r="E383" i="2"/>
  <c r="F383" i="2"/>
  <c r="G383" i="2"/>
  <c r="H383" i="2"/>
  <c r="J383" i="2"/>
  <c r="K383" i="2"/>
  <c r="X383" i="2"/>
  <c r="D384" i="2"/>
  <c r="E384" i="2"/>
  <c r="F384" i="2"/>
  <c r="G384" i="2"/>
  <c r="H384" i="2"/>
  <c r="J384" i="2"/>
  <c r="K384" i="2"/>
  <c r="X384" i="2"/>
  <c r="D385" i="2"/>
  <c r="E385" i="2"/>
  <c r="F385" i="2"/>
  <c r="G385" i="2"/>
  <c r="X385" i="2" s="1"/>
  <c r="H385" i="2"/>
  <c r="J385" i="2"/>
  <c r="K385" i="2"/>
  <c r="D386" i="2"/>
  <c r="E386" i="2"/>
  <c r="F386" i="2"/>
  <c r="G386" i="2"/>
  <c r="X386" i="2" s="1"/>
  <c r="H386" i="2"/>
  <c r="J386" i="2"/>
  <c r="K386" i="2"/>
  <c r="D387" i="2"/>
  <c r="E387" i="2"/>
  <c r="F387" i="2"/>
  <c r="G387" i="2"/>
  <c r="H387" i="2"/>
  <c r="J387" i="2"/>
  <c r="K387" i="2"/>
  <c r="X387" i="2"/>
  <c r="D388" i="2"/>
  <c r="E388" i="2"/>
  <c r="F388" i="2"/>
  <c r="G388" i="2"/>
  <c r="X388" i="2" s="1"/>
  <c r="H388" i="2"/>
  <c r="J388" i="2"/>
  <c r="K388" i="2"/>
  <c r="D389" i="2"/>
  <c r="E389" i="2"/>
  <c r="F389" i="2"/>
  <c r="G389" i="2"/>
  <c r="X389" i="2" s="1"/>
  <c r="H389" i="2"/>
  <c r="J389" i="2"/>
  <c r="K389" i="2"/>
  <c r="D390" i="2"/>
  <c r="E390" i="2"/>
  <c r="F390" i="2"/>
  <c r="G390" i="2"/>
  <c r="H390" i="2"/>
  <c r="J390" i="2"/>
  <c r="K390" i="2"/>
  <c r="X390" i="2"/>
  <c r="D391" i="2"/>
  <c r="E391" i="2"/>
  <c r="F391" i="2"/>
  <c r="G391" i="2"/>
  <c r="X391" i="2" s="1"/>
  <c r="H391" i="2"/>
  <c r="J391" i="2"/>
  <c r="K391" i="2"/>
  <c r="D392" i="2"/>
  <c r="E392" i="2"/>
  <c r="F392" i="2"/>
  <c r="G392" i="2"/>
  <c r="X392" i="2" s="1"/>
  <c r="H392" i="2"/>
  <c r="J392" i="2"/>
  <c r="K392" i="2"/>
  <c r="D393" i="2"/>
  <c r="E393" i="2"/>
  <c r="F393" i="2"/>
  <c r="G393" i="2"/>
  <c r="H393" i="2"/>
  <c r="J393" i="2"/>
  <c r="K393" i="2"/>
  <c r="X393" i="2"/>
  <c r="D394" i="2"/>
  <c r="E394" i="2"/>
  <c r="F394" i="2"/>
  <c r="G394" i="2"/>
  <c r="X394" i="2" s="1"/>
  <c r="H394" i="2"/>
  <c r="J394" i="2"/>
  <c r="K394" i="2"/>
  <c r="D395" i="2"/>
  <c r="E395" i="2"/>
  <c r="F395" i="2"/>
  <c r="G395" i="2"/>
  <c r="X395" i="2" s="1"/>
  <c r="H395" i="2"/>
  <c r="J395" i="2"/>
  <c r="K395" i="2"/>
  <c r="D396" i="2"/>
  <c r="E396" i="2"/>
  <c r="F396" i="2"/>
  <c r="G396" i="2"/>
  <c r="H396" i="2"/>
  <c r="J396" i="2"/>
  <c r="K396" i="2"/>
  <c r="X396" i="2"/>
  <c r="D397" i="2"/>
  <c r="E397" i="2"/>
  <c r="F397" i="2"/>
  <c r="G397" i="2"/>
  <c r="X397" i="2" s="1"/>
  <c r="H397" i="2"/>
  <c r="J397" i="2"/>
  <c r="K397" i="2"/>
  <c r="D398" i="2"/>
  <c r="E398" i="2"/>
  <c r="F398" i="2"/>
  <c r="G398" i="2"/>
  <c r="X398" i="2" s="1"/>
  <c r="H398" i="2"/>
  <c r="J398" i="2"/>
  <c r="K398" i="2"/>
  <c r="D399" i="2"/>
  <c r="E399" i="2"/>
  <c r="F399" i="2"/>
  <c r="G399" i="2"/>
  <c r="H399" i="2"/>
  <c r="J399" i="2"/>
  <c r="K399" i="2"/>
  <c r="X399" i="2"/>
  <c r="D400" i="2"/>
  <c r="E400" i="2"/>
  <c r="F400" i="2"/>
  <c r="G400" i="2"/>
  <c r="X400" i="2" s="1"/>
  <c r="H400" i="2"/>
  <c r="J400" i="2"/>
  <c r="K400" i="2"/>
  <c r="D401" i="2"/>
  <c r="E401" i="2"/>
  <c r="F401" i="2"/>
  <c r="G401" i="2"/>
  <c r="X401" i="2" s="1"/>
  <c r="H401" i="2"/>
  <c r="J401" i="2"/>
  <c r="K401" i="2"/>
  <c r="D402" i="2"/>
  <c r="E402" i="2"/>
  <c r="F402" i="2"/>
  <c r="G402" i="2"/>
  <c r="H402" i="2"/>
  <c r="J402" i="2"/>
  <c r="K402" i="2"/>
  <c r="X402" i="2"/>
  <c r="D403" i="2"/>
  <c r="E403" i="2"/>
  <c r="F403" i="2"/>
  <c r="G403" i="2"/>
  <c r="X403" i="2" s="1"/>
  <c r="H403" i="2"/>
  <c r="J403" i="2"/>
  <c r="K403" i="2"/>
  <c r="D404" i="2"/>
  <c r="E404" i="2"/>
  <c r="F404" i="2"/>
  <c r="G404" i="2"/>
  <c r="H404" i="2"/>
  <c r="J404" i="2"/>
  <c r="K404" i="2"/>
  <c r="X404" i="2"/>
  <c r="D405" i="2"/>
  <c r="E405" i="2"/>
  <c r="F405" i="2"/>
  <c r="G405" i="2"/>
  <c r="H405" i="2"/>
  <c r="J405" i="2"/>
  <c r="K405" i="2"/>
  <c r="X405" i="2"/>
  <c r="D406" i="2"/>
  <c r="E406" i="2"/>
  <c r="F406" i="2"/>
  <c r="G406" i="2"/>
  <c r="X406" i="2" s="1"/>
  <c r="H406" i="2"/>
  <c r="J406" i="2"/>
  <c r="K406" i="2"/>
  <c r="D407" i="2"/>
  <c r="E407" i="2"/>
  <c r="F407" i="2"/>
  <c r="G407" i="2"/>
  <c r="X407" i="2" s="1"/>
  <c r="H407" i="2"/>
  <c r="J407" i="2"/>
  <c r="K407" i="2"/>
  <c r="D408" i="2"/>
  <c r="E408" i="2"/>
  <c r="F408" i="2"/>
  <c r="G408" i="2"/>
  <c r="H408" i="2"/>
  <c r="J408" i="2"/>
  <c r="K408" i="2"/>
  <c r="X408" i="2"/>
  <c r="D409" i="2"/>
  <c r="E409" i="2"/>
  <c r="F409" i="2"/>
  <c r="G409" i="2"/>
  <c r="X409" i="2" s="1"/>
  <c r="H409" i="2"/>
  <c r="J409" i="2"/>
  <c r="K409" i="2"/>
  <c r="D410" i="2"/>
  <c r="E410" i="2"/>
  <c r="F410" i="2"/>
  <c r="G410" i="2"/>
  <c r="H410" i="2"/>
  <c r="J410" i="2"/>
  <c r="K410" i="2"/>
  <c r="X410" i="2"/>
  <c r="D411" i="2"/>
  <c r="E411" i="2"/>
  <c r="F411" i="2"/>
  <c r="G411" i="2"/>
  <c r="H411" i="2"/>
  <c r="J411" i="2"/>
  <c r="K411" i="2"/>
  <c r="X411" i="2"/>
  <c r="D412" i="2"/>
  <c r="E412" i="2"/>
  <c r="F412" i="2"/>
  <c r="G412" i="2"/>
  <c r="X412" i="2" s="1"/>
  <c r="H412" i="2"/>
  <c r="J412" i="2"/>
  <c r="K412" i="2"/>
  <c r="D413" i="2"/>
  <c r="E413" i="2"/>
  <c r="F413" i="2"/>
  <c r="G413" i="2"/>
  <c r="H413" i="2"/>
  <c r="J413" i="2"/>
  <c r="K413" i="2"/>
  <c r="X413" i="2"/>
  <c r="D414" i="2"/>
  <c r="E414" i="2"/>
  <c r="F414" i="2"/>
  <c r="G414" i="2"/>
  <c r="H414" i="2"/>
  <c r="J414" i="2"/>
  <c r="K414" i="2"/>
  <c r="X414" i="2"/>
  <c r="D415" i="2"/>
  <c r="E415" i="2"/>
  <c r="F415" i="2"/>
  <c r="G415" i="2"/>
  <c r="X415" i="2" s="1"/>
  <c r="H415" i="2"/>
  <c r="J415" i="2"/>
  <c r="K415" i="2"/>
  <c r="D416" i="2"/>
  <c r="E416" i="2"/>
  <c r="F416" i="2"/>
  <c r="G416" i="2"/>
  <c r="H416" i="2"/>
  <c r="J416" i="2"/>
  <c r="K416" i="2"/>
  <c r="X416" i="2"/>
  <c r="D417" i="2"/>
  <c r="E417" i="2"/>
  <c r="F417" i="2"/>
  <c r="G417" i="2"/>
  <c r="H417" i="2"/>
  <c r="J417" i="2"/>
  <c r="K417" i="2"/>
  <c r="X417" i="2"/>
  <c r="D418" i="2"/>
  <c r="E418" i="2"/>
  <c r="F418" i="2"/>
  <c r="G418" i="2"/>
  <c r="X418" i="2" s="1"/>
  <c r="H418" i="2"/>
  <c r="J418" i="2"/>
  <c r="K418" i="2"/>
  <c r="D419" i="2"/>
  <c r="E419" i="2"/>
  <c r="F419" i="2"/>
  <c r="G419" i="2"/>
  <c r="H419" i="2"/>
  <c r="J419" i="2"/>
  <c r="K419" i="2"/>
  <c r="X419" i="2"/>
  <c r="D420" i="2"/>
  <c r="E420" i="2"/>
  <c r="F420" i="2"/>
  <c r="G420" i="2"/>
  <c r="H420" i="2"/>
  <c r="J420" i="2"/>
  <c r="K420" i="2"/>
  <c r="X420" i="2"/>
  <c r="D421" i="2"/>
  <c r="E421" i="2"/>
  <c r="F421" i="2"/>
  <c r="G421" i="2"/>
  <c r="X421" i="2" s="1"/>
  <c r="H421" i="2"/>
  <c r="J421" i="2"/>
  <c r="K421" i="2"/>
  <c r="D422" i="2"/>
  <c r="E422" i="2"/>
  <c r="F422" i="2"/>
  <c r="G422" i="2"/>
  <c r="X422" i="2" s="1"/>
  <c r="H422" i="2"/>
  <c r="J422" i="2"/>
  <c r="K422" i="2"/>
  <c r="D423" i="2"/>
  <c r="E423" i="2"/>
  <c r="F423" i="2"/>
  <c r="G423" i="2"/>
  <c r="H423" i="2"/>
  <c r="J423" i="2"/>
  <c r="K423" i="2"/>
  <c r="X423" i="2"/>
  <c r="D424" i="2"/>
  <c r="E424" i="2"/>
  <c r="F424" i="2"/>
  <c r="G424" i="2"/>
  <c r="X424" i="2" s="1"/>
  <c r="H424" i="2"/>
  <c r="J424" i="2"/>
  <c r="K424" i="2"/>
  <c r="D425" i="2"/>
  <c r="E425" i="2"/>
  <c r="F425" i="2"/>
  <c r="G425" i="2"/>
  <c r="X425" i="2" s="1"/>
  <c r="H425" i="2"/>
  <c r="J425" i="2"/>
  <c r="K425" i="2"/>
  <c r="D426" i="2"/>
  <c r="E426" i="2"/>
  <c r="F426" i="2"/>
  <c r="G426" i="2"/>
  <c r="H426" i="2"/>
  <c r="J426" i="2"/>
  <c r="K426" i="2"/>
  <c r="X426" i="2"/>
  <c r="D427" i="2"/>
  <c r="E427" i="2"/>
  <c r="F427" i="2"/>
  <c r="G427" i="2"/>
  <c r="X427" i="2" s="1"/>
  <c r="H427" i="2"/>
  <c r="J427" i="2"/>
  <c r="K427" i="2"/>
  <c r="D428" i="2"/>
  <c r="E428" i="2"/>
  <c r="F428" i="2"/>
  <c r="G428" i="2"/>
  <c r="X428" i="2" s="1"/>
  <c r="H428" i="2"/>
  <c r="J428" i="2"/>
  <c r="K428" i="2"/>
  <c r="D429" i="2"/>
  <c r="E429" i="2"/>
  <c r="F429" i="2"/>
  <c r="G429" i="2"/>
  <c r="H429" i="2"/>
  <c r="J429" i="2"/>
  <c r="K429" i="2"/>
  <c r="X429" i="2"/>
  <c r="D430" i="2"/>
  <c r="E430" i="2"/>
  <c r="F430" i="2"/>
  <c r="G430" i="2"/>
  <c r="X430" i="2" s="1"/>
  <c r="H430" i="2"/>
  <c r="J430" i="2"/>
  <c r="K430" i="2"/>
  <c r="D431" i="2"/>
  <c r="E431" i="2"/>
  <c r="F431" i="2"/>
  <c r="G431" i="2"/>
  <c r="X431" i="2" s="1"/>
  <c r="H431" i="2"/>
  <c r="J431" i="2"/>
  <c r="K431" i="2"/>
  <c r="D432" i="2"/>
  <c r="E432" i="2"/>
  <c r="F432" i="2"/>
  <c r="G432" i="2"/>
  <c r="H432" i="2"/>
  <c r="J432" i="2"/>
  <c r="K432" i="2"/>
  <c r="X432" i="2"/>
  <c r="D433" i="2"/>
  <c r="E433" i="2"/>
  <c r="F433" i="2"/>
  <c r="G433" i="2"/>
  <c r="X433" i="2" s="1"/>
  <c r="H433" i="2"/>
  <c r="J433" i="2"/>
  <c r="K433" i="2"/>
  <c r="D434" i="2"/>
  <c r="E434" i="2"/>
  <c r="F434" i="2"/>
  <c r="G434" i="2"/>
  <c r="H434" i="2"/>
  <c r="J434" i="2"/>
  <c r="K434" i="2"/>
  <c r="X434" i="2"/>
  <c r="D435" i="2"/>
  <c r="E435" i="2"/>
  <c r="F435" i="2"/>
  <c r="G435" i="2"/>
  <c r="H435" i="2"/>
  <c r="J435" i="2"/>
  <c r="K435" i="2"/>
  <c r="X435" i="2"/>
  <c r="D436" i="2"/>
  <c r="E436" i="2"/>
  <c r="F436" i="2"/>
  <c r="G436" i="2"/>
  <c r="X436" i="2" s="1"/>
  <c r="H436" i="2"/>
  <c r="J436" i="2"/>
  <c r="K436" i="2"/>
  <c r="D437" i="2"/>
  <c r="E437" i="2"/>
  <c r="F437" i="2"/>
  <c r="G437" i="2"/>
  <c r="X437" i="2" s="1"/>
  <c r="H437" i="2"/>
  <c r="J437" i="2"/>
  <c r="K437" i="2"/>
  <c r="D438" i="2"/>
  <c r="E438" i="2"/>
  <c r="F438" i="2"/>
  <c r="G438" i="2"/>
  <c r="H438" i="2"/>
  <c r="J438" i="2"/>
  <c r="K438" i="2"/>
  <c r="X438" i="2"/>
  <c r="D439" i="2"/>
  <c r="E439" i="2"/>
  <c r="F439" i="2"/>
  <c r="G439" i="2"/>
  <c r="X439" i="2" s="1"/>
  <c r="H439" i="2"/>
  <c r="J439" i="2"/>
  <c r="K439" i="2"/>
  <c r="D440" i="2"/>
  <c r="E440" i="2"/>
  <c r="F440" i="2"/>
  <c r="G440" i="2"/>
  <c r="H440" i="2"/>
  <c r="J440" i="2"/>
  <c r="K440" i="2"/>
  <c r="X440" i="2"/>
  <c r="D441" i="2"/>
  <c r="E441" i="2"/>
  <c r="F441" i="2"/>
  <c r="G441" i="2"/>
  <c r="H441" i="2"/>
  <c r="J441" i="2"/>
  <c r="K441" i="2"/>
  <c r="X441" i="2"/>
  <c r="D442" i="2"/>
  <c r="E442" i="2"/>
  <c r="F442" i="2"/>
  <c r="G442" i="2"/>
  <c r="X442" i="2" s="1"/>
  <c r="H442" i="2"/>
  <c r="J442" i="2"/>
  <c r="K442" i="2"/>
  <c r="D443" i="2"/>
  <c r="E443" i="2"/>
  <c r="F443" i="2"/>
  <c r="G443" i="2"/>
  <c r="H443" i="2"/>
  <c r="J443" i="2"/>
  <c r="K443" i="2"/>
  <c r="X443" i="2"/>
  <c r="D444" i="2"/>
  <c r="E444" i="2"/>
  <c r="F444" i="2"/>
  <c r="G444" i="2"/>
  <c r="H444" i="2"/>
  <c r="J444" i="2"/>
  <c r="K444" i="2"/>
  <c r="X444" i="2"/>
  <c r="D445" i="2"/>
  <c r="E445" i="2"/>
  <c r="F445" i="2"/>
  <c r="G445" i="2"/>
  <c r="X445" i="2" s="1"/>
  <c r="H445" i="2"/>
  <c r="J445" i="2"/>
  <c r="K445" i="2"/>
  <c r="D446" i="2"/>
  <c r="E446" i="2"/>
  <c r="F446" i="2"/>
  <c r="G446" i="2"/>
  <c r="H446" i="2"/>
  <c r="J446" i="2"/>
  <c r="K446" i="2"/>
  <c r="X446" i="2"/>
  <c r="D447" i="2"/>
  <c r="E447" i="2"/>
  <c r="F447" i="2"/>
  <c r="G447" i="2"/>
  <c r="H447" i="2"/>
  <c r="J447" i="2"/>
  <c r="K447" i="2"/>
  <c r="X447" i="2"/>
  <c r="D448" i="2"/>
  <c r="E448" i="2"/>
  <c r="F448" i="2"/>
  <c r="G448" i="2"/>
  <c r="X448" i="2" s="1"/>
  <c r="H448" i="2"/>
  <c r="J448" i="2"/>
  <c r="K448" i="2"/>
  <c r="D449" i="2"/>
  <c r="E449" i="2"/>
  <c r="F449" i="2"/>
  <c r="G449" i="2"/>
  <c r="H449" i="2"/>
  <c r="J449" i="2"/>
  <c r="K449" i="2"/>
  <c r="X449" i="2"/>
  <c r="D450" i="2"/>
  <c r="E450" i="2"/>
  <c r="F450" i="2"/>
  <c r="G450" i="2"/>
  <c r="H450" i="2"/>
  <c r="J450" i="2"/>
  <c r="K450" i="2"/>
  <c r="X450" i="2"/>
  <c r="D451" i="2"/>
  <c r="E451" i="2"/>
  <c r="F451" i="2"/>
  <c r="G451" i="2"/>
  <c r="X451" i="2" s="1"/>
  <c r="H451" i="2"/>
  <c r="J451" i="2"/>
  <c r="K451" i="2"/>
  <c r="D452" i="2"/>
  <c r="E452" i="2"/>
  <c r="F452" i="2"/>
  <c r="G452" i="2"/>
  <c r="H452" i="2"/>
  <c r="J452" i="2"/>
  <c r="K452" i="2"/>
  <c r="X452" i="2"/>
  <c r="D453" i="2"/>
  <c r="E453" i="2"/>
  <c r="F453" i="2"/>
  <c r="G453" i="2"/>
  <c r="H453" i="2"/>
  <c r="J453" i="2"/>
  <c r="K453" i="2"/>
  <c r="X453" i="2"/>
  <c r="D454" i="2"/>
  <c r="E454" i="2"/>
  <c r="F454" i="2"/>
  <c r="G454" i="2"/>
  <c r="X454" i="2" s="1"/>
  <c r="H454" i="2"/>
  <c r="J454" i="2"/>
  <c r="K454" i="2"/>
  <c r="D455" i="2"/>
  <c r="E455" i="2"/>
  <c r="F455" i="2"/>
  <c r="G455" i="2"/>
  <c r="H455" i="2"/>
  <c r="J455" i="2"/>
  <c r="K455" i="2"/>
  <c r="X455" i="2"/>
  <c r="D456" i="2"/>
  <c r="E456" i="2"/>
  <c r="F456" i="2"/>
  <c r="G456" i="2"/>
  <c r="H456" i="2"/>
  <c r="J456" i="2"/>
  <c r="K456" i="2"/>
  <c r="X456" i="2"/>
  <c r="D457" i="2"/>
  <c r="E457" i="2"/>
  <c r="F457" i="2"/>
  <c r="G457" i="2"/>
  <c r="X457" i="2" s="1"/>
  <c r="H457" i="2"/>
  <c r="J457" i="2"/>
  <c r="K457" i="2"/>
  <c r="D458" i="2"/>
  <c r="E458" i="2"/>
  <c r="F458" i="2"/>
  <c r="G458" i="2"/>
  <c r="X458" i="2" s="1"/>
  <c r="H458" i="2"/>
  <c r="J458" i="2"/>
  <c r="K458" i="2"/>
  <c r="D459" i="2"/>
  <c r="E459" i="2"/>
  <c r="F459" i="2"/>
  <c r="G459" i="2"/>
  <c r="H459" i="2"/>
  <c r="J459" i="2"/>
  <c r="K459" i="2"/>
  <c r="X459" i="2"/>
  <c r="D460" i="2"/>
  <c r="E460" i="2"/>
  <c r="F460" i="2"/>
  <c r="G460" i="2"/>
  <c r="X460" i="2" s="1"/>
  <c r="H460" i="2"/>
  <c r="J460" i="2"/>
  <c r="K460" i="2"/>
  <c r="D461" i="2"/>
  <c r="E461" i="2"/>
  <c r="F461" i="2"/>
  <c r="G461" i="2"/>
  <c r="X461" i="2" s="1"/>
  <c r="H461" i="2"/>
  <c r="J461" i="2"/>
  <c r="K461" i="2"/>
  <c r="D462" i="2"/>
  <c r="E462" i="2"/>
  <c r="F462" i="2"/>
  <c r="G462" i="2"/>
  <c r="H462" i="2"/>
  <c r="J462" i="2"/>
  <c r="K462" i="2"/>
  <c r="X462" i="2"/>
  <c r="D463" i="2"/>
  <c r="E463" i="2"/>
  <c r="F463" i="2"/>
  <c r="G463" i="2"/>
  <c r="X463" i="2" s="1"/>
  <c r="H463" i="2"/>
  <c r="J463" i="2"/>
  <c r="K463" i="2"/>
  <c r="D464" i="2"/>
  <c r="E464" i="2"/>
  <c r="F464" i="2"/>
  <c r="G464" i="2"/>
  <c r="X464" i="2" s="1"/>
  <c r="H464" i="2"/>
  <c r="J464" i="2"/>
  <c r="K464" i="2"/>
  <c r="D465" i="2"/>
  <c r="E465" i="2"/>
  <c r="F465" i="2"/>
  <c r="G465" i="2"/>
  <c r="H465" i="2"/>
  <c r="J465" i="2"/>
  <c r="K465" i="2"/>
  <c r="X465" i="2"/>
  <c r="D466" i="2"/>
  <c r="E466" i="2"/>
  <c r="F466" i="2"/>
  <c r="G466" i="2"/>
  <c r="X466" i="2" s="1"/>
  <c r="H466" i="2"/>
  <c r="J466" i="2"/>
  <c r="K466" i="2"/>
  <c r="D467" i="2"/>
  <c r="E467" i="2"/>
  <c r="F467" i="2"/>
  <c r="G467" i="2"/>
  <c r="X467" i="2" s="1"/>
  <c r="H467" i="2"/>
  <c r="J467" i="2"/>
  <c r="K467" i="2"/>
  <c r="D468" i="2"/>
  <c r="E468" i="2"/>
  <c r="F468" i="2"/>
  <c r="G468" i="2"/>
  <c r="H468" i="2"/>
  <c r="J468" i="2"/>
  <c r="K468" i="2"/>
  <c r="X468" i="2"/>
  <c r="D469" i="2"/>
  <c r="E469" i="2"/>
  <c r="F469" i="2"/>
  <c r="G469" i="2"/>
  <c r="X469" i="2" s="1"/>
  <c r="H469" i="2"/>
  <c r="J469" i="2"/>
  <c r="K469" i="2"/>
  <c r="D470" i="2"/>
  <c r="E470" i="2"/>
  <c r="F470" i="2"/>
  <c r="G470" i="2"/>
  <c r="H470" i="2"/>
  <c r="J470" i="2"/>
  <c r="K470" i="2"/>
  <c r="X470" i="2"/>
  <c r="D471" i="2"/>
  <c r="E471" i="2"/>
  <c r="F471" i="2"/>
  <c r="G471" i="2"/>
  <c r="H471" i="2"/>
  <c r="J471" i="2"/>
  <c r="K471" i="2"/>
  <c r="X471" i="2"/>
  <c r="D472" i="2"/>
  <c r="E472" i="2"/>
  <c r="F472" i="2"/>
  <c r="G472" i="2"/>
  <c r="X472" i="2" s="1"/>
  <c r="H472" i="2"/>
  <c r="J472" i="2"/>
  <c r="K472" i="2"/>
  <c r="D473" i="2"/>
  <c r="E473" i="2"/>
  <c r="F473" i="2"/>
  <c r="G473" i="2"/>
  <c r="H473" i="2"/>
  <c r="J473" i="2"/>
  <c r="K473" i="2"/>
  <c r="X473" i="2"/>
  <c r="D474" i="2"/>
  <c r="E474" i="2"/>
  <c r="F474" i="2"/>
  <c r="G474" i="2"/>
  <c r="H474" i="2"/>
  <c r="J474" i="2"/>
  <c r="K474" i="2"/>
  <c r="X474" i="2"/>
  <c r="D475" i="2"/>
  <c r="E475" i="2"/>
  <c r="F475" i="2"/>
  <c r="G475" i="2"/>
  <c r="X475" i="2" s="1"/>
  <c r="H475" i="2"/>
  <c r="J475" i="2"/>
  <c r="K475" i="2"/>
  <c r="D476" i="2"/>
  <c r="E476" i="2"/>
  <c r="F476" i="2"/>
  <c r="G476" i="2"/>
  <c r="H476" i="2"/>
  <c r="J476" i="2"/>
  <c r="K476" i="2"/>
  <c r="X476" i="2"/>
  <c r="D477" i="2"/>
  <c r="E477" i="2"/>
  <c r="F477" i="2"/>
  <c r="G477" i="2"/>
  <c r="H477" i="2"/>
  <c r="J477" i="2"/>
  <c r="K477" i="2"/>
  <c r="X477" i="2"/>
  <c r="D478" i="2"/>
  <c r="E478" i="2"/>
  <c r="F478" i="2"/>
  <c r="G478" i="2"/>
  <c r="X478" i="2" s="1"/>
  <c r="H478" i="2"/>
  <c r="J478" i="2"/>
  <c r="K478" i="2"/>
  <c r="D479" i="2"/>
  <c r="E479" i="2"/>
  <c r="F479" i="2"/>
  <c r="G479" i="2"/>
  <c r="H479" i="2"/>
  <c r="J479" i="2"/>
  <c r="K479" i="2"/>
  <c r="X479" i="2"/>
  <c r="D480" i="2"/>
  <c r="E480" i="2"/>
  <c r="F480" i="2"/>
  <c r="G480" i="2"/>
  <c r="H480" i="2"/>
  <c r="J480" i="2"/>
  <c r="K480" i="2"/>
  <c r="X480" i="2"/>
  <c r="D481" i="2"/>
  <c r="E481" i="2"/>
  <c r="F481" i="2"/>
  <c r="G481" i="2"/>
  <c r="X481" i="2" s="1"/>
  <c r="H481" i="2"/>
  <c r="J481" i="2"/>
  <c r="K481" i="2"/>
  <c r="D482" i="2"/>
  <c r="E482" i="2"/>
  <c r="F482" i="2"/>
  <c r="G482" i="2"/>
  <c r="H482" i="2"/>
  <c r="J482" i="2"/>
  <c r="K482" i="2"/>
  <c r="X482" i="2"/>
  <c r="D483" i="2"/>
  <c r="E483" i="2"/>
  <c r="F483" i="2"/>
  <c r="G483" i="2"/>
  <c r="H483" i="2"/>
  <c r="J483" i="2"/>
  <c r="K483" i="2"/>
  <c r="X483" i="2"/>
  <c r="D484" i="2"/>
  <c r="E484" i="2"/>
  <c r="F484" i="2"/>
  <c r="G484" i="2"/>
  <c r="X484" i="2" s="1"/>
  <c r="H484" i="2"/>
  <c r="J484" i="2"/>
  <c r="K484" i="2"/>
  <c r="D485" i="2"/>
  <c r="E485" i="2"/>
  <c r="F485" i="2"/>
  <c r="G485" i="2"/>
  <c r="H485" i="2"/>
  <c r="J485" i="2"/>
  <c r="K485" i="2"/>
  <c r="X485" i="2"/>
  <c r="D486" i="2"/>
  <c r="E486" i="2"/>
  <c r="F486" i="2"/>
  <c r="G486" i="2"/>
  <c r="H486" i="2"/>
  <c r="J486" i="2"/>
  <c r="K486" i="2"/>
  <c r="X486" i="2"/>
  <c r="D487" i="2"/>
  <c r="E487" i="2"/>
  <c r="F487" i="2"/>
  <c r="G487" i="2"/>
  <c r="X487" i="2" s="1"/>
  <c r="H487" i="2"/>
  <c r="J487" i="2"/>
  <c r="K487" i="2"/>
  <c r="D488" i="2"/>
  <c r="E488" i="2"/>
  <c r="F488" i="2"/>
  <c r="G488" i="2"/>
  <c r="H488" i="2"/>
  <c r="J488" i="2"/>
  <c r="K488" i="2"/>
  <c r="X488" i="2"/>
  <c r="D489" i="2"/>
  <c r="E489" i="2"/>
  <c r="F489" i="2"/>
  <c r="G489" i="2"/>
  <c r="H489" i="2"/>
  <c r="J489" i="2"/>
  <c r="K489" i="2"/>
  <c r="X489" i="2"/>
  <c r="D490" i="2"/>
  <c r="E490" i="2"/>
  <c r="F490" i="2"/>
  <c r="G490" i="2"/>
  <c r="X490" i="2" s="1"/>
  <c r="H490" i="2"/>
  <c r="J490" i="2"/>
  <c r="K490" i="2"/>
  <c r="D14" i="2"/>
  <c r="E14" i="2"/>
  <c r="F14" i="2"/>
  <c r="G14" i="2"/>
  <c r="H14" i="2"/>
  <c r="J14" i="2"/>
  <c r="K14" i="2"/>
  <c r="X14" i="2"/>
  <c r="D15" i="2"/>
  <c r="E15" i="2"/>
  <c r="F15" i="2"/>
  <c r="G15" i="2"/>
  <c r="X15" i="2" s="1"/>
  <c r="H15" i="2"/>
  <c r="J15" i="2"/>
  <c r="K15" i="2"/>
  <c r="D16" i="2"/>
  <c r="E16" i="2"/>
  <c r="F16" i="2"/>
  <c r="G16" i="2"/>
  <c r="H16" i="2"/>
  <c r="J16" i="2"/>
  <c r="K16" i="2"/>
  <c r="X16" i="2"/>
  <c r="D17" i="2"/>
  <c r="E17" i="2"/>
  <c r="F17" i="2"/>
  <c r="G17" i="2"/>
  <c r="H17" i="2"/>
  <c r="J17" i="2"/>
  <c r="K17" i="2"/>
  <c r="X17" i="2"/>
  <c r="D18" i="2"/>
  <c r="E18" i="2"/>
  <c r="F18" i="2"/>
  <c r="G18" i="2"/>
  <c r="X18" i="2" s="1"/>
  <c r="H18" i="2"/>
  <c r="J18" i="2"/>
  <c r="K18" i="2"/>
  <c r="D19" i="2"/>
  <c r="E19" i="2"/>
  <c r="F19" i="2"/>
  <c r="G19" i="2"/>
  <c r="H19" i="2"/>
  <c r="J19" i="2"/>
  <c r="K19" i="2"/>
  <c r="X19" i="2"/>
  <c r="D20" i="2"/>
  <c r="E20" i="2"/>
  <c r="F20" i="2"/>
  <c r="G20" i="2"/>
  <c r="H20" i="2"/>
  <c r="J20" i="2"/>
  <c r="K20" i="2"/>
  <c r="X20" i="2"/>
  <c r="D21" i="2"/>
  <c r="E21" i="2"/>
  <c r="F21" i="2"/>
  <c r="G21" i="2"/>
  <c r="X21" i="2" s="1"/>
  <c r="H21" i="2"/>
  <c r="J21" i="2"/>
  <c r="K21" i="2"/>
  <c r="D22" i="2"/>
  <c r="E22" i="2"/>
  <c r="F22" i="2"/>
  <c r="G22" i="2"/>
  <c r="H22" i="2"/>
  <c r="J22" i="2"/>
  <c r="K22" i="2"/>
  <c r="X22" i="2"/>
  <c r="D23" i="2"/>
  <c r="E23" i="2"/>
  <c r="F23" i="2"/>
  <c r="G23" i="2"/>
  <c r="H23" i="2"/>
  <c r="J23" i="2"/>
  <c r="K23" i="2"/>
  <c r="X23" i="2"/>
  <c r="D24" i="2"/>
  <c r="E24" i="2"/>
  <c r="F24" i="2"/>
  <c r="G24" i="2"/>
  <c r="X24" i="2" s="1"/>
  <c r="H24" i="2"/>
  <c r="J24" i="2"/>
  <c r="K24" i="2"/>
  <c r="D25" i="2"/>
  <c r="E25" i="2"/>
  <c r="F25" i="2"/>
  <c r="G25" i="2"/>
  <c r="H25" i="2"/>
  <c r="J25" i="2"/>
  <c r="K25" i="2"/>
  <c r="X25" i="2"/>
  <c r="D26" i="2"/>
  <c r="E26" i="2"/>
  <c r="F26" i="2"/>
  <c r="G26" i="2"/>
  <c r="H26" i="2"/>
  <c r="J26" i="2"/>
  <c r="K26" i="2"/>
  <c r="X26" i="2"/>
  <c r="D27" i="2"/>
  <c r="E27" i="2"/>
  <c r="F27" i="2"/>
  <c r="G27" i="2"/>
  <c r="X27" i="2" s="1"/>
  <c r="H27" i="2"/>
  <c r="J27" i="2"/>
  <c r="K27" i="2"/>
  <c r="D28" i="2"/>
  <c r="E28" i="2"/>
  <c r="F28" i="2"/>
  <c r="G28" i="2"/>
  <c r="H28" i="2"/>
  <c r="J28" i="2"/>
  <c r="K28" i="2"/>
  <c r="X28" i="2"/>
  <c r="D29" i="2"/>
  <c r="E29" i="2"/>
  <c r="F29" i="2"/>
  <c r="G29" i="2"/>
  <c r="H29" i="2"/>
  <c r="J29" i="2"/>
  <c r="K29" i="2"/>
  <c r="X29" i="2"/>
  <c r="D30" i="2"/>
  <c r="E30" i="2"/>
  <c r="F30" i="2"/>
  <c r="G30" i="2"/>
  <c r="X30" i="2" s="1"/>
  <c r="H30" i="2"/>
  <c r="J30" i="2"/>
  <c r="K30" i="2"/>
  <c r="D31" i="2"/>
  <c r="E31" i="2"/>
  <c r="F31" i="2"/>
  <c r="G31" i="2"/>
  <c r="H31" i="2"/>
  <c r="J31" i="2"/>
  <c r="K31" i="2"/>
  <c r="X31" i="2"/>
  <c r="D32" i="2"/>
  <c r="E32" i="2"/>
  <c r="F32" i="2"/>
  <c r="G32" i="2"/>
  <c r="H32" i="2"/>
  <c r="J32" i="2"/>
  <c r="K32" i="2"/>
  <c r="X32" i="2"/>
  <c r="D33" i="2"/>
  <c r="E33" i="2"/>
  <c r="F33" i="2"/>
  <c r="G33" i="2"/>
  <c r="X33" i="2" s="1"/>
  <c r="H33" i="2"/>
  <c r="J33" i="2"/>
  <c r="K33" i="2"/>
  <c r="D34" i="2"/>
  <c r="E34" i="2"/>
  <c r="F34" i="2"/>
  <c r="G34" i="2"/>
  <c r="H34" i="2"/>
  <c r="J34" i="2"/>
  <c r="K34" i="2"/>
  <c r="X34" i="2"/>
  <c r="D35" i="2"/>
  <c r="E35" i="2"/>
  <c r="F35" i="2"/>
  <c r="G35" i="2"/>
  <c r="H35" i="2"/>
  <c r="J35" i="2"/>
  <c r="K35" i="2"/>
  <c r="X35" i="2"/>
  <c r="D36" i="2"/>
  <c r="E36" i="2"/>
  <c r="F36" i="2"/>
  <c r="G36" i="2"/>
  <c r="X36" i="2" s="1"/>
  <c r="H36" i="2"/>
  <c r="J36" i="2"/>
  <c r="K36" i="2"/>
  <c r="D37" i="2"/>
  <c r="E37" i="2"/>
  <c r="F37" i="2"/>
  <c r="G37" i="2"/>
  <c r="X37" i="2" s="1"/>
  <c r="H37" i="2"/>
  <c r="J37" i="2"/>
  <c r="K37" i="2"/>
  <c r="D38" i="2"/>
  <c r="E38" i="2"/>
  <c r="F38" i="2"/>
  <c r="G38" i="2"/>
  <c r="H38" i="2"/>
  <c r="J38" i="2"/>
  <c r="K38" i="2"/>
  <c r="X38" i="2"/>
  <c r="D39" i="2"/>
  <c r="E39" i="2"/>
  <c r="F39" i="2"/>
  <c r="G39" i="2"/>
  <c r="X39" i="2" s="1"/>
  <c r="H39" i="2"/>
  <c r="J39" i="2"/>
  <c r="K39" i="2"/>
  <c r="D40" i="2"/>
  <c r="E40" i="2"/>
  <c r="F40" i="2"/>
  <c r="G40" i="2"/>
  <c r="X40" i="2" s="1"/>
  <c r="H40" i="2"/>
  <c r="J40" i="2"/>
  <c r="K40" i="2"/>
  <c r="D41" i="2"/>
  <c r="E41" i="2"/>
  <c r="F41" i="2"/>
  <c r="G41" i="2"/>
  <c r="H41" i="2"/>
  <c r="J41" i="2"/>
  <c r="K41" i="2"/>
  <c r="X41" i="2"/>
  <c r="D42" i="2"/>
  <c r="E42" i="2"/>
  <c r="F42" i="2"/>
  <c r="G42" i="2"/>
  <c r="X42" i="2" s="1"/>
  <c r="H42" i="2"/>
  <c r="J42" i="2"/>
  <c r="K42" i="2"/>
  <c r="D43" i="2"/>
  <c r="E43" i="2"/>
  <c r="F43" i="2"/>
  <c r="G43" i="2"/>
  <c r="X43" i="2" s="1"/>
  <c r="H43" i="2"/>
  <c r="J43" i="2"/>
  <c r="K43" i="2"/>
  <c r="D44" i="2"/>
  <c r="E44" i="2"/>
  <c r="F44" i="2"/>
  <c r="G44" i="2"/>
  <c r="H44" i="2"/>
  <c r="J44" i="2"/>
  <c r="K44" i="2"/>
  <c r="X44" i="2"/>
  <c r="D45" i="2"/>
  <c r="E45" i="2"/>
  <c r="F45" i="2"/>
  <c r="G45" i="2"/>
  <c r="X45" i="2" s="1"/>
  <c r="H45" i="2"/>
  <c r="J45" i="2"/>
  <c r="K45" i="2"/>
  <c r="D46" i="2"/>
  <c r="E46" i="2"/>
  <c r="F46" i="2"/>
  <c r="G46" i="2"/>
  <c r="X46" i="2" s="1"/>
  <c r="H46" i="2"/>
  <c r="J46" i="2"/>
  <c r="K46" i="2"/>
  <c r="D47" i="2"/>
  <c r="E47" i="2"/>
  <c r="F47" i="2"/>
  <c r="G47" i="2"/>
  <c r="H47" i="2"/>
  <c r="J47" i="2"/>
  <c r="K47" i="2"/>
  <c r="X47" i="2"/>
  <c r="D48" i="2"/>
  <c r="E48" i="2"/>
  <c r="F48" i="2"/>
  <c r="G48" i="2"/>
  <c r="X48" i="2" s="1"/>
  <c r="H48" i="2"/>
  <c r="J48" i="2"/>
  <c r="K48" i="2"/>
  <c r="D49" i="2"/>
  <c r="E49" i="2"/>
  <c r="F49" i="2"/>
  <c r="G49" i="2"/>
  <c r="H49" i="2"/>
  <c r="J49" i="2"/>
  <c r="K49" i="2"/>
  <c r="X49" i="2"/>
  <c r="D50" i="2"/>
  <c r="E50" i="2"/>
  <c r="F50" i="2"/>
  <c r="G50" i="2"/>
  <c r="H50" i="2"/>
  <c r="J50" i="2"/>
  <c r="K50" i="2"/>
  <c r="X50" i="2"/>
  <c r="D51" i="2"/>
  <c r="E51" i="2"/>
  <c r="F51" i="2"/>
  <c r="G51" i="2"/>
  <c r="X51" i="2" s="1"/>
  <c r="H51" i="2"/>
  <c r="J51" i="2"/>
  <c r="K51" i="2"/>
  <c r="D52" i="2"/>
  <c r="E52" i="2"/>
  <c r="F52" i="2"/>
  <c r="G52" i="2"/>
  <c r="H52" i="2"/>
  <c r="J52" i="2"/>
  <c r="K52" i="2"/>
  <c r="X52" i="2"/>
  <c r="D53" i="2"/>
  <c r="E53" i="2"/>
  <c r="F53" i="2"/>
  <c r="G53" i="2"/>
  <c r="H53" i="2"/>
  <c r="J53" i="2"/>
  <c r="K53" i="2"/>
  <c r="X53" i="2"/>
  <c r="D54" i="2"/>
  <c r="E54" i="2"/>
  <c r="F54" i="2"/>
  <c r="G54" i="2"/>
  <c r="X54" i="2" s="1"/>
  <c r="H54" i="2"/>
  <c r="J54" i="2"/>
  <c r="K54" i="2"/>
  <c r="D55" i="2"/>
  <c r="E55" i="2"/>
  <c r="F55" i="2"/>
  <c r="G55" i="2"/>
  <c r="H55" i="2"/>
  <c r="J55" i="2"/>
  <c r="K55" i="2"/>
  <c r="X55" i="2"/>
  <c r="D56" i="2"/>
  <c r="E56" i="2"/>
  <c r="F56" i="2"/>
  <c r="G56" i="2"/>
  <c r="H56" i="2"/>
  <c r="J56" i="2"/>
  <c r="K56" i="2"/>
  <c r="X56" i="2"/>
  <c r="D57" i="2"/>
  <c r="E57" i="2"/>
  <c r="F57" i="2"/>
  <c r="G57" i="2"/>
  <c r="X57" i="2" s="1"/>
  <c r="H57" i="2"/>
  <c r="J57" i="2"/>
  <c r="K57" i="2"/>
  <c r="D58" i="2"/>
  <c r="E58" i="2"/>
  <c r="F58" i="2"/>
  <c r="G58" i="2"/>
  <c r="H58" i="2"/>
  <c r="J58" i="2"/>
  <c r="K58" i="2"/>
  <c r="X58" i="2"/>
  <c r="D59" i="2"/>
  <c r="E59" i="2"/>
  <c r="F59" i="2"/>
  <c r="G59" i="2"/>
  <c r="H59" i="2"/>
  <c r="J59" i="2"/>
  <c r="K59" i="2"/>
  <c r="X59" i="2"/>
  <c r="D60" i="2"/>
  <c r="E60" i="2"/>
  <c r="F60" i="2"/>
  <c r="G60" i="2"/>
  <c r="X60" i="2" s="1"/>
  <c r="H60" i="2"/>
  <c r="J60" i="2"/>
  <c r="K60" i="2"/>
  <c r="D61" i="2"/>
  <c r="E61" i="2"/>
  <c r="F61" i="2"/>
  <c r="G61" i="2"/>
  <c r="H61" i="2"/>
  <c r="J61" i="2"/>
  <c r="K61" i="2"/>
  <c r="X61" i="2"/>
  <c r="D62" i="2"/>
  <c r="E62" i="2"/>
  <c r="F62" i="2"/>
  <c r="G62" i="2"/>
  <c r="H62" i="2"/>
  <c r="J62" i="2"/>
  <c r="K62" i="2"/>
  <c r="X62" i="2"/>
  <c r="D63" i="2"/>
  <c r="E63" i="2"/>
  <c r="F63" i="2"/>
  <c r="G63" i="2"/>
  <c r="X63" i="2" s="1"/>
  <c r="H63" i="2"/>
  <c r="J63" i="2"/>
  <c r="K63" i="2"/>
  <c r="D64" i="2"/>
  <c r="E64" i="2"/>
  <c r="F64" i="2"/>
  <c r="G64" i="2"/>
  <c r="H64" i="2"/>
  <c r="J64" i="2"/>
  <c r="K64" i="2"/>
  <c r="X64" i="2"/>
  <c r="D65" i="2"/>
  <c r="E65" i="2"/>
  <c r="F65" i="2"/>
  <c r="G65" i="2"/>
  <c r="H65" i="2"/>
  <c r="J65" i="2"/>
  <c r="K65" i="2"/>
  <c r="X65" i="2"/>
  <c r="D66" i="2"/>
  <c r="E66" i="2"/>
  <c r="F66" i="2"/>
  <c r="G66" i="2"/>
  <c r="X66" i="2" s="1"/>
  <c r="H66" i="2"/>
  <c r="J66" i="2"/>
  <c r="K66" i="2"/>
  <c r="D67" i="2"/>
  <c r="E67" i="2"/>
  <c r="F67" i="2"/>
  <c r="G67" i="2"/>
  <c r="H67" i="2"/>
  <c r="J67" i="2"/>
  <c r="K67" i="2"/>
  <c r="X67" i="2"/>
  <c r="D68" i="2"/>
  <c r="E68" i="2"/>
  <c r="F68" i="2"/>
  <c r="G68" i="2"/>
  <c r="H68" i="2"/>
  <c r="J68" i="2"/>
  <c r="K68" i="2"/>
  <c r="X68" i="2"/>
  <c r="D69" i="2"/>
  <c r="E69" i="2"/>
  <c r="F69" i="2"/>
  <c r="G69" i="2"/>
  <c r="X69" i="2" s="1"/>
  <c r="H69" i="2"/>
  <c r="J69" i="2"/>
  <c r="K69" i="2"/>
  <c r="D70" i="2"/>
  <c r="E70" i="2"/>
  <c r="F70" i="2"/>
  <c r="G70" i="2"/>
  <c r="H70" i="2"/>
  <c r="J70" i="2"/>
  <c r="K70" i="2"/>
  <c r="X70" i="2"/>
  <c r="D71" i="2"/>
  <c r="E71" i="2"/>
  <c r="F71" i="2"/>
  <c r="G71" i="2"/>
  <c r="H71" i="2"/>
  <c r="J71" i="2"/>
  <c r="K71" i="2"/>
  <c r="X71" i="2"/>
  <c r="D72" i="2"/>
  <c r="E72" i="2"/>
  <c r="F72" i="2"/>
  <c r="G72" i="2"/>
  <c r="X72" i="2" s="1"/>
  <c r="H72" i="2"/>
  <c r="J72" i="2"/>
  <c r="K72" i="2"/>
  <c r="D73" i="2"/>
  <c r="E73" i="2"/>
  <c r="F73" i="2"/>
  <c r="G73" i="2"/>
  <c r="X73" i="2" s="1"/>
  <c r="H73" i="2"/>
  <c r="J73" i="2"/>
  <c r="K73" i="2"/>
  <c r="D74" i="2"/>
  <c r="E74" i="2"/>
  <c r="F74" i="2"/>
  <c r="G74" i="2"/>
  <c r="H74" i="2"/>
  <c r="J74" i="2"/>
  <c r="K74" i="2"/>
  <c r="X74" i="2"/>
  <c r="D75" i="2"/>
  <c r="E75" i="2"/>
  <c r="F75" i="2"/>
  <c r="G75" i="2"/>
  <c r="X75" i="2" s="1"/>
  <c r="H75" i="2"/>
  <c r="J75" i="2"/>
  <c r="K75" i="2"/>
  <c r="D76" i="2"/>
  <c r="E76" i="2"/>
  <c r="F76" i="2"/>
  <c r="G76" i="2"/>
  <c r="X76" i="2" s="1"/>
  <c r="H76" i="2"/>
  <c r="J76" i="2"/>
  <c r="K76" i="2"/>
  <c r="D77" i="2"/>
  <c r="E77" i="2"/>
  <c r="F77" i="2"/>
  <c r="G77" i="2"/>
  <c r="H77" i="2"/>
  <c r="J77" i="2"/>
  <c r="K77" i="2"/>
  <c r="X77" i="2"/>
  <c r="D78" i="2"/>
  <c r="E78" i="2"/>
  <c r="F78" i="2"/>
  <c r="G78" i="2"/>
  <c r="X78" i="2" s="1"/>
  <c r="H78" i="2"/>
  <c r="J78" i="2"/>
  <c r="K78" i="2"/>
  <c r="D79" i="2"/>
  <c r="E79" i="2"/>
  <c r="F79" i="2"/>
  <c r="G79" i="2"/>
  <c r="X79" i="2" s="1"/>
  <c r="H79" i="2"/>
  <c r="J79" i="2"/>
  <c r="K79" i="2"/>
  <c r="D80" i="2"/>
  <c r="E80" i="2"/>
  <c r="F80" i="2"/>
  <c r="G80" i="2"/>
  <c r="H80" i="2"/>
  <c r="J80" i="2"/>
  <c r="K80" i="2"/>
  <c r="X80" i="2"/>
  <c r="D81" i="2"/>
  <c r="E81" i="2"/>
  <c r="F81" i="2"/>
  <c r="G81" i="2"/>
  <c r="X81" i="2" s="1"/>
  <c r="H81" i="2"/>
  <c r="J81" i="2"/>
  <c r="K81" i="2"/>
  <c r="D82" i="2"/>
  <c r="E82" i="2"/>
  <c r="F82" i="2"/>
  <c r="G82" i="2"/>
  <c r="X82" i="2" s="1"/>
  <c r="H82" i="2"/>
  <c r="J82" i="2"/>
  <c r="K82" i="2"/>
  <c r="D83" i="2"/>
  <c r="E83" i="2"/>
  <c r="F83" i="2"/>
  <c r="G83" i="2"/>
  <c r="H83" i="2"/>
  <c r="J83" i="2"/>
  <c r="K83" i="2"/>
  <c r="X83" i="2"/>
  <c r="D84" i="2"/>
  <c r="E84" i="2"/>
  <c r="F84" i="2"/>
  <c r="G84" i="2"/>
  <c r="X84" i="2" s="1"/>
  <c r="H84" i="2"/>
  <c r="J84" i="2"/>
  <c r="K84" i="2"/>
  <c r="D85" i="2"/>
  <c r="E85" i="2"/>
  <c r="F85" i="2"/>
  <c r="G85" i="2"/>
  <c r="H85" i="2"/>
  <c r="J85" i="2"/>
  <c r="K85" i="2"/>
  <c r="X85" i="2"/>
  <c r="D86" i="2"/>
  <c r="E86" i="2"/>
  <c r="F86" i="2"/>
  <c r="G86" i="2"/>
  <c r="H86" i="2"/>
  <c r="J86" i="2"/>
  <c r="K86" i="2"/>
  <c r="X86" i="2"/>
  <c r="D87" i="2"/>
  <c r="E87" i="2"/>
  <c r="F87" i="2"/>
  <c r="G87" i="2"/>
  <c r="X87" i="2" s="1"/>
  <c r="H87" i="2"/>
  <c r="J87" i="2"/>
  <c r="K87" i="2"/>
  <c r="D88" i="2"/>
  <c r="E88" i="2"/>
  <c r="F88" i="2"/>
  <c r="G88" i="2"/>
  <c r="H88" i="2"/>
  <c r="J88" i="2"/>
  <c r="K88" i="2"/>
  <c r="X88" i="2"/>
  <c r="D89" i="2"/>
  <c r="E89" i="2"/>
  <c r="F89" i="2"/>
  <c r="G89" i="2"/>
  <c r="H89" i="2"/>
  <c r="J89" i="2"/>
  <c r="K89" i="2"/>
  <c r="X89" i="2"/>
  <c r="D90" i="2"/>
  <c r="E90" i="2"/>
  <c r="F90" i="2"/>
  <c r="G90" i="2"/>
  <c r="X90" i="2" s="1"/>
  <c r="H90" i="2"/>
  <c r="J90" i="2"/>
  <c r="K90" i="2"/>
  <c r="D91" i="2"/>
  <c r="E91" i="2"/>
  <c r="F91" i="2"/>
  <c r="G91" i="2"/>
  <c r="H91" i="2"/>
  <c r="J91" i="2"/>
  <c r="K91" i="2"/>
  <c r="X91" i="2"/>
  <c r="D92" i="2"/>
  <c r="E92" i="2"/>
  <c r="F92" i="2"/>
  <c r="G92" i="2"/>
  <c r="H92" i="2"/>
  <c r="J92" i="2"/>
  <c r="K92" i="2"/>
  <c r="X92" i="2"/>
  <c r="D93" i="2"/>
  <c r="E93" i="2"/>
  <c r="F93" i="2"/>
  <c r="G93" i="2"/>
  <c r="X93" i="2" s="1"/>
  <c r="H93" i="2"/>
  <c r="J93" i="2"/>
  <c r="K93" i="2"/>
  <c r="D94" i="2"/>
  <c r="E94" i="2"/>
  <c r="F94" i="2"/>
  <c r="G94" i="2"/>
  <c r="H94" i="2"/>
  <c r="J94" i="2"/>
  <c r="K94" i="2"/>
  <c r="X94" i="2"/>
  <c r="D95" i="2"/>
  <c r="E95" i="2"/>
  <c r="F95" i="2"/>
  <c r="G95" i="2"/>
  <c r="H95" i="2"/>
  <c r="J95" i="2"/>
  <c r="K95" i="2"/>
  <c r="X95" i="2"/>
  <c r="D96" i="2"/>
  <c r="E96" i="2"/>
  <c r="F96" i="2"/>
  <c r="G96" i="2"/>
  <c r="X96" i="2" s="1"/>
  <c r="H96" i="2"/>
  <c r="J96" i="2"/>
  <c r="K96" i="2"/>
  <c r="D97" i="2"/>
  <c r="E97" i="2"/>
  <c r="F97" i="2"/>
  <c r="G97" i="2"/>
  <c r="H97" i="2"/>
  <c r="J97" i="2"/>
  <c r="K97" i="2"/>
  <c r="X97" i="2"/>
  <c r="D98" i="2"/>
  <c r="E98" i="2"/>
  <c r="F98" i="2"/>
  <c r="G98" i="2"/>
  <c r="H98" i="2"/>
  <c r="J98" i="2"/>
  <c r="K98" i="2"/>
  <c r="X98" i="2"/>
  <c r="D99" i="2"/>
  <c r="E99" i="2"/>
  <c r="F99" i="2"/>
  <c r="G99" i="2"/>
  <c r="X99" i="2" s="1"/>
  <c r="H99" i="2"/>
  <c r="J99" i="2"/>
  <c r="K99" i="2"/>
  <c r="D100" i="2"/>
  <c r="E100" i="2"/>
  <c r="F100" i="2"/>
  <c r="G100" i="2"/>
  <c r="H100" i="2"/>
  <c r="J100" i="2"/>
  <c r="K100" i="2"/>
  <c r="X100" i="2"/>
  <c r="D101" i="2"/>
  <c r="E101" i="2"/>
  <c r="F101" i="2"/>
  <c r="G101" i="2"/>
  <c r="H101" i="2"/>
  <c r="J101" i="2"/>
  <c r="K101" i="2"/>
  <c r="X101" i="2"/>
  <c r="D102" i="2"/>
  <c r="E102" i="2"/>
  <c r="F102" i="2"/>
  <c r="G102" i="2"/>
  <c r="X102" i="2" s="1"/>
  <c r="H102" i="2"/>
  <c r="J102" i="2"/>
  <c r="K102" i="2"/>
  <c r="D103" i="2"/>
  <c r="E103" i="2"/>
  <c r="F103" i="2"/>
  <c r="G103" i="2"/>
  <c r="H103" i="2"/>
  <c r="J103" i="2"/>
  <c r="K103" i="2"/>
  <c r="X103" i="2"/>
  <c r="D104" i="2"/>
  <c r="E104" i="2"/>
  <c r="F104" i="2"/>
  <c r="G104" i="2"/>
  <c r="H104" i="2"/>
  <c r="J104" i="2"/>
  <c r="K104" i="2"/>
  <c r="X104" i="2"/>
  <c r="D105" i="2"/>
  <c r="E105" i="2"/>
  <c r="F105" i="2"/>
  <c r="G105" i="2"/>
  <c r="X105" i="2" s="1"/>
  <c r="H105" i="2"/>
  <c r="J105" i="2"/>
  <c r="K105" i="2"/>
  <c r="D106" i="2"/>
  <c r="E106" i="2"/>
  <c r="F106" i="2"/>
  <c r="G106" i="2"/>
  <c r="H106" i="2"/>
  <c r="J106" i="2"/>
  <c r="K106" i="2"/>
  <c r="X106" i="2"/>
  <c r="D107" i="2"/>
  <c r="E107" i="2"/>
  <c r="F107" i="2"/>
  <c r="G107" i="2"/>
  <c r="H107" i="2"/>
  <c r="J107" i="2"/>
  <c r="K107" i="2"/>
  <c r="X107" i="2"/>
  <c r="D108" i="2"/>
  <c r="E108" i="2"/>
  <c r="F108" i="2"/>
  <c r="G108" i="2"/>
  <c r="X108" i="2" s="1"/>
  <c r="H108" i="2"/>
  <c r="J108" i="2"/>
  <c r="K108" i="2"/>
  <c r="D109" i="2"/>
  <c r="E109" i="2"/>
  <c r="F109" i="2"/>
  <c r="G109" i="2"/>
  <c r="X109" i="2" s="1"/>
  <c r="H109" i="2"/>
  <c r="J109" i="2"/>
  <c r="K109" i="2"/>
  <c r="D110" i="2"/>
  <c r="E110" i="2"/>
  <c r="F110" i="2"/>
  <c r="G110" i="2"/>
  <c r="H110" i="2"/>
  <c r="J110" i="2"/>
  <c r="K110" i="2"/>
  <c r="X110" i="2"/>
  <c r="D111" i="2"/>
  <c r="E111" i="2"/>
  <c r="F111" i="2"/>
  <c r="G111" i="2"/>
  <c r="X111" i="2" s="1"/>
  <c r="H111" i="2"/>
  <c r="J111" i="2"/>
  <c r="K111" i="2"/>
  <c r="D112" i="2"/>
  <c r="E112" i="2"/>
  <c r="F112" i="2"/>
  <c r="G112" i="2"/>
  <c r="X112" i="2" s="1"/>
  <c r="H112" i="2"/>
  <c r="J112" i="2"/>
  <c r="K112" i="2"/>
  <c r="D113" i="2"/>
  <c r="E113" i="2"/>
  <c r="F113" i="2"/>
  <c r="G113" i="2"/>
  <c r="H113" i="2"/>
  <c r="J113" i="2"/>
  <c r="K113" i="2"/>
  <c r="X113" i="2"/>
  <c r="D114" i="2"/>
  <c r="E114" i="2"/>
  <c r="F114" i="2"/>
  <c r="G114" i="2"/>
  <c r="X114" i="2" s="1"/>
  <c r="H114" i="2"/>
  <c r="J114" i="2"/>
  <c r="K114" i="2"/>
  <c r="D115" i="2"/>
  <c r="E115" i="2"/>
  <c r="F115" i="2"/>
  <c r="G115" i="2"/>
  <c r="X115" i="2" s="1"/>
  <c r="H115" i="2"/>
  <c r="J115" i="2"/>
  <c r="K115" i="2"/>
  <c r="D116" i="2"/>
  <c r="E116" i="2"/>
  <c r="F116" i="2"/>
  <c r="G116" i="2"/>
  <c r="H116" i="2"/>
  <c r="J116" i="2"/>
  <c r="K116" i="2"/>
  <c r="X116" i="2"/>
  <c r="D117" i="2"/>
  <c r="E117" i="2"/>
  <c r="F117" i="2"/>
  <c r="G117" i="2"/>
  <c r="X117" i="2" s="1"/>
  <c r="H117" i="2"/>
  <c r="J117" i="2"/>
  <c r="K117" i="2"/>
  <c r="D118" i="2"/>
  <c r="E118" i="2"/>
  <c r="F118" i="2"/>
  <c r="G118" i="2"/>
  <c r="X118" i="2" s="1"/>
  <c r="H118" i="2"/>
  <c r="J118" i="2"/>
  <c r="K118" i="2"/>
  <c r="D119" i="2"/>
  <c r="E119" i="2"/>
  <c r="F119" i="2"/>
  <c r="G119" i="2"/>
  <c r="H119" i="2"/>
  <c r="J119" i="2"/>
  <c r="K119" i="2"/>
  <c r="X119" i="2"/>
  <c r="D120" i="2"/>
  <c r="E120" i="2"/>
  <c r="F120" i="2"/>
  <c r="G120" i="2"/>
  <c r="X120" i="2" s="1"/>
  <c r="H120" i="2"/>
  <c r="J120" i="2"/>
  <c r="K120" i="2"/>
  <c r="D121" i="2"/>
  <c r="E121" i="2"/>
  <c r="F121" i="2"/>
  <c r="G121" i="2"/>
  <c r="H121" i="2"/>
  <c r="J121" i="2"/>
  <c r="K121" i="2"/>
  <c r="X121" i="2"/>
  <c r="D122" i="2"/>
  <c r="E122" i="2"/>
  <c r="F122" i="2"/>
  <c r="G122" i="2"/>
  <c r="H122" i="2"/>
  <c r="J122" i="2"/>
  <c r="K122" i="2"/>
  <c r="X122" i="2"/>
  <c r="D123" i="2"/>
  <c r="E123" i="2"/>
  <c r="F123" i="2"/>
  <c r="G123" i="2"/>
  <c r="X123" i="2" s="1"/>
  <c r="H123" i="2"/>
  <c r="J123" i="2"/>
  <c r="K123" i="2"/>
  <c r="D124" i="2"/>
  <c r="E124" i="2"/>
  <c r="F124" i="2"/>
  <c r="G124" i="2"/>
  <c r="H124" i="2"/>
  <c r="J124" i="2"/>
  <c r="K124" i="2"/>
  <c r="X124" i="2"/>
  <c r="D125" i="2"/>
  <c r="E125" i="2"/>
  <c r="F125" i="2"/>
  <c r="G125" i="2"/>
  <c r="H125" i="2"/>
  <c r="J125" i="2"/>
  <c r="K125" i="2"/>
  <c r="X125" i="2"/>
  <c r="D126" i="2"/>
  <c r="E126" i="2"/>
  <c r="F126" i="2"/>
  <c r="G126" i="2"/>
  <c r="X126" i="2" s="1"/>
  <c r="H126" i="2"/>
  <c r="J126" i="2"/>
  <c r="K126" i="2"/>
  <c r="D127" i="2"/>
  <c r="E127" i="2"/>
  <c r="F127" i="2"/>
  <c r="G127" i="2"/>
  <c r="H127" i="2"/>
  <c r="J127" i="2"/>
  <c r="K127" i="2"/>
  <c r="X127" i="2"/>
  <c r="D128" i="2"/>
  <c r="E128" i="2"/>
  <c r="F128" i="2"/>
  <c r="G128" i="2"/>
  <c r="H128" i="2"/>
  <c r="J128" i="2"/>
  <c r="K128" i="2"/>
  <c r="X128" i="2"/>
  <c r="D129" i="2"/>
  <c r="E129" i="2"/>
  <c r="F129" i="2"/>
  <c r="G129" i="2"/>
  <c r="X129" i="2" s="1"/>
  <c r="H129" i="2"/>
  <c r="J129" i="2"/>
  <c r="K129" i="2"/>
  <c r="D130" i="2"/>
  <c r="E130" i="2"/>
  <c r="F130" i="2"/>
  <c r="G130" i="2"/>
  <c r="H130" i="2"/>
  <c r="J130" i="2"/>
  <c r="K130" i="2"/>
  <c r="X130" i="2"/>
  <c r="D131" i="2"/>
  <c r="E131" i="2"/>
  <c r="F131" i="2"/>
  <c r="G131" i="2"/>
  <c r="H131" i="2"/>
  <c r="J131" i="2"/>
  <c r="K131" i="2"/>
  <c r="X131" i="2"/>
  <c r="D132" i="2"/>
  <c r="E132" i="2"/>
  <c r="F132" i="2"/>
  <c r="G132" i="2"/>
  <c r="X132" i="2" s="1"/>
  <c r="H132" i="2"/>
  <c r="J132" i="2"/>
  <c r="K132" i="2"/>
  <c r="D133" i="2"/>
  <c r="E133" i="2"/>
  <c r="F133" i="2"/>
  <c r="G133" i="2"/>
  <c r="H133" i="2"/>
  <c r="J133" i="2"/>
  <c r="K133" i="2"/>
  <c r="X133" i="2"/>
  <c r="D134" i="2"/>
  <c r="E134" i="2"/>
  <c r="F134" i="2"/>
  <c r="G134" i="2"/>
  <c r="H134" i="2"/>
  <c r="J134" i="2"/>
  <c r="K134" i="2"/>
  <c r="X134" i="2"/>
  <c r="D135" i="2"/>
  <c r="E135" i="2"/>
  <c r="F135" i="2"/>
  <c r="G135" i="2"/>
  <c r="X135" i="2" s="1"/>
  <c r="H135" i="2"/>
  <c r="J135" i="2"/>
  <c r="K135" i="2"/>
  <c r="D136" i="2"/>
  <c r="E136" i="2"/>
  <c r="F136" i="2"/>
  <c r="G136" i="2"/>
  <c r="H136" i="2"/>
  <c r="J136" i="2"/>
  <c r="K136" i="2"/>
  <c r="X136" i="2"/>
  <c r="D137" i="2"/>
  <c r="E137" i="2"/>
  <c r="F137" i="2"/>
  <c r="G137" i="2"/>
  <c r="H137" i="2"/>
  <c r="J137" i="2"/>
  <c r="K137" i="2"/>
  <c r="X137" i="2"/>
  <c r="D138" i="2"/>
  <c r="E138" i="2"/>
  <c r="F138" i="2"/>
  <c r="G138" i="2"/>
  <c r="X138" i="2" s="1"/>
  <c r="H138" i="2"/>
  <c r="J138" i="2"/>
  <c r="K138" i="2"/>
  <c r="D139" i="2"/>
  <c r="E139" i="2"/>
  <c r="F139" i="2"/>
  <c r="G139" i="2"/>
  <c r="H139" i="2"/>
  <c r="J139" i="2"/>
  <c r="K139" i="2"/>
  <c r="X139" i="2"/>
  <c r="D140" i="2"/>
  <c r="E140" i="2"/>
  <c r="F140" i="2"/>
  <c r="G140" i="2"/>
  <c r="H140" i="2"/>
  <c r="J140" i="2"/>
  <c r="K140" i="2"/>
  <c r="X140" i="2"/>
  <c r="D141" i="2"/>
  <c r="E141" i="2"/>
  <c r="F141" i="2"/>
  <c r="G141" i="2"/>
  <c r="X141" i="2" s="1"/>
  <c r="H141" i="2"/>
  <c r="J141" i="2"/>
  <c r="K141" i="2"/>
  <c r="D142" i="2"/>
  <c r="E142" i="2"/>
  <c r="F142" i="2"/>
  <c r="G142" i="2"/>
  <c r="H142" i="2"/>
  <c r="J142" i="2"/>
  <c r="K142" i="2"/>
  <c r="X142" i="2"/>
  <c r="D143" i="2"/>
  <c r="E143" i="2"/>
  <c r="F143" i="2"/>
  <c r="G143" i="2"/>
  <c r="H143" i="2"/>
  <c r="J143" i="2"/>
  <c r="K143" i="2"/>
  <c r="X143" i="2"/>
  <c r="D144" i="2"/>
  <c r="E144" i="2"/>
  <c r="F144" i="2"/>
  <c r="G144" i="2"/>
  <c r="X144" i="2" s="1"/>
  <c r="H144" i="2"/>
  <c r="J144" i="2"/>
  <c r="K144" i="2"/>
  <c r="D145" i="2"/>
  <c r="E145" i="2"/>
  <c r="F145" i="2"/>
  <c r="G145" i="2"/>
  <c r="X145" i="2" s="1"/>
  <c r="H145" i="2"/>
  <c r="J145" i="2"/>
  <c r="K145" i="2"/>
  <c r="D146" i="2"/>
  <c r="E146" i="2"/>
  <c r="F146" i="2"/>
  <c r="G146" i="2"/>
  <c r="H146" i="2"/>
  <c r="J146" i="2"/>
  <c r="K146" i="2"/>
  <c r="X146" i="2"/>
  <c r="D147" i="2"/>
  <c r="E147" i="2"/>
  <c r="F147" i="2"/>
  <c r="G147" i="2"/>
  <c r="X147" i="2" s="1"/>
  <c r="H147" i="2"/>
  <c r="J147" i="2"/>
  <c r="K147" i="2"/>
  <c r="D148" i="2"/>
  <c r="E148" i="2"/>
  <c r="F148" i="2"/>
  <c r="G148" i="2"/>
  <c r="X148" i="2" s="1"/>
  <c r="H148" i="2"/>
  <c r="J148" i="2"/>
  <c r="K148" i="2"/>
  <c r="D149" i="2"/>
  <c r="E149" i="2"/>
  <c r="F149" i="2"/>
  <c r="G149" i="2"/>
  <c r="H149" i="2"/>
  <c r="J149" i="2"/>
  <c r="K149" i="2"/>
  <c r="X149" i="2"/>
  <c r="D150" i="2"/>
  <c r="E150" i="2"/>
  <c r="F150" i="2"/>
  <c r="G150" i="2"/>
  <c r="X150" i="2" s="1"/>
  <c r="H150" i="2"/>
  <c r="J150" i="2"/>
  <c r="K150" i="2"/>
  <c r="D151" i="2"/>
  <c r="E151" i="2"/>
  <c r="F151" i="2"/>
  <c r="G151" i="2"/>
  <c r="X151" i="2" s="1"/>
  <c r="H151" i="2"/>
  <c r="J151" i="2"/>
  <c r="K151" i="2"/>
  <c r="D152" i="2"/>
  <c r="E152" i="2"/>
  <c r="F152" i="2"/>
  <c r="G152" i="2"/>
  <c r="H152" i="2"/>
  <c r="J152" i="2"/>
  <c r="K152" i="2"/>
  <c r="X152" i="2"/>
  <c r="D153" i="2"/>
  <c r="E153" i="2"/>
  <c r="F153" i="2"/>
  <c r="G153" i="2"/>
  <c r="X153" i="2" s="1"/>
  <c r="H153" i="2"/>
  <c r="J153" i="2"/>
  <c r="K153" i="2"/>
  <c r="D154" i="2"/>
  <c r="E154" i="2"/>
  <c r="F154" i="2"/>
  <c r="G154" i="2"/>
  <c r="X154" i="2" s="1"/>
  <c r="H154" i="2"/>
  <c r="J154" i="2"/>
  <c r="K154" i="2"/>
  <c r="D155" i="2"/>
  <c r="E155" i="2"/>
  <c r="F155" i="2"/>
  <c r="G155" i="2"/>
  <c r="H155" i="2"/>
  <c r="J155" i="2"/>
  <c r="K155" i="2"/>
  <c r="X155" i="2"/>
  <c r="D156" i="2"/>
  <c r="E156" i="2"/>
  <c r="F156" i="2"/>
  <c r="G156" i="2"/>
  <c r="X156" i="2" s="1"/>
  <c r="H156" i="2"/>
  <c r="J156" i="2"/>
  <c r="K156" i="2"/>
  <c r="D157" i="2"/>
  <c r="E157" i="2"/>
  <c r="F157" i="2"/>
  <c r="G157" i="2"/>
  <c r="H157" i="2"/>
  <c r="J157" i="2"/>
  <c r="K157" i="2"/>
  <c r="X157" i="2"/>
  <c r="D158" i="2"/>
  <c r="E158" i="2"/>
  <c r="F158" i="2"/>
  <c r="G158" i="2"/>
  <c r="H158" i="2"/>
  <c r="J158" i="2"/>
  <c r="K158" i="2"/>
  <c r="X158" i="2"/>
  <c r="D159" i="2"/>
  <c r="E159" i="2"/>
  <c r="F159" i="2"/>
  <c r="G159" i="2"/>
  <c r="X159" i="2" s="1"/>
  <c r="H159" i="2"/>
  <c r="J159" i="2"/>
  <c r="K159" i="2"/>
  <c r="D160" i="2"/>
  <c r="E160" i="2"/>
  <c r="F160" i="2"/>
  <c r="G160" i="2"/>
  <c r="H160" i="2"/>
  <c r="J160" i="2"/>
  <c r="K160" i="2"/>
  <c r="X160" i="2"/>
  <c r="D161" i="2"/>
  <c r="E161" i="2"/>
  <c r="F161" i="2"/>
  <c r="G161" i="2"/>
  <c r="H161" i="2"/>
  <c r="J161" i="2"/>
  <c r="K161" i="2"/>
  <c r="X161" i="2"/>
  <c r="D162" i="2"/>
  <c r="E162" i="2"/>
  <c r="F162" i="2"/>
  <c r="G162" i="2"/>
  <c r="X162" i="2" s="1"/>
  <c r="H162" i="2"/>
  <c r="J162" i="2"/>
  <c r="K162" i="2"/>
  <c r="D163" i="2"/>
  <c r="E163" i="2"/>
  <c r="F163" i="2"/>
  <c r="G163" i="2"/>
  <c r="H163" i="2"/>
  <c r="J163" i="2"/>
  <c r="K163" i="2"/>
  <c r="X163" i="2"/>
  <c r="D164" i="2"/>
  <c r="E164" i="2"/>
  <c r="F164" i="2"/>
  <c r="G164" i="2"/>
  <c r="H164" i="2"/>
  <c r="J164" i="2"/>
  <c r="K164" i="2"/>
  <c r="X164" i="2"/>
  <c r="D165" i="2"/>
  <c r="E165" i="2"/>
  <c r="F165" i="2"/>
  <c r="G165" i="2"/>
  <c r="X165" i="2" s="1"/>
  <c r="H165" i="2"/>
  <c r="J165" i="2"/>
  <c r="K165" i="2"/>
  <c r="D166" i="2"/>
  <c r="E166" i="2"/>
  <c r="F166" i="2"/>
  <c r="G166" i="2"/>
  <c r="H166" i="2"/>
  <c r="J166" i="2"/>
  <c r="K166" i="2"/>
  <c r="X166" i="2"/>
  <c r="D167" i="2"/>
  <c r="E167" i="2"/>
  <c r="F167" i="2"/>
  <c r="G167" i="2"/>
  <c r="H167" i="2"/>
  <c r="J167" i="2"/>
  <c r="K167" i="2"/>
  <c r="X167" i="2"/>
  <c r="D168" i="2"/>
  <c r="E168" i="2"/>
  <c r="F168" i="2"/>
  <c r="G168" i="2"/>
  <c r="X168" i="2" s="1"/>
  <c r="H168" i="2"/>
  <c r="J168" i="2"/>
  <c r="K168" i="2"/>
  <c r="D169" i="2"/>
  <c r="E169" i="2"/>
  <c r="F169" i="2"/>
  <c r="G169" i="2"/>
  <c r="H169" i="2"/>
  <c r="J169" i="2"/>
  <c r="K169" i="2"/>
  <c r="X169" i="2"/>
  <c r="D170" i="2"/>
  <c r="E170" i="2"/>
  <c r="F170" i="2"/>
  <c r="G170" i="2"/>
  <c r="H170" i="2"/>
  <c r="J170" i="2"/>
  <c r="K170" i="2"/>
  <c r="X170" i="2"/>
  <c r="D171" i="2"/>
  <c r="E171" i="2"/>
  <c r="F171" i="2"/>
  <c r="G171" i="2"/>
  <c r="X171" i="2" s="1"/>
  <c r="H171" i="2"/>
  <c r="J171" i="2"/>
  <c r="K171" i="2"/>
  <c r="D172" i="2"/>
  <c r="E172" i="2"/>
  <c r="F172" i="2"/>
  <c r="G172" i="2"/>
  <c r="H172" i="2"/>
  <c r="J172" i="2"/>
  <c r="K172" i="2"/>
  <c r="X172" i="2"/>
  <c r="D173" i="2"/>
  <c r="E173" i="2"/>
  <c r="F173" i="2"/>
  <c r="G173" i="2"/>
  <c r="H173" i="2"/>
  <c r="J173" i="2"/>
  <c r="K173" i="2"/>
  <c r="X173" i="2"/>
  <c r="D174" i="2"/>
  <c r="E174" i="2"/>
  <c r="F174" i="2"/>
  <c r="G174" i="2"/>
  <c r="X174" i="2" s="1"/>
  <c r="H174" i="2"/>
  <c r="J174" i="2"/>
  <c r="K174" i="2"/>
  <c r="D175" i="2"/>
  <c r="E175" i="2"/>
  <c r="F175" i="2"/>
  <c r="G175" i="2"/>
  <c r="H175" i="2"/>
  <c r="J175" i="2"/>
  <c r="K175" i="2"/>
  <c r="X175" i="2"/>
  <c r="D176" i="2"/>
  <c r="E176" i="2"/>
  <c r="F176" i="2"/>
  <c r="G176" i="2"/>
  <c r="H176" i="2"/>
  <c r="J176" i="2"/>
  <c r="K176" i="2"/>
  <c r="X176" i="2"/>
  <c r="D177" i="2"/>
  <c r="E177" i="2"/>
  <c r="F177" i="2"/>
  <c r="G177" i="2"/>
  <c r="X177" i="2" s="1"/>
  <c r="H177" i="2"/>
  <c r="J177" i="2"/>
  <c r="K177" i="2"/>
  <c r="D178" i="2"/>
  <c r="E178" i="2"/>
  <c r="F178" i="2"/>
  <c r="G178" i="2"/>
  <c r="H178" i="2"/>
  <c r="J178" i="2"/>
  <c r="K178" i="2"/>
  <c r="X178" i="2"/>
  <c r="D179" i="2"/>
  <c r="E179" i="2"/>
  <c r="F179" i="2"/>
  <c r="G179" i="2"/>
  <c r="H179" i="2"/>
  <c r="J179" i="2"/>
  <c r="K179" i="2"/>
  <c r="X179" i="2"/>
  <c r="D180" i="2"/>
  <c r="E180" i="2"/>
  <c r="F180" i="2"/>
  <c r="G180" i="2"/>
  <c r="X180" i="2" s="1"/>
  <c r="H180" i="2"/>
  <c r="J180" i="2"/>
  <c r="K180" i="2"/>
  <c r="D181" i="2"/>
  <c r="E181" i="2"/>
  <c r="F181" i="2"/>
  <c r="G181" i="2"/>
  <c r="X181" i="2" s="1"/>
  <c r="H181" i="2"/>
  <c r="J181" i="2"/>
  <c r="K181" i="2"/>
  <c r="D182" i="2"/>
  <c r="E182" i="2"/>
  <c r="F182" i="2"/>
  <c r="G182" i="2"/>
  <c r="H182" i="2"/>
  <c r="J182" i="2"/>
  <c r="K182" i="2"/>
  <c r="X182" i="2"/>
  <c r="D183" i="2"/>
  <c r="E183" i="2"/>
  <c r="F183" i="2"/>
  <c r="G183" i="2"/>
  <c r="X183" i="2" s="1"/>
  <c r="H183" i="2"/>
  <c r="J183" i="2"/>
  <c r="K183" i="2"/>
  <c r="D184" i="2"/>
  <c r="E184" i="2"/>
  <c r="F184" i="2"/>
  <c r="G184" i="2"/>
  <c r="X184" i="2" s="1"/>
  <c r="H184" i="2"/>
  <c r="J184" i="2"/>
  <c r="K184" i="2"/>
  <c r="D185" i="2"/>
  <c r="E185" i="2"/>
  <c r="F185" i="2"/>
  <c r="G185" i="2"/>
  <c r="H185" i="2"/>
  <c r="J185" i="2"/>
  <c r="K185" i="2"/>
  <c r="X185" i="2"/>
  <c r="D186" i="2"/>
  <c r="E186" i="2"/>
  <c r="F186" i="2"/>
  <c r="G186" i="2"/>
  <c r="X186" i="2" s="1"/>
  <c r="H186" i="2"/>
  <c r="J186" i="2"/>
  <c r="K186" i="2"/>
  <c r="D187" i="2"/>
  <c r="E187" i="2"/>
  <c r="F187" i="2"/>
  <c r="G187" i="2"/>
  <c r="X187" i="2" s="1"/>
  <c r="H187" i="2"/>
  <c r="J187" i="2"/>
  <c r="K187" i="2"/>
  <c r="D188" i="2"/>
  <c r="E188" i="2"/>
  <c r="F188" i="2"/>
  <c r="G188" i="2"/>
  <c r="H188" i="2"/>
  <c r="J188" i="2"/>
  <c r="K188" i="2"/>
  <c r="X188" i="2"/>
  <c r="D189" i="2"/>
  <c r="E189" i="2"/>
  <c r="F189" i="2"/>
  <c r="G189" i="2"/>
  <c r="X189" i="2" s="1"/>
  <c r="H189" i="2"/>
  <c r="J189" i="2"/>
  <c r="K189" i="2"/>
  <c r="D190" i="2"/>
  <c r="E190" i="2"/>
  <c r="F190" i="2"/>
  <c r="G190" i="2"/>
  <c r="X190" i="2" s="1"/>
  <c r="H190" i="2"/>
  <c r="J190" i="2"/>
  <c r="K190" i="2"/>
  <c r="D191" i="2"/>
  <c r="E191" i="2"/>
  <c r="F191" i="2"/>
  <c r="G191" i="2"/>
  <c r="H191" i="2"/>
  <c r="J191" i="2"/>
  <c r="K191" i="2"/>
  <c r="X191" i="2"/>
  <c r="D192" i="2"/>
  <c r="E192" i="2"/>
  <c r="F192" i="2"/>
  <c r="G192" i="2"/>
  <c r="X192" i="2" s="1"/>
  <c r="H192" i="2"/>
  <c r="J192" i="2"/>
  <c r="K192" i="2"/>
  <c r="D193" i="2"/>
  <c r="E193" i="2"/>
  <c r="F193" i="2"/>
  <c r="G193" i="2"/>
  <c r="H193" i="2"/>
  <c r="J193" i="2"/>
  <c r="K193" i="2"/>
  <c r="X193" i="2"/>
  <c r="D194" i="2"/>
  <c r="E194" i="2"/>
  <c r="F194" i="2"/>
  <c r="G194" i="2"/>
  <c r="H194" i="2"/>
  <c r="J194" i="2"/>
  <c r="K194" i="2"/>
  <c r="X194" i="2"/>
  <c r="D195" i="2"/>
  <c r="E195" i="2"/>
  <c r="F195" i="2"/>
  <c r="G195" i="2"/>
  <c r="X195" i="2" s="1"/>
  <c r="H195" i="2"/>
  <c r="J195" i="2"/>
  <c r="K195" i="2"/>
  <c r="D196" i="2"/>
  <c r="E196" i="2"/>
  <c r="F196" i="2"/>
  <c r="G196" i="2"/>
  <c r="H196" i="2"/>
  <c r="J196" i="2"/>
  <c r="K196" i="2"/>
  <c r="X196" i="2"/>
  <c r="D197" i="2"/>
  <c r="E197" i="2"/>
  <c r="F197" i="2"/>
  <c r="G197" i="2"/>
  <c r="H197" i="2"/>
  <c r="J197" i="2"/>
  <c r="K197" i="2"/>
  <c r="X197" i="2"/>
  <c r="D198" i="2"/>
  <c r="E198" i="2"/>
  <c r="F198" i="2"/>
  <c r="G198" i="2"/>
  <c r="X198" i="2" s="1"/>
  <c r="H198" i="2"/>
  <c r="J198" i="2"/>
  <c r="K198" i="2"/>
  <c r="D199" i="2"/>
  <c r="E199" i="2"/>
  <c r="F199" i="2"/>
  <c r="G199" i="2"/>
  <c r="H199" i="2"/>
  <c r="J199" i="2"/>
  <c r="K199" i="2"/>
  <c r="X199" i="2"/>
  <c r="D200" i="2"/>
  <c r="E200" i="2"/>
  <c r="F200" i="2"/>
  <c r="G200" i="2"/>
  <c r="H200" i="2"/>
  <c r="J200" i="2"/>
  <c r="K200" i="2"/>
  <c r="X200" i="2"/>
  <c r="D201" i="2"/>
  <c r="E201" i="2"/>
  <c r="F201" i="2"/>
  <c r="G201" i="2"/>
  <c r="X201" i="2" s="1"/>
  <c r="H201" i="2"/>
  <c r="J201" i="2"/>
  <c r="K201" i="2"/>
  <c r="D202" i="2"/>
  <c r="E202" i="2"/>
  <c r="F202" i="2"/>
  <c r="G202" i="2"/>
  <c r="H202" i="2"/>
  <c r="J202" i="2"/>
  <c r="K202" i="2"/>
  <c r="X202" i="2"/>
  <c r="D203" i="2"/>
  <c r="E203" i="2"/>
  <c r="F203" i="2"/>
  <c r="G203" i="2"/>
  <c r="H203" i="2"/>
  <c r="J203" i="2"/>
  <c r="K203" i="2"/>
  <c r="X203" i="2"/>
  <c r="D204" i="2"/>
  <c r="E204" i="2"/>
  <c r="F204" i="2"/>
  <c r="G204" i="2"/>
  <c r="X204" i="2" s="1"/>
  <c r="H204" i="2"/>
  <c r="J204" i="2"/>
  <c r="K204" i="2"/>
  <c r="D205" i="2"/>
  <c r="E205" i="2"/>
  <c r="F205" i="2"/>
  <c r="G205" i="2"/>
  <c r="H205" i="2"/>
  <c r="J205" i="2"/>
  <c r="K205" i="2"/>
  <c r="X205" i="2"/>
  <c r="D206" i="2"/>
  <c r="E206" i="2"/>
  <c r="F206" i="2"/>
  <c r="G206" i="2"/>
  <c r="H206" i="2"/>
  <c r="J206" i="2"/>
  <c r="K206" i="2"/>
  <c r="X206" i="2"/>
  <c r="D207" i="2"/>
  <c r="E207" i="2"/>
  <c r="F207" i="2"/>
  <c r="G207" i="2"/>
  <c r="X207" i="2" s="1"/>
  <c r="H207" i="2"/>
  <c r="J207" i="2"/>
  <c r="K207" i="2"/>
  <c r="D208" i="2"/>
  <c r="E208" i="2"/>
  <c r="F208" i="2"/>
  <c r="G208" i="2"/>
  <c r="H208" i="2"/>
  <c r="J208" i="2"/>
  <c r="K208" i="2"/>
  <c r="X208" i="2"/>
  <c r="D209" i="2"/>
  <c r="E209" i="2"/>
  <c r="F209" i="2"/>
  <c r="G209" i="2"/>
  <c r="H209" i="2"/>
  <c r="J209" i="2"/>
  <c r="K209" i="2"/>
  <c r="X209" i="2"/>
  <c r="D210" i="2"/>
  <c r="E210" i="2"/>
  <c r="F210" i="2"/>
  <c r="G210" i="2"/>
  <c r="X210" i="2" s="1"/>
  <c r="H210" i="2"/>
  <c r="J210" i="2"/>
  <c r="K210" i="2"/>
  <c r="D211" i="2"/>
  <c r="E211" i="2"/>
  <c r="F211" i="2"/>
  <c r="G211" i="2"/>
  <c r="H211" i="2"/>
  <c r="J211" i="2"/>
  <c r="K211" i="2"/>
  <c r="X211" i="2"/>
  <c r="D212" i="2"/>
  <c r="E212" i="2"/>
  <c r="F212" i="2"/>
  <c r="G212" i="2"/>
  <c r="H212" i="2"/>
  <c r="J212" i="2"/>
  <c r="K212" i="2"/>
  <c r="X212" i="2"/>
  <c r="D213" i="2"/>
  <c r="E213" i="2"/>
  <c r="F213" i="2"/>
  <c r="G213" i="2"/>
  <c r="X213" i="2" s="1"/>
  <c r="H213" i="2"/>
  <c r="J213" i="2"/>
  <c r="K213" i="2"/>
  <c r="D214" i="2"/>
  <c r="E214" i="2"/>
  <c r="F214" i="2"/>
  <c r="G214" i="2"/>
  <c r="H214" i="2"/>
  <c r="J214" i="2"/>
  <c r="K214" i="2"/>
  <c r="X214" i="2"/>
  <c r="D215" i="2"/>
  <c r="E215" i="2"/>
  <c r="F215" i="2"/>
  <c r="G215" i="2"/>
  <c r="H215" i="2"/>
  <c r="J215" i="2"/>
  <c r="K215" i="2"/>
  <c r="X215" i="2"/>
  <c r="D216" i="2"/>
  <c r="E216" i="2"/>
  <c r="F216" i="2"/>
  <c r="G216" i="2"/>
  <c r="X216" i="2" s="1"/>
  <c r="H216" i="2"/>
  <c r="J216" i="2"/>
  <c r="K216" i="2"/>
  <c r="D217" i="2"/>
  <c r="E217" i="2"/>
  <c r="F217" i="2"/>
  <c r="G217" i="2"/>
  <c r="X217" i="2" s="1"/>
  <c r="H217" i="2"/>
  <c r="J217" i="2"/>
  <c r="K217" i="2"/>
  <c r="D218" i="2"/>
  <c r="E218" i="2"/>
  <c r="F218" i="2"/>
  <c r="G218" i="2"/>
  <c r="H218" i="2"/>
  <c r="J218" i="2"/>
  <c r="K218" i="2"/>
  <c r="X218" i="2"/>
  <c r="D219" i="2"/>
  <c r="E219" i="2"/>
  <c r="F219" i="2"/>
  <c r="G219" i="2"/>
  <c r="X219" i="2" s="1"/>
  <c r="H219" i="2"/>
  <c r="J219" i="2"/>
  <c r="K219" i="2"/>
  <c r="D220" i="2"/>
  <c r="E220" i="2"/>
  <c r="F220" i="2"/>
  <c r="G220" i="2"/>
  <c r="X220" i="2" s="1"/>
  <c r="H220" i="2"/>
  <c r="J220" i="2"/>
  <c r="K220" i="2"/>
  <c r="D221" i="2"/>
  <c r="E221" i="2"/>
  <c r="F221" i="2"/>
  <c r="G221" i="2"/>
  <c r="H221" i="2"/>
  <c r="J221" i="2"/>
  <c r="K221" i="2"/>
  <c r="X221" i="2"/>
  <c r="D222" i="2"/>
  <c r="E222" i="2"/>
  <c r="F222" i="2"/>
  <c r="G222" i="2"/>
  <c r="X222" i="2" s="1"/>
  <c r="H222" i="2"/>
  <c r="J222" i="2"/>
  <c r="K222" i="2"/>
  <c r="D223" i="2"/>
  <c r="E223" i="2"/>
  <c r="F223" i="2"/>
  <c r="G223" i="2"/>
  <c r="X223" i="2" s="1"/>
  <c r="H223" i="2"/>
  <c r="J223" i="2"/>
  <c r="K223" i="2"/>
  <c r="D224" i="2"/>
  <c r="E224" i="2"/>
  <c r="F224" i="2"/>
  <c r="G224" i="2"/>
  <c r="H224" i="2"/>
  <c r="J224" i="2"/>
  <c r="K224" i="2"/>
  <c r="X224" i="2"/>
  <c r="D225" i="2"/>
  <c r="E225" i="2"/>
  <c r="F225" i="2"/>
  <c r="G225" i="2"/>
  <c r="X225" i="2" s="1"/>
  <c r="H225" i="2"/>
  <c r="J225" i="2"/>
  <c r="K225" i="2"/>
  <c r="D226" i="2"/>
  <c r="E226" i="2"/>
  <c r="F226" i="2"/>
  <c r="G226" i="2"/>
  <c r="X226" i="2" s="1"/>
  <c r="H226" i="2"/>
  <c r="J226" i="2"/>
  <c r="K226" i="2"/>
  <c r="D227" i="2"/>
  <c r="E227" i="2"/>
  <c r="F227" i="2"/>
  <c r="G227" i="2"/>
  <c r="H227" i="2"/>
  <c r="J227" i="2"/>
  <c r="K227" i="2"/>
  <c r="X227" i="2"/>
  <c r="D228" i="2"/>
  <c r="E228" i="2"/>
  <c r="F228" i="2"/>
  <c r="G228" i="2"/>
  <c r="X228" i="2" s="1"/>
  <c r="H228" i="2"/>
  <c r="J228" i="2"/>
  <c r="K228" i="2"/>
  <c r="D229" i="2"/>
  <c r="E229" i="2"/>
  <c r="F229" i="2"/>
  <c r="G229" i="2"/>
  <c r="H229" i="2"/>
  <c r="J229" i="2"/>
  <c r="K229" i="2"/>
  <c r="X229" i="2"/>
  <c r="D230" i="2"/>
  <c r="E230" i="2"/>
  <c r="F230" i="2"/>
  <c r="G230" i="2"/>
  <c r="H230" i="2"/>
  <c r="J230" i="2"/>
  <c r="K230" i="2"/>
  <c r="X230" i="2"/>
  <c r="D231" i="2"/>
  <c r="E231" i="2"/>
  <c r="F231" i="2"/>
  <c r="G231" i="2"/>
  <c r="X231" i="2" s="1"/>
  <c r="H231" i="2"/>
  <c r="J231" i="2"/>
  <c r="K231" i="2"/>
  <c r="D232" i="2"/>
  <c r="E232" i="2"/>
  <c r="F232" i="2"/>
  <c r="G232" i="2"/>
  <c r="H232" i="2"/>
  <c r="J232" i="2"/>
  <c r="K232" i="2"/>
  <c r="X232" i="2"/>
  <c r="D233" i="2"/>
  <c r="E233" i="2"/>
  <c r="F233" i="2"/>
  <c r="G233" i="2"/>
  <c r="H233" i="2"/>
  <c r="J233" i="2"/>
  <c r="K233" i="2"/>
  <c r="X233" i="2"/>
  <c r="D234" i="2"/>
  <c r="E234" i="2"/>
  <c r="F234" i="2"/>
  <c r="G234" i="2"/>
  <c r="X234" i="2" s="1"/>
  <c r="H234" i="2"/>
  <c r="J234" i="2"/>
  <c r="K234" i="2"/>
  <c r="D235" i="2"/>
  <c r="E235" i="2"/>
  <c r="F235" i="2"/>
  <c r="G235" i="2"/>
  <c r="H235" i="2"/>
  <c r="J235" i="2"/>
  <c r="K235" i="2"/>
  <c r="X235" i="2"/>
  <c r="D236" i="2"/>
  <c r="E236" i="2"/>
  <c r="F236" i="2"/>
  <c r="G236" i="2"/>
  <c r="H236" i="2"/>
  <c r="J236" i="2"/>
  <c r="K236" i="2"/>
  <c r="X236" i="2"/>
  <c r="D237" i="2"/>
  <c r="E237" i="2"/>
  <c r="F237" i="2"/>
  <c r="G237" i="2"/>
  <c r="X237" i="2" s="1"/>
  <c r="H237" i="2"/>
  <c r="J237" i="2"/>
  <c r="K237" i="2"/>
  <c r="D238" i="2"/>
  <c r="E238" i="2"/>
  <c r="F238" i="2"/>
  <c r="G238" i="2"/>
  <c r="H238" i="2"/>
  <c r="J238" i="2"/>
  <c r="K238" i="2"/>
  <c r="X238" i="2"/>
  <c r="D239" i="2"/>
  <c r="E239" i="2"/>
  <c r="F239" i="2"/>
  <c r="G239" i="2"/>
  <c r="H239" i="2"/>
  <c r="J239" i="2"/>
  <c r="K239" i="2"/>
  <c r="X239" i="2"/>
  <c r="D240" i="2"/>
  <c r="E240" i="2"/>
  <c r="F240" i="2"/>
  <c r="G240" i="2"/>
  <c r="X240" i="2" s="1"/>
  <c r="H240" i="2"/>
  <c r="J240" i="2"/>
  <c r="K240" i="2"/>
  <c r="D241" i="2"/>
  <c r="E241" i="2"/>
  <c r="F241" i="2"/>
  <c r="G241" i="2"/>
  <c r="H241" i="2"/>
  <c r="J241" i="2"/>
  <c r="K241" i="2"/>
  <c r="X241" i="2"/>
  <c r="D242" i="2"/>
  <c r="E242" i="2"/>
  <c r="F242" i="2"/>
  <c r="G242" i="2"/>
  <c r="H242" i="2"/>
  <c r="J242" i="2"/>
  <c r="K242" i="2"/>
  <c r="X242" i="2"/>
  <c r="D243" i="2"/>
  <c r="E243" i="2"/>
  <c r="F243" i="2"/>
  <c r="G243" i="2"/>
  <c r="X243" i="2" s="1"/>
  <c r="H243" i="2"/>
  <c r="J243" i="2"/>
  <c r="K243" i="2"/>
  <c r="D244" i="2"/>
  <c r="E244" i="2"/>
  <c r="F244" i="2"/>
  <c r="G244" i="2"/>
  <c r="H244" i="2"/>
  <c r="J244" i="2"/>
  <c r="K244" i="2"/>
  <c r="X244" i="2"/>
  <c r="D245" i="2"/>
  <c r="E245" i="2"/>
  <c r="F245" i="2"/>
  <c r="G245" i="2"/>
  <c r="H245" i="2"/>
  <c r="J245" i="2"/>
  <c r="K245" i="2"/>
  <c r="X245" i="2"/>
  <c r="D246" i="2"/>
  <c r="E246" i="2"/>
  <c r="F246" i="2"/>
  <c r="G246" i="2"/>
  <c r="X246" i="2" s="1"/>
  <c r="H246" i="2"/>
  <c r="J246" i="2"/>
  <c r="K246" i="2"/>
  <c r="D247" i="2"/>
  <c r="E247" i="2"/>
  <c r="F247" i="2"/>
  <c r="G247" i="2"/>
  <c r="H247" i="2"/>
  <c r="J247" i="2"/>
  <c r="K247" i="2"/>
  <c r="X247" i="2"/>
  <c r="D248" i="2"/>
  <c r="E248" i="2"/>
  <c r="F248" i="2"/>
  <c r="G248" i="2"/>
  <c r="H248" i="2"/>
  <c r="J248" i="2"/>
  <c r="K248" i="2"/>
  <c r="X248" i="2"/>
  <c r="D249" i="2"/>
  <c r="E249" i="2"/>
  <c r="F249" i="2"/>
  <c r="G249" i="2"/>
  <c r="X249" i="2" s="1"/>
  <c r="H249" i="2"/>
  <c r="J249" i="2"/>
  <c r="K249" i="2"/>
  <c r="D250" i="2"/>
  <c r="E250" i="2"/>
  <c r="F250" i="2"/>
  <c r="G250" i="2"/>
  <c r="H250" i="2"/>
  <c r="J250" i="2"/>
  <c r="K250" i="2"/>
  <c r="X250" i="2"/>
  <c r="D251" i="2"/>
  <c r="E251" i="2"/>
  <c r="F251" i="2"/>
  <c r="G251" i="2"/>
  <c r="H251" i="2"/>
  <c r="J251" i="2"/>
  <c r="K251" i="2"/>
  <c r="X251" i="2"/>
  <c r="D252" i="2"/>
  <c r="E252" i="2"/>
  <c r="F252" i="2"/>
  <c r="G252" i="2"/>
  <c r="X252" i="2" s="1"/>
  <c r="H252" i="2"/>
  <c r="J252" i="2"/>
  <c r="K252" i="2"/>
  <c r="D253" i="2"/>
  <c r="E253" i="2"/>
  <c r="F253" i="2"/>
  <c r="G253" i="2"/>
  <c r="X253" i="2" s="1"/>
  <c r="H253" i="2"/>
  <c r="J253" i="2"/>
  <c r="K253" i="2"/>
  <c r="D254" i="2"/>
  <c r="E254" i="2"/>
  <c r="F254" i="2"/>
  <c r="G254" i="2"/>
  <c r="H254" i="2"/>
  <c r="J254" i="2"/>
  <c r="K254" i="2"/>
  <c r="X254" i="2"/>
  <c r="D255" i="2"/>
  <c r="E255" i="2"/>
  <c r="F255" i="2"/>
  <c r="G255" i="2"/>
  <c r="X255" i="2" s="1"/>
  <c r="H255" i="2"/>
  <c r="J255" i="2"/>
  <c r="K255" i="2"/>
  <c r="D256" i="2"/>
  <c r="E256" i="2"/>
  <c r="F256" i="2"/>
  <c r="G256" i="2"/>
  <c r="X256" i="2" s="1"/>
  <c r="H256" i="2"/>
  <c r="J256" i="2"/>
  <c r="K256" i="2"/>
  <c r="D257" i="2"/>
  <c r="E257" i="2"/>
  <c r="F257" i="2"/>
  <c r="G257" i="2"/>
  <c r="H257" i="2"/>
  <c r="J257" i="2"/>
  <c r="K257" i="2"/>
  <c r="X257" i="2"/>
  <c r="D258" i="2"/>
  <c r="E258" i="2"/>
  <c r="F258" i="2"/>
  <c r="G258" i="2"/>
  <c r="X258" i="2" s="1"/>
  <c r="H258" i="2"/>
  <c r="J258" i="2"/>
  <c r="K258" i="2"/>
  <c r="D259" i="2"/>
  <c r="E259" i="2"/>
  <c r="F259" i="2"/>
  <c r="G259" i="2"/>
  <c r="X259" i="2" s="1"/>
  <c r="H259" i="2"/>
  <c r="J259" i="2"/>
  <c r="K259" i="2"/>
  <c r="D260" i="2"/>
  <c r="E260" i="2"/>
  <c r="F260" i="2"/>
  <c r="G260" i="2"/>
  <c r="H260" i="2"/>
  <c r="J260" i="2"/>
  <c r="K260" i="2"/>
  <c r="X260" i="2"/>
  <c r="D261" i="2"/>
  <c r="E261" i="2"/>
  <c r="F261" i="2"/>
  <c r="G261" i="2"/>
  <c r="X261" i="2" s="1"/>
  <c r="H261" i="2"/>
  <c r="J261" i="2"/>
  <c r="K261" i="2"/>
  <c r="D262" i="2"/>
  <c r="E262" i="2"/>
  <c r="F262" i="2"/>
  <c r="G262" i="2"/>
  <c r="X262" i="2" s="1"/>
  <c r="H262" i="2"/>
  <c r="J262" i="2"/>
  <c r="K262" i="2"/>
  <c r="D263" i="2"/>
  <c r="E263" i="2"/>
  <c r="F263" i="2"/>
  <c r="G263" i="2"/>
  <c r="H263" i="2"/>
  <c r="J263" i="2"/>
  <c r="K263" i="2"/>
  <c r="X263" i="2"/>
  <c r="D264" i="2"/>
  <c r="E264" i="2"/>
  <c r="F264" i="2"/>
  <c r="G264" i="2"/>
  <c r="X264" i="2" s="1"/>
  <c r="H264" i="2"/>
  <c r="J264" i="2"/>
  <c r="K264" i="2"/>
  <c r="D265" i="2"/>
  <c r="E265" i="2"/>
  <c r="F265" i="2"/>
  <c r="G265" i="2"/>
  <c r="H265" i="2"/>
  <c r="J265" i="2"/>
  <c r="K265" i="2"/>
  <c r="X265" i="2"/>
  <c r="D266" i="2"/>
  <c r="E266" i="2"/>
  <c r="F266" i="2"/>
  <c r="G266" i="2"/>
  <c r="H266" i="2"/>
  <c r="J266" i="2"/>
  <c r="K266" i="2"/>
  <c r="X266" i="2"/>
  <c r="D267" i="2"/>
  <c r="E267" i="2"/>
  <c r="F267" i="2"/>
  <c r="G267" i="2"/>
  <c r="X267" i="2" s="1"/>
  <c r="H267" i="2"/>
  <c r="J267" i="2"/>
  <c r="K267" i="2"/>
  <c r="D268" i="2"/>
  <c r="E268" i="2"/>
  <c r="F268" i="2"/>
  <c r="G268" i="2"/>
  <c r="H268" i="2"/>
  <c r="J268" i="2"/>
  <c r="K268" i="2"/>
  <c r="X268" i="2"/>
  <c r="D269" i="2"/>
  <c r="E269" i="2"/>
  <c r="F269" i="2"/>
  <c r="G269" i="2"/>
  <c r="H269" i="2"/>
  <c r="J269" i="2"/>
  <c r="K269" i="2"/>
  <c r="X269" i="2"/>
  <c r="D270" i="2"/>
  <c r="E270" i="2"/>
  <c r="F270" i="2"/>
  <c r="G270" i="2"/>
  <c r="X270" i="2" s="1"/>
  <c r="H270" i="2"/>
  <c r="J270" i="2"/>
  <c r="K270" i="2"/>
  <c r="D271" i="2"/>
  <c r="E271" i="2"/>
  <c r="F271" i="2"/>
  <c r="G271" i="2"/>
  <c r="H271" i="2"/>
  <c r="J271" i="2"/>
  <c r="K271" i="2"/>
  <c r="X271" i="2"/>
  <c r="D272" i="2"/>
  <c r="E272" i="2"/>
  <c r="F272" i="2"/>
  <c r="G272" i="2"/>
  <c r="H272" i="2"/>
  <c r="J272" i="2"/>
  <c r="K272" i="2"/>
  <c r="X272" i="2"/>
  <c r="D273" i="2"/>
  <c r="E273" i="2"/>
  <c r="F273" i="2"/>
  <c r="G273" i="2"/>
  <c r="X273" i="2" s="1"/>
  <c r="H273" i="2"/>
  <c r="J273" i="2"/>
  <c r="K273" i="2"/>
  <c r="D274" i="2"/>
  <c r="E274" i="2"/>
  <c r="F274" i="2"/>
  <c r="G274" i="2"/>
  <c r="H274" i="2"/>
  <c r="J274" i="2"/>
  <c r="K274" i="2"/>
  <c r="X274" i="2"/>
  <c r="D275" i="2"/>
  <c r="E275" i="2"/>
  <c r="F275" i="2"/>
  <c r="G275" i="2"/>
  <c r="H275" i="2"/>
  <c r="J275" i="2"/>
  <c r="K275" i="2"/>
  <c r="X275" i="2"/>
  <c r="D276" i="2"/>
  <c r="E276" i="2"/>
  <c r="F276" i="2"/>
  <c r="G276" i="2"/>
  <c r="X276" i="2" s="1"/>
  <c r="H276" i="2"/>
  <c r="J276" i="2"/>
  <c r="K276" i="2"/>
  <c r="D277" i="2"/>
  <c r="E277" i="2"/>
  <c r="F277" i="2"/>
  <c r="G277" i="2"/>
  <c r="H277" i="2"/>
  <c r="J277" i="2"/>
  <c r="K277" i="2"/>
  <c r="X277" i="2"/>
  <c r="D278" i="2"/>
  <c r="E278" i="2"/>
  <c r="F278" i="2"/>
  <c r="G278" i="2"/>
  <c r="H278" i="2"/>
  <c r="J278" i="2"/>
  <c r="K278" i="2"/>
  <c r="X278" i="2"/>
  <c r="D279" i="2"/>
  <c r="E279" i="2"/>
  <c r="F279" i="2"/>
  <c r="G279" i="2"/>
  <c r="X279" i="2" s="1"/>
  <c r="H279" i="2"/>
  <c r="J279" i="2"/>
  <c r="K279" i="2"/>
  <c r="D280" i="2"/>
  <c r="E280" i="2"/>
  <c r="F280" i="2"/>
  <c r="G280" i="2"/>
  <c r="H280" i="2"/>
  <c r="J280" i="2"/>
  <c r="K280" i="2"/>
  <c r="X280" i="2"/>
  <c r="D281" i="2"/>
  <c r="E281" i="2"/>
  <c r="F281" i="2"/>
  <c r="G281" i="2"/>
  <c r="H281" i="2"/>
  <c r="J281" i="2"/>
  <c r="K281" i="2"/>
  <c r="X281" i="2"/>
  <c r="D282" i="2"/>
  <c r="E282" i="2"/>
  <c r="F282" i="2"/>
  <c r="G282" i="2"/>
  <c r="X282" i="2" s="1"/>
  <c r="H282" i="2"/>
  <c r="J282" i="2"/>
  <c r="K282" i="2"/>
  <c r="D283" i="2"/>
  <c r="E283" i="2"/>
  <c r="F283" i="2"/>
  <c r="G283" i="2"/>
  <c r="H283" i="2"/>
  <c r="J283" i="2"/>
  <c r="K283" i="2"/>
  <c r="X283" i="2"/>
  <c r="D284" i="2"/>
  <c r="E284" i="2"/>
  <c r="F284" i="2"/>
  <c r="G284" i="2"/>
  <c r="H284" i="2"/>
  <c r="J284" i="2"/>
  <c r="K284" i="2"/>
  <c r="X284" i="2"/>
  <c r="D285" i="2"/>
  <c r="E285" i="2"/>
  <c r="F285" i="2"/>
  <c r="G285" i="2"/>
  <c r="X285" i="2" s="1"/>
  <c r="H285" i="2"/>
  <c r="J285" i="2"/>
  <c r="K285" i="2"/>
  <c r="D286" i="2"/>
  <c r="E286" i="2"/>
  <c r="F286" i="2"/>
  <c r="G286" i="2"/>
  <c r="H286" i="2"/>
  <c r="J286" i="2"/>
  <c r="K286" i="2"/>
  <c r="X286" i="2"/>
  <c r="D287" i="2"/>
  <c r="E287" i="2"/>
  <c r="F287" i="2"/>
  <c r="G287" i="2"/>
  <c r="H287" i="2"/>
  <c r="J287" i="2"/>
  <c r="K287" i="2"/>
  <c r="X287" i="2"/>
  <c r="D288" i="2"/>
  <c r="E288" i="2"/>
  <c r="F288" i="2"/>
  <c r="G288" i="2"/>
  <c r="X288" i="2" s="1"/>
  <c r="H288" i="2"/>
  <c r="J288" i="2"/>
  <c r="K288" i="2"/>
  <c r="D289" i="2"/>
  <c r="E289" i="2"/>
  <c r="F289" i="2"/>
  <c r="G289" i="2"/>
  <c r="H289" i="2"/>
  <c r="J289" i="2"/>
  <c r="K289" i="2"/>
  <c r="X289" i="2"/>
  <c r="D290" i="2"/>
  <c r="E290" i="2"/>
  <c r="F290" i="2"/>
  <c r="G290" i="2"/>
  <c r="H290" i="2"/>
  <c r="J290" i="2"/>
  <c r="K290" i="2"/>
  <c r="X290" i="2"/>
  <c r="D291" i="2"/>
  <c r="E291" i="2"/>
  <c r="F291" i="2"/>
  <c r="G291" i="2"/>
  <c r="X291" i="2" s="1"/>
  <c r="H291" i="2"/>
  <c r="J291" i="2"/>
  <c r="K291" i="2"/>
  <c r="D292" i="2"/>
  <c r="E292" i="2"/>
  <c r="F292" i="2"/>
  <c r="G292" i="2"/>
  <c r="H292" i="2"/>
  <c r="J292" i="2"/>
  <c r="K292" i="2"/>
  <c r="X292" i="2"/>
  <c r="D293" i="2"/>
  <c r="E293" i="2"/>
  <c r="F293" i="2"/>
  <c r="G293" i="2"/>
  <c r="H293" i="2"/>
  <c r="J293" i="2"/>
  <c r="K293" i="2"/>
  <c r="X293" i="2"/>
  <c r="D294" i="2"/>
  <c r="E294" i="2"/>
  <c r="F294" i="2"/>
  <c r="G294" i="2"/>
  <c r="X294" i="2" s="1"/>
  <c r="H294" i="2"/>
  <c r="J294" i="2"/>
  <c r="K294" i="2"/>
  <c r="D295" i="2"/>
  <c r="E295" i="2"/>
  <c r="F295" i="2"/>
  <c r="G295" i="2"/>
  <c r="H295" i="2"/>
  <c r="J295" i="2"/>
  <c r="K295" i="2"/>
  <c r="X295" i="2"/>
  <c r="D296" i="2"/>
  <c r="E296" i="2"/>
  <c r="F296" i="2"/>
  <c r="G296" i="2"/>
  <c r="H296" i="2"/>
  <c r="J296" i="2"/>
  <c r="K296" i="2"/>
  <c r="X296" i="2"/>
  <c r="D297" i="2"/>
  <c r="E297" i="2"/>
  <c r="F297" i="2"/>
  <c r="G297" i="2"/>
  <c r="X297" i="2" s="1"/>
  <c r="H297" i="2"/>
  <c r="J297" i="2"/>
  <c r="K297" i="2"/>
  <c r="D298" i="2"/>
  <c r="E298" i="2"/>
  <c r="F298" i="2"/>
  <c r="G298" i="2"/>
  <c r="H298" i="2"/>
  <c r="J298" i="2"/>
  <c r="K298" i="2"/>
  <c r="X298" i="2"/>
  <c r="D299" i="2"/>
  <c r="E299" i="2"/>
  <c r="F299" i="2"/>
  <c r="G299" i="2"/>
  <c r="H299" i="2"/>
  <c r="J299" i="2"/>
  <c r="K299" i="2"/>
  <c r="X299" i="2"/>
  <c r="D300" i="2"/>
  <c r="E300" i="2"/>
  <c r="F300" i="2"/>
  <c r="G300" i="2"/>
  <c r="X300" i="2" s="1"/>
  <c r="H300" i="2"/>
  <c r="J300" i="2"/>
  <c r="K300" i="2"/>
  <c r="D301" i="2"/>
  <c r="E301" i="2"/>
  <c r="F301" i="2"/>
  <c r="G301" i="2"/>
  <c r="H301" i="2"/>
  <c r="J301" i="2"/>
  <c r="K301" i="2"/>
  <c r="X301" i="2"/>
  <c r="D302" i="2"/>
  <c r="E302" i="2"/>
  <c r="F302" i="2"/>
  <c r="G302" i="2"/>
  <c r="H302" i="2"/>
  <c r="J302" i="2"/>
  <c r="K302" i="2"/>
  <c r="X302" i="2"/>
  <c r="D303" i="2"/>
  <c r="E303" i="2"/>
  <c r="F303" i="2"/>
  <c r="G303" i="2"/>
  <c r="X303" i="2" s="1"/>
  <c r="H303" i="2"/>
  <c r="J303" i="2"/>
  <c r="K303" i="2"/>
  <c r="D304" i="2"/>
  <c r="E304" i="2"/>
  <c r="F304" i="2"/>
  <c r="G304" i="2"/>
  <c r="H304" i="2"/>
  <c r="J304" i="2"/>
  <c r="K304" i="2"/>
  <c r="X304" i="2"/>
  <c r="D305" i="2"/>
  <c r="E305" i="2"/>
  <c r="F305" i="2"/>
  <c r="G305" i="2"/>
  <c r="H305" i="2"/>
  <c r="J305" i="2"/>
  <c r="K305" i="2"/>
  <c r="X305" i="2"/>
  <c r="D306" i="2"/>
  <c r="E306" i="2"/>
  <c r="F306" i="2"/>
  <c r="G306" i="2"/>
  <c r="X306" i="2" s="1"/>
  <c r="H306" i="2"/>
  <c r="J306" i="2"/>
  <c r="K306" i="2"/>
  <c r="D307" i="2"/>
  <c r="E307" i="2"/>
  <c r="F307" i="2"/>
  <c r="G307" i="2"/>
  <c r="H307" i="2"/>
  <c r="J307" i="2"/>
  <c r="K307" i="2"/>
  <c r="X307" i="2"/>
  <c r="D308" i="2"/>
  <c r="E308" i="2"/>
  <c r="F308" i="2"/>
  <c r="G308" i="2"/>
  <c r="H308" i="2"/>
  <c r="J308" i="2"/>
  <c r="K308" i="2"/>
  <c r="X308" i="2"/>
  <c r="D309" i="2"/>
  <c r="E309" i="2"/>
  <c r="F309" i="2"/>
  <c r="G309" i="2"/>
  <c r="X309" i="2" s="1"/>
  <c r="H309" i="2"/>
  <c r="J309" i="2"/>
  <c r="K309" i="2"/>
  <c r="D310" i="2"/>
  <c r="E310" i="2"/>
  <c r="F310" i="2"/>
  <c r="G310" i="2"/>
  <c r="H310" i="2"/>
  <c r="J310" i="2"/>
  <c r="K310" i="2"/>
  <c r="X310" i="2"/>
  <c r="D311" i="2"/>
  <c r="E311" i="2"/>
  <c r="F311" i="2"/>
  <c r="G311" i="2"/>
  <c r="H311" i="2"/>
  <c r="J311" i="2"/>
  <c r="K311" i="2"/>
  <c r="X311" i="2"/>
  <c r="D312" i="2"/>
  <c r="E312" i="2"/>
  <c r="F312" i="2"/>
  <c r="G312" i="2"/>
  <c r="X312" i="2" s="1"/>
  <c r="H312" i="2"/>
  <c r="J312" i="2"/>
  <c r="K312" i="2"/>
  <c r="D313" i="2"/>
  <c r="E313" i="2"/>
  <c r="F313" i="2"/>
  <c r="G313" i="2"/>
  <c r="H313" i="2"/>
  <c r="J313" i="2"/>
  <c r="K313" i="2"/>
  <c r="X313" i="2"/>
  <c r="D314" i="2"/>
  <c r="E314" i="2"/>
  <c r="F314" i="2"/>
  <c r="G314" i="2"/>
  <c r="H314" i="2"/>
  <c r="J314" i="2"/>
  <c r="K314" i="2"/>
  <c r="X314" i="2"/>
  <c r="D315" i="2"/>
  <c r="E315" i="2"/>
  <c r="F315" i="2"/>
  <c r="G315" i="2"/>
  <c r="X315" i="2" s="1"/>
  <c r="H315" i="2"/>
  <c r="J315" i="2"/>
  <c r="K315" i="2"/>
  <c r="D316" i="2"/>
  <c r="E316" i="2"/>
  <c r="F316" i="2"/>
  <c r="G316" i="2"/>
  <c r="H316" i="2"/>
  <c r="J316" i="2"/>
  <c r="K316" i="2"/>
  <c r="X316" i="2"/>
  <c r="D317" i="2"/>
  <c r="E317" i="2"/>
  <c r="F317" i="2"/>
  <c r="G317" i="2"/>
  <c r="H317" i="2"/>
  <c r="J317" i="2"/>
  <c r="K317" i="2"/>
  <c r="X317" i="2"/>
  <c r="D318" i="2"/>
  <c r="E318" i="2"/>
  <c r="F318" i="2"/>
  <c r="G318" i="2"/>
  <c r="X318" i="2" s="1"/>
  <c r="H318" i="2"/>
  <c r="J318" i="2"/>
  <c r="K318" i="2"/>
  <c r="D319" i="2"/>
  <c r="E319" i="2"/>
  <c r="F319" i="2"/>
  <c r="G319" i="2"/>
  <c r="H319" i="2"/>
  <c r="J319" i="2"/>
  <c r="K319" i="2"/>
  <c r="X319" i="2"/>
  <c r="D320" i="2"/>
  <c r="E320" i="2"/>
  <c r="F320" i="2"/>
  <c r="G320" i="2"/>
  <c r="H320" i="2"/>
  <c r="J320" i="2"/>
  <c r="K320" i="2"/>
  <c r="X320" i="2"/>
  <c r="D321" i="2"/>
  <c r="E321" i="2"/>
  <c r="F321" i="2"/>
  <c r="G321" i="2"/>
  <c r="X321" i="2" s="1"/>
  <c r="H321" i="2"/>
  <c r="J321" i="2"/>
  <c r="K321" i="2"/>
  <c r="D322" i="2"/>
  <c r="E322" i="2"/>
  <c r="F322" i="2"/>
  <c r="G322" i="2"/>
  <c r="H322" i="2"/>
  <c r="J322" i="2"/>
  <c r="K322" i="2"/>
  <c r="X322" i="2"/>
  <c r="D323" i="2"/>
  <c r="E323" i="2"/>
  <c r="F323" i="2"/>
  <c r="G323" i="2"/>
  <c r="H323" i="2"/>
  <c r="J323" i="2"/>
  <c r="K323" i="2"/>
  <c r="X323" i="2"/>
  <c r="D324" i="2"/>
  <c r="E324" i="2"/>
  <c r="F324" i="2"/>
  <c r="G324" i="2"/>
  <c r="X324" i="2" s="1"/>
  <c r="H324" i="2"/>
  <c r="J324" i="2"/>
  <c r="K324" i="2"/>
  <c r="D325" i="2"/>
  <c r="E325" i="2"/>
  <c r="F325" i="2"/>
  <c r="G325" i="2"/>
  <c r="H325" i="2"/>
  <c r="J325" i="2"/>
  <c r="K325" i="2"/>
  <c r="X325" i="2"/>
  <c r="D326" i="2"/>
  <c r="E326" i="2"/>
  <c r="F326" i="2"/>
  <c r="G326" i="2"/>
  <c r="H326" i="2"/>
  <c r="J326" i="2"/>
  <c r="K326" i="2"/>
  <c r="X326" i="2"/>
  <c r="X13" i="2"/>
  <c r="K13" i="2"/>
  <c r="J13" i="2"/>
  <c r="H13" i="2"/>
  <c r="G13" i="2"/>
  <c r="F13" i="2"/>
  <c r="E13" i="2"/>
</calcChain>
</file>

<file path=xl/sharedStrings.xml><?xml version="1.0" encoding="utf-8"?>
<sst xmlns="http://schemas.openxmlformats.org/spreadsheetml/2006/main" count="4384" uniqueCount="523">
  <si>
    <t>Ejemplo</t>
  </si>
  <si>
    <t>Plan de Cuentas</t>
  </si>
  <si>
    <t>Cod de Cuenta</t>
  </si>
  <si>
    <t>Nombre</t>
  </si>
  <si>
    <t>Moneda</t>
  </si>
  <si>
    <t>Imputable</t>
  </si>
  <si>
    <t>Habilitada</t>
  </si>
  <si>
    <t>Saldo Habitual</t>
  </si>
  <si>
    <t>D</t>
  </si>
  <si>
    <t>Resultado</t>
  </si>
  <si>
    <t>Monetaria</t>
  </si>
  <si>
    <t>Imputable por Parametros</t>
  </si>
  <si>
    <t>Auxiliar</t>
  </si>
  <si>
    <t>CC</t>
  </si>
  <si>
    <t>Hab. Elem por Auxiliar</t>
  </si>
  <si>
    <t>Cliente</t>
  </si>
  <si>
    <t>Tipo de Apertura por Auxiliar</t>
  </si>
  <si>
    <t>Proveedor</t>
  </si>
  <si>
    <t>Empleado</t>
  </si>
  <si>
    <t>Alternativo</t>
  </si>
  <si>
    <t>Auxiliar Alternativo</t>
  </si>
  <si>
    <t>Esq. De Distribucion</t>
  </si>
  <si>
    <t>Cta Alternativa Ajuste x Inflacion</t>
  </si>
  <si>
    <t>Control de Imputabilidad</t>
  </si>
  <si>
    <t>Contabilidad</t>
  </si>
  <si>
    <t>Ctas a Pagar Pagos</t>
  </si>
  <si>
    <t>Ctas a Cobrar Recibos</t>
  </si>
  <si>
    <t>Bancos</t>
  </si>
  <si>
    <t>Ctas a Pagar Fact</t>
  </si>
  <si>
    <t>Ctas a Cobrar Fact</t>
  </si>
  <si>
    <t>Inventario</t>
  </si>
  <si>
    <t>Activo Fijo</t>
  </si>
  <si>
    <t>Punto de Vta</t>
  </si>
  <si>
    <t>RRHH</t>
  </si>
  <si>
    <t>Habilitacion por Unidad de Negocios</t>
  </si>
  <si>
    <t>Un de Negocios</t>
  </si>
  <si>
    <t>Activo Nuevo</t>
  </si>
  <si>
    <t>ARS</t>
  </si>
  <si>
    <t>1.30.101</t>
  </si>
  <si>
    <t>1 - 0</t>
  </si>
  <si>
    <t>Cuenta Contable</t>
  </si>
  <si>
    <t>D - H</t>
  </si>
  <si>
    <t>Dato Obligatorio</t>
  </si>
  <si>
    <t>Dato Opcional</t>
  </si>
  <si>
    <t>Vacio</t>
  </si>
  <si>
    <t>Nota: Esta importacion se debe realizar a través de Contabilidad &gt;&gt;&gt; Plan de cuentas.</t>
  </si>
  <si>
    <t>Empresa Modelo</t>
  </si>
  <si>
    <t>Código</t>
  </si>
  <si>
    <t>Type 1</t>
  </si>
  <si>
    <t>Type 2</t>
  </si>
  <si>
    <t>Imp.</t>
  </si>
  <si>
    <t>Res.</t>
  </si>
  <si>
    <t>Mon.</t>
  </si>
  <si>
    <t>Hab.</t>
  </si>
  <si>
    <t>ACTIVO</t>
  </si>
  <si>
    <t>activ</t>
  </si>
  <si>
    <t>BS</t>
  </si>
  <si>
    <t>PS</t>
  </si>
  <si>
    <t>No</t>
  </si>
  <si>
    <t>Si</t>
  </si>
  <si>
    <t>ACTIVO CORRIENTE</t>
  </si>
  <si>
    <t>DISPONIBILIDADES</t>
  </si>
  <si>
    <t>CAJA</t>
  </si>
  <si>
    <t>EFECTIVO - MONEDA NACIONAL</t>
  </si>
  <si>
    <t>EFECTIVO - MONEDA EXTRANJERA</t>
  </si>
  <si>
    <t>CAJA CHICA</t>
  </si>
  <si>
    <t>BANCOS</t>
  </si>
  <si>
    <t>BANCO ARS</t>
  </si>
  <si>
    <t>BANCO USD</t>
  </si>
  <si>
    <t>DL</t>
  </si>
  <si>
    <t>REGULARIZADORA DE BANCOS</t>
  </si>
  <si>
    <t>MERCADO PAGO</t>
  </si>
  <si>
    <t>INVERSIONES</t>
  </si>
  <si>
    <t>PLAZOS FIJOS</t>
  </si>
  <si>
    <t>BONOS</t>
  </si>
  <si>
    <t>CUENTA COMITENTE</t>
  </si>
  <si>
    <t>ACCIONES</t>
  </si>
  <si>
    <t>TÍTULOS PUBLICOS USD</t>
  </si>
  <si>
    <t>FONDO COMÚN DE INVERSIONES ARS</t>
  </si>
  <si>
    <t>FONDO COMÚN DE INVERSIONES USD</t>
  </si>
  <si>
    <t>CREDITOS POR VENTAS</t>
  </si>
  <si>
    <t>DEUDORES POR VENTAS</t>
  </si>
  <si>
    <t>DEUDORES DEL EXTERIOR</t>
  </si>
  <si>
    <t>RECAUDADORA DE CLIENTE</t>
  </si>
  <si>
    <t>COBRANZAS PEND. MERC.EXT</t>
  </si>
  <si>
    <t>DOCUMENTOS A COBRAR</t>
  </si>
  <si>
    <t>DOCUMENTOS EN GESTION</t>
  </si>
  <si>
    <t>PREVISION PARA DS. INCOBR.</t>
  </si>
  <si>
    <t>VALORES A DEPOSITAR</t>
  </si>
  <si>
    <t>VALORES PROPIOS DE CLIENTES</t>
  </si>
  <si>
    <t>VALORES DE TERCEROS</t>
  </si>
  <si>
    <t>VALORES ENTREGADOS EN CUSTODIA</t>
  </si>
  <si>
    <t>VALORES RECHAZADOS</t>
  </si>
  <si>
    <t>VALORES DE 3EROS. P/ GESTIONAR</t>
  </si>
  <si>
    <t>OTROS CREDITOS</t>
  </si>
  <si>
    <t>ACCIONISTAS</t>
  </si>
  <si>
    <t>GASTOS A RECUPERAR ARS</t>
  </si>
  <si>
    <t>ACCIONISTAS (AUX)</t>
  </si>
  <si>
    <t>ANTICIPOS A PROVEEDORES</t>
  </si>
  <si>
    <t>DEPOSITOS EN GARANTIA</t>
  </si>
  <si>
    <t>REEM. POR EXP. A COBRAR</t>
  </si>
  <si>
    <t>CUENTAS DIRECTORES</t>
  </si>
  <si>
    <t>INTERESES A DEVENGAR</t>
  </si>
  <si>
    <t>SEGUROS A DEVENGAR</t>
  </si>
  <si>
    <t>GASTOS A DEVENGAR</t>
  </si>
  <si>
    <t>GS.PAGADOS P/ADELANTADO</t>
  </si>
  <si>
    <t>DEUDORES VARIOS</t>
  </si>
  <si>
    <t>PROVISIÓN FACTURAS A EMITIR</t>
  </si>
  <si>
    <t>DEUDORES VARIOS EXTERIOR</t>
  </si>
  <si>
    <t>GASTOS A RENDIR</t>
  </si>
  <si>
    <t>OTROS CRÉDITOS</t>
  </si>
  <si>
    <t>ANTICIPO REMUNERACION</t>
  </si>
  <si>
    <t>BIENES PERS. SUJETO SUSTITUTO</t>
  </si>
  <si>
    <t>CREDITO FINANCIERO</t>
  </si>
  <si>
    <t>CREDITOS IMPOSITIVOS IG</t>
  </si>
  <si>
    <t>RETENCIONES GANANCIAS CLIENTES</t>
  </si>
  <si>
    <t>RETENCIONES IVA CLIENTES</t>
  </si>
  <si>
    <t>RETENCION SUSS CLIENTES</t>
  </si>
  <si>
    <t>RETENCION IIBB CAPITAL CLIENTE</t>
  </si>
  <si>
    <t>PERCEPCIÓN LEY 25413</t>
  </si>
  <si>
    <t>IMPUESTO AL CHEQUE LEY 25413</t>
  </si>
  <si>
    <t>IMPUESTOS A LAS GCIAS 3%</t>
  </si>
  <si>
    <t>PERCEP GCIA RG 3378 15% C.EXT</t>
  </si>
  <si>
    <t>PERCEP GCIA RG 4815 35% EXTERIOR</t>
  </si>
  <si>
    <t>SALDO GCIAS DDJJ LIBRE DISPON.</t>
  </si>
  <si>
    <t>SALDO A FAVOR DDJJ GCIAS</t>
  </si>
  <si>
    <t>ANTICIPOS GANANCIAS</t>
  </si>
  <si>
    <t>ACTIVO POR IMP. DIFERIDO</t>
  </si>
  <si>
    <t>CREDITOS IMPOSITIVOS-IVA</t>
  </si>
  <si>
    <t>IVA CRED.FISCAL</t>
  </si>
  <si>
    <t>IVA PERCEP. RG.Nº 3337</t>
  </si>
  <si>
    <t>IVA RETENCIONES</t>
  </si>
  <si>
    <t>RET. IVA R.G. Nº 3625</t>
  </si>
  <si>
    <t>IVA PERCEPC. ADUANA</t>
  </si>
  <si>
    <t>IVA SALDO A FAVOR TECNICO</t>
  </si>
  <si>
    <t>IVA SALDO LIBRE DISPONIBILIDAD</t>
  </si>
  <si>
    <t>IVA CRED FISCAL A COMPUTAR</t>
  </si>
  <si>
    <t>SOLICITUD REINTEGRO EXPORT.</t>
  </si>
  <si>
    <t>CREDITOS IMPOSITIVOS IIBB</t>
  </si>
  <si>
    <t>IIBB RETENCION BS AS</t>
  </si>
  <si>
    <t>IIBB PERCEPCIÓN BS AS</t>
  </si>
  <si>
    <t>OTROS CREDITOS IIBB</t>
  </si>
  <si>
    <t>SALDO A FAVOR IIBB CAP.</t>
  </si>
  <si>
    <t>SALDO A FAVOR IIBB BS.AS.</t>
  </si>
  <si>
    <t>CREDITOS IMPOSITIVOS - OTROS</t>
  </si>
  <si>
    <t>CREDITO IMP.LEY 25413</t>
  </si>
  <si>
    <t>OTROS CREDITOS IMPOSITIVOS</t>
  </si>
  <si>
    <t>PERC. ING BRUTOS-SIRCREB CAPITAL</t>
  </si>
  <si>
    <t>PERC. ING BRUTOS-SIRCREB BS AS</t>
  </si>
  <si>
    <t>BIENES DE CAMBIO</t>
  </si>
  <si>
    <t>MATERIAS PRIMAS NACIONALES</t>
  </si>
  <si>
    <t>MATERIA PRIMAS IMPORTADAS</t>
  </si>
  <si>
    <t>FLETES</t>
  </si>
  <si>
    <t>DERECHOS DE IMPORTACIÓN</t>
  </si>
  <si>
    <t>SEGUROS IMPORTACIONES</t>
  </si>
  <si>
    <t>VARIOS</t>
  </si>
  <si>
    <t>GARANTIAS</t>
  </si>
  <si>
    <t>GASTOS CCIO EXT A RENDIR</t>
  </si>
  <si>
    <t>GASTOS IMPO A RENDIR</t>
  </si>
  <si>
    <t>MERCADERIA EN TRANSITO</t>
  </si>
  <si>
    <t>PRODUCTOS TERMINADOS</t>
  </si>
  <si>
    <t>INDUMENTARIA</t>
  </si>
  <si>
    <t>DESPERDICIOS</t>
  </si>
  <si>
    <t>BIENES A ENTREGAR</t>
  </si>
  <si>
    <t>HERRAMIENTAS INSUMOS VARIOS</t>
  </si>
  <si>
    <t>HERRAMIENTAS</t>
  </si>
  <si>
    <t>REPUESTOS Y OTROS</t>
  </si>
  <si>
    <t>ACTIVO NO CORRIENTE</t>
  </si>
  <si>
    <t>BIENES DE USO</t>
  </si>
  <si>
    <t>OBRAS EN CURSO</t>
  </si>
  <si>
    <t>INSTALACIONES EN MONTAJE</t>
  </si>
  <si>
    <t>INSTALACIONES EN MONTAJE AJUSTE</t>
  </si>
  <si>
    <t>BIENES EN GARANTIA</t>
  </si>
  <si>
    <t>INMUEBLES</t>
  </si>
  <si>
    <t>INMUEBLES AJUSTE</t>
  </si>
  <si>
    <t>Terreno VO</t>
  </si>
  <si>
    <t>Terrenos VO AxI</t>
  </si>
  <si>
    <t>Edificio VO AxI</t>
  </si>
  <si>
    <t>MEJORAS</t>
  </si>
  <si>
    <t>MEJORAS AJUSTE</t>
  </si>
  <si>
    <t>Amort.Acum.Inmueb/Mejor.</t>
  </si>
  <si>
    <t>Amort.Acum.Inmueb/Mejor. AJUSTE</t>
  </si>
  <si>
    <t>Amort. Acum. Inmueble AxI</t>
  </si>
  <si>
    <t>Revalúo Tecnico Inmueble</t>
  </si>
  <si>
    <t>Revalúo Tecnico Inmueble AJUSTE</t>
  </si>
  <si>
    <t>Terrenos Rev. RT 48</t>
  </si>
  <si>
    <t>Desafect.Acum.Revalúo Tecnico</t>
  </si>
  <si>
    <t>Desafect.Acum.Revalúo Tecnico AJUSTE</t>
  </si>
  <si>
    <t>Maquinarias</t>
  </si>
  <si>
    <t>MAQUINARIAS</t>
  </si>
  <si>
    <t>MAQUINARIAS AJUSTE</t>
  </si>
  <si>
    <t>ALTAS MAQUINARIAS</t>
  </si>
  <si>
    <t>Amortizac. Acum. Maquinarias</t>
  </si>
  <si>
    <t>Amortizac. Acum. Maquinarias AJUSTE</t>
  </si>
  <si>
    <t>Herramientas</t>
  </si>
  <si>
    <t>HERRAMIENTAS AJUSTE</t>
  </si>
  <si>
    <t>AMORTIZAC.ACUM.HERRAM</t>
  </si>
  <si>
    <t>AMORTIZAC.ACUM.HERRAM AJUSTE</t>
  </si>
  <si>
    <t>Instalaciones</t>
  </si>
  <si>
    <t>INSTALACIONES</t>
  </si>
  <si>
    <t>INSTALACIONES AJUSTE</t>
  </si>
  <si>
    <t>Instalaciones VO AxI</t>
  </si>
  <si>
    <t>Am Ac Instalaciones AxI</t>
  </si>
  <si>
    <t>Amort Acum.Instalaciones</t>
  </si>
  <si>
    <t>Amort Acum.Instalaciones AJUSTE</t>
  </si>
  <si>
    <t>Muebles y Utiles</t>
  </si>
  <si>
    <t>MUEBLES Y UTILES</t>
  </si>
  <si>
    <t>MUEBLES Y UTILES AJUSTE</t>
  </si>
  <si>
    <t>Mueb y Útiles VO AxI</t>
  </si>
  <si>
    <t>AMORT.ACUM M Y UTIL</t>
  </si>
  <si>
    <t>AMORT.ACUM M Y UTIL AJUJSTE</t>
  </si>
  <si>
    <t>Amort Acum M y U VO AxI</t>
  </si>
  <si>
    <t>Equipos V.O.</t>
  </si>
  <si>
    <t>Equipos Rev. RT 48</t>
  </si>
  <si>
    <t>Amort. Acum Equipos</t>
  </si>
  <si>
    <t>Equipos VO AxI</t>
  </si>
  <si>
    <t>Amort Acum Equipos AxI</t>
  </si>
  <si>
    <t>Amort. Acum. Equipo Rev. RT 48</t>
  </si>
  <si>
    <t>Computadoras</t>
  </si>
  <si>
    <t>COMPUTADORAS</t>
  </si>
  <si>
    <t>COMPUTADORAS AJUSTE</t>
  </si>
  <si>
    <t>Equipo de comput VO</t>
  </si>
  <si>
    <t>Equipo de computacion Rev. RT 48</t>
  </si>
  <si>
    <t>AMORT.ACUM.COMPUTADORAS</t>
  </si>
  <si>
    <t>AMORT.ACUM.COMPUT. AJUSTE</t>
  </si>
  <si>
    <t>Amort. Acum. Equipo Comp. Rev. RT 48</t>
  </si>
  <si>
    <t>Equipo de computacion VO AxI</t>
  </si>
  <si>
    <t>Amort. Acum. Equipo Comput AxI</t>
  </si>
  <si>
    <t>Rodados</t>
  </si>
  <si>
    <t>Rodados AJUSTA</t>
  </si>
  <si>
    <t>Amortizac. Acum. Rodados</t>
  </si>
  <si>
    <t>Amortizac. Acum. Rodados AJUSTE</t>
  </si>
  <si>
    <t>ACTIVOS INTANGIBLES</t>
  </si>
  <si>
    <t>CARGOS DIFERIDOS</t>
  </si>
  <si>
    <t>GASTOS DE ORGANIZACION</t>
  </si>
  <si>
    <t>MARCAS Y PATENTES</t>
  </si>
  <si>
    <t>MARCAS</t>
  </si>
  <si>
    <t>Marcas AJUSTE</t>
  </si>
  <si>
    <t>AMORT.ACUM.MARCAS</t>
  </si>
  <si>
    <t>AMORT.ACUM.MARCAS AJUSTE</t>
  </si>
  <si>
    <t>GASTOS PREOPERATIVOS</t>
  </si>
  <si>
    <t>Amort Acum M y Util</t>
  </si>
  <si>
    <t>PASIVO</t>
  </si>
  <si>
    <t>liability</t>
  </si>
  <si>
    <t>PASIVO CORRIENTE</t>
  </si>
  <si>
    <t>CUENTAS POR PAGAR</t>
  </si>
  <si>
    <t>Proveedores</t>
  </si>
  <si>
    <t>PROVEEDORES LOCALES</t>
  </si>
  <si>
    <t>PROVEED. EXTERIOR</t>
  </si>
  <si>
    <t>OBLIG.A PAGAR FINANCIERAS</t>
  </si>
  <si>
    <t>OBLIG.A PAGAR PRESTAMO</t>
  </si>
  <si>
    <t>LEASING A PAGAR BIENES DE USO</t>
  </si>
  <si>
    <t>FACTURAS A RECIBIR</t>
  </si>
  <si>
    <t>PROVISION CTAS POR PAGAR</t>
  </si>
  <si>
    <t>OTRAS</t>
  </si>
  <si>
    <t>ANTICIPOS DE CLIENTES</t>
  </si>
  <si>
    <t>ANTICIPOS CLIENTES EN M.EXTRANJERA</t>
  </si>
  <si>
    <t>ACREEDORES VARIOS</t>
  </si>
  <si>
    <t>CHEQUE DIFERIDO BCO</t>
  </si>
  <si>
    <t>PRESTAMOS</t>
  </si>
  <si>
    <t>ADELANTOS EN CUENTA CORRIENTE</t>
  </si>
  <si>
    <t>INTERESES A PAGAR OBLIG.BANCAR</t>
  </si>
  <si>
    <t>OBLIGACIONES A PAGAR FINANCIERAS</t>
  </si>
  <si>
    <t>FINANCIERAS LOCALES</t>
  </si>
  <si>
    <t>FINANC. EXTERIOR</t>
  </si>
  <si>
    <t>REMUNERAC. Y CARGAS SOCIALES</t>
  </si>
  <si>
    <t>SUELDOS A PAGAR</t>
  </si>
  <si>
    <t>SUELDOS Y JORNALES A PAGAR</t>
  </si>
  <si>
    <t>SUELDOS Y JORNALES NO RECLAM.</t>
  </si>
  <si>
    <t>ANTICIPOS AL PERSONAL</t>
  </si>
  <si>
    <t>ANTICIPOS PRENDAS PERS</t>
  </si>
  <si>
    <t>PROVISION S.A.C.</t>
  </si>
  <si>
    <t>PROVISION VACACIONES</t>
  </si>
  <si>
    <t>Reg. Nac. de la Seg. Social</t>
  </si>
  <si>
    <t>REG.N.SEG.SOCIAL</t>
  </si>
  <si>
    <t>INTERESES A PAGAR SEG.SOCIAL</t>
  </si>
  <si>
    <t>CARGAS SOCIALES A PAGAR</t>
  </si>
  <si>
    <t>PLAN DE PAGOS CARGAS SOCIALES</t>
  </si>
  <si>
    <t>INTERES A DEV. DEUDAS SOCIALES</t>
  </si>
  <si>
    <t>A.R.T.</t>
  </si>
  <si>
    <t>CUOTAS SINDICALES</t>
  </si>
  <si>
    <t>CUOTA SIND. SETIA</t>
  </si>
  <si>
    <t>SINDICATO</t>
  </si>
  <si>
    <t>APORTE SEGURO DE VIDA CCT 308/75</t>
  </si>
  <si>
    <t>SINDICATO A PAGAR</t>
  </si>
  <si>
    <t>INACAP</t>
  </si>
  <si>
    <t>FAECYS</t>
  </si>
  <si>
    <t>LA ESTRELLA</t>
  </si>
  <si>
    <t>EMBARGOS JUDICIALES</t>
  </si>
  <si>
    <t>INTERESES A PAGAR OTRAS</t>
  </si>
  <si>
    <t>OTRAS DEUDAS A PAGAR</t>
  </si>
  <si>
    <t>CARGAS FISCALES</t>
  </si>
  <si>
    <t>GANANCIAS</t>
  </si>
  <si>
    <t>RETENCIONES R.G. Nº 830</t>
  </si>
  <si>
    <t>RET.GCIAS 4TA CATEGORIA</t>
  </si>
  <si>
    <t>SICORE A PAGAR</t>
  </si>
  <si>
    <t>RET GCIAS.BENEF EXTERIOR</t>
  </si>
  <si>
    <t>GANANCIAS DD.JJ.</t>
  </si>
  <si>
    <t>PROVISION GANANCIAS</t>
  </si>
  <si>
    <t>IMPUESTO A LAS GANANCIAS A PAGAR</t>
  </si>
  <si>
    <t>PLAN FACILIDADES IIBB</t>
  </si>
  <si>
    <t>IVA</t>
  </si>
  <si>
    <t>IVA VTAS DEB.FISCAL</t>
  </si>
  <si>
    <t>IVA RET. RG Nº 18 (RG-3125)</t>
  </si>
  <si>
    <t>IVA RETENCION FACT. "M"</t>
  </si>
  <si>
    <t>IVA PERCEP.RG Nº 3337 (CLIENTE)</t>
  </si>
  <si>
    <t>DTO FISCAL MONOTRIBUTO</t>
  </si>
  <si>
    <t>CANCELACION DEBITOS FISCALES</t>
  </si>
  <si>
    <t>INGRESOS BRUTOS</t>
  </si>
  <si>
    <t>IMPUESTO SOBRE LOS IIBB</t>
  </si>
  <si>
    <t>PROV. INTERESES A PAGAR IIBB</t>
  </si>
  <si>
    <t>PROV. INTERES A PAGAR FISCALES</t>
  </si>
  <si>
    <t>MORATORIAS / PLANES DE PAGO</t>
  </si>
  <si>
    <t>INTERES A DEV. DEUDAS FISCALES</t>
  </si>
  <si>
    <t>RETENCION SUSS RG 1784</t>
  </si>
  <si>
    <t>OTROS PASIVOS</t>
  </si>
  <si>
    <t>Directores</t>
  </si>
  <si>
    <t>GARANTIA DIRECTORES</t>
  </si>
  <si>
    <t>CUENTA PARTICULAR DIRECTORES</t>
  </si>
  <si>
    <t>Cuenta Particular Camrucci Isabella</t>
  </si>
  <si>
    <t>Prov. Honorarios direc.</t>
  </si>
  <si>
    <t>Otras</t>
  </si>
  <si>
    <t>HONORARIOS A PAGAR</t>
  </si>
  <si>
    <t>DIVIDENDOS A PAGAR</t>
  </si>
  <si>
    <t>PROVISION SEGUROS A PAGAR</t>
  </si>
  <si>
    <t>PROVISIONES GASTOS BANCARIOS</t>
  </si>
  <si>
    <t>PROVISIONES VARIAS</t>
  </si>
  <si>
    <t>PROV. INTERES A PAGAR FINANCIE</t>
  </si>
  <si>
    <t>OTRAS DEUDAS</t>
  </si>
  <si>
    <t>PASIVO NO CORRIENTE</t>
  </si>
  <si>
    <t>OBLIG. A PAGAR FINANCIERAS</t>
  </si>
  <si>
    <t>HONORARIOS POR ASES.FINANCIERO</t>
  </si>
  <si>
    <t>OBLIG. A PAGAR LETRAS</t>
  </si>
  <si>
    <t>PASIVO IMPUESTO DIFERIDO</t>
  </si>
  <si>
    <t>PATRIMONIO NETO</t>
  </si>
  <si>
    <t>Capital</t>
  </si>
  <si>
    <t>CAPITAL SOCIAL</t>
  </si>
  <si>
    <t>ANTIC.FUT.SUSCRIP.</t>
  </si>
  <si>
    <t>AJUSTE DE CAPITAL</t>
  </si>
  <si>
    <t>PRIMA DE EMISION</t>
  </si>
  <si>
    <t>AJUSTE DE PRIMA DE EMISION</t>
  </si>
  <si>
    <t>APORTES IRREVOCABLES</t>
  </si>
  <si>
    <t>RESERVAS DE UTILIDADES</t>
  </si>
  <si>
    <t>RESERVA LEGAL</t>
  </si>
  <si>
    <t>RESERVA FACULTATIVA</t>
  </si>
  <si>
    <t>RESERVA REVALÚO TÉCNICO</t>
  </si>
  <si>
    <t>RESULTADOS ACUMULADOS</t>
  </si>
  <si>
    <t>RESULTADOS ACUMUL.</t>
  </si>
  <si>
    <t>AJUSTE DE RESULTADO EJ ANT.</t>
  </si>
  <si>
    <t>RESULTADO DEL EJERC.</t>
  </si>
  <si>
    <t>RESULTADOS</t>
  </si>
  <si>
    <t>income</t>
  </si>
  <si>
    <t>P&amp;L</t>
  </si>
  <si>
    <t>INGRESOS POR VENTAS</t>
  </si>
  <si>
    <t>VENTAS PRODUCCIÓN PROPIA</t>
  </si>
  <si>
    <t>VENTAS DE SERVICIOS</t>
  </si>
  <si>
    <t>SERVICIOS DE ALMACENAJE</t>
  </si>
  <si>
    <t>GESTIÓN Y ASESORAM.</t>
  </si>
  <si>
    <t>OTROS SERVICIOS</t>
  </si>
  <si>
    <t>VENTAS DE ACTIVIDAD INMOBILIARIA</t>
  </si>
  <si>
    <t>OTROS INGRESOS</t>
  </si>
  <si>
    <t>INGRESOS FINANCIEROS</t>
  </si>
  <si>
    <t>INTERESES GANANCIAS</t>
  </si>
  <si>
    <t>INTERESES BANCARIOS</t>
  </si>
  <si>
    <t>DESCUENTOS OBTENIDOS</t>
  </si>
  <si>
    <t>DIFERENCIA DE CAMBIO GANANCIAS</t>
  </si>
  <si>
    <t>OTROS</t>
  </si>
  <si>
    <t>RESULTADO POR TENENCIA DE INVERSIONES</t>
  </si>
  <si>
    <t>INGRESOS EXTRAORDINARIOS</t>
  </si>
  <si>
    <t>Otros Ingresos Extraordinarios</t>
  </si>
  <si>
    <t>ACREEDORES CONCURSO PREVENTIVO</t>
  </si>
  <si>
    <t>INGRESOS POR SERVICIOS PRESTADOS</t>
  </si>
  <si>
    <t>Otros servicios prestados</t>
  </si>
  <si>
    <t>Servicios prestados</t>
  </si>
  <si>
    <t>GASTOS</t>
  </si>
  <si>
    <t>expense</t>
  </si>
  <si>
    <t>COSTO DE SERVICIOS VENDIDOS</t>
  </si>
  <si>
    <t>SERV. DE ALMACENAJE</t>
  </si>
  <si>
    <t>MATERIALES VARIOS</t>
  </si>
  <si>
    <t>COSTO DE VENTA OTROS</t>
  </si>
  <si>
    <t>COSTO DE VENTA MAQUINARIAS</t>
  </si>
  <si>
    <t>COSTO DE VENTA RODADOS</t>
  </si>
  <si>
    <t>COSTO DE VENTA OTROS BIENES</t>
  </si>
  <si>
    <t>GASTOS OPERATIVOS</t>
  </si>
  <si>
    <t>Gastos de Personal</t>
  </si>
  <si>
    <t>SUELDOS PRODUCCION</t>
  </si>
  <si>
    <t>SUELDOS ADMINISTRACIÓN</t>
  </si>
  <si>
    <t>SUELDOS COMERCIAL</t>
  </si>
  <si>
    <t>SUELDOS NO REMUNERATIVOS</t>
  </si>
  <si>
    <t>COMISIONES</t>
  </si>
  <si>
    <t>AUTONOMOS</t>
  </si>
  <si>
    <t>CARGAS SOCIALES PRODUCCION</t>
  </si>
  <si>
    <t>ADIC. OSDE CARGAS SOCIALES</t>
  </si>
  <si>
    <t>CARGAS SOCIALES ADMINISTRACION</t>
  </si>
  <si>
    <t>CARGAS SOCIALES COMERCIALES</t>
  </si>
  <si>
    <t>SEGUROS - ART</t>
  </si>
  <si>
    <t>SINDICATOS</t>
  </si>
  <si>
    <t>ROPA DE TRABAJO</t>
  </si>
  <si>
    <t>OTROS GASTOS DE PERSONAL</t>
  </si>
  <si>
    <t>ACUERDOS MINIST.TRABAJO</t>
  </si>
  <si>
    <t>JUICIOS LABORALES PROVISION</t>
  </si>
  <si>
    <t>HONORARIOS ACUERDO MINIST.</t>
  </si>
  <si>
    <t>AGUA</t>
  </si>
  <si>
    <t>GAS Y COMBUSTIBLE PRODUCTIVO</t>
  </si>
  <si>
    <t>REPARACIONES</t>
  </si>
  <si>
    <t>REPAR.Y MANT. DE MÁQ.</t>
  </si>
  <si>
    <t>REPAR. Y MANT. DE INMUEBLES</t>
  </si>
  <si>
    <t>REPAR. Y MANT.GENERALES</t>
  </si>
  <si>
    <t>REPAR. Y MANT.RODADOS</t>
  </si>
  <si>
    <t>SEGUROS</t>
  </si>
  <si>
    <t>SEGUROS DE EDIFICIO</t>
  </si>
  <si>
    <t>SEGUROS DE RODADOS</t>
  </si>
  <si>
    <t>SEGUROS S/MAQUINAS</t>
  </si>
  <si>
    <t>SEGUROS GENERALES</t>
  </si>
  <si>
    <t>Amortizaciones del Ejercicio</t>
  </si>
  <si>
    <t>AMORT. DE EDIFICIOS</t>
  </si>
  <si>
    <t>AMORT. DE MAQUINAS</t>
  </si>
  <si>
    <t>AMORT. DE INSTALACIONES</t>
  </si>
  <si>
    <t>AMORT. DE HERRAMIENTAS</t>
  </si>
  <si>
    <t>AMORT. DE MUEBLES Y UTILES</t>
  </si>
  <si>
    <t>AMORT. DE SIST. DE CÓMPUTOS</t>
  </si>
  <si>
    <t>AMORT. GTOS ORGANIZACIÓN</t>
  </si>
  <si>
    <t>AMORTIZACIÓN DE MARCAS</t>
  </si>
  <si>
    <t>AMORTIZ. GS. ASESOR.FINANCIERO</t>
  </si>
  <si>
    <t>AMORT. GASTOS CONCURSO</t>
  </si>
  <si>
    <t>AMORTIZ. RODADOS</t>
  </si>
  <si>
    <t>AMORTIZACIONES</t>
  </si>
  <si>
    <t>AMORTIZ. DE COMPUTADORAS</t>
  </si>
  <si>
    <t>IMPUESTOS Y TASAS</t>
  </si>
  <si>
    <t>IMPUESTOS A LAS GANANCIAS RESU</t>
  </si>
  <si>
    <t>IMPUESTO A LOS INGRESOS BRUTOS</t>
  </si>
  <si>
    <t>IMPUESTOS PAIS (EXTERIOR)</t>
  </si>
  <si>
    <t>OTROS IMPUESTOS</t>
  </si>
  <si>
    <t>IMP. PARTICIP. SOCIETARIAS</t>
  </si>
  <si>
    <t>IMP. DÉB. CRED. BANCARIOS LEY 25413</t>
  </si>
  <si>
    <t>IMP. A LOS SELLOS</t>
  </si>
  <si>
    <t>IVA CF no computable</t>
  </si>
  <si>
    <t>OTROS GASTOS OPERATIVOS</t>
  </si>
  <si>
    <t>GASTOS DE PERSONAL TÉCNICO</t>
  </si>
  <si>
    <t>Comunicaciones G</t>
  </si>
  <si>
    <t>FLETES Y ACARREOS</t>
  </si>
  <si>
    <t>FLETES PLANTA</t>
  </si>
  <si>
    <t>GASTOS COMERCIALES TELA</t>
  </si>
  <si>
    <t>GASTOS COMERCIALES PRENDAS</t>
  </si>
  <si>
    <t>MUESTRAS COMERCIALES</t>
  </si>
  <si>
    <t>PUBLICIDAD Y PROPAGANDA</t>
  </si>
  <si>
    <t>GASTOS DE PUBLICIDAD Y PROPAG.</t>
  </si>
  <si>
    <t>REGALIAS</t>
  </si>
  <si>
    <t>BONIFICACION TELA DEFECTUOSA</t>
  </si>
  <si>
    <t>TASA SEGURIDAD E HIGIENE</t>
  </si>
  <si>
    <t>DEUDORES INCOBRABLES</t>
  </si>
  <si>
    <t>HONORARIOS</t>
  </si>
  <si>
    <t>HONORARIOS CONTABLES</t>
  </si>
  <si>
    <t>HONORARIOS IMPOSITIVOS</t>
  </si>
  <si>
    <t>INSUMOS COMPUTACIÓN</t>
  </si>
  <si>
    <t>HONORARIOS LEGALES</t>
  </si>
  <si>
    <t>MANTENIM. HARDWARE Y SOFTWARE</t>
  </si>
  <si>
    <t>ALQUILERES PLANTA</t>
  </si>
  <si>
    <t>ALQUILERES</t>
  </si>
  <si>
    <t>REFRIGERIOS</t>
  </si>
  <si>
    <t>VIATICOS Y MOVILIDAD</t>
  </si>
  <si>
    <t>EVENTOS</t>
  </si>
  <si>
    <t>COMB. Y LUBRIC. RODADOS</t>
  </si>
  <si>
    <t>VIAJES Y REPRESENTACIÓN</t>
  </si>
  <si>
    <t>PAPELERÍA Y UTILES</t>
  </si>
  <si>
    <t>ATENCIONES Y DONACIONES</t>
  </si>
  <si>
    <t>TELEFONO</t>
  </si>
  <si>
    <t>FRANQUEO ( CARTAS DOCUMENTOS )</t>
  </si>
  <si>
    <t>CERTIFICACIONES</t>
  </si>
  <si>
    <t>SUSCRIPCIONES</t>
  </si>
  <si>
    <t>EXPENSAS-MANTENIMIENTO</t>
  </si>
  <si>
    <t>SERVICIOS DE TERCEROS</t>
  </si>
  <si>
    <t>TASA DESINFECCION</t>
  </si>
  <si>
    <t>GASTOS LEGALES</t>
  </si>
  <si>
    <t>TASAS Y CONTRIB. GRALES. ( IGJ )</t>
  </si>
  <si>
    <t>VIGILANCIA Y SEGURIDAD PLANTA</t>
  </si>
  <si>
    <t>VIGILANCIA Y SEGUR. REPARTO</t>
  </si>
  <si>
    <t>GASTOS VARIOS</t>
  </si>
  <si>
    <t>ARTICULOS DE CAFETERIA</t>
  </si>
  <si>
    <t>TASA INSPECCION GRAL JUSTICIA</t>
  </si>
  <si>
    <t>GASTOS EXPORTACIONES</t>
  </si>
  <si>
    <t>GASTOS IMPORTACION</t>
  </si>
  <si>
    <t>MATERIALES DE EMBALAJES</t>
  </si>
  <si>
    <t>GASTOS COMPRA DE FIBRA</t>
  </si>
  <si>
    <t>SERVICIO DE INTERNET</t>
  </si>
  <si>
    <t>ARTICULOS DE LIMPIEZA</t>
  </si>
  <si>
    <t>ELEMENTOS DE SEGURIDAD</t>
  </si>
  <si>
    <t>GASTOS FINANCIEROS</t>
  </si>
  <si>
    <t>RECPAM</t>
  </si>
  <si>
    <t>INTERESES PERDIDA</t>
  </si>
  <si>
    <t>GASTOS Y COMISIONES BANCARIAS</t>
  </si>
  <si>
    <t>DESC. CONCEDIDOS</t>
  </si>
  <si>
    <t>DIFEREN. DE CAMBIO PERDIDA</t>
  </si>
  <si>
    <t>DIF.CAMBIO CPRA FIBRA PERDIDA</t>
  </si>
  <si>
    <t>COMISIONES Y SELLADOS BANC.</t>
  </si>
  <si>
    <t>COMISIONES DESCUENTOS CHEQUES</t>
  </si>
  <si>
    <t>COMISIONES POR PRÉSTAMOS</t>
  </si>
  <si>
    <t>INTERESES IMPOSITIVOS</t>
  </si>
  <si>
    <t>MULTAS IMPOSITIVAS Y OTRAS</t>
  </si>
  <si>
    <t>GASTOS BANC.EXP. E IMP.</t>
  </si>
  <si>
    <t>AJUSTE PAGO PROVEEDORES</t>
  </si>
  <si>
    <t>AJUSTE COBRANZAS</t>
  </si>
  <si>
    <t>IMPTO.S/CTA CTE BANCARIA</t>
  </si>
  <si>
    <t>IMPUESTO COSTO FINANCIER</t>
  </si>
  <si>
    <t>R.E.I.</t>
  </si>
  <si>
    <t>AJUSTE CTA PUENTE</t>
  </si>
  <si>
    <t>R.E.I. CTAS DE RESULTADO</t>
  </si>
  <si>
    <t>R.E.I. CTAS PATRIMONIALES</t>
  </si>
  <si>
    <t>OTROS EGRESOS</t>
  </si>
  <si>
    <t>Otros Egresos Varios</t>
  </si>
  <si>
    <t>OTROS GASTOS</t>
  </si>
  <si>
    <t>DIFERENCIA DE CAMBIO CLIENTE</t>
  </si>
  <si>
    <t>DIFERENCIA PRECIO CPRA FIBRA</t>
  </si>
  <si>
    <t>FACON</t>
  </si>
  <si>
    <t>PERDIDA DE SINIESTRO</t>
  </si>
  <si>
    <t>RESULTADO NEG. POR TENENCIA</t>
  </si>
  <si>
    <t>Redondeos</t>
  </si>
  <si>
    <t>Resultado por Exposición a la Inflación</t>
  </si>
  <si>
    <t>EGRESOS EXTRAORDINARIOS</t>
  </si>
  <si>
    <t>OTROS EGRESOS EXTRAORDINARIOS</t>
  </si>
  <si>
    <t>H</t>
  </si>
  <si>
    <t>1.</t>
  </si>
  <si>
    <t>1.1.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</si>
</sst>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.5"/>
      <name val="Cambria"/>
      <family val="1"/>
    </font>
    <font>
      <sz val="10"/>
      <name val="Arial"/>
      <family val="2"/>
    </font>
    <font>
      <b/>
      <sz val="10"/>
      <name val="Cambria"/>
      <family val="1"/>
    </font>
    <font>
      <sz val="10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11F1F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0" borderId="0"/>
  </cellStyleXfs>
  <cellXfs count="30">
    <xf numFmtId="0" fontId="0" fillId="0" borderId="0" xfId="0"/>
    <xf numFmtId="49" fontId="0" fillId="0" borderId="0" xfId="0" applyNumberFormat="1"/>
    <xf numFmtId="0" fontId="4" fillId="5" borderId="12" xfId="3" applyBorder="1"/>
    <xf numFmtId="0" fontId="0" fillId="9" borderId="12" xfId="0" applyFill="1" applyBorder="1"/>
    <xf numFmtId="0" fontId="0" fillId="6" borderId="12" xfId="0" applyFill="1" applyBorder="1"/>
    <xf numFmtId="0" fontId="2" fillId="2" borderId="12" xfId="1" applyFill="1" applyBorder="1"/>
    <xf numFmtId="0" fontId="3" fillId="10" borderId="12" xfId="2" applyFill="1" applyBorder="1"/>
    <xf numFmtId="0" fontId="2" fillId="2" borderId="14" xfId="1" applyFill="1" applyBorder="1"/>
    <xf numFmtId="0" fontId="1" fillId="8" borderId="1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0" fillId="7" borderId="13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4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11" borderId="0" xfId="4" applyFill="1"/>
    <xf numFmtId="0" fontId="0" fillId="0" borderId="15" xfId="0" applyBorder="1"/>
    <xf numFmtId="0" fontId="0" fillId="0" borderId="16" xfId="0" applyBorder="1"/>
    <xf numFmtId="49" fontId="7" fillId="0" borderId="0" xfId="0" applyNumberFormat="1" applyFont="1"/>
  </cellXfs>
  <cellStyles count="5">
    <cellStyle name="Buena" xfId="1" builtinId="26"/>
    <cellStyle name="Incorrecto" xfId="2" builtinId="27"/>
    <cellStyle name="Neutral" xfId="3" builtinId="28"/>
    <cellStyle name="Normal" xfId="0" builtinId="0"/>
    <cellStyle name="Normal 2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11F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90"/>
  <sheetViews>
    <sheetView topLeftCell="V1" workbookViewId="0">
      <selection activeCell="D14" sqref="D14:AM14"/>
    </sheetView>
  </sheetViews>
  <sheetFormatPr baseColWidth="10" defaultRowHeight="15" x14ac:dyDescent="0.25"/>
  <cols>
    <col min="3" max="3" width="16.85546875" bestFit="1" customWidth="1"/>
    <col min="4" max="4" width="15" bestFit="1" customWidth="1"/>
    <col min="5" max="5" width="40.42578125" bestFit="1" customWidth="1"/>
    <col min="9" max="9" width="13.140625" bestFit="1" customWidth="1"/>
    <col min="10" max="10" width="12" bestFit="1" customWidth="1"/>
    <col min="11" max="11" width="11.7109375" bestFit="1" customWidth="1"/>
    <col min="12" max="12" width="24.42578125" bestFit="1" customWidth="1"/>
    <col min="13" max="13" width="14.85546875" bestFit="1" customWidth="1"/>
    <col min="14" max="14" width="20.7109375" bestFit="1" customWidth="1"/>
    <col min="19" max="19" width="18.42578125" bestFit="1" customWidth="1"/>
    <col min="20" max="20" width="18.7109375" bestFit="1" customWidth="1"/>
    <col min="21" max="21" width="30.28515625" bestFit="1" customWidth="1"/>
    <col min="24" max="24" width="12.28515625" bestFit="1" customWidth="1"/>
    <col min="25" max="25" width="17.140625" bestFit="1" customWidth="1"/>
    <col min="26" max="26" width="19.85546875" bestFit="1" customWidth="1"/>
    <col min="27" max="27" width="7.140625" bestFit="1" customWidth="1"/>
    <col min="28" max="28" width="15.42578125" bestFit="1" customWidth="1"/>
    <col min="29" max="29" width="16.5703125" bestFit="1" customWidth="1"/>
    <col min="30" max="30" width="10.140625" bestFit="1" customWidth="1"/>
    <col min="31" max="31" width="10.28515625" bestFit="1" customWidth="1"/>
    <col min="32" max="32" width="12.42578125" bestFit="1" customWidth="1"/>
    <col min="33" max="33" width="5.85546875" bestFit="1" customWidth="1"/>
    <col min="35" max="39" width="14.7109375" bestFit="1" customWidth="1"/>
  </cols>
  <sheetData>
    <row r="1" spans="1:39" ht="15.75" thickBot="1" x14ac:dyDescent="0.3">
      <c r="A1" s="8" t="s">
        <v>1</v>
      </c>
      <c r="B1" s="9"/>
      <c r="C1" s="9"/>
      <c r="D1" s="10"/>
      <c r="F1" s="19" t="s">
        <v>45</v>
      </c>
      <c r="G1" s="20"/>
      <c r="H1" s="20"/>
      <c r="I1" s="20"/>
      <c r="J1" s="20"/>
      <c r="K1" s="20"/>
      <c r="L1" s="20"/>
      <c r="M1" s="21"/>
    </row>
    <row r="2" spans="1:39" x14ac:dyDescent="0.25">
      <c r="A2" s="11"/>
      <c r="B2" s="12"/>
      <c r="C2" s="12"/>
      <c r="D2" s="13"/>
      <c r="F2" s="7"/>
      <c r="G2" t="s">
        <v>42</v>
      </c>
    </row>
    <row r="3" spans="1:39" ht="15.75" thickBot="1" x14ac:dyDescent="0.3">
      <c r="A3" s="14"/>
      <c r="B3" s="15"/>
      <c r="C3" s="15"/>
      <c r="D3" s="16"/>
      <c r="F3" s="2"/>
      <c r="G3" t="s">
        <v>43</v>
      </c>
    </row>
    <row r="4" spans="1:39" x14ac:dyDescent="0.25">
      <c r="F4" s="6"/>
      <c r="G4" t="s">
        <v>44</v>
      </c>
    </row>
    <row r="6" spans="1:39" x14ac:dyDescent="0.25">
      <c r="D6" s="4">
        <v>0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  <c r="AJ6" s="4">
        <v>32</v>
      </c>
      <c r="AK6" s="4">
        <v>33</v>
      </c>
      <c r="AL6" s="4">
        <v>34</v>
      </c>
      <c r="AM6" s="4">
        <v>35</v>
      </c>
    </row>
    <row r="7" spans="1:39" x14ac:dyDescent="0.25">
      <c r="G7" t="s">
        <v>39</v>
      </c>
      <c r="H7" t="s">
        <v>39</v>
      </c>
      <c r="I7" t="s">
        <v>41</v>
      </c>
      <c r="J7" t="s">
        <v>39</v>
      </c>
      <c r="K7" t="s">
        <v>39</v>
      </c>
      <c r="L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U7" t="s">
        <v>40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39</v>
      </c>
      <c r="AG7" t="s">
        <v>39</v>
      </c>
    </row>
    <row r="9" spans="1:39" x14ac:dyDescent="0.25">
      <c r="D9" s="5"/>
      <c r="E9" s="5"/>
      <c r="F9" s="5"/>
      <c r="G9" s="5"/>
      <c r="H9" s="5"/>
      <c r="I9" s="5"/>
      <c r="J9" s="5"/>
      <c r="K9" s="5"/>
      <c r="L9" s="5"/>
      <c r="M9" s="2"/>
      <c r="N9" s="5"/>
      <c r="O9" s="5"/>
      <c r="P9" s="5"/>
      <c r="Q9" s="5"/>
      <c r="R9" s="5"/>
      <c r="S9" s="2"/>
      <c r="T9" s="2"/>
      <c r="U9" s="2"/>
      <c r="V9" s="6"/>
      <c r="W9" s="6"/>
      <c r="X9" s="5"/>
      <c r="Y9" s="5"/>
      <c r="Z9" s="5"/>
      <c r="AA9" s="5"/>
      <c r="AB9" s="5"/>
      <c r="AC9" s="5"/>
      <c r="AD9" s="5"/>
      <c r="AE9" s="5"/>
      <c r="AF9" s="5"/>
      <c r="AG9" s="5"/>
      <c r="AH9" s="6"/>
      <c r="AI9" s="2"/>
      <c r="AJ9" s="2"/>
      <c r="AK9" s="2"/>
      <c r="AL9" s="2"/>
      <c r="AM9" s="2"/>
    </row>
    <row r="10" spans="1:39" x14ac:dyDescent="0.25">
      <c r="O10" s="17" t="s">
        <v>16</v>
      </c>
      <c r="P10" s="17"/>
      <c r="Q10" s="17"/>
      <c r="R10" s="17"/>
      <c r="X10" s="17" t="s">
        <v>23</v>
      </c>
      <c r="Y10" s="17"/>
      <c r="Z10" s="17"/>
      <c r="AA10" s="17"/>
      <c r="AB10" s="17"/>
      <c r="AC10" s="17"/>
      <c r="AD10" s="17"/>
      <c r="AE10" s="17"/>
      <c r="AF10" s="17"/>
      <c r="AG10" s="17"/>
      <c r="AI10" s="18" t="s">
        <v>34</v>
      </c>
      <c r="AJ10" s="18"/>
      <c r="AK10" s="18"/>
      <c r="AL10" s="18"/>
      <c r="AM10" s="18"/>
    </row>
    <row r="11" spans="1:39" x14ac:dyDescent="0.25">
      <c r="D11" s="4" t="s">
        <v>2</v>
      </c>
      <c r="E11" s="4" t="s">
        <v>3</v>
      </c>
      <c r="F11" s="4" t="s">
        <v>4</v>
      </c>
      <c r="G11" s="4" t="s">
        <v>5</v>
      </c>
      <c r="H11" s="4" t="s">
        <v>6</v>
      </c>
      <c r="I11" s="4" t="s">
        <v>7</v>
      </c>
      <c r="J11" s="4" t="s">
        <v>9</v>
      </c>
      <c r="K11" s="4" t="s">
        <v>10</v>
      </c>
      <c r="L11" s="4" t="s">
        <v>11</v>
      </c>
      <c r="M11" s="4" t="s">
        <v>12</v>
      </c>
      <c r="N11" s="4" t="s">
        <v>14</v>
      </c>
      <c r="O11" s="4" t="s">
        <v>15</v>
      </c>
      <c r="P11" s="4" t="s">
        <v>17</v>
      </c>
      <c r="Q11" s="4" t="s">
        <v>18</v>
      </c>
      <c r="R11" s="4" t="s">
        <v>19</v>
      </c>
      <c r="S11" s="4" t="s">
        <v>21</v>
      </c>
      <c r="T11" s="4" t="s">
        <v>20</v>
      </c>
      <c r="U11" s="4" t="s">
        <v>22</v>
      </c>
      <c r="X11" s="4" t="s">
        <v>24</v>
      </c>
      <c r="Y11" s="4" t="s">
        <v>25</v>
      </c>
      <c r="Z11" s="4" t="s">
        <v>26</v>
      </c>
      <c r="AA11" s="4" t="s">
        <v>27</v>
      </c>
      <c r="AB11" s="4" t="s">
        <v>28</v>
      </c>
      <c r="AC11" s="4" t="s">
        <v>29</v>
      </c>
      <c r="AD11" s="4" t="s">
        <v>30</v>
      </c>
      <c r="AE11" s="4" t="s">
        <v>31</v>
      </c>
      <c r="AF11" s="4" t="s">
        <v>32</v>
      </c>
      <c r="AG11" s="4" t="s">
        <v>33</v>
      </c>
      <c r="AI11" s="4" t="s">
        <v>35</v>
      </c>
      <c r="AJ11" s="4" t="s">
        <v>35</v>
      </c>
      <c r="AK11" s="4" t="s">
        <v>35</v>
      </c>
      <c r="AL11" s="4" t="s">
        <v>35</v>
      </c>
      <c r="AM11" s="4" t="s">
        <v>35</v>
      </c>
    </row>
    <row r="12" spans="1:39" x14ac:dyDescent="0.25">
      <c r="C12" s="3" t="s">
        <v>0</v>
      </c>
      <c r="D12" s="1" t="s">
        <v>38</v>
      </c>
      <c r="E12" t="s">
        <v>36</v>
      </c>
      <c r="F12" t="s">
        <v>37</v>
      </c>
      <c r="G12">
        <v>1</v>
      </c>
      <c r="H12">
        <v>1</v>
      </c>
      <c r="I12" t="s">
        <v>8</v>
      </c>
      <c r="J12">
        <v>1</v>
      </c>
      <c r="K12">
        <v>0</v>
      </c>
      <c r="L12">
        <v>0</v>
      </c>
      <c r="M12" t="s">
        <v>13</v>
      </c>
      <c r="N12">
        <v>0</v>
      </c>
      <c r="O12">
        <v>0</v>
      </c>
      <c r="P12">
        <v>0</v>
      </c>
      <c r="Q12">
        <v>0</v>
      </c>
      <c r="R12">
        <v>0</v>
      </c>
      <c r="X12">
        <v>1</v>
      </c>
      <c r="Y12" s="27">
        <v>1</v>
      </c>
      <c r="Z12">
        <v>1</v>
      </c>
      <c r="AA12">
        <v>1</v>
      </c>
      <c r="AB12">
        <v>0</v>
      </c>
      <c r="AC12">
        <v>1</v>
      </c>
      <c r="AD12">
        <v>1</v>
      </c>
      <c r="AE12">
        <v>0</v>
      </c>
      <c r="AF12">
        <v>1</v>
      </c>
      <c r="AG12">
        <v>1</v>
      </c>
      <c r="AI12">
        <v>1</v>
      </c>
    </row>
    <row r="13" spans="1:39" x14ac:dyDescent="0.25">
      <c r="D13" t="str">
        <f>+Hoja1!A4</f>
        <v>1.</v>
      </c>
      <c r="E13" t="str">
        <f>+Hoja1!B4</f>
        <v>ACTIVO</v>
      </c>
      <c r="F13" t="str">
        <f>+Hoja1!E4</f>
        <v>PS</v>
      </c>
      <c r="G13">
        <f>IF(Hoja1!F4="NO",0,1)</f>
        <v>0</v>
      </c>
      <c r="H13">
        <f>IF(Hoja1!I4="NO",0,1)</f>
        <v>1</v>
      </c>
      <c r="I13" t="s">
        <v>8</v>
      </c>
      <c r="J13">
        <f>IF(Hoja1!G4="NO",0,1)</f>
        <v>0</v>
      </c>
      <c r="K13">
        <f>IF(Hoja1!H4="NO",0,1)</f>
        <v>1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X13">
        <f>IF(G13=1,1,0)</f>
        <v>0</v>
      </c>
      <c r="Y13" s="28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9" x14ac:dyDescent="0.25">
      <c r="D14" t="str">
        <f>+Hoja1!A5</f>
        <v>1.1.</v>
      </c>
      <c r="E14" t="str">
        <f>+Hoja1!B5</f>
        <v>ACTIVO CORRIENTE</v>
      </c>
      <c r="F14" t="str">
        <f>+Hoja1!E5</f>
        <v>PS</v>
      </c>
      <c r="G14">
        <f>IF(Hoja1!F5="NO",0,1)</f>
        <v>0</v>
      </c>
      <c r="H14">
        <f>IF(Hoja1!I5="NO",0,1)</f>
        <v>1</v>
      </c>
      <c r="I14" t="s">
        <v>8</v>
      </c>
      <c r="J14">
        <f>IF(Hoja1!G5="NO",0,1)</f>
        <v>0</v>
      </c>
      <c r="K14">
        <f>IF(Hoja1!H5="NO",0,1)</f>
        <v>1</v>
      </c>
      <c r="L14">
        <v>0</v>
      </c>
      <c r="N14">
        <v>0</v>
      </c>
      <c r="O14">
        <v>0</v>
      </c>
      <c r="P14">
        <v>0</v>
      </c>
      <c r="Q14">
        <v>0</v>
      </c>
      <c r="R14">
        <v>0</v>
      </c>
      <c r="X14">
        <f t="shared" ref="X14:X77" si="0">IF(G14=1,1,0)</f>
        <v>0</v>
      </c>
      <c r="Y14" s="28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9" x14ac:dyDescent="0.25">
      <c r="D15">
        <f>+Hoja1!A6</f>
        <v>1101</v>
      </c>
      <c r="E15" t="str">
        <f>+Hoja1!B6</f>
        <v>DISPONIBILIDADES</v>
      </c>
      <c r="F15" t="str">
        <f>+Hoja1!E6</f>
        <v>PS</v>
      </c>
      <c r="G15">
        <f>IF(Hoja1!F6="NO",0,1)</f>
        <v>0</v>
      </c>
      <c r="H15">
        <f>IF(Hoja1!I6="NO",0,1)</f>
        <v>1</v>
      </c>
      <c r="I15" t="s">
        <v>8</v>
      </c>
      <c r="J15">
        <f>IF(Hoja1!G6="NO",0,1)</f>
        <v>0</v>
      </c>
      <c r="K15">
        <f>IF(Hoja1!H6="NO",0,1)</f>
        <v>1</v>
      </c>
      <c r="L15">
        <v>0</v>
      </c>
      <c r="N15">
        <v>0</v>
      </c>
      <c r="O15">
        <v>0</v>
      </c>
      <c r="P15">
        <v>0</v>
      </c>
      <c r="Q15">
        <v>0</v>
      </c>
      <c r="R15">
        <v>0</v>
      </c>
      <c r="X15">
        <f t="shared" si="0"/>
        <v>0</v>
      </c>
      <c r="Y15" s="28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9" x14ac:dyDescent="0.25">
      <c r="D16">
        <f>+Hoja1!A7</f>
        <v>110101</v>
      </c>
      <c r="E16" t="str">
        <f>+Hoja1!B7</f>
        <v>CAJA</v>
      </c>
      <c r="F16" t="str">
        <f>+Hoja1!E7</f>
        <v>PS</v>
      </c>
      <c r="G16">
        <f>IF(Hoja1!F7="NO",0,1)</f>
        <v>1</v>
      </c>
      <c r="H16">
        <f>IF(Hoja1!I7="NO",0,1)</f>
        <v>1</v>
      </c>
      <c r="I16" t="s">
        <v>8</v>
      </c>
      <c r="J16">
        <f>IF(Hoja1!G7="NO",0,1)</f>
        <v>0</v>
      </c>
      <c r="K16">
        <f>IF(Hoja1!H7="NO",0,1)</f>
        <v>1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X16">
        <f t="shared" si="0"/>
        <v>1</v>
      </c>
      <c r="Y16" s="28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4:33" x14ac:dyDescent="0.25">
      <c r="D17">
        <f>+Hoja1!A8</f>
        <v>110101001</v>
      </c>
      <c r="E17" t="str">
        <f>+Hoja1!B8</f>
        <v>EFECTIVO - MONEDA NACIONAL</v>
      </c>
      <c r="F17" t="str">
        <f>+Hoja1!E8</f>
        <v>PS</v>
      </c>
      <c r="G17">
        <f>IF(Hoja1!F8="NO",0,1)</f>
        <v>1</v>
      </c>
      <c r="H17">
        <f>IF(Hoja1!I8="NO",0,1)</f>
        <v>1</v>
      </c>
      <c r="I17" t="s">
        <v>8</v>
      </c>
      <c r="J17">
        <f>IF(Hoja1!G8="NO",0,1)</f>
        <v>0</v>
      </c>
      <c r="K17">
        <f>IF(Hoja1!H8="NO",0,1)</f>
        <v>1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X17">
        <f t="shared" si="0"/>
        <v>1</v>
      </c>
      <c r="Y17" s="28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4:33" x14ac:dyDescent="0.25">
      <c r="D18">
        <f>+Hoja1!A9</f>
        <v>110101002</v>
      </c>
      <c r="E18" t="str">
        <f>+Hoja1!B9</f>
        <v>EFECTIVO - MONEDA EXTRANJERA</v>
      </c>
      <c r="F18" t="str">
        <f>+Hoja1!E9</f>
        <v>PS</v>
      </c>
      <c r="G18">
        <f>IF(Hoja1!F9="NO",0,1)</f>
        <v>1</v>
      </c>
      <c r="H18">
        <f>IF(Hoja1!I9="NO",0,1)</f>
        <v>1</v>
      </c>
      <c r="I18" t="s">
        <v>8</v>
      </c>
      <c r="J18">
        <f>IF(Hoja1!G9="NO",0,1)</f>
        <v>0</v>
      </c>
      <c r="K18">
        <f>IF(Hoja1!H9="NO",0,1)</f>
        <v>1</v>
      </c>
      <c r="L18">
        <v>0</v>
      </c>
      <c r="N18">
        <v>0</v>
      </c>
      <c r="O18">
        <v>0</v>
      </c>
      <c r="P18">
        <v>0</v>
      </c>
      <c r="Q18">
        <v>0</v>
      </c>
      <c r="R18">
        <v>0</v>
      </c>
      <c r="X18">
        <f t="shared" si="0"/>
        <v>1</v>
      </c>
      <c r="Y18" s="2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4:33" x14ac:dyDescent="0.25">
      <c r="D19">
        <f>+Hoja1!A10</f>
        <v>110101010</v>
      </c>
      <c r="E19" t="str">
        <f>+Hoja1!B10</f>
        <v>CAJA CHICA</v>
      </c>
      <c r="F19" t="str">
        <f>+Hoja1!E10</f>
        <v>PS</v>
      </c>
      <c r="G19">
        <f>IF(Hoja1!F10="NO",0,1)</f>
        <v>1</v>
      </c>
      <c r="H19">
        <f>IF(Hoja1!I10="NO",0,1)</f>
        <v>1</v>
      </c>
      <c r="I19" t="s">
        <v>8</v>
      </c>
      <c r="J19">
        <f>IF(Hoja1!G10="NO",0,1)</f>
        <v>0</v>
      </c>
      <c r="K19">
        <f>IF(Hoja1!H10="NO",0,1)</f>
        <v>1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X19">
        <f t="shared" si="0"/>
        <v>1</v>
      </c>
      <c r="Y19" s="28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4:33" x14ac:dyDescent="0.25">
      <c r="D20">
        <f>+Hoja1!A11</f>
        <v>110105</v>
      </c>
      <c r="E20" t="str">
        <f>+Hoja1!B11</f>
        <v>BANCOS</v>
      </c>
      <c r="F20" t="str">
        <f>+Hoja1!E11</f>
        <v>PS</v>
      </c>
      <c r="G20">
        <f>IF(Hoja1!F11="NO",0,1)</f>
        <v>0</v>
      </c>
      <c r="H20">
        <f>IF(Hoja1!I11="NO",0,1)</f>
        <v>1</v>
      </c>
      <c r="I20" t="s">
        <v>8</v>
      </c>
      <c r="J20">
        <f>IF(Hoja1!G11="NO",0,1)</f>
        <v>0</v>
      </c>
      <c r="K20">
        <f>IF(Hoja1!H11="NO",0,1)</f>
        <v>1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X20">
        <f t="shared" si="0"/>
        <v>0</v>
      </c>
      <c r="Y20" s="28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4:33" x14ac:dyDescent="0.25">
      <c r="D21">
        <f>+Hoja1!A12</f>
        <v>110105110</v>
      </c>
      <c r="E21" t="str">
        <f>+Hoja1!B12</f>
        <v>BANCO ARS</v>
      </c>
      <c r="F21" t="str">
        <f>+Hoja1!E12</f>
        <v>PS</v>
      </c>
      <c r="G21">
        <f>IF(Hoja1!F12="NO",0,1)</f>
        <v>1</v>
      </c>
      <c r="H21">
        <f>IF(Hoja1!I12="NO",0,1)</f>
        <v>1</v>
      </c>
      <c r="I21" t="s">
        <v>8</v>
      </c>
      <c r="J21">
        <f>IF(Hoja1!G12="NO",0,1)</f>
        <v>0</v>
      </c>
      <c r="K21">
        <f>IF(Hoja1!H12="NO",0,1)</f>
        <v>1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X21">
        <f t="shared" si="0"/>
        <v>1</v>
      </c>
      <c r="Y21" s="28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4:33" x14ac:dyDescent="0.25">
      <c r="D22">
        <f>+Hoja1!A13</f>
        <v>110105111</v>
      </c>
      <c r="E22" t="str">
        <f>+Hoja1!B13</f>
        <v>BANCO USD</v>
      </c>
      <c r="F22" t="str">
        <f>+Hoja1!E13</f>
        <v>DL</v>
      </c>
      <c r="G22">
        <f>IF(Hoja1!F13="NO",0,1)</f>
        <v>1</v>
      </c>
      <c r="H22">
        <f>IF(Hoja1!I13="NO",0,1)</f>
        <v>1</v>
      </c>
      <c r="I22" t="s">
        <v>8</v>
      </c>
      <c r="J22">
        <f>IF(Hoja1!G13="NO",0,1)</f>
        <v>0</v>
      </c>
      <c r="K22">
        <f>IF(Hoja1!H13="NO",0,1)</f>
        <v>1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X22">
        <f t="shared" si="0"/>
        <v>1</v>
      </c>
      <c r="Y22" s="28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4:33" x14ac:dyDescent="0.25">
      <c r="D23">
        <f>+Hoja1!A14</f>
        <v>110105121</v>
      </c>
      <c r="E23" t="str">
        <f>+Hoja1!B14</f>
        <v>REGULARIZADORA DE BANCOS</v>
      </c>
      <c r="F23" t="str">
        <f>+Hoja1!E14</f>
        <v>PS</v>
      </c>
      <c r="G23">
        <f>IF(Hoja1!F14="NO",0,1)</f>
        <v>1</v>
      </c>
      <c r="H23">
        <f>IF(Hoja1!I14="NO",0,1)</f>
        <v>1</v>
      </c>
      <c r="I23" t="s">
        <v>8</v>
      </c>
      <c r="J23">
        <f>IF(Hoja1!G14="NO",0,1)</f>
        <v>0</v>
      </c>
      <c r="K23">
        <f>IF(Hoja1!H14="NO",0,1)</f>
        <v>1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X23">
        <f t="shared" si="0"/>
        <v>1</v>
      </c>
      <c r="Y23" s="28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4:33" x14ac:dyDescent="0.25">
      <c r="D24">
        <f>+Hoja1!A15</f>
        <v>110105148</v>
      </c>
      <c r="E24" t="str">
        <f>+Hoja1!B15</f>
        <v>MERCADO PAGO</v>
      </c>
      <c r="F24" t="str">
        <f>+Hoja1!E15</f>
        <v>PS</v>
      </c>
      <c r="G24">
        <f>IF(Hoja1!F15="NO",0,1)</f>
        <v>1</v>
      </c>
      <c r="H24">
        <f>IF(Hoja1!I15="NO",0,1)</f>
        <v>1</v>
      </c>
      <c r="I24" t="s">
        <v>8</v>
      </c>
      <c r="J24">
        <f>IF(Hoja1!G15="NO",0,1)</f>
        <v>0</v>
      </c>
      <c r="K24">
        <f>IF(Hoja1!H15="NO",0,1)</f>
        <v>1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X24">
        <f t="shared" si="0"/>
        <v>1</v>
      </c>
      <c r="Y24" s="28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4:33" x14ac:dyDescent="0.25">
      <c r="D25">
        <f>+Hoja1!A16</f>
        <v>1102</v>
      </c>
      <c r="E25" t="str">
        <f>+Hoja1!B16</f>
        <v>INVERSIONES</v>
      </c>
      <c r="F25" t="str">
        <f>+Hoja1!E16</f>
        <v>PS</v>
      </c>
      <c r="G25">
        <f>IF(Hoja1!F16="NO",0,1)</f>
        <v>0</v>
      </c>
      <c r="H25">
        <f>IF(Hoja1!I16="NO",0,1)</f>
        <v>1</v>
      </c>
      <c r="I25" t="s">
        <v>8</v>
      </c>
      <c r="J25">
        <f>IF(Hoja1!G16="NO",0,1)</f>
        <v>0</v>
      </c>
      <c r="K25">
        <f>IF(Hoja1!H16="NO",0,1)</f>
        <v>1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X25">
        <f t="shared" si="0"/>
        <v>0</v>
      </c>
      <c r="Y25" s="28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4:33" x14ac:dyDescent="0.25">
      <c r="D26">
        <f>+Hoja1!A17</f>
        <v>110201</v>
      </c>
      <c r="E26" t="str">
        <f>+Hoja1!B17</f>
        <v>PLAZOS FIJOS</v>
      </c>
      <c r="F26" t="str">
        <f>+Hoja1!E17</f>
        <v>PS</v>
      </c>
      <c r="G26">
        <f>IF(Hoja1!F17="NO",0,1)</f>
        <v>0</v>
      </c>
      <c r="H26">
        <f>IF(Hoja1!I17="NO",0,1)</f>
        <v>1</v>
      </c>
      <c r="I26" t="s">
        <v>8</v>
      </c>
      <c r="J26">
        <f>IF(Hoja1!G17="NO",0,1)</f>
        <v>0</v>
      </c>
      <c r="K26">
        <f>IF(Hoja1!H17="NO",0,1)</f>
        <v>1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X26">
        <f t="shared" si="0"/>
        <v>0</v>
      </c>
      <c r="Y26" s="28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4:33" x14ac:dyDescent="0.25">
      <c r="D27">
        <f>+Hoja1!A18</f>
        <v>110201010</v>
      </c>
      <c r="E27" t="str">
        <f>+Hoja1!B18</f>
        <v>INVERSIONES</v>
      </c>
      <c r="F27" t="str">
        <f>+Hoja1!E18</f>
        <v>PS</v>
      </c>
      <c r="G27">
        <f>IF(Hoja1!F18="NO",0,1)</f>
        <v>1</v>
      </c>
      <c r="H27">
        <f>IF(Hoja1!I18="NO",0,1)</f>
        <v>1</v>
      </c>
      <c r="I27" t="s">
        <v>8</v>
      </c>
      <c r="J27">
        <f>IF(Hoja1!G18="NO",0,1)</f>
        <v>0</v>
      </c>
      <c r="K27">
        <f>IF(Hoja1!H18="NO",0,1)</f>
        <v>1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X27">
        <f t="shared" si="0"/>
        <v>1</v>
      </c>
      <c r="Y27" s="28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4:33" x14ac:dyDescent="0.25">
      <c r="D28">
        <f>+Hoja1!A19</f>
        <v>110202</v>
      </c>
      <c r="E28" t="str">
        <f>+Hoja1!B19</f>
        <v>BONOS</v>
      </c>
      <c r="F28" t="str">
        <f>+Hoja1!E19</f>
        <v>PS</v>
      </c>
      <c r="G28">
        <f>IF(Hoja1!F19="NO",0,1)</f>
        <v>0</v>
      </c>
      <c r="H28">
        <f>IF(Hoja1!I19="NO",0,1)</f>
        <v>1</v>
      </c>
      <c r="I28" t="s">
        <v>8</v>
      </c>
      <c r="J28">
        <f>IF(Hoja1!G19="NO",0,1)</f>
        <v>0</v>
      </c>
      <c r="K28">
        <f>IF(Hoja1!H19="NO",0,1)</f>
        <v>1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X28">
        <f t="shared" si="0"/>
        <v>0</v>
      </c>
      <c r="Y28" s="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4:33" x14ac:dyDescent="0.25">
      <c r="D29">
        <f>+Hoja1!A20</f>
        <v>110202001</v>
      </c>
      <c r="E29" t="str">
        <f>+Hoja1!B20</f>
        <v>CUENTA COMITENTE</v>
      </c>
      <c r="F29" t="str">
        <f>+Hoja1!E20</f>
        <v>PS</v>
      </c>
      <c r="G29">
        <f>IF(Hoja1!F20="NO",0,1)</f>
        <v>1</v>
      </c>
      <c r="H29">
        <f>IF(Hoja1!I20="NO",0,1)</f>
        <v>1</v>
      </c>
      <c r="I29" t="s">
        <v>8</v>
      </c>
      <c r="J29">
        <f>IF(Hoja1!G20="NO",0,1)</f>
        <v>0</v>
      </c>
      <c r="K29">
        <f>IF(Hoja1!H20="NO",0,1)</f>
        <v>1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X29">
        <f t="shared" si="0"/>
        <v>1</v>
      </c>
      <c r="Y29" s="28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4:33" x14ac:dyDescent="0.25">
      <c r="D30">
        <f>+Hoja1!A21</f>
        <v>110202009</v>
      </c>
      <c r="E30" t="str">
        <f>+Hoja1!B21</f>
        <v>ACCIONES</v>
      </c>
      <c r="F30" t="str">
        <f>+Hoja1!E21</f>
        <v>PS</v>
      </c>
      <c r="G30">
        <f>IF(Hoja1!F21="NO",0,1)</f>
        <v>1</v>
      </c>
      <c r="H30">
        <f>IF(Hoja1!I21="NO",0,1)</f>
        <v>1</v>
      </c>
      <c r="I30" t="s">
        <v>8</v>
      </c>
      <c r="J30">
        <f>IF(Hoja1!G21="NO",0,1)</f>
        <v>0</v>
      </c>
      <c r="K30">
        <f>IF(Hoja1!H21="NO",0,1)</f>
        <v>1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X30">
        <f t="shared" si="0"/>
        <v>1</v>
      </c>
      <c r="Y30" s="28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4:33" x14ac:dyDescent="0.25">
      <c r="D31">
        <f>+Hoja1!A22</f>
        <v>110203010</v>
      </c>
      <c r="E31" t="str">
        <f>+Hoja1!B22</f>
        <v>TÍTULOS PUBLICOS USD</v>
      </c>
      <c r="F31" t="str">
        <f>+Hoja1!E22</f>
        <v>DL</v>
      </c>
      <c r="G31">
        <f>IF(Hoja1!F22="NO",0,1)</f>
        <v>1</v>
      </c>
      <c r="H31">
        <f>IF(Hoja1!I22="NO",0,1)</f>
        <v>1</v>
      </c>
      <c r="I31" t="s">
        <v>8</v>
      </c>
      <c r="J31">
        <f>IF(Hoja1!G22="NO",0,1)</f>
        <v>0</v>
      </c>
      <c r="K31">
        <f>IF(Hoja1!H22="NO",0,1)</f>
        <v>1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X31">
        <f t="shared" si="0"/>
        <v>1</v>
      </c>
      <c r="Y31" s="28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4:33" x14ac:dyDescent="0.25">
      <c r="D32">
        <f>+Hoja1!A23</f>
        <v>110203012</v>
      </c>
      <c r="E32" t="str">
        <f>+Hoja1!B23</f>
        <v>FONDO COMÚN DE INVERSIONES ARS</v>
      </c>
      <c r="F32" t="str">
        <f>+Hoja1!E23</f>
        <v>DL</v>
      </c>
      <c r="G32">
        <f>IF(Hoja1!F23="NO",0,1)</f>
        <v>1</v>
      </c>
      <c r="H32">
        <f>IF(Hoja1!I23="NO",0,1)</f>
        <v>1</v>
      </c>
      <c r="I32" t="s">
        <v>8</v>
      </c>
      <c r="J32">
        <f>IF(Hoja1!G23="NO",0,1)</f>
        <v>0</v>
      </c>
      <c r="K32">
        <f>IF(Hoja1!H23="NO",0,1)</f>
        <v>1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X32">
        <f t="shared" si="0"/>
        <v>1</v>
      </c>
      <c r="Y32" s="28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4:33" x14ac:dyDescent="0.25">
      <c r="D33">
        <f>+Hoja1!A24</f>
        <v>110203014</v>
      </c>
      <c r="E33" t="str">
        <f>+Hoja1!B24</f>
        <v>FONDO COMÚN DE INVERSIONES USD</v>
      </c>
      <c r="F33" t="str">
        <f>+Hoja1!E24</f>
        <v>PS</v>
      </c>
      <c r="G33">
        <f>IF(Hoja1!F24="NO",0,1)</f>
        <v>1</v>
      </c>
      <c r="H33">
        <f>IF(Hoja1!I24="NO",0,1)</f>
        <v>1</v>
      </c>
      <c r="I33" t="s">
        <v>8</v>
      </c>
      <c r="J33">
        <f>IF(Hoja1!G24="NO",0,1)</f>
        <v>0</v>
      </c>
      <c r="K33">
        <f>IF(Hoja1!H24="NO",0,1)</f>
        <v>1</v>
      </c>
      <c r="L33">
        <v>0</v>
      </c>
      <c r="N33">
        <v>0</v>
      </c>
      <c r="O33">
        <v>0</v>
      </c>
      <c r="P33">
        <v>0</v>
      </c>
      <c r="Q33">
        <v>0</v>
      </c>
      <c r="R33">
        <v>0</v>
      </c>
      <c r="X33">
        <f t="shared" si="0"/>
        <v>1</v>
      </c>
      <c r="Y33" s="28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4:33" x14ac:dyDescent="0.25">
      <c r="D34">
        <f>+Hoja1!A25</f>
        <v>1103</v>
      </c>
      <c r="E34" t="str">
        <f>+Hoja1!B25</f>
        <v>CREDITOS POR VENTAS</v>
      </c>
      <c r="F34" t="str">
        <f>+Hoja1!E25</f>
        <v>PS</v>
      </c>
      <c r="G34">
        <f>IF(Hoja1!F25="NO",0,1)</f>
        <v>0</v>
      </c>
      <c r="H34">
        <f>IF(Hoja1!I25="NO",0,1)</f>
        <v>1</v>
      </c>
      <c r="I34" t="s">
        <v>8</v>
      </c>
      <c r="J34">
        <f>IF(Hoja1!G25="NO",0,1)</f>
        <v>0</v>
      </c>
      <c r="K34">
        <f>IF(Hoja1!H25="NO",0,1)</f>
        <v>1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X34">
        <f t="shared" si="0"/>
        <v>0</v>
      </c>
      <c r="Y34" s="28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4:33" x14ac:dyDescent="0.25">
      <c r="D35">
        <f>+Hoja1!A26</f>
        <v>110301</v>
      </c>
      <c r="E35" t="str">
        <f>+Hoja1!B26</f>
        <v>CREDITOS POR VENTAS</v>
      </c>
      <c r="F35" t="str">
        <f>+Hoja1!E26</f>
        <v>PS</v>
      </c>
      <c r="G35">
        <f>IF(Hoja1!F26="NO",0,1)</f>
        <v>0</v>
      </c>
      <c r="H35">
        <f>IF(Hoja1!I26="NO",0,1)</f>
        <v>1</v>
      </c>
      <c r="I35" t="s">
        <v>8</v>
      </c>
      <c r="J35">
        <f>IF(Hoja1!G26="NO",0,1)</f>
        <v>0</v>
      </c>
      <c r="K35">
        <f>IF(Hoja1!H26="NO",0,1)</f>
        <v>1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X35">
        <f t="shared" si="0"/>
        <v>0</v>
      </c>
      <c r="Y35" s="28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4:33" x14ac:dyDescent="0.25">
      <c r="D36">
        <f>+Hoja1!A27</f>
        <v>110301001</v>
      </c>
      <c r="E36" t="str">
        <f>+Hoja1!B27</f>
        <v>DEUDORES POR VENTAS</v>
      </c>
      <c r="F36" t="str">
        <f>+Hoja1!E27</f>
        <v>PS</v>
      </c>
      <c r="G36">
        <f>IF(Hoja1!F27="NO",0,1)</f>
        <v>1</v>
      </c>
      <c r="H36">
        <f>IF(Hoja1!I27="NO",0,1)</f>
        <v>1</v>
      </c>
      <c r="I36" t="s">
        <v>8</v>
      </c>
      <c r="J36">
        <f>IF(Hoja1!G27="NO",0,1)</f>
        <v>0</v>
      </c>
      <c r="K36">
        <f>IF(Hoja1!H27="NO",0,1)</f>
        <v>1</v>
      </c>
      <c r="L36">
        <v>0</v>
      </c>
      <c r="N36">
        <v>0</v>
      </c>
      <c r="O36">
        <v>0</v>
      </c>
      <c r="P36">
        <v>0</v>
      </c>
      <c r="Q36">
        <v>0</v>
      </c>
      <c r="R36">
        <v>0</v>
      </c>
      <c r="X36">
        <f t="shared" si="0"/>
        <v>1</v>
      </c>
      <c r="Y36" s="28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4:33" x14ac:dyDescent="0.25">
      <c r="D37">
        <f>+Hoja1!A28</f>
        <v>110301002</v>
      </c>
      <c r="E37" t="str">
        <f>+Hoja1!B28</f>
        <v>DEUDORES DEL EXTERIOR</v>
      </c>
      <c r="F37" t="str">
        <f>+Hoja1!E28</f>
        <v>PS</v>
      </c>
      <c r="G37">
        <f>IF(Hoja1!F28="NO",0,1)</f>
        <v>1</v>
      </c>
      <c r="H37">
        <f>IF(Hoja1!I28="NO",0,1)</f>
        <v>1</v>
      </c>
      <c r="I37" t="s">
        <v>8</v>
      </c>
      <c r="J37">
        <f>IF(Hoja1!G28="NO",0,1)</f>
        <v>0</v>
      </c>
      <c r="K37">
        <f>IF(Hoja1!H28="NO",0,1)</f>
        <v>1</v>
      </c>
      <c r="L37">
        <v>0</v>
      </c>
      <c r="N37">
        <v>0</v>
      </c>
      <c r="O37">
        <v>0</v>
      </c>
      <c r="P37">
        <v>0</v>
      </c>
      <c r="Q37">
        <v>0</v>
      </c>
      <c r="R37">
        <v>0</v>
      </c>
      <c r="X37">
        <f t="shared" si="0"/>
        <v>1</v>
      </c>
      <c r="Y37" s="28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4:33" x14ac:dyDescent="0.25">
      <c r="D38">
        <f>+Hoja1!A29</f>
        <v>110301010</v>
      </c>
      <c r="E38" t="str">
        <f>+Hoja1!B29</f>
        <v>RECAUDADORA DE CLIENTE</v>
      </c>
      <c r="F38" t="str">
        <f>+Hoja1!E29</f>
        <v>PS</v>
      </c>
      <c r="G38">
        <f>IF(Hoja1!F29="NO",0,1)</f>
        <v>1</v>
      </c>
      <c r="H38">
        <f>IF(Hoja1!I29="NO",0,1)</f>
        <v>1</v>
      </c>
      <c r="I38" t="s">
        <v>8</v>
      </c>
      <c r="J38">
        <f>IF(Hoja1!G29="NO",0,1)</f>
        <v>0</v>
      </c>
      <c r="K38">
        <f>IF(Hoja1!H29="NO",0,1)</f>
        <v>1</v>
      </c>
      <c r="L38">
        <v>0</v>
      </c>
      <c r="N38">
        <v>0</v>
      </c>
      <c r="O38">
        <v>0</v>
      </c>
      <c r="P38">
        <v>0</v>
      </c>
      <c r="Q38">
        <v>0</v>
      </c>
      <c r="R38">
        <v>0</v>
      </c>
      <c r="X38">
        <f t="shared" si="0"/>
        <v>1</v>
      </c>
      <c r="Y38" s="2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4:33" x14ac:dyDescent="0.25">
      <c r="D39">
        <f>+Hoja1!A30</f>
        <v>110301020</v>
      </c>
      <c r="E39" t="str">
        <f>+Hoja1!B30</f>
        <v>COBRANZAS PEND. MERC.EXT</v>
      </c>
      <c r="F39" t="str">
        <f>+Hoja1!E30</f>
        <v>DL</v>
      </c>
      <c r="G39">
        <f>IF(Hoja1!F30="NO",0,1)</f>
        <v>1</v>
      </c>
      <c r="H39">
        <f>IF(Hoja1!I30="NO",0,1)</f>
        <v>1</v>
      </c>
      <c r="I39" t="s">
        <v>8</v>
      </c>
      <c r="J39">
        <f>IF(Hoja1!G30="NO",0,1)</f>
        <v>0</v>
      </c>
      <c r="K39">
        <f>IF(Hoja1!H30="NO",0,1)</f>
        <v>1</v>
      </c>
      <c r="L39">
        <v>0</v>
      </c>
      <c r="N39">
        <v>0</v>
      </c>
      <c r="O39">
        <v>0</v>
      </c>
      <c r="P39">
        <v>0</v>
      </c>
      <c r="Q39">
        <v>0</v>
      </c>
      <c r="R39">
        <v>0</v>
      </c>
      <c r="X39">
        <f t="shared" si="0"/>
        <v>1</v>
      </c>
      <c r="Y39" s="28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4:33" x14ac:dyDescent="0.25">
      <c r="D40">
        <f>+Hoja1!A31</f>
        <v>110301025</v>
      </c>
      <c r="E40" t="str">
        <f>+Hoja1!B31</f>
        <v>DOCUMENTOS A COBRAR</v>
      </c>
      <c r="F40" t="str">
        <f>+Hoja1!E31</f>
        <v>PS</v>
      </c>
      <c r="G40">
        <f>IF(Hoja1!F31="NO",0,1)</f>
        <v>1</v>
      </c>
      <c r="H40">
        <f>IF(Hoja1!I31="NO",0,1)</f>
        <v>1</v>
      </c>
      <c r="I40" t="s">
        <v>8</v>
      </c>
      <c r="J40">
        <f>IF(Hoja1!G31="NO",0,1)</f>
        <v>0</v>
      </c>
      <c r="K40">
        <f>IF(Hoja1!H31="NO",0,1)</f>
        <v>1</v>
      </c>
      <c r="L40">
        <v>0</v>
      </c>
      <c r="N40">
        <v>0</v>
      </c>
      <c r="O40">
        <v>0</v>
      </c>
      <c r="P40">
        <v>0</v>
      </c>
      <c r="Q40">
        <v>0</v>
      </c>
      <c r="R40">
        <v>0</v>
      </c>
      <c r="X40">
        <f t="shared" si="0"/>
        <v>1</v>
      </c>
      <c r="Y40" s="28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4:33" x14ac:dyDescent="0.25">
      <c r="D41">
        <f>+Hoja1!A32</f>
        <v>110301030</v>
      </c>
      <c r="E41" t="str">
        <f>+Hoja1!B32</f>
        <v>DOCUMENTOS EN GESTION</v>
      </c>
      <c r="F41" t="str">
        <f>+Hoja1!E32</f>
        <v>PS</v>
      </c>
      <c r="G41">
        <f>IF(Hoja1!F32="NO",0,1)</f>
        <v>1</v>
      </c>
      <c r="H41">
        <f>IF(Hoja1!I32="NO",0,1)</f>
        <v>1</v>
      </c>
      <c r="I41" t="s">
        <v>8</v>
      </c>
      <c r="J41">
        <f>IF(Hoja1!G32="NO",0,1)</f>
        <v>0</v>
      </c>
      <c r="K41">
        <f>IF(Hoja1!H32="NO",0,1)</f>
        <v>1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X41">
        <f t="shared" si="0"/>
        <v>1</v>
      </c>
      <c r="Y41" s="28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4:33" x14ac:dyDescent="0.25">
      <c r="D42">
        <f>+Hoja1!A33</f>
        <v>110301070</v>
      </c>
      <c r="E42" t="str">
        <f>+Hoja1!B33</f>
        <v>PREVISION PARA DS. INCOBR.</v>
      </c>
      <c r="F42" t="str">
        <f>+Hoja1!E33</f>
        <v>PS</v>
      </c>
      <c r="G42">
        <f>IF(Hoja1!F33="NO",0,1)</f>
        <v>1</v>
      </c>
      <c r="H42">
        <f>IF(Hoja1!I33="NO",0,1)</f>
        <v>1</v>
      </c>
      <c r="I42" t="s">
        <v>8</v>
      </c>
      <c r="J42">
        <f>IF(Hoja1!G33="NO",0,1)</f>
        <v>0</v>
      </c>
      <c r="K42">
        <f>IF(Hoja1!H33="NO",0,1)</f>
        <v>1</v>
      </c>
      <c r="L42">
        <v>0</v>
      </c>
      <c r="N42">
        <v>0</v>
      </c>
      <c r="O42">
        <v>0</v>
      </c>
      <c r="P42">
        <v>0</v>
      </c>
      <c r="Q42">
        <v>0</v>
      </c>
      <c r="R42">
        <v>0</v>
      </c>
      <c r="X42">
        <f t="shared" si="0"/>
        <v>1</v>
      </c>
      <c r="Y42" s="28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4:33" x14ac:dyDescent="0.25">
      <c r="D43">
        <f>+Hoja1!A34</f>
        <v>110305</v>
      </c>
      <c r="E43" t="str">
        <f>+Hoja1!B34</f>
        <v>VALORES A DEPOSITAR</v>
      </c>
      <c r="F43" t="str">
        <f>+Hoja1!E34</f>
        <v>PS</v>
      </c>
      <c r="G43">
        <f>IF(Hoja1!F34="NO",0,1)</f>
        <v>0</v>
      </c>
      <c r="H43">
        <f>IF(Hoja1!I34="NO",0,1)</f>
        <v>1</v>
      </c>
      <c r="I43" t="s">
        <v>8</v>
      </c>
      <c r="J43">
        <f>IF(Hoja1!G34="NO",0,1)</f>
        <v>0</v>
      </c>
      <c r="K43">
        <f>IF(Hoja1!H34="NO",0,1)</f>
        <v>1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X43">
        <f t="shared" si="0"/>
        <v>0</v>
      </c>
      <c r="Y43" s="28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4:33" x14ac:dyDescent="0.25">
      <c r="D44">
        <f>+Hoja1!A35</f>
        <v>110305001</v>
      </c>
      <c r="E44" t="str">
        <f>+Hoja1!B35</f>
        <v>VALORES PROPIOS DE CLIENTES</v>
      </c>
      <c r="F44" t="str">
        <f>+Hoja1!E35</f>
        <v>PS</v>
      </c>
      <c r="G44">
        <f>IF(Hoja1!F35="NO",0,1)</f>
        <v>1</v>
      </c>
      <c r="H44">
        <f>IF(Hoja1!I35="NO",0,1)</f>
        <v>1</v>
      </c>
      <c r="I44" t="s">
        <v>8</v>
      </c>
      <c r="J44">
        <f>IF(Hoja1!G35="NO",0,1)</f>
        <v>0</v>
      </c>
      <c r="K44">
        <f>IF(Hoja1!H35="NO",0,1)</f>
        <v>1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X44">
        <f t="shared" si="0"/>
        <v>1</v>
      </c>
      <c r="Y44" s="28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4:33" x14ac:dyDescent="0.25">
      <c r="D45">
        <f>+Hoja1!A36</f>
        <v>110305010</v>
      </c>
      <c r="E45" t="str">
        <f>+Hoja1!B36</f>
        <v>VALORES DE TERCEROS</v>
      </c>
      <c r="F45" t="str">
        <f>+Hoja1!E36</f>
        <v>PS</v>
      </c>
      <c r="G45">
        <f>IF(Hoja1!F36="NO",0,1)</f>
        <v>1</v>
      </c>
      <c r="H45">
        <f>IF(Hoja1!I36="NO",0,1)</f>
        <v>1</v>
      </c>
      <c r="I45" t="s">
        <v>8</v>
      </c>
      <c r="J45">
        <f>IF(Hoja1!G36="NO",0,1)</f>
        <v>0</v>
      </c>
      <c r="K45">
        <f>IF(Hoja1!H36="NO",0,1)</f>
        <v>1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X45">
        <f t="shared" si="0"/>
        <v>1</v>
      </c>
      <c r="Y45" s="28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4:33" x14ac:dyDescent="0.25">
      <c r="D46">
        <f>+Hoja1!A37</f>
        <v>110305020</v>
      </c>
      <c r="E46" t="str">
        <f>+Hoja1!B37</f>
        <v>VALORES ENTREGADOS EN CUSTODIA</v>
      </c>
      <c r="F46" t="str">
        <f>+Hoja1!E37</f>
        <v>PS</v>
      </c>
      <c r="G46">
        <f>IF(Hoja1!F37="NO",0,1)</f>
        <v>1</v>
      </c>
      <c r="H46">
        <f>IF(Hoja1!I37="NO",0,1)</f>
        <v>1</v>
      </c>
      <c r="I46" t="s">
        <v>8</v>
      </c>
      <c r="J46">
        <f>IF(Hoja1!G37="NO",0,1)</f>
        <v>0</v>
      </c>
      <c r="K46">
        <f>IF(Hoja1!H37="NO",0,1)</f>
        <v>1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X46">
        <f t="shared" si="0"/>
        <v>1</v>
      </c>
      <c r="Y46" s="28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4:33" x14ac:dyDescent="0.25">
      <c r="D47">
        <f>+Hoja1!A38</f>
        <v>110305030</v>
      </c>
      <c r="E47" t="str">
        <f>+Hoja1!B38</f>
        <v>VALORES RECHAZADOS</v>
      </c>
      <c r="F47" t="str">
        <f>+Hoja1!E38</f>
        <v>PS</v>
      </c>
      <c r="G47">
        <f>IF(Hoja1!F38="NO",0,1)</f>
        <v>1</v>
      </c>
      <c r="H47">
        <f>IF(Hoja1!I38="NO",0,1)</f>
        <v>1</v>
      </c>
      <c r="I47" t="s">
        <v>8</v>
      </c>
      <c r="J47">
        <f>IF(Hoja1!G38="NO",0,1)</f>
        <v>0</v>
      </c>
      <c r="K47">
        <f>IF(Hoja1!H38="NO",0,1)</f>
        <v>1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X47">
        <f t="shared" si="0"/>
        <v>1</v>
      </c>
      <c r="Y47" s="28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4:33" x14ac:dyDescent="0.25">
      <c r="D48">
        <f>+Hoja1!A39</f>
        <v>110305040</v>
      </c>
      <c r="E48" t="str">
        <f>+Hoja1!B39</f>
        <v>VALORES DE 3EROS. P/ GESTIONAR</v>
      </c>
      <c r="F48" t="str">
        <f>+Hoja1!E39</f>
        <v>PS</v>
      </c>
      <c r="G48">
        <f>IF(Hoja1!F39="NO",0,1)</f>
        <v>1</v>
      </c>
      <c r="H48">
        <f>IF(Hoja1!I39="NO",0,1)</f>
        <v>1</v>
      </c>
      <c r="I48" t="s">
        <v>8</v>
      </c>
      <c r="J48">
        <f>IF(Hoja1!G39="NO",0,1)</f>
        <v>0</v>
      </c>
      <c r="K48">
        <f>IF(Hoja1!H39="NO",0,1)</f>
        <v>1</v>
      </c>
      <c r="L48">
        <v>0</v>
      </c>
      <c r="N48">
        <v>0</v>
      </c>
      <c r="O48">
        <v>0</v>
      </c>
      <c r="P48">
        <v>0</v>
      </c>
      <c r="Q48">
        <v>0</v>
      </c>
      <c r="R48">
        <v>0</v>
      </c>
      <c r="X48">
        <f t="shared" si="0"/>
        <v>1</v>
      </c>
      <c r="Y48" s="2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4:33" x14ac:dyDescent="0.25">
      <c r="D49">
        <f>+Hoja1!A40</f>
        <v>1104</v>
      </c>
      <c r="E49" t="str">
        <f>+Hoja1!B40</f>
        <v>OTROS CREDITOS</v>
      </c>
      <c r="F49" t="str">
        <f>+Hoja1!E40</f>
        <v>PS</v>
      </c>
      <c r="G49">
        <f>IF(Hoja1!F40="NO",0,1)</f>
        <v>0</v>
      </c>
      <c r="H49">
        <f>IF(Hoja1!I40="NO",0,1)</f>
        <v>1</v>
      </c>
      <c r="I49" t="s">
        <v>8</v>
      </c>
      <c r="J49">
        <f>IF(Hoja1!G40="NO",0,1)</f>
        <v>0</v>
      </c>
      <c r="K49">
        <f>IF(Hoja1!H40="NO",0,1)</f>
        <v>1</v>
      </c>
      <c r="L49">
        <v>0</v>
      </c>
      <c r="N49">
        <v>0</v>
      </c>
      <c r="O49">
        <v>0</v>
      </c>
      <c r="P49">
        <v>0</v>
      </c>
      <c r="Q49">
        <v>0</v>
      </c>
      <c r="R49">
        <v>0</v>
      </c>
      <c r="X49">
        <f t="shared" si="0"/>
        <v>0</v>
      </c>
      <c r="Y49" s="28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4:33" x14ac:dyDescent="0.25">
      <c r="D50">
        <f>+Hoja1!A41</f>
        <v>110401</v>
      </c>
      <c r="E50" t="str">
        <f>+Hoja1!B41</f>
        <v>OTROS CREDITOS</v>
      </c>
      <c r="F50" t="str">
        <f>+Hoja1!E41</f>
        <v>PS</v>
      </c>
      <c r="G50">
        <f>IF(Hoja1!F41="NO",0,1)</f>
        <v>0</v>
      </c>
      <c r="H50">
        <f>IF(Hoja1!I41="NO",0,1)</f>
        <v>1</v>
      </c>
      <c r="I50" t="s">
        <v>8</v>
      </c>
      <c r="J50">
        <f>IF(Hoja1!G41="NO",0,1)</f>
        <v>0</v>
      </c>
      <c r="K50">
        <f>IF(Hoja1!H41="NO",0,1)</f>
        <v>1</v>
      </c>
      <c r="L50">
        <v>0</v>
      </c>
      <c r="N50">
        <v>0</v>
      </c>
      <c r="O50">
        <v>0</v>
      </c>
      <c r="P50">
        <v>0</v>
      </c>
      <c r="Q50">
        <v>0</v>
      </c>
      <c r="R50">
        <v>0</v>
      </c>
      <c r="X50">
        <f t="shared" si="0"/>
        <v>0</v>
      </c>
      <c r="Y50" s="28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4:33" x14ac:dyDescent="0.25">
      <c r="D51">
        <f>+Hoja1!A42</f>
        <v>110401001</v>
      </c>
      <c r="E51" t="str">
        <f>+Hoja1!B42</f>
        <v>ACCIONISTAS</v>
      </c>
      <c r="F51" t="str">
        <f>+Hoja1!E42</f>
        <v>PS</v>
      </c>
      <c r="G51">
        <f>IF(Hoja1!F42="NO",0,1)</f>
        <v>1</v>
      </c>
      <c r="H51">
        <f>IF(Hoja1!I42="NO",0,1)</f>
        <v>1</v>
      </c>
      <c r="I51" t="s">
        <v>8</v>
      </c>
      <c r="J51">
        <f>IF(Hoja1!G42="NO",0,1)</f>
        <v>0</v>
      </c>
      <c r="K51">
        <f>IF(Hoja1!H42="NO",0,1)</f>
        <v>1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X51">
        <f t="shared" si="0"/>
        <v>1</v>
      </c>
      <c r="Y51" s="28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4:33" x14ac:dyDescent="0.25">
      <c r="D52">
        <f>+Hoja1!A43</f>
        <v>110401002</v>
      </c>
      <c r="E52" t="str">
        <f>+Hoja1!B43</f>
        <v>GASTOS A RECUPERAR ARS</v>
      </c>
      <c r="F52" t="str">
        <f>+Hoja1!E43</f>
        <v>PS</v>
      </c>
      <c r="G52">
        <f>IF(Hoja1!F43="NO",0,1)</f>
        <v>1</v>
      </c>
      <c r="H52">
        <f>IF(Hoja1!I43="NO",0,1)</f>
        <v>1</v>
      </c>
      <c r="I52" t="s">
        <v>8</v>
      </c>
      <c r="J52">
        <f>IF(Hoja1!G43="NO",0,1)</f>
        <v>0</v>
      </c>
      <c r="K52">
        <f>IF(Hoja1!H43="NO",0,1)</f>
        <v>1</v>
      </c>
      <c r="L52">
        <v>0</v>
      </c>
      <c r="N52">
        <v>0</v>
      </c>
      <c r="O52">
        <v>0</v>
      </c>
      <c r="P52">
        <v>0</v>
      </c>
      <c r="Q52">
        <v>0</v>
      </c>
      <c r="R52">
        <v>0</v>
      </c>
      <c r="X52">
        <f t="shared" si="0"/>
        <v>1</v>
      </c>
      <c r="Y52" s="28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4:33" x14ac:dyDescent="0.25">
      <c r="D53">
        <f>+Hoja1!A44</f>
        <v>110401004</v>
      </c>
      <c r="E53" t="str">
        <f>+Hoja1!B44</f>
        <v>ACCIONISTAS (AUX)</v>
      </c>
      <c r="F53" t="str">
        <f>+Hoja1!E44</f>
        <v>PS</v>
      </c>
      <c r="G53">
        <f>IF(Hoja1!F44="NO",0,1)</f>
        <v>1</v>
      </c>
      <c r="H53">
        <f>IF(Hoja1!I44="NO",0,1)</f>
        <v>1</v>
      </c>
      <c r="I53" t="s">
        <v>8</v>
      </c>
      <c r="J53">
        <f>IF(Hoja1!G44="NO",0,1)</f>
        <v>0</v>
      </c>
      <c r="K53">
        <f>IF(Hoja1!H44="NO",0,1)</f>
        <v>1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X53">
        <f t="shared" si="0"/>
        <v>1</v>
      </c>
      <c r="Y53" s="28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4:33" x14ac:dyDescent="0.25">
      <c r="D54">
        <f>+Hoja1!A45</f>
        <v>110401005</v>
      </c>
      <c r="E54" t="str">
        <f>+Hoja1!B45</f>
        <v>ANTICIPOS A PROVEEDORES</v>
      </c>
      <c r="F54" t="str">
        <f>+Hoja1!E45</f>
        <v>PS</v>
      </c>
      <c r="G54">
        <f>IF(Hoja1!F45="NO",0,1)</f>
        <v>1</v>
      </c>
      <c r="H54">
        <f>IF(Hoja1!I45="NO",0,1)</f>
        <v>1</v>
      </c>
      <c r="I54" t="s">
        <v>8</v>
      </c>
      <c r="J54">
        <f>IF(Hoja1!G45="NO",0,1)</f>
        <v>0</v>
      </c>
      <c r="K54">
        <f>IF(Hoja1!H45="NO",0,1)</f>
        <v>1</v>
      </c>
      <c r="L54">
        <v>0</v>
      </c>
      <c r="N54">
        <v>0</v>
      </c>
      <c r="O54">
        <v>0</v>
      </c>
      <c r="P54">
        <v>0</v>
      </c>
      <c r="Q54">
        <v>0</v>
      </c>
      <c r="R54">
        <v>0</v>
      </c>
      <c r="X54">
        <f t="shared" si="0"/>
        <v>1</v>
      </c>
      <c r="Y54" s="28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4:33" x14ac:dyDescent="0.25">
      <c r="D55">
        <f>+Hoja1!A46</f>
        <v>110401010</v>
      </c>
      <c r="E55" t="str">
        <f>+Hoja1!B46</f>
        <v>DEPOSITOS EN GARANTIA</v>
      </c>
      <c r="F55" t="str">
        <f>+Hoja1!E46</f>
        <v>PS</v>
      </c>
      <c r="G55">
        <f>IF(Hoja1!F46="NO",0,1)</f>
        <v>1</v>
      </c>
      <c r="H55">
        <f>IF(Hoja1!I46="NO",0,1)</f>
        <v>1</v>
      </c>
      <c r="I55" t="s">
        <v>8</v>
      </c>
      <c r="J55">
        <f>IF(Hoja1!G46="NO",0,1)</f>
        <v>0</v>
      </c>
      <c r="K55">
        <f>IF(Hoja1!H46="NO",0,1)</f>
        <v>1</v>
      </c>
      <c r="L55">
        <v>0</v>
      </c>
      <c r="N55">
        <v>0</v>
      </c>
      <c r="O55">
        <v>0</v>
      </c>
      <c r="P55">
        <v>0</v>
      </c>
      <c r="Q55">
        <v>0</v>
      </c>
      <c r="R55">
        <v>0</v>
      </c>
      <c r="X55">
        <f t="shared" si="0"/>
        <v>1</v>
      </c>
      <c r="Y55" s="28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4:33" x14ac:dyDescent="0.25">
      <c r="D56">
        <f>+Hoja1!A47</f>
        <v>110401020</v>
      </c>
      <c r="E56" t="str">
        <f>+Hoja1!B47</f>
        <v>REEM. POR EXP. A COBRAR</v>
      </c>
      <c r="F56" t="str">
        <f>+Hoja1!E47</f>
        <v>PS</v>
      </c>
      <c r="G56">
        <f>IF(Hoja1!F47="NO",0,1)</f>
        <v>1</v>
      </c>
      <c r="H56">
        <f>IF(Hoja1!I47="NO",0,1)</f>
        <v>1</v>
      </c>
      <c r="I56" t="s">
        <v>8</v>
      </c>
      <c r="J56">
        <f>IF(Hoja1!G47="NO",0,1)</f>
        <v>0</v>
      </c>
      <c r="K56">
        <f>IF(Hoja1!H47="NO",0,1)</f>
        <v>1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X56">
        <f t="shared" si="0"/>
        <v>1</v>
      </c>
      <c r="Y56" s="28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4:33" x14ac:dyDescent="0.25">
      <c r="D57">
        <f>+Hoja1!A48</f>
        <v>110401030</v>
      </c>
      <c r="E57" t="str">
        <f>+Hoja1!B48</f>
        <v>CUENTAS DIRECTORES</v>
      </c>
      <c r="F57" t="str">
        <f>+Hoja1!E48</f>
        <v>PS</v>
      </c>
      <c r="G57">
        <f>IF(Hoja1!F48="NO",0,1)</f>
        <v>1</v>
      </c>
      <c r="H57">
        <f>IF(Hoja1!I48="NO",0,1)</f>
        <v>1</v>
      </c>
      <c r="I57" t="s">
        <v>8</v>
      </c>
      <c r="J57">
        <f>IF(Hoja1!G48="NO",0,1)</f>
        <v>0</v>
      </c>
      <c r="K57">
        <f>IF(Hoja1!H48="NO",0,1)</f>
        <v>1</v>
      </c>
      <c r="L57">
        <v>0</v>
      </c>
      <c r="N57">
        <v>0</v>
      </c>
      <c r="O57">
        <v>0</v>
      </c>
      <c r="P57">
        <v>0</v>
      </c>
      <c r="Q57">
        <v>0</v>
      </c>
      <c r="R57">
        <v>0</v>
      </c>
      <c r="X57">
        <f t="shared" si="0"/>
        <v>1</v>
      </c>
      <c r="Y57" s="28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4:33" x14ac:dyDescent="0.25">
      <c r="D58">
        <f>+Hoja1!A49</f>
        <v>110401040</v>
      </c>
      <c r="E58" t="str">
        <f>+Hoja1!B49</f>
        <v>INTERESES A DEVENGAR</v>
      </c>
      <c r="F58" t="str">
        <f>+Hoja1!E49</f>
        <v>PS</v>
      </c>
      <c r="G58">
        <f>IF(Hoja1!F49="NO",0,1)</f>
        <v>1</v>
      </c>
      <c r="H58">
        <f>IF(Hoja1!I49="NO",0,1)</f>
        <v>1</v>
      </c>
      <c r="I58" t="s">
        <v>8</v>
      </c>
      <c r="J58">
        <f>IF(Hoja1!G49="NO",0,1)</f>
        <v>0</v>
      </c>
      <c r="K58">
        <f>IF(Hoja1!H49="NO",0,1)</f>
        <v>1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X58">
        <f t="shared" si="0"/>
        <v>1</v>
      </c>
      <c r="Y58" s="2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4:33" x14ac:dyDescent="0.25">
      <c r="D59">
        <f>+Hoja1!A50</f>
        <v>110401050</v>
      </c>
      <c r="E59" t="str">
        <f>+Hoja1!B50</f>
        <v>SEGUROS A DEVENGAR</v>
      </c>
      <c r="F59" t="str">
        <f>+Hoja1!E50</f>
        <v>PS</v>
      </c>
      <c r="G59">
        <f>IF(Hoja1!F50="NO",0,1)</f>
        <v>1</v>
      </c>
      <c r="H59">
        <f>IF(Hoja1!I50="NO",0,1)</f>
        <v>1</v>
      </c>
      <c r="I59" t="s">
        <v>8</v>
      </c>
      <c r="J59">
        <f>IF(Hoja1!G50="NO",0,1)</f>
        <v>0</v>
      </c>
      <c r="K59">
        <f>IF(Hoja1!H50="NO",0,1)</f>
        <v>1</v>
      </c>
      <c r="L59">
        <v>0</v>
      </c>
      <c r="N59">
        <v>0</v>
      </c>
      <c r="O59">
        <v>0</v>
      </c>
      <c r="P59">
        <v>0</v>
      </c>
      <c r="Q59">
        <v>0</v>
      </c>
      <c r="R59">
        <v>0</v>
      </c>
      <c r="X59">
        <f t="shared" si="0"/>
        <v>1</v>
      </c>
      <c r="Y59" s="28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4:33" x14ac:dyDescent="0.25">
      <c r="D60">
        <f>+Hoja1!A51</f>
        <v>110401055</v>
      </c>
      <c r="E60" t="str">
        <f>+Hoja1!B51</f>
        <v>GASTOS A DEVENGAR</v>
      </c>
      <c r="F60" t="str">
        <f>+Hoja1!E51</f>
        <v>PS</v>
      </c>
      <c r="G60">
        <f>IF(Hoja1!F51="NO",0,1)</f>
        <v>1</v>
      </c>
      <c r="H60">
        <f>IF(Hoja1!I51="NO",0,1)</f>
        <v>1</v>
      </c>
      <c r="I60" t="s">
        <v>8</v>
      </c>
      <c r="J60">
        <f>IF(Hoja1!G51="NO",0,1)</f>
        <v>0</v>
      </c>
      <c r="K60">
        <f>IF(Hoja1!H51="NO",0,1)</f>
        <v>1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X60">
        <f t="shared" si="0"/>
        <v>1</v>
      </c>
      <c r="Y60" s="28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4:33" x14ac:dyDescent="0.25">
      <c r="D61">
        <f>+Hoja1!A52</f>
        <v>110401070</v>
      </c>
      <c r="E61" t="str">
        <f>+Hoja1!B52</f>
        <v>GS.PAGADOS P/ADELANTADO</v>
      </c>
      <c r="F61" t="str">
        <f>+Hoja1!E52</f>
        <v>PS</v>
      </c>
      <c r="G61">
        <f>IF(Hoja1!F52="NO",0,1)</f>
        <v>1</v>
      </c>
      <c r="H61">
        <f>IF(Hoja1!I52="NO",0,1)</f>
        <v>1</v>
      </c>
      <c r="I61" t="s">
        <v>8</v>
      </c>
      <c r="J61">
        <f>IF(Hoja1!G52="NO",0,1)</f>
        <v>0</v>
      </c>
      <c r="K61">
        <f>IF(Hoja1!H52="NO",0,1)</f>
        <v>1</v>
      </c>
      <c r="L61">
        <v>0</v>
      </c>
      <c r="N61">
        <v>0</v>
      </c>
      <c r="O61">
        <v>0</v>
      </c>
      <c r="P61">
        <v>0</v>
      </c>
      <c r="Q61">
        <v>0</v>
      </c>
      <c r="R61">
        <v>0</v>
      </c>
      <c r="X61">
        <f t="shared" si="0"/>
        <v>1</v>
      </c>
      <c r="Y61" s="28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4:33" x14ac:dyDescent="0.25">
      <c r="D62">
        <f>+Hoja1!A53</f>
        <v>110401081</v>
      </c>
      <c r="E62" t="str">
        <f>+Hoja1!B53</f>
        <v>DEUDORES VARIOS</v>
      </c>
      <c r="F62" t="str">
        <f>+Hoja1!E53</f>
        <v>PS</v>
      </c>
      <c r="G62">
        <f>IF(Hoja1!F53="NO",0,1)</f>
        <v>1</v>
      </c>
      <c r="H62">
        <f>IF(Hoja1!I53="NO",0,1)</f>
        <v>1</v>
      </c>
      <c r="I62" t="s">
        <v>8</v>
      </c>
      <c r="J62">
        <f>IF(Hoja1!G53="NO",0,1)</f>
        <v>0</v>
      </c>
      <c r="K62">
        <f>IF(Hoja1!H53="NO",0,1)</f>
        <v>1</v>
      </c>
      <c r="L62">
        <v>0</v>
      </c>
      <c r="N62">
        <v>0</v>
      </c>
      <c r="O62">
        <v>0</v>
      </c>
      <c r="P62">
        <v>0</v>
      </c>
      <c r="Q62">
        <v>0</v>
      </c>
      <c r="R62">
        <v>0</v>
      </c>
      <c r="X62">
        <f t="shared" si="0"/>
        <v>1</v>
      </c>
      <c r="Y62" s="28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4:33" x14ac:dyDescent="0.25">
      <c r="D63">
        <f>+Hoja1!A54</f>
        <v>110401082</v>
      </c>
      <c r="E63" t="str">
        <f>+Hoja1!B54</f>
        <v>PROVISIÓN FACTURAS A EMITIR</v>
      </c>
      <c r="F63" t="str">
        <f>+Hoja1!E54</f>
        <v>PS</v>
      </c>
      <c r="G63">
        <f>IF(Hoja1!F54="NO",0,1)</f>
        <v>1</v>
      </c>
      <c r="H63">
        <f>IF(Hoja1!I54="NO",0,1)</f>
        <v>1</v>
      </c>
      <c r="I63" t="s">
        <v>8</v>
      </c>
      <c r="J63">
        <f>IF(Hoja1!G54="NO",0,1)</f>
        <v>0</v>
      </c>
      <c r="K63">
        <f>IF(Hoja1!H54="NO",0,1)</f>
        <v>1</v>
      </c>
      <c r="L63">
        <v>0</v>
      </c>
      <c r="N63">
        <v>0</v>
      </c>
      <c r="O63">
        <v>0</v>
      </c>
      <c r="P63">
        <v>0</v>
      </c>
      <c r="Q63">
        <v>0</v>
      </c>
      <c r="R63">
        <v>0</v>
      </c>
      <c r="X63">
        <f t="shared" si="0"/>
        <v>1</v>
      </c>
      <c r="Y63" s="28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4:33" x14ac:dyDescent="0.25">
      <c r="D64">
        <f>+Hoja1!A55</f>
        <v>110401085</v>
      </c>
      <c r="E64" t="str">
        <f>+Hoja1!B55</f>
        <v>DEUDORES VARIOS EXTERIOR</v>
      </c>
      <c r="F64" t="str">
        <f>+Hoja1!E55</f>
        <v>PS</v>
      </c>
      <c r="G64">
        <f>IF(Hoja1!F55="NO",0,1)</f>
        <v>1</v>
      </c>
      <c r="H64">
        <f>IF(Hoja1!I55="NO",0,1)</f>
        <v>1</v>
      </c>
      <c r="I64" t="s">
        <v>8</v>
      </c>
      <c r="J64">
        <f>IF(Hoja1!G55="NO",0,1)</f>
        <v>0</v>
      </c>
      <c r="K64">
        <f>IF(Hoja1!H55="NO",0,1)</f>
        <v>1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X64">
        <f t="shared" si="0"/>
        <v>1</v>
      </c>
      <c r="Y64" s="28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4:33" x14ac:dyDescent="0.25">
      <c r="D65">
        <f>+Hoja1!A56</f>
        <v>110401090</v>
      </c>
      <c r="E65" t="str">
        <f>+Hoja1!B56</f>
        <v>GASTOS A RENDIR</v>
      </c>
      <c r="F65" t="str">
        <f>+Hoja1!E56</f>
        <v>PS</v>
      </c>
      <c r="G65">
        <f>IF(Hoja1!F56="NO",0,1)</f>
        <v>1</v>
      </c>
      <c r="H65">
        <f>IF(Hoja1!I56="NO",0,1)</f>
        <v>1</v>
      </c>
      <c r="I65" t="s">
        <v>8</v>
      </c>
      <c r="J65">
        <f>IF(Hoja1!G56="NO",0,1)</f>
        <v>0</v>
      </c>
      <c r="K65">
        <f>IF(Hoja1!H56="NO",0,1)</f>
        <v>1</v>
      </c>
      <c r="L65">
        <v>0</v>
      </c>
      <c r="N65">
        <v>0</v>
      </c>
      <c r="O65">
        <v>0</v>
      </c>
      <c r="P65">
        <v>0</v>
      </c>
      <c r="Q65">
        <v>0</v>
      </c>
      <c r="R65">
        <v>0</v>
      </c>
      <c r="X65">
        <f t="shared" si="0"/>
        <v>1</v>
      </c>
      <c r="Y65" s="28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4:33" x14ac:dyDescent="0.25">
      <c r="D66">
        <f>+Hoja1!A57</f>
        <v>110401091</v>
      </c>
      <c r="E66" t="str">
        <f>+Hoja1!B57</f>
        <v>OTROS CRÉDITOS</v>
      </c>
      <c r="F66" t="str">
        <f>+Hoja1!E57</f>
        <v>PS</v>
      </c>
      <c r="G66">
        <f>IF(Hoja1!F57="NO",0,1)</f>
        <v>1</v>
      </c>
      <c r="H66">
        <f>IF(Hoja1!I57="NO",0,1)</f>
        <v>1</v>
      </c>
      <c r="I66" t="s">
        <v>8</v>
      </c>
      <c r="J66">
        <f>IF(Hoja1!G57="NO",0,1)</f>
        <v>0</v>
      </c>
      <c r="K66">
        <f>IF(Hoja1!H57="NO",0,1)</f>
        <v>1</v>
      </c>
      <c r="L66">
        <v>0</v>
      </c>
      <c r="N66">
        <v>0</v>
      </c>
      <c r="O66">
        <v>0</v>
      </c>
      <c r="P66">
        <v>0</v>
      </c>
      <c r="Q66">
        <v>0</v>
      </c>
      <c r="R66">
        <v>0</v>
      </c>
      <c r="X66">
        <f t="shared" si="0"/>
        <v>1</v>
      </c>
      <c r="Y66" s="28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4:33" x14ac:dyDescent="0.25">
      <c r="D67">
        <f>+Hoja1!A58</f>
        <v>110401100</v>
      </c>
      <c r="E67" t="str">
        <f>+Hoja1!B58</f>
        <v>ANTICIPO REMUNERACION</v>
      </c>
      <c r="F67" t="str">
        <f>+Hoja1!E58</f>
        <v>PS</v>
      </c>
      <c r="G67">
        <f>IF(Hoja1!F58="NO",0,1)</f>
        <v>1</v>
      </c>
      <c r="H67">
        <f>IF(Hoja1!I58="NO",0,1)</f>
        <v>1</v>
      </c>
      <c r="I67" t="s">
        <v>8</v>
      </c>
      <c r="J67">
        <f>IF(Hoja1!G58="NO",0,1)</f>
        <v>0</v>
      </c>
      <c r="K67">
        <f>IF(Hoja1!H58="NO",0,1)</f>
        <v>1</v>
      </c>
      <c r="L67">
        <v>0</v>
      </c>
      <c r="N67">
        <v>0</v>
      </c>
      <c r="O67">
        <v>0</v>
      </c>
      <c r="P67">
        <v>0</v>
      </c>
      <c r="Q67">
        <v>0</v>
      </c>
      <c r="R67">
        <v>0</v>
      </c>
      <c r="X67">
        <f t="shared" si="0"/>
        <v>1</v>
      </c>
      <c r="Y67" s="28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4:33" x14ac:dyDescent="0.25">
      <c r="D68">
        <f>+Hoja1!A59</f>
        <v>110401120</v>
      </c>
      <c r="E68" t="str">
        <f>+Hoja1!B59</f>
        <v>BIENES PERS. SUJETO SUSTITUTO</v>
      </c>
      <c r="F68" t="str">
        <f>+Hoja1!E59</f>
        <v>PS</v>
      </c>
      <c r="G68">
        <f>IF(Hoja1!F59="NO",0,1)</f>
        <v>1</v>
      </c>
      <c r="H68">
        <f>IF(Hoja1!I59="NO",0,1)</f>
        <v>1</v>
      </c>
      <c r="I68" t="s">
        <v>8</v>
      </c>
      <c r="J68">
        <f>IF(Hoja1!G59="NO",0,1)</f>
        <v>0</v>
      </c>
      <c r="K68">
        <f>IF(Hoja1!H59="NO",0,1)</f>
        <v>1</v>
      </c>
      <c r="L68">
        <v>0</v>
      </c>
      <c r="N68">
        <v>0</v>
      </c>
      <c r="O68">
        <v>0</v>
      </c>
      <c r="P68">
        <v>0</v>
      </c>
      <c r="Q68">
        <v>0</v>
      </c>
      <c r="R68">
        <v>0</v>
      </c>
      <c r="X68">
        <f t="shared" si="0"/>
        <v>1</v>
      </c>
      <c r="Y68" s="2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4:33" x14ac:dyDescent="0.25">
      <c r="D69">
        <f>+Hoja1!A60</f>
        <v>110401130</v>
      </c>
      <c r="E69" t="str">
        <f>+Hoja1!B60</f>
        <v>OTROS CRÉDITOS</v>
      </c>
      <c r="F69" t="str">
        <f>+Hoja1!E60</f>
        <v>PS</v>
      </c>
      <c r="G69">
        <f>IF(Hoja1!F60="NO",0,1)</f>
        <v>1</v>
      </c>
      <c r="H69">
        <f>IF(Hoja1!I60="NO",0,1)</f>
        <v>1</v>
      </c>
      <c r="I69" t="s">
        <v>8</v>
      </c>
      <c r="J69">
        <f>IF(Hoja1!G60="NO",0,1)</f>
        <v>0</v>
      </c>
      <c r="K69">
        <f>IF(Hoja1!H60="NO",0,1)</f>
        <v>1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X69">
        <f t="shared" si="0"/>
        <v>1</v>
      </c>
      <c r="Y69" s="28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4:33" x14ac:dyDescent="0.25">
      <c r="D70">
        <f>+Hoja1!A61</f>
        <v>110401131</v>
      </c>
      <c r="E70" t="str">
        <f>+Hoja1!B61</f>
        <v>CREDITO FINANCIERO</v>
      </c>
      <c r="F70" t="str">
        <f>+Hoja1!E61</f>
        <v>PS</v>
      </c>
      <c r="G70">
        <f>IF(Hoja1!F61="NO",0,1)</f>
        <v>1</v>
      </c>
      <c r="H70">
        <f>IF(Hoja1!I61="NO",0,1)</f>
        <v>1</v>
      </c>
      <c r="I70" t="s">
        <v>8</v>
      </c>
      <c r="J70">
        <f>IF(Hoja1!G61="NO",0,1)</f>
        <v>0</v>
      </c>
      <c r="K70">
        <f>IF(Hoja1!H61="NO",0,1)</f>
        <v>1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X70">
        <f t="shared" si="0"/>
        <v>1</v>
      </c>
      <c r="Y70" s="28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4:33" x14ac:dyDescent="0.25">
      <c r="D71">
        <f>+Hoja1!A62</f>
        <v>110405</v>
      </c>
      <c r="E71" t="str">
        <f>+Hoja1!B62</f>
        <v>CREDITOS IMPOSITIVOS IG</v>
      </c>
      <c r="F71" t="str">
        <f>+Hoja1!E62</f>
        <v>PS</v>
      </c>
      <c r="G71">
        <f>IF(Hoja1!F62="NO",0,1)</f>
        <v>0</v>
      </c>
      <c r="H71">
        <f>IF(Hoja1!I62="NO",0,1)</f>
        <v>1</v>
      </c>
      <c r="I71" t="s">
        <v>8</v>
      </c>
      <c r="J71">
        <f>IF(Hoja1!G62="NO",0,1)</f>
        <v>0</v>
      </c>
      <c r="K71">
        <f>IF(Hoja1!H62="NO",0,1)</f>
        <v>1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X71">
        <f t="shared" si="0"/>
        <v>0</v>
      </c>
      <c r="Y71" s="28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4:33" x14ac:dyDescent="0.25">
      <c r="D72">
        <f>+Hoja1!A63</f>
        <v>110405001</v>
      </c>
      <c r="E72" t="str">
        <f>+Hoja1!B63</f>
        <v>RETENCIONES GANANCIAS CLIENTES</v>
      </c>
      <c r="F72" t="str">
        <f>+Hoja1!E63</f>
        <v>PS</v>
      </c>
      <c r="G72">
        <f>IF(Hoja1!F63="NO",0,1)</f>
        <v>1</v>
      </c>
      <c r="H72">
        <f>IF(Hoja1!I63="NO",0,1)</f>
        <v>1</v>
      </c>
      <c r="I72" t="s">
        <v>8</v>
      </c>
      <c r="J72">
        <f>IF(Hoja1!G63="NO",0,1)</f>
        <v>0</v>
      </c>
      <c r="K72">
        <f>IF(Hoja1!H63="NO",0,1)</f>
        <v>1</v>
      </c>
      <c r="L72">
        <v>0</v>
      </c>
      <c r="N72">
        <v>0</v>
      </c>
      <c r="O72">
        <v>0</v>
      </c>
      <c r="P72">
        <v>0</v>
      </c>
      <c r="Q72">
        <v>0</v>
      </c>
      <c r="R72">
        <v>0</v>
      </c>
      <c r="X72">
        <f t="shared" si="0"/>
        <v>1</v>
      </c>
      <c r="Y72" s="28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4:33" x14ac:dyDescent="0.25">
      <c r="D73">
        <f>+Hoja1!A64</f>
        <v>110405010</v>
      </c>
      <c r="E73" t="str">
        <f>+Hoja1!B64</f>
        <v>RETENCIONES IVA CLIENTES</v>
      </c>
      <c r="F73" t="str">
        <f>+Hoja1!E64</f>
        <v>PS</v>
      </c>
      <c r="G73">
        <f>IF(Hoja1!F64="NO",0,1)</f>
        <v>1</v>
      </c>
      <c r="H73">
        <f>IF(Hoja1!I64="NO",0,1)</f>
        <v>1</v>
      </c>
      <c r="I73" t="s">
        <v>8</v>
      </c>
      <c r="J73">
        <f>IF(Hoja1!G64="NO",0,1)</f>
        <v>0</v>
      </c>
      <c r="K73">
        <f>IF(Hoja1!H64="NO",0,1)</f>
        <v>1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X73">
        <f t="shared" si="0"/>
        <v>1</v>
      </c>
      <c r="Y73" s="28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4:33" x14ac:dyDescent="0.25">
      <c r="D74">
        <f>+Hoja1!A65</f>
        <v>110405015</v>
      </c>
      <c r="E74" t="str">
        <f>+Hoja1!B65</f>
        <v>RETENCION SUSS CLIENTES</v>
      </c>
      <c r="F74" t="str">
        <f>+Hoja1!E65</f>
        <v>PS</v>
      </c>
      <c r="G74">
        <f>IF(Hoja1!F65="NO",0,1)</f>
        <v>1</v>
      </c>
      <c r="H74">
        <f>IF(Hoja1!I65="NO",0,1)</f>
        <v>1</v>
      </c>
      <c r="I74" t="s">
        <v>8</v>
      </c>
      <c r="J74">
        <f>IF(Hoja1!G65="NO",0,1)</f>
        <v>0</v>
      </c>
      <c r="K74">
        <f>IF(Hoja1!H65="NO",0,1)</f>
        <v>1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X74">
        <f t="shared" si="0"/>
        <v>1</v>
      </c>
      <c r="Y74" s="28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4:33" x14ac:dyDescent="0.25">
      <c r="D75">
        <f>+Hoja1!A66</f>
        <v>110405017</v>
      </c>
      <c r="E75" t="str">
        <f>+Hoja1!B66</f>
        <v>RETENCION IIBB CAPITAL CLIENTE</v>
      </c>
      <c r="F75" t="str">
        <f>+Hoja1!E66</f>
        <v>PS</v>
      </c>
      <c r="G75">
        <f>IF(Hoja1!F66="NO",0,1)</f>
        <v>1</v>
      </c>
      <c r="H75">
        <f>IF(Hoja1!I66="NO",0,1)</f>
        <v>1</v>
      </c>
      <c r="I75" t="s">
        <v>8</v>
      </c>
      <c r="J75">
        <f>IF(Hoja1!G66="NO",0,1)</f>
        <v>0</v>
      </c>
      <c r="K75">
        <f>IF(Hoja1!H66="NO",0,1)</f>
        <v>1</v>
      </c>
      <c r="L75">
        <v>0</v>
      </c>
      <c r="N75">
        <v>0</v>
      </c>
      <c r="O75">
        <v>0</v>
      </c>
      <c r="P75">
        <v>0</v>
      </c>
      <c r="Q75">
        <v>0</v>
      </c>
      <c r="R75">
        <v>0</v>
      </c>
      <c r="X75">
        <f t="shared" si="0"/>
        <v>1</v>
      </c>
      <c r="Y75" s="28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4:33" x14ac:dyDescent="0.25">
      <c r="D76">
        <f>+Hoja1!A67</f>
        <v>110405020</v>
      </c>
      <c r="E76" t="str">
        <f>+Hoja1!B67</f>
        <v>PERCEPCIÓN LEY 25413</v>
      </c>
      <c r="F76" t="str">
        <f>+Hoja1!E67</f>
        <v>PS</v>
      </c>
      <c r="G76">
        <f>IF(Hoja1!F67="NO",0,1)</f>
        <v>1</v>
      </c>
      <c r="H76">
        <f>IF(Hoja1!I67="NO",0,1)</f>
        <v>1</v>
      </c>
      <c r="I76" t="s">
        <v>8</v>
      </c>
      <c r="J76">
        <f>IF(Hoja1!G67="NO",0,1)</f>
        <v>0</v>
      </c>
      <c r="K76">
        <f>IF(Hoja1!H67="NO",0,1)</f>
        <v>1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X76">
        <f t="shared" si="0"/>
        <v>1</v>
      </c>
      <c r="Y76" s="28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4:33" x14ac:dyDescent="0.25">
      <c r="D77">
        <f>+Hoja1!A68</f>
        <v>110405025</v>
      </c>
      <c r="E77" t="str">
        <f>+Hoja1!B68</f>
        <v>IMPUESTO AL CHEQUE LEY 25413</v>
      </c>
      <c r="F77" t="str">
        <f>+Hoja1!E68</f>
        <v>PS</v>
      </c>
      <c r="G77">
        <f>IF(Hoja1!F68="NO",0,1)</f>
        <v>1</v>
      </c>
      <c r="H77">
        <f>IF(Hoja1!I68="NO",0,1)</f>
        <v>1</v>
      </c>
      <c r="I77" t="s">
        <v>8</v>
      </c>
      <c r="J77">
        <f>IF(Hoja1!G68="NO",0,1)</f>
        <v>0</v>
      </c>
      <c r="K77">
        <f>IF(Hoja1!H68="NO",0,1)</f>
        <v>1</v>
      </c>
      <c r="L77">
        <v>0</v>
      </c>
      <c r="N77">
        <v>0</v>
      </c>
      <c r="O77">
        <v>0</v>
      </c>
      <c r="P77">
        <v>0</v>
      </c>
      <c r="Q77">
        <v>0</v>
      </c>
      <c r="R77">
        <v>0</v>
      </c>
      <c r="X77">
        <f t="shared" si="0"/>
        <v>1</v>
      </c>
      <c r="Y77" s="28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4:33" x14ac:dyDescent="0.25">
      <c r="D78">
        <f>+Hoja1!A69</f>
        <v>110405030</v>
      </c>
      <c r="E78" t="str">
        <f>+Hoja1!B69</f>
        <v>IMPUESTOS A LAS GCIAS 3%</v>
      </c>
      <c r="F78" t="str">
        <f>+Hoja1!E69</f>
        <v>PS</v>
      </c>
      <c r="G78">
        <f>IF(Hoja1!F69="NO",0,1)</f>
        <v>1</v>
      </c>
      <c r="H78">
        <f>IF(Hoja1!I69="NO",0,1)</f>
        <v>1</v>
      </c>
      <c r="I78" t="s">
        <v>8</v>
      </c>
      <c r="J78">
        <f>IF(Hoja1!G69="NO",0,1)</f>
        <v>0</v>
      </c>
      <c r="K78">
        <f>IF(Hoja1!H69="NO",0,1)</f>
        <v>1</v>
      </c>
      <c r="L78">
        <v>0</v>
      </c>
      <c r="N78">
        <v>0</v>
      </c>
      <c r="O78">
        <v>0</v>
      </c>
      <c r="P78">
        <v>0</v>
      </c>
      <c r="Q78">
        <v>0</v>
      </c>
      <c r="R78">
        <v>0</v>
      </c>
      <c r="X78">
        <f t="shared" ref="X78:X141" si="1">IF(G78=1,1,0)</f>
        <v>1</v>
      </c>
      <c r="Y78" s="2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4:33" x14ac:dyDescent="0.25">
      <c r="D79">
        <f>+Hoja1!A70</f>
        <v>110405040</v>
      </c>
      <c r="E79" t="str">
        <f>+Hoja1!B70</f>
        <v>PERCEP GCIA RG 3378 15% C.EXT</v>
      </c>
      <c r="F79" t="str">
        <f>+Hoja1!E70</f>
        <v>PS</v>
      </c>
      <c r="G79">
        <f>IF(Hoja1!F70="NO",0,1)</f>
        <v>1</v>
      </c>
      <c r="H79">
        <f>IF(Hoja1!I70="NO",0,1)</f>
        <v>1</v>
      </c>
      <c r="I79" t="s">
        <v>8</v>
      </c>
      <c r="J79">
        <f>IF(Hoja1!G70="NO",0,1)</f>
        <v>0</v>
      </c>
      <c r="K79">
        <f>IF(Hoja1!H70="NO",0,1)</f>
        <v>1</v>
      </c>
      <c r="L79">
        <v>0</v>
      </c>
      <c r="N79">
        <v>0</v>
      </c>
      <c r="O79">
        <v>0</v>
      </c>
      <c r="P79">
        <v>0</v>
      </c>
      <c r="Q79">
        <v>0</v>
      </c>
      <c r="R79">
        <v>0</v>
      </c>
      <c r="X79">
        <f t="shared" si="1"/>
        <v>1</v>
      </c>
      <c r="Y79" s="28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4:33" x14ac:dyDescent="0.25">
      <c r="D80">
        <f>+Hoja1!A71</f>
        <v>110405045</v>
      </c>
      <c r="E80" t="str">
        <f>+Hoja1!B71</f>
        <v>PERCEP GCIA RG 4815 35% EXTERIOR</v>
      </c>
      <c r="F80" t="str">
        <f>+Hoja1!E71</f>
        <v>PS</v>
      </c>
      <c r="G80">
        <f>IF(Hoja1!F71="NO",0,1)</f>
        <v>1</v>
      </c>
      <c r="H80">
        <f>IF(Hoja1!I71="NO",0,1)</f>
        <v>1</v>
      </c>
      <c r="I80" t="s">
        <v>8</v>
      </c>
      <c r="J80">
        <f>IF(Hoja1!G71="NO",0,1)</f>
        <v>0</v>
      </c>
      <c r="K80">
        <f>IF(Hoja1!H71="NO",0,1)</f>
        <v>1</v>
      </c>
      <c r="L80">
        <v>0</v>
      </c>
      <c r="N80">
        <v>0</v>
      </c>
      <c r="O80">
        <v>0</v>
      </c>
      <c r="P80">
        <v>0</v>
      </c>
      <c r="Q80">
        <v>0</v>
      </c>
      <c r="R80">
        <v>0</v>
      </c>
      <c r="X80">
        <f t="shared" si="1"/>
        <v>1</v>
      </c>
      <c r="Y80" s="28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4:33" x14ac:dyDescent="0.25">
      <c r="D81">
        <f>+Hoja1!A72</f>
        <v>110405050</v>
      </c>
      <c r="E81" t="str">
        <f>+Hoja1!B72</f>
        <v>SALDO GCIAS DDJJ LIBRE DISPON.</v>
      </c>
      <c r="F81" t="str">
        <f>+Hoja1!E72</f>
        <v>PS</v>
      </c>
      <c r="G81">
        <f>IF(Hoja1!F72="NO",0,1)</f>
        <v>1</v>
      </c>
      <c r="H81">
        <f>IF(Hoja1!I72="NO",0,1)</f>
        <v>1</v>
      </c>
      <c r="I81" t="s">
        <v>8</v>
      </c>
      <c r="J81">
        <f>IF(Hoja1!G72="NO",0,1)</f>
        <v>0</v>
      </c>
      <c r="K81">
        <f>IF(Hoja1!H72="NO",0,1)</f>
        <v>1</v>
      </c>
      <c r="L81">
        <v>0</v>
      </c>
      <c r="N81">
        <v>0</v>
      </c>
      <c r="O81">
        <v>0</v>
      </c>
      <c r="P81">
        <v>0</v>
      </c>
      <c r="Q81">
        <v>0</v>
      </c>
      <c r="R81">
        <v>0</v>
      </c>
      <c r="X81">
        <f t="shared" si="1"/>
        <v>1</v>
      </c>
      <c r="Y81" s="28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4:33" x14ac:dyDescent="0.25">
      <c r="D82">
        <f>+Hoja1!A73</f>
        <v>110405051</v>
      </c>
      <c r="E82" t="str">
        <f>+Hoja1!B73</f>
        <v>SALDO A FAVOR DDJJ GCIAS</v>
      </c>
      <c r="F82" t="str">
        <f>+Hoja1!E73</f>
        <v>PS</v>
      </c>
      <c r="G82">
        <f>IF(Hoja1!F73="NO",0,1)</f>
        <v>1</v>
      </c>
      <c r="H82">
        <f>IF(Hoja1!I73="NO",0,1)</f>
        <v>1</v>
      </c>
      <c r="I82" t="s">
        <v>8</v>
      </c>
      <c r="J82">
        <f>IF(Hoja1!G73="NO",0,1)</f>
        <v>0</v>
      </c>
      <c r="K82">
        <f>IF(Hoja1!H73="NO",0,1)</f>
        <v>1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X82">
        <f t="shared" si="1"/>
        <v>1</v>
      </c>
      <c r="Y82" s="28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4:33" x14ac:dyDescent="0.25">
      <c r="D83">
        <f>+Hoja1!A74</f>
        <v>110405070</v>
      </c>
      <c r="E83" t="str">
        <f>+Hoja1!B74</f>
        <v>ANTICIPOS GANANCIAS</v>
      </c>
      <c r="F83" t="str">
        <f>+Hoja1!E74</f>
        <v>PS</v>
      </c>
      <c r="G83">
        <f>IF(Hoja1!F74="NO",0,1)</f>
        <v>1</v>
      </c>
      <c r="H83">
        <f>IF(Hoja1!I74="NO",0,1)</f>
        <v>1</v>
      </c>
      <c r="I83" t="s">
        <v>8</v>
      </c>
      <c r="J83">
        <f>IF(Hoja1!G74="NO",0,1)</f>
        <v>0</v>
      </c>
      <c r="K83">
        <f>IF(Hoja1!H74="NO",0,1)</f>
        <v>1</v>
      </c>
      <c r="L83">
        <v>0</v>
      </c>
      <c r="N83">
        <v>0</v>
      </c>
      <c r="O83">
        <v>0</v>
      </c>
      <c r="P83">
        <v>0</v>
      </c>
      <c r="Q83">
        <v>0</v>
      </c>
      <c r="R83">
        <v>0</v>
      </c>
      <c r="X83">
        <f t="shared" si="1"/>
        <v>1</v>
      </c>
      <c r="Y83" s="28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4:33" x14ac:dyDescent="0.25">
      <c r="D84">
        <f>+Hoja1!A75</f>
        <v>110405080</v>
      </c>
      <c r="E84" t="str">
        <f>+Hoja1!B75</f>
        <v>ACTIVO POR IMP. DIFERIDO</v>
      </c>
      <c r="F84" t="str">
        <f>+Hoja1!E75</f>
        <v>PS</v>
      </c>
      <c r="G84">
        <f>IF(Hoja1!F75="NO",0,1)</f>
        <v>1</v>
      </c>
      <c r="H84">
        <f>IF(Hoja1!I75="NO",0,1)</f>
        <v>1</v>
      </c>
      <c r="I84" t="s">
        <v>8</v>
      </c>
      <c r="J84">
        <f>IF(Hoja1!G75="NO",0,1)</f>
        <v>0</v>
      </c>
      <c r="K84">
        <f>IF(Hoja1!H75="NO",0,1)</f>
        <v>1</v>
      </c>
      <c r="L84">
        <v>0</v>
      </c>
      <c r="N84">
        <v>0</v>
      </c>
      <c r="O84">
        <v>0</v>
      </c>
      <c r="P84">
        <v>0</v>
      </c>
      <c r="Q84">
        <v>0</v>
      </c>
      <c r="R84">
        <v>0</v>
      </c>
      <c r="X84">
        <f t="shared" si="1"/>
        <v>1</v>
      </c>
      <c r="Y84" s="28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4:33" x14ac:dyDescent="0.25">
      <c r="D85">
        <f>+Hoja1!A76</f>
        <v>110415</v>
      </c>
      <c r="E85" t="str">
        <f>+Hoja1!B76</f>
        <v>CREDITOS IMPOSITIVOS-IVA</v>
      </c>
      <c r="F85" t="str">
        <f>+Hoja1!E76</f>
        <v>PS</v>
      </c>
      <c r="G85">
        <f>IF(Hoja1!F76="NO",0,1)</f>
        <v>0</v>
      </c>
      <c r="H85">
        <f>IF(Hoja1!I76="NO",0,1)</f>
        <v>1</v>
      </c>
      <c r="I85" t="s">
        <v>8</v>
      </c>
      <c r="J85">
        <f>IF(Hoja1!G76="NO",0,1)</f>
        <v>0</v>
      </c>
      <c r="K85">
        <f>IF(Hoja1!H76="NO",0,1)</f>
        <v>1</v>
      </c>
      <c r="L85">
        <v>0</v>
      </c>
      <c r="N85">
        <v>0</v>
      </c>
      <c r="O85">
        <v>0</v>
      </c>
      <c r="P85">
        <v>0</v>
      </c>
      <c r="Q85">
        <v>0</v>
      </c>
      <c r="R85">
        <v>0</v>
      </c>
      <c r="X85">
        <f t="shared" si="1"/>
        <v>0</v>
      </c>
      <c r="Y85" s="28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4:33" x14ac:dyDescent="0.25">
      <c r="D86">
        <f>+Hoja1!A77</f>
        <v>110415001</v>
      </c>
      <c r="E86" t="str">
        <f>+Hoja1!B77</f>
        <v>IVA CRED.FISCAL</v>
      </c>
      <c r="F86" t="str">
        <f>+Hoja1!E77</f>
        <v>PS</v>
      </c>
      <c r="G86">
        <f>IF(Hoja1!F77="NO",0,1)</f>
        <v>1</v>
      </c>
      <c r="H86">
        <f>IF(Hoja1!I77="NO",0,1)</f>
        <v>1</v>
      </c>
      <c r="I86" t="s">
        <v>8</v>
      </c>
      <c r="J86">
        <f>IF(Hoja1!G77="NO",0,1)</f>
        <v>0</v>
      </c>
      <c r="K86">
        <f>IF(Hoja1!H77="NO",0,1)</f>
        <v>1</v>
      </c>
      <c r="L86">
        <v>0</v>
      </c>
      <c r="N86">
        <v>0</v>
      </c>
      <c r="O86">
        <v>0</v>
      </c>
      <c r="P86">
        <v>0</v>
      </c>
      <c r="Q86">
        <v>0</v>
      </c>
      <c r="R86">
        <v>0</v>
      </c>
      <c r="X86">
        <f t="shared" si="1"/>
        <v>1</v>
      </c>
      <c r="Y86" s="28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4:33" x14ac:dyDescent="0.25">
      <c r="D87">
        <f>+Hoja1!A78</f>
        <v>110415030</v>
      </c>
      <c r="E87" t="str">
        <f>+Hoja1!B78</f>
        <v>IVA PERCEP. RG.Nº 3337</v>
      </c>
      <c r="F87" t="str">
        <f>+Hoja1!E78</f>
        <v>PS</v>
      </c>
      <c r="G87">
        <f>IF(Hoja1!F78="NO",0,1)</f>
        <v>1</v>
      </c>
      <c r="H87">
        <f>IF(Hoja1!I78="NO",0,1)</f>
        <v>1</v>
      </c>
      <c r="I87" t="s">
        <v>8</v>
      </c>
      <c r="J87">
        <f>IF(Hoja1!G78="NO",0,1)</f>
        <v>0</v>
      </c>
      <c r="K87">
        <f>IF(Hoja1!H78="NO",0,1)</f>
        <v>1</v>
      </c>
      <c r="L87">
        <v>0</v>
      </c>
      <c r="N87">
        <v>0</v>
      </c>
      <c r="O87">
        <v>0</v>
      </c>
      <c r="P87">
        <v>0</v>
      </c>
      <c r="Q87">
        <v>0</v>
      </c>
      <c r="R87">
        <v>0</v>
      </c>
      <c r="X87">
        <f t="shared" si="1"/>
        <v>1</v>
      </c>
      <c r="Y87" s="28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4:33" x14ac:dyDescent="0.25">
      <c r="D88">
        <f>+Hoja1!A79</f>
        <v>110415031</v>
      </c>
      <c r="E88" t="str">
        <f>+Hoja1!B79</f>
        <v>IVA RETENCIONES</v>
      </c>
      <c r="F88" t="str">
        <f>+Hoja1!E79</f>
        <v>PS</v>
      </c>
      <c r="G88">
        <f>IF(Hoja1!F79="NO",0,1)</f>
        <v>0</v>
      </c>
      <c r="H88">
        <f>IF(Hoja1!I79="NO",0,1)</f>
        <v>1</v>
      </c>
      <c r="I88" t="s">
        <v>8</v>
      </c>
      <c r="J88">
        <f>IF(Hoja1!G79="NO",0,1)</f>
        <v>0</v>
      </c>
      <c r="K88">
        <f>IF(Hoja1!H79="NO",0,1)</f>
        <v>0</v>
      </c>
      <c r="L88">
        <v>0</v>
      </c>
      <c r="N88">
        <v>0</v>
      </c>
      <c r="O88">
        <v>0</v>
      </c>
      <c r="P88">
        <v>0</v>
      </c>
      <c r="Q88">
        <v>0</v>
      </c>
      <c r="R88">
        <v>0</v>
      </c>
      <c r="X88">
        <f t="shared" si="1"/>
        <v>0</v>
      </c>
      <c r="Y88" s="2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4:33" x14ac:dyDescent="0.25">
      <c r="D89">
        <f>+Hoja1!A80</f>
        <v>110415040</v>
      </c>
      <c r="E89" t="str">
        <f>+Hoja1!B80</f>
        <v>RET. IVA R.G. Nº 3625</v>
      </c>
      <c r="F89" t="str">
        <f>+Hoja1!E80</f>
        <v>PS</v>
      </c>
      <c r="G89">
        <f>IF(Hoja1!F80="NO",0,1)</f>
        <v>1</v>
      </c>
      <c r="H89">
        <f>IF(Hoja1!I80="NO",0,1)</f>
        <v>1</v>
      </c>
      <c r="I89" t="s">
        <v>8</v>
      </c>
      <c r="J89">
        <f>IF(Hoja1!G80="NO",0,1)</f>
        <v>0</v>
      </c>
      <c r="K89">
        <f>IF(Hoja1!H80="NO",0,1)</f>
        <v>1</v>
      </c>
      <c r="L89">
        <v>0</v>
      </c>
      <c r="N89">
        <v>0</v>
      </c>
      <c r="O89">
        <v>0</v>
      </c>
      <c r="P89">
        <v>0</v>
      </c>
      <c r="Q89">
        <v>0</v>
      </c>
      <c r="R89">
        <v>0</v>
      </c>
      <c r="X89">
        <f t="shared" si="1"/>
        <v>1</v>
      </c>
      <c r="Y89" s="28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4:33" x14ac:dyDescent="0.25">
      <c r="D90">
        <f>+Hoja1!A81</f>
        <v>110415050</v>
      </c>
      <c r="E90" t="str">
        <f>+Hoja1!B81</f>
        <v>IVA PERCEPC. ADUANA</v>
      </c>
      <c r="F90" t="str">
        <f>+Hoja1!E81</f>
        <v>PS</v>
      </c>
      <c r="G90">
        <f>IF(Hoja1!F81="NO",0,1)</f>
        <v>1</v>
      </c>
      <c r="H90">
        <f>IF(Hoja1!I81="NO",0,1)</f>
        <v>1</v>
      </c>
      <c r="I90" t="s">
        <v>8</v>
      </c>
      <c r="J90">
        <f>IF(Hoja1!G81="NO",0,1)</f>
        <v>0</v>
      </c>
      <c r="K90">
        <f>IF(Hoja1!H81="NO",0,1)</f>
        <v>1</v>
      </c>
      <c r="L90">
        <v>0</v>
      </c>
      <c r="N90">
        <v>0</v>
      </c>
      <c r="O90">
        <v>0</v>
      </c>
      <c r="P90">
        <v>0</v>
      </c>
      <c r="Q90">
        <v>0</v>
      </c>
      <c r="R90">
        <v>0</v>
      </c>
      <c r="X90">
        <f t="shared" si="1"/>
        <v>1</v>
      </c>
      <c r="Y90" s="28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4:33" x14ac:dyDescent="0.25">
      <c r="D91">
        <f>+Hoja1!A82</f>
        <v>110415060</v>
      </c>
      <c r="E91" t="str">
        <f>+Hoja1!B82</f>
        <v>IVA SALDO A FAVOR TECNICO</v>
      </c>
      <c r="F91" t="str">
        <f>+Hoja1!E82</f>
        <v>PS</v>
      </c>
      <c r="G91">
        <f>IF(Hoja1!F82="NO",0,1)</f>
        <v>1</v>
      </c>
      <c r="H91">
        <f>IF(Hoja1!I82="NO",0,1)</f>
        <v>1</v>
      </c>
      <c r="I91" t="s">
        <v>8</v>
      </c>
      <c r="J91">
        <f>IF(Hoja1!G82="NO",0,1)</f>
        <v>0</v>
      </c>
      <c r="K91">
        <f>IF(Hoja1!H82="NO",0,1)</f>
        <v>1</v>
      </c>
      <c r="L91">
        <v>0</v>
      </c>
      <c r="N91">
        <v>0</v>
      </c>
      <c r="O91">
        <v>0</v>
      </c>
      <c r="P91">
        <v>0</v>
      </c>
      <c r="Q91">
        <v>0</v>
      </c>
      <c r="R91">
        <v>0</v>
      </c>
      <c r="X91">
        <f t="shared" si="1"/>
        <v>1</v>
      </c>
      <c r="Y91" s="28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4:33" x14ac:dyDescent="0.25">
      <c r="D92">
        <f>+Hoja1!A83</f>
        <v>110415070</v>
      </c>
      <c r="E92" t="str">
        <f>+Hoja1!B83</f>
        <v>IVA SALDO LIBRE DISPONIBILIDAD</v>
      </c>
      <c r="F92" t="str">
        <f>+Hoja1!E83</f>
        <v>PS</v>
      </c>
      <c r="G92">
        <f>IF(Hoja1!F83="NO",0,1)</f>
        <v>1</v>
      </c>
      <c r="H92">
        <f>IF(Hoja1!I83="NO",0,1)</f>
        <v>1</v>
      </c>
      <c r="I92" t="s">
        <v>8</v>
      </c>
      <c r="J92">
        <f>IF(Hoja1!G83="NO",0,1)</f>
        <v>0</v>
      </c>
      <c r="K92">
        <f>IF(Hoja1!H83="NO",0,1)</f>
        <v>1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X92">
        <f t="shared" si="1"/>
        <v>1</v>
      </c>
      <c r="Y92" s="28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4:33" x14ac:dyDescent="0.25">
      <c r="D93">
        <f>+Hoja1!A84</f>
        <v>110415076</v>
      </c>
      <c r="E93" t="str">
        <f>+Hoja1!B84</f>
        <v>IVA CRED FISCAL A COMPUTAR</v>
      </c>
      <c r="F93" t="str">
        <f>+Hoja1!E84</f>
        <v>PS</v>
      </c>
      <c r="G93">
        <f>IF(Hoja1!F84="NO",0,1)</f>
        <v>1</v>
      </c>
      <c r="H93">
        <f>IF(Hoja1!I84="NO",0,1)</f>
        <v>1</v>
      </c>
      <c r="I93" t="s">
        <v>8</v>
      </c>
      <c r="J93">
        <f>IF(Hoja1!G84="NO",0,1)</f>
        <v>0</v>
      </c>
      <c r="K93">
        <f>IF(Hoja1!H84="NO",0,1)</f>
        <v>1</v>
      </c>
      <c r="L93">
        <v>0</v>
      </c>
      <c r="N93">
        <v>0</v>
      </c>
      <c r="O93">
        <v>0</v>
      </c>
      <c r="P93">
        <v>0</v>
      </c>
      <c r="Q93">
        <v>0</v>
      </c>
      <c r="R93">
        <v>0</v>
      </c>
      <c r="X93">
        <f t="shared" si="1"/>
        <v>1</v>
      </c>
      <c r="Y93" s="28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4:33" x14ac:dyDescent="0.25">
      <c r="D94">
        <f>+Hoja1!A85</f>
        <v>110415080</v>
      </c>
      <c r="E94" t="str">
        <f>+Hoja1!B85</f>
        <v>SOLICITUD REINTEGRO EXPORT.</v>
      </c>
      <c r="F94" t="str">
        <f>+Hoja1!E85</f>
        <v>PS</v>
      </c>
      <c r="G94">
        <f>IF(Hoja1!F85="NO",0,1)</f>
        <v>1</v>
      </c>
      <c r="H94">
        <f>IF(Hoja1!I85="NO",0,1)</f>
        <v>1</v>
      </c>
      <c r="I94" t="s">
        <v>8</v>
      </c>
      <c r="J94">
        <f>IF(Hoja1!G85="NO",0,1)</f>
        <v>0</v>
      </c>
      <c r="K94">
        <f>IF(Hoja1!H85="NO",0,1)</f>
        <v>1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X94">
        <f t="shared" si="1"/>
        <v>1</v>
      </c>
      <c r="Y94" s="28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4:33" x14ac:dyDescent="0.25">
      <c r="D95">
        <f>+Hoja1!A86</f>
        <v>110418</v>
      </c>
      <c r="E95" t="str">
        <f>+Hoja1!B86</f>
        <v>CREDITOS IMPOSITIVOS IIBB</v>
      </c>
      <c r="F95" t="str">
        <f>+Hoja1!E86</f>
        <v>PS</v>
      </c>
      <c r="G95">
        <f>IF(Hoja1!F86="NO",0,1)</f>
        <v>0</v>
      </c>
      <c r="H95">
        <f>IF(Hoja1!I86="NO",0,1)</f>
        <v>1</v>
      </c>
      <c r="I95" t="s">
        <v>8</v>
      </c>
      <c r="J95">
        <f>IF(Hoja1!G86="NO",0,1)</f>
        <v>0</v>
      </c>
      <c r="K95">
        <f>IF(Hoja1!H86="NO",0,1)</f>
        <v>1</v>
      </c>
      <c r="L95">
        <v>0</v>
      </c>
      <c r="N95">
        <v>0</v>
      </c>
      <c r="O95">
        <v>0</v>
      </c>
      <c r="P95">
        <v>0</v>
      </c>
      <c r="Q95">
        <v>0</v>
      </c>
      <c r="R95">
        <v>0</v>
      </c>
      <c r="X95">
        <f t="shared" si="1"/>
        <v>0</v>
      </c>
      <c r="Y95" s="28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4:33" x14ac:dyDescent="0.25">
      <c r="D96">
        <f>+Hoja1!A87</f>
        <v>110418016</v>
      </c>
      <c r="E96" t="str">
        <f>+Hoja1!B87</f>
        <v>IIBB RETENCION BS AS</v>
      </c>
      <c r="F96" t="str">
        <f>+Hoja1!E87</f>
        <v>PS</v>
      </c>
      <c r="G96">
        <f>IF(Hoja1!F87="NO",0,1)</f>
        <v>1</v>
      </c>
      <c r="H96">
        <f>IF(Hoja1!I87="NO",0,1)</f>
        <v>1</v>
      </c>
      <c r="I96" t="s">
        <v>8</v>
      </c>
      <c r="J96">
        <f>IF(Hoja1!G87="NO",0,1)</f>
        <v>0</v>
      </c>
      <c r="K96">
        <f>IF(Hoja1!H87="NO",0,1)</f>
        <v>1</v>
      </c>
      <c r="L96">
        <v>0</v>
      </c>
      <c r="N96">
        <v>0</v>
      </c>
      <c r="O96">
        <v>0</v>
      </c>
      <c r="P96">
        <v>0</v>
      </c>
      <c r="Q96">
        <v>0</v>
      </c>
      <c r="R96">
        <v>0</v>
      </c>
      <c r="X96">
        <f t="shared" si="1"/>
        <v>1</v>
      </c>
      <c r="Y96" s="28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4:33" x14ac:dyDescent="0.25">
      <c r="D97">
        <f>+Hoja1!A88</f>
        <v>110418017</v>
      </c>
      <c r="E97" t="str">
        <f>+Hoja1!B88</f>
        <v>IIBB PERCEPCIÓN BS AS</v>
      </c>
      <c r="F97" t="str">
        <f>+Hoja1!E88</f>
        <v>PS</v>
      </c>
      <c r="G97">
        <f>IF(Hoja1!F88="NO",0,1)</f>
        <v>1</v>
      </c>
      <c r="H97">
        <f>IF(Hoja1!I88="NO",0,1)</f>
        <v>1</v>
      </c>
      <c r="I97" t="s">
        <v>8</v>
      </c>
      <c r="J97">
        <f>IF(Hoja1!G88="NO",0,1)</f>
        <v>0</v>
      </c>
      <c r="K97">
        <f>IF(Hoja1!H88="NO",0,1)</f>
        <v>1</v>
      </c>
      <c r="L97">
        <v>0</v>
      </c>
      <c r="N97">
        <v>0</v>
      </c>
      <c r="O97">
        <v>0</v>
      </c>
      <c r="P97">
        <v>0</v>
      </c>
      <c r="Q97">
        <v>0</v>
      </c>
      <c r="R97">
        <v>0</v>
      </c>
      <c r="X97">
        <f t="shared" si="1"/>
        <v>1</v>
      </c>
      <c r="Y97" s="28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4:33" x14ac:dyDescent="0.25">
      <c r="D98">
        <f>+Hoja1!A89</f>
        <v>110418020</v>
      </c>
      <c r="E98" t="str">
        <f>+Hoja1!B89</f>
        <v>OTROS CREDITOS IIBB</v>
      </c>
      <c r="F98" t="str">
        <f>+Hoja1!E89</f>
        <v>PS</v>
      </c>
      <c r="G98">
        <f>IF(Hoja1!F89="NO",0,1)</f>
        <v>1</v>
      </c>
      <c r="H98">
        <f>IF(Hoja1!I89="NO",0,1)</f>
        <v>1</v>
      </c>
      <c r="I98" t="s">
        <v>8</v>
      </c>
      <c r="J98">
        <f>IF(Hoja1!G89="NO",0,1)</f>
        <v>0</v>
      </c>
      <c r="K98">
        <f>IF(Hoja1!H89="NO",0,1)</f>
        <v>1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X98">
        <f t="shared" si="1"/>
        <v>1</v>
      </c>
      <c r="Y98" s="2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4:33" x14ac:dyDescent="0.25">
      <c r="D99">
        <f>+Hoja1!A90</f>
        <v>110418025</v>
      </c>
      <c r="E99" t="str">
        <f>+Hoja1!B90</f>
        <v>SALDO A FAVOR IIBB CAP.</v>
      </c>
      <c r="F99" t="str">
        <f>+Hoja1!E90</f>
        <v>PS</v>
      </c>
      <c r="G99">
        <f>IF(Hoja1!F90="NO",0,1)</f>
        <v>1</v>
      </c>
      <c r="H99">
        <f>IF(Hoja1!I90="NO",0,1)</f>
        <v>1</v>
      </c>
      <c r="I99" t="s">
        <v>8</v>
      </c>
      <c r="J99">
        <f>IF(Hoja1!G90="NO",0,1)</f>
        <v>0</v>
      </c>
      <c r="K99">
        <f>IF(Hoja1!H90="NO",0,1)</f>
        <v>1</v>
      </c>
      <c r="L99">
        <v>0</v>
      </c>
      <c r="N99">
        <v>0</v>
      </c>
      <c r="O99">
        <v>0</v>
      </c>
      <c r="P99">
        <v>0</v>
      </c>
      <c r="Q99">
        <v>0</v>
      </c>
      <c r="R99">
        <v>0</v>
      </c>
      <c r="X99">
        <f t="shared" si="1"/>
        <v>1</v>
      </c>
      <c r="Y99" s="28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4:33" x14ac:dyDescent="0.25">
      <c r="D100">
        <f>+Hoja1!A91</f>
        <v>110418026</v>
      </c>
      <c r="E100" t="str">
        <f>+Hoja1!B91</f>
        <v>SALDO A FAVOR IIBB BS.AS.</v>
      </c>
      <c r="F100" t="str">
        <f>+Hoja1!E91</f>
        <v>PS</v>
      </c>
      <c r="G100">
        <f>IF(Hoja1!F91="NO",0,1)</f>
        <v>1</v>
      </c>
      <c r="H100">
        <f>IF(Hoja1!I91="NO",0,1)</f>
        <v>1</v>
      </c>
      <c r="I100" t="s">
        <v>8</v>
      </c>
      <c r="J100">
        <f>IF(Hoja1!G91="NO",0,1)</f>
        <v>0</v>
      </c>
      <c r="K100">
        <f>IF(Hoja1!H91="NO",0,1)</f>
        <v>1</v>
      </c>
      <c r="L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X100">
        <f t="shared" si="1"/>
        <v>1</v>
      </c>
      <c r="Y100" s="28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4:33" x14ac:dyDescent="0.25">
      <c r="D101">
        <f>+Hoja1!A92</f>
        <v>110420</v>
      </c>
      <c r="E101" t="str">
        <f>+Hoja1!B92</f>
        <v>CREDITOS IMPOSITIVOS - OTROS</v>
      </c>
      <c r="F101" t="str">
        <f>+Hoja1!E92</f>
        <v>PS</v>
      </c>
      <c r="G101">
        <f>IF(Hoja1!F92="NO",0,1)</f>
        <v>0</v>
      </c>
      <c r="H101">
        <f>IF(Hoja1!I92="NO",0,1)</f>
        <v>1</v>
      </c>
      <c r="I101" t="s">
        <v>8</v>
      </c>
      <c r="J101">
        <f>IF(Hoja1!G92="NO",0,1)</f>
        <v>0</v>
      </c>
      <c r="K101">
        <f>IF(Hoja1!H92="NO",0,1)</f>
        <v>1</v>
      </c>
      <c r="L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X101">
        <f t="shared" si="1"/>
        <v>0</v>
      </c>
      <c r="Y101" s="28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4:33" x14ac:dyDescent="0.25">
      <c r="D102">
        <f>+Hoja1!A93</f>
        <v>110420002</v>
      </c>
      <c r="E102" t="str">
        <f>+Hoja1!B93</f>
        <v>CREDITO IMP.LEY 25413</v>
      </c>
      <c r="F102" t="str">
        <f>+Hoja1!E93</f>
        <v>PS</v>
      </c>
      <c r="G102">
        <f>IF(Hoja1!F93="NO",0,1)</f>
        <v>1</v>
      </c>
      <c r="H102">
        <f>IF(Hoja1!I93="NO",0,1)</f>
        <v>1</v>
      </c>
      <c r="I102" t="s">
        <v>8</v>
      </c>
      <c r="J102">
        <f>IF(Hoja1!G93="NO",0,1)</f>
        <v>0</v>
      </c>
      <c r="K102">
        <f>IF(Hoja1!H93="NO",0,1)</f>
        <v>1</v>
      </c>
      <c r="L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X102">
        <f t="shared" si="1"/>
        <v>1</v>
      </c>
      <c r="Y102" s="28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4:33" x14ac:dyDescent="0.25">
      <c r="D103">
        <f>+Hoja1!A94</f>
        <v>110420010</v>
      </c>
      <c r="E103" t="str">
        <f>+Hoja1!B94</f>
        <v>OTROS CREDITOS IMPOSITIVOS</v>
      </c>
      <c r="F103" t="str">
        <f>+Hoja1!E94</f>
        <v>PS</v>
      </c>
      <c r="G103">
        <f>IF(Hoja1!F94="NO",0,1)</f>
        <v>1</v>
      </c>
      <c r="H103">
        <f>IF(Hoja1!I94="NO",0,1)</f>
        <v>1</v>
      </c>
      <c r="I103" t="s">
        <v>8</v>
      </c>
      <c r="J103">
        <f>IF(Hoja1!G94="NO",0,1)</f>
        <v>0</v>
      </c>
      <c r="K103">
        <f>IF(Hoja1!H94="NO",0,1)</f>
        <v>1</v>
      </c>
      <c r="L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X103">
        <f t="shared" si="1"/>
        <v>1</v>
      </c>
      <c r="Y103" s="28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4:33" x14ac:dyDescent="0.25">
      <c r="D104">
        <f>+Hoja1!A95</f>
        <v>110420050</v>
      </c>
      <c r="E104" t="str">
        <f>+Hoja1!B95</f>
        <v>PERC. ING BRUTOS-SIRCREB CAPITAL</v>
      </c>
      <c r="F104" t="str">
        <f>+Hoja1!E95</f>
        <v>PS</v>
      </c>
      <c r="G104">
        <f>IF(Hoja1!F95="NO",0,1)</f>
        <v>1</v>
      </c>
      <c r="H104">
        <f>IF(Hoja1!I95="NO",0,1)</f>
        <v>1</v>
      </c>
      <c r="I104" t="s">
        <v>8</v>
      </c>
      <c r="J104">
        <f>IF(Hoja1!G95="NO",0,1)</f>
        <v>0</v>
      </c>
      <c r="K104">
        <f>IF(Hoja1!H95="NO",0,1)</f>
        <v>1</v>
      </c>
      <c r="L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X104">
        <f t="shared" si="1"/>
        <v>1</v>
      </c>
      <c r="Y104" s="28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4:33" x14ac:dyDescent="0.25">
      <c r="D105">
        <f>+Hoja1!A96</f>
        <v>110420055</v>
      </c>
      <c r="E105" t="str">
        <f>+Hoja1!B96</f>
        <v>PERC. ING BRUTOS-SIRCREB BS AS</v>
      </c>
      <c r="F105" t="str">
        <f>+Hoja1!E96</f>
        <v>PS</v>
      </c>
      <c r="G105">
        <f>IF(Hoja1!F96="NO",0,1)</f>
        <v>1</v>
      </c>
      <c r="H105">
        <f>IF(Hoja1!I96="NO",0,1)</f>
        <v>1</v>
      </c>
      <c r="I105" t="s">
        <v>8</v>
      </c>
      <c r="J105">
        <f>IF(Hoja1!G96="NO",0,1)</f>
        <v>0</v>
      </c>
      <c r="K105">
        <f>IF(Hoja1!H96="NO",0,1)</f>
        <v>1</v>
      </c>
      <c r="L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X105">
        <f t="shared" si="1"/>
        <v>1</v>
      </c>
      <c r="Y105" s="28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4:33" x14ac:dyDescent="0.25">
      <c r="D106">
        <f>+Hoja1!A97</f>
        <v>1105</v>
      </c>
      <c r="E106" t="str">
        <f>+Hoja1!B97</f>
        <v>BIENES DE CAMBIO</v>
      </c>
      <c r="F106" t="str">
        <f>+Hoja1!E97</f>
        <v>PS</v>
      </c>
      <c r="G106">
        <f>IF(Hoja1!F97="NO",0,1)</f>
        <v>0</v>
      </c>
      <c r="H106">
        <f>IF(Hoja1!I97="NO",0,1)</f>
        <v>1</v>
      </c>
      <c r="I106" t="s">
        <v>8</v>
      </c>
      <c r="J106">
        <f>IF(Hoja1!G97="NO",0,1)</f>
        <v>0</v>
      </c>
      <c r="K106">
        <f>IF(Hoja1!H97="NO",0,1)</f>
        <v>1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X106">
        <f t="shared" si="1"/>
        <v>0</v>
      </c>
      <c r="Y106" s="28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4:33" x14ac:dyDescent="0.25">
      <c r="D107">
        <f>+Hoja1!A98</f>
        <v>110501</v>
      </c>
      <c r="E107" t="str">
        <f>+Hoja1!B98</f>
        <v>MATERIAS PRIMAS NACIONALES</v>
      </c>
      <c r="F107" t="str">
        <f>+Hoja1!E98</f>
        <v>PS</v>
      </c>
      <c r="G107">
        <f>IF(Hoja1!F98="NO",0,1)</f>
        <v>0</v>
      </c>
      <c r="H107">
        <f>IF(Hoja1!I98="NO",0,1)</f>
        <v>1</v>
      </c>
      <c r="I107" t="s">
        <v>8</v>
      </c>
      <c r="J107">
        <f>IF(Hoja1!G98="NO",0,1)</f>
        <v>0</v>
      </c>
      <c r="K107">
        <f>IF(Hoja1!H98="NO",0,1)</f>
        <v>1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X107">
        <f t="shared" si="1"/>
        <v>0</v>
      </c>
      <c r="Y107" s="28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4:33" x14ac:dyDescent="0.25">
      <c r="D108">
        <f>+Hoja1!A99</f>
        <v>110505</v>
      </c>
      <c r="E108" t="str">
        <f>+Hoja1!B99</f>
        <v>MATERIA PRIMAS IMPORTADAS</v>
      </c>
      <c r="F108" t="str">
        <f>+Hoja1!E99</f>
        <v>DL</v>
      </c>
      <c r="G108">
        <f>IF(Hoja1!F99="NO",0,1)</f>
        <v>0</v>
      </c>
      <c r="H108">
        <f>IF(Hoja1!I99="NO",0,1)</f>
        <v>1</v>
      </c>
      <c r="I108" t="s">
        <v>8</v>
      </c>
      <c r="J108">
        <f>IF(Hoja1!G99="NO",0,1)</f>
        <v>0</v>
      </c>
      <c r="K108">
        <f>IF(Hoja1!H99="NO",0,1)</f>
        <v>1</v>
      </c>
      <c r="L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X108">
        <f t="shared" si="1"/>
        <v>0</v>
      </c>
      <c r="Y108" s="2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4:33" x14ac:dyDescent="0.25">
      <c r="D109">
        <f>+Hoja1!A100</f>
        <v>110505020</v>
      </c>
      <c r="E109" t="str">
        <f>+Hoja1!B100</f>
        <v>FLETES</v>
      </c>
      <c r="F109" t="str">
        <f>+Hoja1!E100</f>
        <v>PS</v>
      </c>
      <c r="G109">
        <f>IF(Hoja1!F100="NO",0,1)</f>
        <v>1</v>
      </c>
      <c r="H109">
        <f>IF(Hoja1!I100="NO",0,1)</f>
        <v>1</v>
      </c>
      <c r="I109" t="s">
        <v>8</v>
      </c>
      <c r="J109">
        <f>IF(Hoja1!G100="NO",0,1)</f>
        <v>0</v>
      </c>
      <c r="K109">
        <f>IF(Hoja1!H100="NO",0,1)</f>
        <v>1</v>
      </c>
      <c r="L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X109">
        <f t="shared" si="1"/>
        <v>1</v>
      </c>
      <c r="Y109" s="28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4:33" x14ac:dyDescent="0.25">
      <c r="D110">
        <f>+Hoja1!A101</f>
        <v>110505030</v>
      </c>
      <c r="E110" t="str">
        <f>+Hoja1!B101</f>
        <v>DERECHOS DE IMPORTACIÓN</v>
      </c>
      <c r="F110" t="str">
        <f>+Hoja1!E101</f>
        <v>PS</v>
      </c>
      <c r="G110">
        <f>IF(Hoja1!F101="NO",0,1)</f>
        <v>1</v>
      </c>
      <c r="H110">
        <f>IF(Hoja1!I101="NO",0,1)</f>
        <v>1</v>
      </c>
      <c r="I110" t="s">
        <v>8</v>
      </c>
      <c r="J110">
        <f>IF(Hoja1!G101="NO",0,1)</f>
        <v>0</v>
      </c>
      <c r="K110">
        <f>IF(Hoja1!H101="NO",0,1)</f>
        <v>1</v>
      </c>
      <c r="L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X110">
        <f t="shared" si="1"/>
        <v>1</v>
      </c>
      <c r="Y110" s="28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4:33" x14ac:dyDescent="0.25">
      <c r="D111">
        <f>+Hoja1!A102</f>
        <v>110505050</v>
      </c>
      <c r="E111" t="str">
        <f>+Hoja1!B102</f>
        <v>SEGUROS IMPORTACIONES</v>
      </c>
      <c r="F111" t="str">
        <f>+Hoja1!E102</f>
        <v>PS</v>
      </c>
      <c r="G111">
        <f>IF(Hoja1!F102="NO",0,1)</f>
        <v>1</v>
      </c>
      <c r="H111">
        <f>IF(Hoja1!I102="NO",0,1)</f>
        <v>1</v>
      </c>
      <c r="I111" t="s">
        <v>8</v>
      </c>
      <c r="J111">
        <f>IF(Hoja1!G102="NO",0,1)</f>
        <v>0</v>
      </c>
      <c r="K111">
        <f>IF(Hoja1!H102="NO",0,1)</f>
        <v>1</v>
      </c>
      <c r="L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X111">
        <f t="shared" si="1"/>
        <v>1</v>
      </c>
      <c r="Y111" s="28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4:33" x14ac:dyDescent="0.25">
      <c r="D112">
        <f>+Hoja1!A103</f>
        <v>110505080</v>
      </c>
      <c r="E112" t="str">
        <f>+Hoja1!B103</f>
        <v>VARIOS</v>
      </c>
      <c r="F112" t="str">
        <f>+Hoja1!E103</f>
        <v>PS</v>
      </c>
      <c r="G112">
        <f>IF(Hoja1!F103="NO",0,1)</f>
        <v>1</v>
      </c>
      <c r="H112">
        <f>IF(Hoja1!I103="NO",0,1)</f>
        <v>1</v>
      </c>
      <c r="I112" t="s">
        <v>8</v>
      </c>
      <c r="J112">
        <f>IF(Hoja1!G103="NO",0,1)</f>
        <v>0</v>
      </c>
      <c r="K112">
        <f>IF(Hoja1!H103="NO",0,1)</f>
        <v>1</v>
      </c>
      <c r="L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X112">
        <f t="shared" si="1"/>
        <v>1</v>
      </c>
      <c r="Y112" s="28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4:33" x14ac:dyDescent="0.25">
      <c r="D113">
        <f>+Hoja1!A104</f>
        <v>110505085</v>
      </c>
      <c r="E113" t="str">
        <f>+Hoja1!B104</f>
        <v>GARANTIAS</v>
      </c>
      <c r="F113" t="str">
        <f>+Hoja1!E104</f>
        <v>PS</v>
      </c>
      <c r="G113">
        <f>IF(Hoja1!F104="NO",0,1)</f>
        <v>1</v>
      </c>
      <c r="H113">
        <f>IF(Hoja1!I104="NO",0,1)</f>
        <v>1</v>
      </c>
      <c r="I113" t="s">
        <v>8</v>
      </c>
      <c r="J113">
        <f>IF(Hoja1!G104="NO",0,1)</f>
        <v>0</v>
      </c>
      <c r="K113">
        <f>IF(Hoja1!H104="NO",0,1)</f>
        <v>1</v>
      </c>
      <c r="L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X113">
        <f t="shared" si="1"/>
        <v>1</v>
      </c>
      <c r="Y113" s="28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4:33" x14ac:dyDescent="0.25">
      <c r="D114">
        <f>+Hoja1!A105</f>
        <v>110505090</v>
      </c>
      <c r="E114" t="str">
        <f>+Hoja1!B105</f>
        <v>GASTOS CCIO EXT A RENDIR</v>
      </c>
      <c r="F114" t="str">
        <f>+Hoja1!E105</f>
        <v>PS</v>
      </c>
      <c r="G114">
        <f>IF(Hoja1!F105="NO",0,1)</f>
        <v>1</v>
      </c>
      <c r="H114">
        <f>IF(Hoja1!I105="NO",0,1)</f>
        <v>1</v>
      </c>
      <c r="I114" t="s">
        <v>8</v>
      </c>
      <c r="J114">
        <f>IF(Hoja1!G105="NO",0,1)</f>
        <v>0</v>
      </c>
      <c r="K114">
        <f>IF(Hoja1!H105="NO",0,1)</f>
        <v>1</v>
      </c>
      <c r="L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X114">
        <f t="shared" si="1"/>
        <v>1</v>
      </c>
      <c r="Y114" s="28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4:33" x14ac:dyDescent="0.25">
      <c r="D115">
        <f>+Hoja1!A106</f>
        <v>110505100</v>
      </c>
      <c r="E115" t="str">
        <f>+Hoja1!B106</f>
        <v>GASTOS IMPO A RENDIR</v>
      </c>
      <c r="F115" t="str">
        <f>+Hoja1!E106</f>
        <v>PS</v>
      </c>
      <c r="G115">
        <f>IF(Hoja1!F106="NO",0,1)</f>
        <v>1</v>
      </c>
      <c r="H115">
        <f>IF(Hoja1!I106="NO",0,1)</f>
        <v>1</v>
      </c>
      <c r="I115" t="s">
        <v>8</v>
      </c>
      <c r="J115">
        <f>IF(Hoja1!G106="NO",0,1)</f>
        <v>0</v>
      </c>
      <c r="K115">
        <f>IF(Hoja1!H106="NO",0,1)</f>
        <v>1</v>
      </c>
      <c r="L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X115">
        <f t="shared" si="1"/>
        <v>1</v>
      </c>
      <c r="Y115" s="28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4:33" x14ac:dyDescent="0.25">
      <c r="D116">
        <f>+Hoja1!A107</f>
        <v>110505300</v>
      </c>
      <c r="E116" t="str">
        <f>+Hoja1!B107</f>
        <v>MERCADERIA EN TRANSITO</v>
      </c>
      <c r="F116" t="str">
        <f>+Hoja1!E107</f>
        <v>PS</v>
      </c>
      <c r="G116">
        <f>IF(Hoja1!F107="NO",0,1)</f>
        <v>1</v>
      </c>
      <c r="H116">
        <f>IF(Hoja1!I107="NO",0,1)</f>
        <v>1</v>
      </c>
      <c r="I116" t="s">
        <v>8</v>
      </c>
      <c r="J116">
        <f>IF(Hoja1!G107="NO",0,1)</f>
        <v>0</v>
      </c>
      <c r="K116">
        <f>IF(Hoja1!H107="NO",0,1)</f>
        <v>1</v>
      </c>
      <c r="L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X116">
        <f t="shared" si="1"/>
        <v>1</v>
      </c>
      <c r="Y116" s="28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4:33" x14ac:dyDescent="0.25">
      <c r="D117">
        <f>+Hoja1!A108</f>
        <v>110515</v>
      </c>
      <c r="E117" t="str">
        <f>+Hoja1!B108</f>
        <v>PRODUCTOS TERMINADOS</v>
      </c>
      <c r="F117" t="str">
        <f>+Hoja1!E108</f>
        <v>PS</v>
      </c>
      <c r="G117">
        <f>IF(Hoja1!F108="NO",0,1)</f>
        <v>0</v>
      </c>
      <c r="H117">
        <f>IF(Hoja1!I108="NO",0,1)</f>
        <v>1</v>
      </c>
      <c r="I117" t="s">
        <v>8</v>
      </c>
      <c r="J117">
        <f>IF(Hoja1!G108="NO",0,1)</f>
        <v>0</v>
      </c>
      <c r="K117">
        <f>IF(Hoja1!H108="NO",0,1)</f>
        <v>1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X117">
        <f t="shared" si="1"/>
        <v>0</v>
      </c>
      <c r="Y117" s="28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4:33" x14ac:dyDescent="0.25">
      <c r="D118">
        <f>+Hoja1!A109</f>
        <v>110515020</v>
      </c>
      <c r="E118" t="str">
        <f>+Hoja1!B109</f>
        <v>INDUMENTARIA</v>
      </c>
      <c r="F118" t="str">
        <f>+Hoja1!E109</f>
        <v>PS</v>
      </c>
      <c r="G118">
        <f>IF(Hoja1!F109="NO",0,1)</f>
        <v>1</v>
      </c>
      <c r="H118">
        <f>IF(Hoja1!I109="NO",0,1)</f>
        <v>1</v>
      </c>
      <c r="I118" t="s">
        <v>8</v>
      </c>
      <c r="J118">
        <f>IF(Hoja1!G109="NO",0,1)</f>
        <v>0</v>
      </c>
      <c r="K118">
        <f>IF(Hoja1!H109="NO",0,1)</f>
        <v>1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X118">
        <f t="shared" si="1"/>
        <v>1</v>
      </c>
      <c r="Y118" s="2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4:33" x14ac:dyDescent="0.25">
      <c r="D119">
        <f>+Hoja1!A110</f>
        <v>110515030</v>
      </c>
      <c r="E119" t="str">
        <f>+Hoja1!B110</f>
        <v>DESPERDICIOS</v>
      </c>
      <c r="F119" t="str">
        <f>+Hoja1!E110</f>
        <v>PS</v>
      </c>
      <c r="G119">
        <f>IF(Hoja1!F110="NO",0,1)</f>
        <v>1</v>
      </c>
      <c r="H119">
        <f>IF(Hoja1!I110="NO",0,1)</f>
        <v>1</v>
      </c>
      <c r="I119" t="s">
        <v>8</v>
      </c>
      <c r="J119">
        <f>IF(Hoja1!G110="NO",0,1)</f>
        <v>0</v>
      </c>
      <c r="K119">
        <f>IF(Hoja1!H110="NO",0,1)</f>
        <v>1</v>
      </c>
      <c r="L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X119">
        <f t="shared" si="1"/>
        <v>1</v>
      </c>
      <c r="Y119" s="28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4:33" x14ac:dyDescent="0.25">
      <c r="D120">
        <f>+Hoja1!A111</f>
        <v>110515040</v>
      </c>
      <c r="E120" t="str">
        <f>+Hoja1!B111</f>
        <v>BIENES A ENTREGAR</v>
      </c>
      <c r="F120" t="str">
        <f>+Hoja1!E111</f>
        <v>PS</v>
      </c>
      <c r="G120">
        <f>IF(Hoja1!F111="NO",0,1)</f>
        <v>1</v>
      </c>
      <c r="H120">
        <f>IF(Hoja1!I111="NO",0,1)</f>
        <v>1</v>
      </c>
      <c r="I120" t="s">
        <v>8</v>
      </c>
      <c r="J120">
        <f>IF(Hoja1!G111="NO",0,1)</f>
        <v>0</v>
      </c>
      <c r="K120">
        <f>IF(Hoja1!H111="NO",0,1)</f>
        <v>1</v>
      </c>
      <c r="L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X120">
        <f t="shared" si="1"/>
        <v>1</v>
      </c>
      <c r="Y120" s="28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4:33" x14ac:dyDescent="0.25">
      <c r="D121">
        <f>+Hoja1!A112</f>
        <v>110525</v>
      </c>
      <c r="E121" t="str">
        <f>+Hoja1!B112</f>
        <v>HERRAMIENTAS INSUMOS VARIOS</v>
      </c>
      <c r="F121" t="str">
        <f>+Hoja1!E112</f>
        <v>PS</v>
      </c>
      <c r="G121">
        <f>IF(Hoja1!F112="NO",0,1)</f>
        <v>0</v>
      </c>
      <c r="H121">
        <f>IF(Hoja1!I112="NO",0,1)</f>
        <v>1</v>
      </c>
      <c r="I121" t="s">
        <v>8</v>
      </c>
      <c r="J121">
        <f>IF(Hoja1!G112="NO",0,1)</f>
        <v>0</v>
      </c>
      <c r="K121">
        <f>IF(Hoja1!H112="NO",0,1)</f>
        <v>1</v>
      </c>
      <c r="L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X121">
        <f t="shared" si="1"/>
        <v>0</v>
      </c>
      <c r="Y121" s="28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4:33" x14ac:dyDescent="0.25">
      <c r="D122">
        <f>+Hoja1!A113</f>
        <v>110525001</v>
      </c>
      <c r="E122" t="str">
        <f>+Hoja1!B113</f>
        <v>HERRAMIENTAS</v>
      </c>
      <c r="F122" t="str">
        <f>+Hoja1!E113</f>
        <v>PS</v>
      </c>
      <c r="G122">
        <f>IF(Hoja1!F113="NO",0,1)</f>
        <v>1</v>
      </c>
      <c r="H122">
        <f>IF(Hoja1!I113="NO",0,1)</f>
        <v>1</v>
      </c>
      <c r="I122" t="s">
        <v>8</v>
      </c>
      <c r="J122">
        <f>IF(Hoja1!G113="NO",0,1)</f>
        <v>0</v>
      </c>
      <c r="K122">
        <f>IF(Hoja1!H113="NO",0,1)</f>
        <v>1</v>
      </c>
      <c r="L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X122">
        <f t="shared" si="1"/>
        <v>1</v>
      </c>
      <c r="Y122" s="28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4:33" x14ac:dyDescent="0.25">
      <c r="D123">
        <f>+Hoja1!A114</f>
        <v>110525010</v>
      </c>
      <c r="E123" t="str">
        <f>+Hoja1!B114</f>
        <v>REPUESTOS Y OTROS</v>
      </c>
      <c r="F123" t="str">
        <f>+Hoja1!E114</f>
        <v>PS</v>
      </c>
      <c r="G123">
        <f>IF(Hoja1!F114="NO",0,1)</f>
        <v>1</v>
      </c>
      <c r="H123">
        <f>IF(Hoja1!I114="NO",0,1)</f>
        <v>1</v>
      </c>
      <c r="I123" t="s">
        <v>8</v>
      </c>
      <c r="J123">
        <f>IF(Hoja1!G114="NO",0,1)</f>
        <v>0</v>
      </c>
      <c r="K123">
        <f>IF(Hoja1!H114="NO",0,1)</f>
        <v>1</v>
      </c>
      <c r="L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X123">
        <f t="shared" si="1"/>
        <v>1</v>
      </c>
      <c r="Y123" s="28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4:33" x14ac:dyDescent="0.25">
      <c r="D124">
        <f>+Hoja1!A115</f>
        <v>12</v>
      </c>
      <c r="E124" t="str">
        <f>+Hoja1!B115</f>
        <v>ACTIVO NO CORRIENTE</v>
      </c>
      <c r="F124" t="str">
        <f>+Hoja1!E115</f>
        <v>PS</v>
      </c>
      <c r="G124">
        <f>IF(Hoja1!F115="NO",0,1)</f>
        <v>0</v>
      </c>
      <c r="H124">
        <f>IF(Hoja1!I115="NO",0,1)</f>
        <v>1</v>
      </c>
      <c r="I124" t="s">
        <v>8</v>
      </c>
      <c r="J124">
        <f>IF(Hoja1!G115="NO",0,1)</f>
        <v>0</v>
      </c>
      <c r="K124">
        <f>IF(Hoja1!H115="NO",0,1)</f>
        <v>1</v>
      </c>
      <c r="L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X124">
        <f t="shared" si="1"/>
        <v>0</v>
      </c>
      <c r="Y124" s="28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4:33" x14ac:dyDescent="0.25">
      <c r="D125">
        <f>+Hoja1!A116</f>
        <v>1201</v>
      </c>
      <c r="E125" t="str">
        <f>+Hoja1!B116</f>
        <v>INVERSIONES</v>
      </c>
      <c r="F125" t="str">
        <f>+Hoja1!E116</f>
        <v>PS</v>
      </c>
      <c r="G125">
        <f>IF(Hoja1!F116="NO",0,1)</f>
        <v>0</v>
      </c>
      <c r="H125">
        <f>IF(Hoja1!I116="NO",0,1)</f>
        <v>1</v>
      </c>
      <c r="I125" t="s">
        <v>8</v>
      </c>
      <c r="J125">
        <f>IF(Hoja1!G116="NO",0,1)</f>
        <v>0</v>
      </c>
      <c r="K125">
        <f>IF(Hoja1!H116="NO",0,1)</f>
        <v>1</v>
      </c>
      <c r="L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X125">
        <f t="shared" si="1"/>
        <v>0</v>
      </c>
      <c r="Y125" s="28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4:33" x14ac:dyDescent="0.25">
      <c r="D126">
        <f>+Hoja1!A117</f>
        <v>1202</v>
      </c>
      <c r="E126" t="str">
        <f>+Hoja1!B117</f>
        <v>CREDITOS POR VENTAS</v>
      </c>
      <c r="F126" t="str">
        <f>+Hoja1!E117</f>
        <v>PS</v>
      </c>
      <c r="G126">
        <f>IF(Hoja1!F117="NO",0,1)</f>
        <v>0</v>
      </c>
      <c r="H126">
        <f>IF(Hoja1!I117="NO",0,1)</f>
        <v>1</v>
      </c>
      <c r="I126" t="s">
        <v>8</v>
      </c>
      <c r="J126">
        <f>IF(Hoja1!G117="NO",0,1)</f>
        <v>0</v>
      </c>
      <c r="K126">
        <f>IF(Hoja1!H117="NO",0,1)</f>
        <v>1</v>
      </c>
      <c r="L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X126">
        <f t="shared" si="1"/>
        <v>0</v>
      </c>
      <c r="Y126" s="28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4:33" x14ac:dyDescent="0.25">
      <c r="D127">
        <f>+Hoja1!A118</f>
        <v>1204</v>
      </c>
      <c r="E127" t="str">
        <f>+Hoja1!B118</f>
        <v>BIENES DE USO</v>
      </c>
      <c r="F127" t="str">
        <f>+Hoja1!E118</f>
        <v>PS</v>
      </c>
      <c r="G127">
        <f>IF(Hoja1!F118="NO",0,1)</f>
        <v>0</v>
      </c>
      <c r="H127">
        <f>IF(Hoja1!I118="NO",0,1)</f>
        <v>1</v>
      </c>
      <c r="I127" t="s">
        <v>8</v>
      </c>
      <c r="J127">
        <f>IF(Hoja1!G118="NO",0,1)</f>
        <v>0</v>
      </c>
      <c r="K127">
        <f>IF(Hoja1!H118="NO",0,1)</f>
        <v>1</v>
      </c>
      <c r="L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X127">
        <f t="shared" si="1"/>
        <v>0</v>
      </c>
      <c r="Y127" s="28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4:33" x14ac:dyDescent="0.25">
      <c r="D128">
        <f>+Hoja1!A119</f>
        <v>120401</v>
      </c>
      <c r="E128" t="str">
        <f>+Hoja1!B119</f>
        <v>OBRAS EN CURSO</v>
      </c>
      <c r="F128" t="str">
        <f>+Hoja1!E119</f>
        <v>PS</v>
      </c>
      <c r="G128">
        <f>IF(Hoja1!F119="NO",0,1)</f>
        <v>0</v>
      </c>
      <c r="H128">
        <f>IF(Hoja1!I119="NO",0,1)</f>
        <v>1</v>
      </c>
      <c r="I128" t="s">
        <v>8</v>
      </c>
      <c r="J128">
        <f>IF(Hoja1!G119="NO",0,1)</f>
        <v>0</v>
      </c>
      <c r="K128">
        <f>IF(Hoja1!H119="NO",0,1)</f>
        <v>1</v>
      </c>
      <c r="L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X128">
        <f t="shared" si="1"/>
        <v>0</v>
      </c>
      <c r="Y128" s="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4:33" x14ac:dyDescent="0.25">
      <c r="D129">
        <f>+Hoja1!A120</f>
        <v>120401001</v>
      </c>
      <c r="E129" t="str">
        <f>+Hoja1!B120</f>
        <v>INSTALACIONES EN MONTAJE</v>
      </c>
      <c r="F129" t="str">
        <f>+Hoja1!E120</f>
        <v>PS</v>
      </c>
      <c r="G129">
        <f>IF(Hoja1!F120="NO",0,1)</f>
        <v>1</v>
      </c>
      <c r="H129">
        <f>IF(Hoja1!I120="NO",0,1)</f>
        <v>1</v>
      </c>
      <c r="I129" t="s">
        <v>8</v>
      </c>
      <c r="J129">
        <f>IF(Hoja1!G120="NO",0,1)</f>
        <v>0</v>
      </c>
      <c r="K129">
        <f>IF(Hoja1!H120="NO",0,1)</f>
        <v>1</v>
      </c>
      <c r="L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X129">
        <f t="shared" si="1"/>
        <v>1</v>
      </c>
      <c r="Y129" s="28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4:33" x14ac:dyDescent="0.25">
      <c r="D130">
        <f>+Hoja1!A121</f>
        <v>120401002</v>
      </c>
      <c r="E130" t="str">
        <f>+Hoja1!B121</f>
        <v>INSTALACIONES EN MONTAJE AJUSTE</v>
      </c>
      <c r="F130" t="str">
        <f>+Hoja1!E121</f>
        <v>PS</v>
      </c>
      <c r="G130">
        <f>IF(Hoja1!F121="NO",0,1)</f>
        <v>1</v>
      </c>
      <c r="H130">
        <f>IF(Hoja1!I121="NO",0,1)</f>
        <v>1</v>
      </c>
      <c r="I130" t="s">
        <v>8</v>
      </c>
      <c r="J130">
        <f>IF(Hoja1!G121="NO",0,1)</f>
        <v>0</v>
      </c>
      <c r="K130">
        <f>IF(Hoja1!H121="NO",0,1)</f>
        <v>1</v>
      </c>
      <c r="L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X130">
        <f t="shared" si="1"/>
        <v>1</v>
      </c>
      <c r="Y130" s="28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4:33" x14ac:dyDescent="0.25">
      <c r="D131">
        <f>+Hoja1!A122</f>
        <v>120401004</v>
      </c>
      <c r="E131" t="str">
        <f>+Hoja1!B122</f>
        <v>OBRAS EN CURSO</v>
      </c>
      <c r="F131" t="str">
        <f>+Hoja1!E122</f>
        <v>PS</v>
      </c>
      <c r="G131">
        <f>IF(Hoja1!F122="NO",0,1)</f>
        <v>1</v>
      </c>
      <c r="H131">
        <f>IF(Hoja1!I122="NO",0,1)</f>
        <v>1</v>
      </c>
      <c r="I131" t="s">
        <v>8</v>
      </c>
      <c r="J131">
        <f>IF(Hoja1!G122="NO",0,1)</f>
        <v>0</v>
      </c>
      <c r="K131">
        <f>IF(Hoja1!H122="NO",0,1)</f>
        <v>1</v>
      </c>
      <c r="L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X131">
        <f t="shared" si="1"/>
        <v>1</v>
      </c>
      <c r="Y131" s="28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4:33" x14ac:dyDescent="0.25">
      <c r="D132">
        <f>+Hoja1!A123</f>
        <v>120401012</v>
      </c>
      <c r="E132" t="str">
        <f>+Hoja1!B123</f>
        <v>BIENES EN GARANTIA</v>
      </c>
      <c r="F132" t="str">
        <f>+Hoja1!E123</f>
        <v>PS</v>
      </c>
      <c r="G132">
        <f>IF(Hoja1!F123="NO",0,1)</f>
        <v>1</v>
      </c>
      <c r="H132">
        <f>IF(Hoja1!I123="NO",0,1)</f>
        <v>1</v>
      </c>
      <c r="I132" t="s">
        <v>8</v>
      </c>
      <c r="J132">
        <f>IF(Hoja1!G123="NO",0,1)</f>
        <v>0</v>
      </c>
      <c r="K132">
        <f>IF(Hoja1!H123="NO",0,1)</f>
        <v>1</v>
      </c>
      <c r="L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X132">
        <f t="shared" si="1"/>
        <v>1</v>
      </c>
      <c r="Y132" s="28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4:33" x14ac:dyDescent="0.25">
      <c r="D133">
        <f>+Hoja1!A124</f>
        <v>120405</v>
      </c>
      <c r="E133" t="str">
        <f>+Hoja1!B124</f>
        <v>INMUEBLES</v>
      </c>
      <c r="F133" t="str">
        <f>+Hoja1!E124</f>
        <v>PS</v>
      </c>
      <c r="G133">
        <f>IF(Hoja1!F124="NO",0,1)</f>
        <v>0</v>
      </c>
      <c r="H133">
        <f>IF(Hoja1!I124="NO",0,1)</f>
        <v>1</v>
      </c>
      <c r="I133" t="s">
        <v>8</v>
      </c>
      <c r="J133">
        <f>IF(Hoja1!G124="NO",0,1)</f>
        <v>0</v>
      </c>
      <c r="K133">
        <f>IF(Hoja1!H124="NO",0,1)</f>
        <v>1</v>
      </c>
      <c r="L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X133">
        <f t="shared" si="1"/>
        <v>0</v>
      </c>
      <c r="Y133" s="28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4:33" x14ac:dyDescent="0.25">
      <c r="D134">
        <f>+Hoja1!A125</f>
        <v>120405001</v>
      </c>
      <c r="E134" t="str">
        <f>+Hoja1!B125</f>
        <v>INMUEBLES</v>
      </c>
      <c r="F134" t="str">
        <f>+Hoja1!E125</f>
        <v>PS</v>
      </c>
      <c r="G134">
        <f>IF(Hoja1!F125="NO",0,1)</f>
        <v>1</v>
      </c>
      <c r="H134">
        <f>IF(Hoja1!I125="NO",0,1)</f>
        <v>1</v>
      </c>
      <c r="I134" t="s">
        <v>8</v>
      </c>
      <c r="J134">
        <f>IF(Hoja1!G125="NO",0,1)</f>
        <v>0</v>
      </c>
      <c r="K134">
        <f>IF(Hoja1!H125="NO",0,1)</f>
        <v>1</v>
      </c>
      <c r="L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X134">
        <f t="shared" si="1"/>
        <v>1</v>
      </c>
      <c r="Y134" s="28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4:33" x14ac:dyDescent="0.25">
      <c r="D135">
        <f>+Hoja1!A126</f>
        <v>120405002</v>
      </c>
      <c r="E135" t="str">
        <f>+Hoja1!B126</f>
        <v>INMUEBLES AJUSTE</v>
      </c>
      <c r="F135" t="str">
        <f>+Hoja1!E126</f>
        <v>PS</v>
      </c>
      <c r="G135">
        <f>IF(Hoja1!F126="NO",0,1)</f>
        <v>1</v>
      </c>
      <c r="H135">
        <f>IF(Hoja1!I126="NO",0,1)</f>
        <v>1</v>
      </c>
      <c r="I135" t="s">
        <v>8</v>
      </c>
      <c r="J135">
        <f>IF(Hoja1!G126="NO",0,1)</f>
        <v>0</v>
      </c>
      <c r="K135">
        <f>IF(Hoja1!H126="NO",0,1)</f>
        <v>1</v>
      </c>
      <c r="L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X135">
        <f t="shared" si="1"/>
        <v>1</v>
      </c>
      <c r="Y135" s="28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4:33" x14ac:dyDescent="0.25">
      <c r="D136">
        <f>+Hoja1!A127</f>
        <v>120405005</v>
      </c>
      <c r="E136" t="str">
        <f>+Hoja1!B127</f>
        <v>Terreno VO</v>
      </c>
      <c r="F136" t="str">
        <f>+Hoja1!E127</f>
        <v>PS</v>
      </c>
      <c r="G136">
        <f>IF(Hoja1!F127="NO",0,1)</f>
        <v>1</v>
      </c>
      <c r="H136">
        <f>IF(Hoja1!I127="NO",0,1)</f>
        <v>1</v>
      </c>
      <c r="I136" t="s">
        <v>8</v>
      </c>
      <c r="J136">
        <f>IF(Hoja1!G127="NO",0,1)</f>
        <v>0</v>
      </c>
      <c r="K136">
        <f>IF(Hoja1!H127="NO",0,1)</f>
        <v>1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X136">
        <f t="shared" si="1"/>
        <v>1</v>
      </c>
      <c r="Y136" s="28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4:33" x14ac:dyDescent="0.25">
      <c r="D137">
        <f>+Hoja1!A128</f>
        <v>120405006</v>
      </c>
      <c r="E137" t="str">
        <f>+Hoja1!B128</f>
        <v>Terrenos VO AxI</v>
      </c>
      <c r="F137" t="str">
        <f>+Hoja1!E128</f>
        <v>PS</v>
      </c>
      <c r="G137">
        <f>IF(Hoja1!F128="NO",0,1)</f>
        <v>1</v>
      </c>
      <c r="H137">
        <f>IF(Hoja1!I128="NO",0,1)</f>
        <v>1</v>
      </c>
      <c r="I137" t="s">
        <v>8</v>
      </c>
      <c r="J137">
        <f>IF(Hoja1!G128="NO",0,1)</f>
        <v>0</v>
      </c>
      <c r="K137">
        <f>IF(Hoja1!H128="NO",0,1)</f>
        <v>1</v>
      </c>
      <c r="L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X137">
        <f t="shared" si="1"/>
        <v>1</v>
      </c>
      <c r="Y137" s="28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4:33" x14ac:dyDescent="0.25">
      <c r="D138">
        <f>+Hoja1!A129</f>
        <v>120405007</v>
      </c>
      <c r="E138" t="str">
        <f>+Hoja1!B129</f>
        <v>Edificio VO AxI</v>
      </c>
      <c r="F138" t="str">
        <f>+Hoja1!E129</f>
        <v>PS</v>
      </c>
      <c r="G138">
        <f>IF(Hoja1!F129="NO",0,1)</f>
        <v>1</v>
      </c>
      <c r="H138">
        <f>IF(Hoja1!I129="NO",0,1)</f>
        <v>1</v>
      </c>
      <c r="I138" t="s">
        <v>8</v>
      </c>
      <c r="J138">
        <f>IF(Hoja1!G129="NO",0,1)</f>
        <v>0</v>
      </c>
      <c r="K138">
        <f>IF(Hoja1!H129="NO",0,1)</f>
        <v>1</v>
      </c>
      <c r="L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X138">
        <f t="shared" si="1"/>
        <v>1</v>
      </c>
      <c r="Y138" s="2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4:33" x14ac:dyDescent="0.25">
      <c r="D139">
        <f>+Hoja1!A130</f>
        <v>120405010</v>
      </c>
      <c r="E139" t="str">
        <f>+Hoja1!B130</f>
        <v>MEJORAS</v>
      </c>
      <c r="F139" t="str">
        <f>+Hoja1!E130</f>
        <v>PS</v>
      </c>
      <c r="G139">
        <f>IF(Hoja1!F130="NO",0,1)</f>
        <v>1</v>
      </c>
      <c r="H139">
        <f>IF(Hoja1!I130="NO",0,1)</f>
        <v>1</v>
      </c>
      <c r="I139" t="s">
        <v>8</v>
      </c>
      <c r="J139">
        <f>IF(Hoja1!G130="NO",0,1)</f>
        <v>0</v>
      </c>
      <c r="K139">
        <f>IF(Hoja1!H130="NO",0,1)</f>
        <v>1</v>
      </c>
      <c r="L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X139">
        <f t="shared" si="1"/>
        <v>1</v>
      </c>
      <c r="Y139" s="28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4:33" x14ac:dyDescent="0.25">
      <c r="D140">
        <f>+Hoja1!A131</f>
        <v>120405012</v>
      </c>
      <c r="E140" t="str">
        <f>+Hoja1!B131</f>
        <v>MEJORAS AJUSTE</v>
      </c>
      <c r="F140" t="str">
        <f>+Hoja1!E131</f>
        <v>PS</v>
      </c>
      <c r="G140">
        <f>IF(Hoja1!F131="NO",0,1)</f>
        <v>1</v>
      </c>
      <c r="H140">
        <f>IF(Hoja1!I131="NO",0,1)</f>
        <v>1</v>
      </c>
      <c r="I140" t="s">
        <v>8</v>
      </c>
      <c r="J140">
        <f>IF(Hoja1!G131="NO",0,1)</f>
        <v>0</v>
      </c>
      <c r="K140">
        <f>IF(Hoja1!H131="NO",0,1)</f>
        <v>1</v>
      </c>
      <c r="L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X140">
        <f t="shared" si="1"/>
        <v>1</v>
      </c>
      <c r="Y140" s="28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4:33" x14ac:dyDescent="0.25">
      <c r="D141">
        <f>+Hoja1!A132</f>
        <v>120405020</v>
      </c>
      <c r="E141" t="str">
        <f>+Hoja1!B132</f>
        <v>Amort.Acum.Inmueb/Mejor.</v>
      </c>
      <c r="F141" t="str">
        <f>+Hoja1!E132</f>
        <v>PS</v>
      </c>
      <c r="G141">
        <f>IF(Hoja1!F132="NO",0,1)</f>
        <v>1</v>
      </c>
      <c r="H141">
        <f>IF(Hoja1!I132="NO",0,1)</f>
        <v>1</v>
      </c>
      <c r="I141" t="s">
        <v>8</v>
      </c>
      <c r="J141">
        <f>IF(Hoja1!G132="NO",0,1)</f>
        <v>0</v>
      </c>
      <c r="K141">
        <f>IF(Hoja1!H132="NO",0,1)</f>
        <v>1</v>
      </c>
      <c r="L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X141">
        <f t="shared" si="1"/>
        <v>1</v>
      </c>
      <c r="Y141" s="28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4:33" x14ac:dyDescent="0.25">
      <c r="D142">
        <f>+Hoja1!A133</f>
        <v>120405022</v>
      </c>
      <c r="E142" t="str">
        <f>+Hoja1!B133</f>
        <v>Amort.Acum.Inmueb/Mejor. AJUSTE</v>
      </c>
      <c r="F142" t="str">
        <f>+Hoja1!E133</f>
        <v>PS</v>
      </c>
      <c r="G142">
        <f>IF(Hoja1!F133="NO",0,1)</f>
        <v>1</v>
      </c>
      <c r="H142">
        <f>IF(Hoja1!I133="NO",0,1)</f>
        <v>1</v>
      </c>
      <c r="I142" t="s">
        <v>8</v>
      </c>
      <c r="J142">
        <f>IF(Hoja1!G133="NO",0,1)</f>
        <v>0</v>
      </c>
      <c r="K142">
        <f>IF(Hoja1!H133="NO",0,1)</f>
        <v>1</v>
      </c>
      <c r="L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X142">
        <f t="shared" ref="X142:X205" si="2">IF(G142=1,1,0)</f>
        <v>1</v>
      </c>
      <c r="Y142" s="28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4:33" x14ac:dyDescent="0.25">
      <c r="D143">
        <f>+Hoja1!A134</f>
        <v>120405023</v>
      </c>
      <c r="E143" t="str">
        <f>+Hoja1!B134</f>
        <v>Amort. Acum. Inmueble AxI</v>
      </c>
      <c r="F143" t="str">
        <f>+Hoja1!E134</f>
        <v>PS</v>
      </c>
      <c r="G143">
        <f>IF(Hoja1!F134="NO",0,1)</f>
        <v>1</v>
      </c>
      <c r="H143">
        <f>IF(Hoja1!I134="NO",0,1)</f>
        <v>1</v>
      </c>
      <c r="I143" t="s">
        <v>8</v>
      </c>
      <c r="J143">
        <f>IF(Hoja1!G134="NO",0,1)</f>
        <v>0</v>
      </c>
      <c r="K143">
        <f>IF(Hoja1!H134="NO",0,1)</f>
        <v>1</v>
      </c>
      <c r="L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X143">
        <f t="shared" si="2"/>
        <v>1</v>
      </c>
      <c r="Y143" s="28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4:33" x14ac:dyDescent="0.25">
      <c r="D144">
        <f>+Hoja1!A135</f>
        <v>120405030</v>
      </c>
      <c r="E144" t="str">
        <f>+Hoja1!B135</f>
        <v>Revalúo Tecnico Inmueble</v>
      </c>
      <c r="F144" t="str">
        <f>+Hoja1!E135</f>
        <v>PS</v>
      </c>
      <c r="G144">
        <f>IF(Hoja1!F135="NO",0,1)</f>
        <v>1</v>
      </c>
      <c r="H144">
        <f>IF(Hoja1!I135="NO",0,1)</f>
        <v>1</v>
      </c>
      <c r="I144" t="s">
        <v>8</v>
      </c>
      <c r="J144">
        <f>IF(Hoja1!G135="NO",0,1)</f>
        <v>0</v>
      </c>
      <c r="K144">
        <f>IF(Hoja1!H135="NO",0,1)</f>
        <v>1</v>
      </c>
      <c r="L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X144">
        <f t="shared" si="2"/>
        <v>1</v>
      </c>
      <c r="Y144" s="28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4:33" x14ac:dyDescent="0.25">
      <c r="D145">
        <f>+Hoja1!A136</f>
        <v>120405032</v>
      </c>
      <c r="E145" t="str">
        <f>+Hoja1!B136</f>
        <v>Revalúo Tecnico Inmueble AJUSTE</v>
      </c>
      <c r="F145" t="str">
        <f>+Hoja1!E136</f>
        <v>PS</v>
      </c>
      <c r="G145">
        <f>IF(Hoja1!F136="NO",0,1)</f>
        <v>1</v>
      </c>
      <c r="H145">
        <f>IF(Hoja1!I136="NO",0,1)</f>
        <v>1</v>
      </c>
      <c r="I145" t="s">
        <v>8</v>
      </c>
      <c r="J145">
        <f>IF(Hoja1!G136="NO",0,1)</f>
        <v>0</v>
      </c>
      <c r="K145">
        <f>IF(Hoja1!H136="NO",0,1)</f>
        <v>1</v>
      </c>
      <c r="L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X145">
        <f t="shared" si="2"/>
        <v>1</v>
      </c>
      <c r="Y145" s="28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4:33" x14ac:dyDescent="0.25">
      <c r="D146">
        <f>+Hoja1!A137</f>
        <v>120405033</v>
      </c>
      <c r="E146" t="str">
        <f>+Hoja1!B137</f>
        <v>Terrenos Rev. RT 48</v>
      </c>
      <c r="F146" t="str">
        <f>+Hoja1!E137</f>
        <v>PS</v>
      </c>
      <c r="G146">
        <f>IF(Hoja1!F137="NO",0,1)</f>
        <v>1</v>
      </c>
      <c r="H146">
        <f>IF(Hoja1!I137="NO",0,1)</f>
        <v>1</v>
      </c>
      <c r="I146" t="s">
        <v>8</v>
      </c>
      <c r="J146">
        <f>IF(Hoja1!G137="NO",0,1)</f>
        <v>0</v>
      </c>
      <c r="K146">
        <f>IF(Hoja1!H137="NO",0,1)</f>
        <v>1</v>
      </c>
      <c r="L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X146">
        <f t="shared" si="2"/>
        <v>1</v>
      </c>
      <c r="Y146" s="28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4:33" x14ac:dyDescent="0.25">
      <c r="D147">
        <f>+Hoja1!A138</f>
        <v>120405040</v>
      </c>
      <c r="E147" t="str">
        <f>+Hoja1!B138</f>
        <v>Desafect.Acum.Revalúo Tecnico</v>
      </c>
      <c r="F147" t="str">
        <f>+Hoja1!E138</f>
        <v>PS</v>
      </c>
      <c r="G147">
        <f>IF(Hoja1!F138="NO",0,1)</f>
        <v>1</v>
      </c>
      <c r="H147">
        <f>IF(Hoja1!I138="NO",0,1)</f>
        <v>1</v>
      </c>
      <c r="I147" t="s">
        <v>8</v>
      </c>
      <c r="J147">
        <f>IF(Hoja1!G138="NO",0,1)</f>
        <v>0</v>
      </c>
      <c r="K147">
        <f>IF(Hoja1!H138="NO",0,1)</f>
        <v>1</v>
      </c>
      <c r="L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X147">
        <f t="shared" si="2"/>
        <v>1</v>
      </c>
      <c r="Y147" s="28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4:33" x14ac:dyDescent="0.25">
      <c r="D148">
        <f>+Hoja1!A139</f>
        <v>120405042</v>
      </c>
      <c r="E148" t="str">
        <f>+Hoja1!B139</f>
        <v>Desafect.Acum.Revalúo Tecnico AJUSTE</v>
      </c>
      <c r="F148" t="str">
        <f>+Hoja1!E139</f>
        <v>PS</v>
      </c>
      <c r="G148">
        <f>IF(Hoja1!F139="NO",0,1)</f>
        <v>1</v>
      </c>
      <c r="H148">
        <f>IF(Hoja1!I139="NO",0,1)</f>
        <v>1</v>
      </c>
      <c r="I148" t="s">
        <v>8</v>
      </c>
      <c r="J148">
        <f>IF(Hoja1!G139="NO",0,1)</f>
        <v>0</v>
      </c>
      <c r="K148">
        <f>IF(Hoja1!H139="NO",0,1)</f>
        <v>1</v>
      </c>
      <c r="L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X148">
        <f t="shared" si="2"/>
        <v>1</v>
      </c>
      <c r="Y148" s="2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4:33" x14ac:dyDescent="0.25">
      <c r="D149">
        <f>+Hoja1!A140</f>
        <v>120410</v>
      </c>
      <c r="E149" t="str">
        <f>+Hoja1!B140</f>
        <v>Maquinarias</v>
      </c>
      <c r="F149" t="str">
        <f>+Hoja1!E140</f>
        <v>PS</v>
      </c>
      <c r="G149">
        <f>IF(Hoja1!F140="NO",0,1)</f>
        <v>0</v>
      </c>
      <c r="H149">
        <f>IF(Hoja1!I140="NO",0,1)</f>
        <v>1</v>
      </c>
      <c r="I149" t="s">
        <v>8</v>
      </c>
      <c r="J149">
        <f>IF(Hoja1!G140="NO",0,1)</f>
        <v>0</v>
      </c>
      <c r="K149">
        <f>IF(Hoja1!H140="NO",0,1)</f>
        <v>1</v>
      </c>
      <c r="L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X149">
        <f t="shared" si="2"/>
        <v>0</v>
      </c>
      <c r="Y149" s="28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4:33" x14ac:dyDescent="0.25">
      <c r="D150">
        <f>+Hoja1!A141</f>
        <v>120410001</v>
      </c>
      <c r="E150" t="str">
        <f>+Hoja1!B141</f>
        <v>MAQUINARIAS</v>
      </c>
      <c r="F150" t="str">
        <f>+Hoja1!E141</f>
        <v>PS</v>
      </c>
      <c r="G150">
        <f>IF(Hoja1!F141="NO",0,1)</f>
        <v>1</v>
      </c>
      <c r="H150">
        <f>IF(Hoja1!I141="NO",0,1)</f>
        <v>1</v>
      </c>
      <c r="I150" t="s">
        <v>8</v>
      </c>
      <c r="J150">
        <f>IF(Hoja1!G141="NO",0,1)</f>
        <v>0</v>
      </c>
      <c r="K150">
        <f>IF(Hoja1!H141="NO",0,1)</f>
        <v>1</v>
      </c>
      <c r="L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X150">
        <f t="shared" si="2"/>
        <v>1</v>
      </c>
      <c r="Y150" s="28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4:33" x14ac:dyDescent="0.25">
      <c r="D151">
        <f>+Hoja1!A142</f>
        <v>120410002</v>
      </c>
      <c r="E151" t="str">
        <f>+Hoja1!B142</f>
        <v>MAQUINARIAS AJUSTE</v>
      </c>
      <c r="F151" t="str">
        <f>+Hoja1!E142</f>
        <v>PS</v>
      </c>
      <c r="G151">
        <f>IF(Hoja1!F142="NO",0,1)</f>
        <v>1</v>
      </c>
      <c r="H151">
        <f>IF(Hoja1!I142="NO",0,1)</f>
        <v>1</v>
      </c>
      <c r="I151" t="s">
        <v>8</v>
      </c>
      <c r="J151">
        <f>IF(Hoja1!G142="NO",0,1)</f>
        <v>0</v>
      </c>
      <c r="K151">
        <f>IF(Hoja1!H142="NO",0,1)</f>
        <v>1</v>
      </c>
      <c r="L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X151">
        <f t="shared" si="2"/>
        <v>1</v>
      </c>
      <c r="Y151" s="28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4:33" x14ac:dyDescent="0.25">
      <c r="D152">
        <f>+Hoja1!A143</f>
        <v>120410005</v>
      </c>
      <c r="E152" t="str">
        <f>+Hoja1!B143</f>
        <v>ALTAS MAQUINARIAS</v>
      </c>
      <c r="F152" t="str">
        <f>+Hoja1!E143</f>
        <v>PS</v>
      </c>
      <c r="G152">
        <f>IF(Hoja1!F143="NO",0,1)</f>
        <v>1</v>
      </c>
      <c r="H152">
        <f>IF(Hoja1!I143="NO",0,1)</f>
        <v>1</v>
      </c>
      <c r="I152" t="s">
        <v>8</v>
      </c>
      <c r="J152">
        <f>IF(Hoja1!G143="NO",0,1)</f>
        <v>0</v>
      </c>
      <c r="K152">
        <f>IF(Hoja1!H143="NO",0,1)</f>
        <v>1</v>
      </c>
      <c r="L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X152">
        <f t="shared" si="2"/>
        <v>1</v>
      </c>
      <c r="Y152" s="28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4:33" x14ac:dyDescent="0.25">
      <c r="D153">
        <f>+Hoja1!A144</f>
        <v>120410010</v>
      </c>
      <c r="E153" t="str">
        <f>+Hoja1!B144</f>
        <v>Amortizac. Acum. Maquinarias</v>
      </c>
      <c r="F153" t="str">
        <f>+Hoja1!E144</f>
        <v>PS</v>
      </c>
      <c r="G153">
        <f>IF(Hoja1!F144="NO",0,1)</f>
        <v>1</v>
      </c>
      <c r="H153">
        <f>IF(Hoja1!I144="NO",0,1)</f>
        <v>1</v>
      </c>
      <c r="I153" t="s">
        <v>8</v>
      </c>
      <c r="J153">
        <f>IF(Hoja1!G144="NO",0,1)</f>
        <v>0</v>
      </c>
      <c r="K153">
        <f>IF(Hoja1!H144="NO",0,1)</f>
        <v>1</v>
      </c>
      <c r="L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X153">
        <f t="shared" si="2"/>
        <v>1</v>
      </c>
      <c r="Y153" s="28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4:33" x14ac:dyDescent="0.25">
      <c r="D154">
        <f>+Hoja1!A145</f>
        <v>120410012</v>
      </c>
      <c r="E154" t="str">
        <f>+Hoja1!B145</f>
        <v>Amortizac. Acum. Maquinarias AJUSTE</v>
      </c>
      <c r="F154" t="str">
        <f>+Hoja1!E145</f>
        <v>PS</v>
      </c>
      <c r="G154">
        <f>IF(Hoja1!F145="NO",0,1)</f>
        <v>1</v>
      </c>
      <c r="H154">
        <f>IF(Hoja1!I145="NO",0,1)</f>
        <v>1</v>
      </c>
      <c r="I154" t="s">
        <v>8</v>
      </c>
      <c r="J154">
        <f>IF(Hoja1!G145="NO",0,1)</f>
        <v>0</v>
      </c>
      <c r="K154">
        <f>IF(Hoja1!H145="NO",0,1)</f>
        <v>1</v>
      </c>
      <c r="L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X154">
        <f t="shared" si="2"/>
        <v>1</v>
      </c>
      <c r="Y154" s="28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4:33" x14ac:dyDescent="0.25">
      <c r="D155">
        <f>+Hoja1!A146</f>
        <v>120415</v>
      </c>
      <c r="E155" t="str">
        <f>+Hoja1!B146</f>
        <v>Herramientas</v>
      </c>
      <c r="F155" t="str">
        <f>+Hoja1!E146</f>
        <v>PS</v>
      </c>
      <c r="G155">
        <f>IF(Hoja1!F146="NO",0,1)</f>
        <v>0</v>
      </c>
      <c r="H155">
        <f>IF(Hoja1!I146="NO",0,1)</f>
        <v>1</v>
      </c>
      <c r="I155" t="s">
        <v>8</v>
      </c>
      <c r="J155">
        <f>IF(Hoja1!G146="NO",0,1)</f>
        <v>0</v>
      </c>
      <c r="K155">
        <f>IF(Hoja1!H146="NO",0,1)</f>
        <v>1</v>
      </c>
      <c r="L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X155">
        <f t="shared" si="2"/>
        <v>0</v>
      </c>
      <c r="Y155" s="28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4:33" x14ac:dyDescent="0.25">
      <c r="D156">
        <f>+Hoja1!A147</f>
        <v>120415001</v>
      </c>
      <c r="E156" t="str">
        <f>+Hoja1!B147</f>
        <v>HERRAMIENTAS</v>
      </c>
      <c r="F156" t="str">
        <f>+Hoja1!E147</f>
        <v>PS</v>
      </c>
      <c r="G156">
        <f>IF(Hoja1!F147="NO",0,1)</f>
        <v>1</v>
      </c>
      <c r="H156">
        <f>IF(Hoja1!I147="NO",0,1)</f>
        <v>1</v>
      </c>
      <c r="I156" t="s">
        <v>8</v>
      </c>
      <c r="J156">
        <f>IF(Hoja1!G147="NO",0,1)</f>
        <v>0</v>
      </c>
      <c r="K156">
        <f>IF(Hoja1!H147="NO",0,1)</f>
        <v>1</v>
      </c>
      <c r="L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X156">
        <f t="shared" si="2"/>
        <v>1</v>
      </c>
      <c r="Y156" s="28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4:33" x14ac:dyDescent="0.25">
      <c r="D157">
        <f>+Hoja1!A148</f>
        <v>120415002</v>
      </c>
      <c r="E157" t="str">
        <f>+Hoja1!B148</f>
        <v>HERRAMIENTAS AJUSTE</v>
      </c>
      <c r="F157" t="str">
        <f>+Hoja1!E148</f>
        <v>PS</v>
      </c>
      <c r="G157">
        <f>IF(Hoja1!F148="NO",0,1)</f>
        <v>1</v>
      </c>
      <c r="H157">
        <f>IF(Hoja1!I148="NO",0,1)</f>
        <v>1</v>
      </c>
      <c r="I157" t="s">
        <v>8</v>
      </c>
      <c r="J157">
        <f>IF(Hoja1!G148="NO",0,1)</f>
        <v>0</v>
      </c>
      <c r="K157">
        <f>IF(Hoja1!H148="NO",0,1)</f>
        <v>1</v>
      </c>
      <c r="L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X157">
        <f t="shared" si="2"/>
        <v>1</v>
      </c>
      <c r="Y157" s="28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4:33" x14ac:dyDescent="0.25">
      <c r="D158">
        <f>+Hoja1!A149</f>
        <v>120415010</v>
      </c>
      <c r="E158" t="str">
        <f>+Hoja1!B149</f>
        <v>AMORTIZAC.ACUM.HERRAM</v>
      </c>
      <c r="F158" t="str">
        <f>+Hoja1!E149</f>
        <v>PS</v>
      </c>
      <c r="G158">
        <f>IF(Hoja1!F149="NO",0,1)</f>
        <v>1</v>
      </c>
      <c r="H158">
        <f>IF(Hoja1!I149="NO",0,1)</f>
        <v>1</v>
      </c>
      <c r="I158" t="s">
        <v>8</v>
      </c>
      <c r="J158">
        <f>IF(Hoja1!G149="NO",0,1)</f>
        <v>0</v>
      </c>
      <c r="K158">
        <f>IF(Hoja1!H149="NO",0,1)</f>
        <v>1</v>
      </c>
      <c r="L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X158">
        <f t="shared" si="2"/>
        <v>1</v>
      </c>
      <c r="Y158" s="2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4:33" x14ac:dyDescent="0.25">
      <c r="D159">
        <f>+Hoja1!A150</f>
        <v>120415012</v>
      </c>
      <c r="E159" t="str">
        <f>+Hoja1!B150</f>
        <v>AMORTIZAC.ACUM.HERRAM AJUSTE</v>
      </c>
      <c r="F159" t="str">
        <f>+Hoja1!E150</f>
        <v>PS</v>
      </c>
      <c r="G159">
        <f>IF(Hoja1!F150="NO",0,1)</f>
        <v>1</v>
      </c>
      <c r="H159">
        <f>IF(Hoja1!I150="NO",0,1)</f>
        <v>1</v>
      </c>
      <c r="I159" t="s">
        <v>8</v>
      </c>
      <c r="J159">
        <f>IF(Hoja1!G150="NO",0,1)</f>
        <v>0</v>
      </c>
      <c r="K159">
        <f>IF(Hoja1!H150="NO",0,1)</f>
        <v>1</v>
      </c>
      <c r="L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X159">
        <f t="shared" si="2"/>
        <v>1</v>
      </c>
      <c r="Y159" s="28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4:33" x14ac:dyDescent="0.25">
      <c r="D160">
        <f>+Hoja1!A151</f>
        <v>120420</v>
      </c>
      <c r="E160" t="str">
        <f>+Hoja1!B151</f>
        <v>Instalaciones</v>
      </c>
      <c r="F160" t="str">
        <f>+Hoja1!E151</f>
        <v>PS</v>
      </c>
      <c r="G160">
        <f>IF(Hoja1!F151="NO",0,1)</f>
        <v>0</v>
      </c>
      <c r="H160">
        <f>IF(Hoja1!I151="NO",0,1)</f>
        <v>1</v>
      </c>
      <c r="I160" t="s">
        <v>8</v>
      </c>
      <c r="J160">
        <f>IF(Hoja1!G151="NO",0,1)</f>
        <v>0</v>
      </c>
      <c r="K160">
        <f>IF(Hoja1!H151="NO",0,1)</f>
        <v>1</v>
      </c>
      <c r="L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X160">
        <f t="shared" si="2"/>
        <v>0</v>
      </c>
      <c r="Y160" s="28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4:33" x14ac:dyDescent="0.25">
      <c r="D161">
        <f>+Hoja1!A152</f>
        <v>120420001</v>
      </c>
      <c r="E161" t="str">
        <f>+Hoja1!B152</f>
        <v>INSTALACIONES</v>
      </c>
      <c r="F161" t="str">
        <f>+Hoja1!E152</f>
        <v>PS</v>
      </c>
      <c r="G161">
        <f>IF(Hoja1!F152="NO",0,1)</f>
        <v>1</v>
      </c>
      <c r="H161">
        <f>IF(Hoja1!I152="NO",0,1)</f>
        <v>1</v>
      </c>
      <c r="I161" t="s">
        <v>8</v>
      </c>
      <c r="J161">
        <f>IF(Hoja1!G152="NO",0,1)</f>
        <v>0</v>
      </c>
      <c r="K161">
        <f>IF(Hoja1!H152="NO",0,1)</f>
        <v>1</v>
      </c>
      <c r="L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X161">
        <f t="shared" si="2"/>
        <v>1</v>
      </c>
      <c r="Y161" s="28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4:33" x14ac:dyDescent="0.25">
      <c r="D162">
        <f>+Hoja1!A153</f>
        <v>120420002</v>
      </c>
      <c r="E162" t="str">
        <f>+Hoja1!B153</f>
        <v>INSTALACIONES AJUSTE</v>
      </c>
      <c r="F162" t="str">
        <f>+Hoja1!E153</f>
        <v>PS</v>
      </c>
      <c r="G162">
        <f>IF(Hoja1!F153="NO",0,1)</f>
        <v>1</v>
      </c>
      <c r="H162">
        <f>IF(Hoja1!I153="NO",0,1)</f>
        <v>1</v>
      </c>
      <c r="I162" t="s">
        <v>8</v>
      </c>
      <c r="J162">
        <f>IF(Hoja1!G153="NO",0,1)</f>
        <v>0</v>
      </c>
      <c r="K162">
        <f>IF(Hoja1!H153="NO",0,1)</f>
        <v>1</v>
      </c>
      <c r="L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X162">
        <f t="shared" si="2"/>
        <v>1</v>
      </c>
      <c r="Y162" s="28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4:33" x14ac:dyDescent="0.25">
      <c r="D163">
        <f>+Hoja1!A154</f>
        <v>120420003</v>
      </c>
      <c r="E163" t="str">
        <f>+Hoja1!B154</f>
        <v>Instalaciones VO AxI</v>
      </c>
      <c r="F163" t="str">
        <f>+Hoja1!E154</f>
        <v>PS</v>
      </c>
      <c r="G163">
        <f>IF(Hoja1!F154="NO",0,1)</f>
        <v>1</v>
      </c>
      <c r="H163">
        <f>IF(Hoja1!I154="NO",0,1)</f>
        <v>1</v>
      </c>
      <c r="I163" t="s">
        <v>8</v>
      </c>
      <c r="J163">
        <f>IF(Hoja1!G154="NO",0,1)</f>
        <v>0</v>
      </c>
      <c r="K163">
        <f>IF(Hoja1!H154="NO",0,1)</f>
        <v>1</v>
      </c>
      <c r="L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X163">
        <f t="shared" si="2"/>
        <v>1</v>
      </c>
      <c r="Y163" s="28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4:33" x14ac:dyDescent="0.25">
      <c r="D164">
        <f>+Hoja1!A155</f>
        <v>120420004</v>
      </c>
      <c r="E164" t="str">
        <f>+Hoja1!B155</f>
        <v>Am Ac Instalaciones AxI</v>
      </c>
      <c r="F164" t="str">
        <f>+Hoja1!E155</f>
        <v>PS</v>
      </c>
      <c r="G164">
        <f>IF(Hoja1!F155="NO",0,1)</f>
        <v>1</v>
      </c>
      <c r="H164">
        <f>IF(Hoja1!I155="NO",0,1)</f>
        <v>1</v>
      </c>
      <c r="I164" t="s">
        <v>8</v>
      </c>
      <c r="J164">
        <f>IF(Hoja1!G155="NO",0,1)</f>
        <v>0</v>
      </c>
      <c r="K164">
        <f>IF(Hoja1!H155="NO",0,1)</f>
        <v>1</v>
      </c>
      <c r="L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X164">
        <f t="shared" si="2"/>
        <v>1</v>
      </c>
      <c r="Y164" s="28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4:33" x14ac:dyDescent="0.25">
      <c r="D165">
        <f>+Hoja1!A156</f>
        <v>120420010</v>
      </c>
      <c r="E165" t="str">
        <f>+Hoja1!B156</f>
        <v>Amort Acum.Instalaciones</v>
      </c>
      <c r="F165" t="str">
        <f>+Hoja1!E156</f>
        <v>PS</v>
      </c>
      <c r="G165">
        <f>IF(Hoja1!F156="NO",0,1)</f>
        <v>1</v>
      </c>
      <c r="H165">
        <f>IF(Hoja1!I156="NO",0,1)</f>
        <v>1</v>
      </c>
      <c r="I165" t="s">
        <v>8</v>
      </c>
      <c r="J165">
        <f>IF(Hoja1!G156="NO",0,1)</f>
        <v>0</v>
      </c>
      <c r="K165">
        <f>IF(Hoja1!H156="NO",0,1)</f>
        <v>1</v>
      </c>
      <c r="L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X165">
        <f t="shared" si="2"/>
        <v>1</v>
      </c>
      <c r="Y165" s="28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4:33" x14ac:dyDescent="0.25">
      <c r="D166">
        <f>+Hoja1!A157</f>
        <v>120420012</v>
      </c>
      <c r="E166" t="str">
        <f>+Hoja1!B157</f>
        <v>Amort Acum.Instalaciones AJUSTE</v>
      </c>
      <c r="F166" t="str">
        <f>+Hoja1!E157</f>
        <v>PS</v>
      </c>
      <c r="G166">
        <f>IF(Hoja1!F157="NO",0,1)</f>
        <v>1</v>
      </c>
      <c r="H166">
        <f>IF(Hoja1!I157="NO",0,1)</f>
        <v>1</v>
      </c>
      <c r="I166" t="s">
        <v>8</v>
      </c>
      <c r="J166">
        <f>IF(Hoja1!G157="NO",0,1)</f>
        <v>0</v>
      </c>
      <c r="K166">
        <f>IF(Hoja1!H157="NO",0,1)</f>
        <v>1</v>
      </c>
      <c r="L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X166">
        <f t="shared" si="2"/>
        <v>1</v>
      </c>
      <c r="Y166" s="28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4:33" x14ac:dyDescent="0.25">
      <c r="D167">
        <f>+Hoja1!A158</f>
        <v>120425</v>
      </c>
      <c r="E167" t="str">
        <f>+Hoja1!B158</f>
        <v>Muebles y Utiles</v>
      </c>
      <c r="F167" t="str">
        <f>+Hoja1!E158</f>
        <v>PS</v>
      </c>
      <c r="G167">
        <f>IF(Hoja1!F158="NO",0,1)</f>
        <v>0</v>
      </c>
      <c r="H167">
        <f>IF(Hoja1!I158="NO",0,1)</f>
        <v>1</v>
      </c>
      <c r="I167" t="s">
        <v>8</v>
      </c>
      <c r="J167">
        <f>IF(Hoja1!G158="NO",0,1)</f>
        <v>0</v>
      </c>
      <c r="K167">
        <f>IF(Hoja1!H158="NO",0,1)</f>
        <v>1</v>
      </c>
      <c r="L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X167">
        <f t="shared" si="2"/>
        <v>0</v>
      </c>
      <c r="Y167" s="28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4:33" x14ac:dyDescent="0.25">
      <c r="D168">
        <f>+Hoja1!A159</f>
        <v>120425001</v>
      </c>
      <c r="E168" t="str">
        <f>+Hoja1!B159</f>
        <v>MUEBLES Y UTILES</v>
      </c>
      <c r="F168" t="str">
        <f>+Hoja1!E159</f>
        <v>PS</v>
      </c>
      <c r="G168">
        <f>IF(Hoja1!F159="NO",0,1)</f>
        <v>1</v>
      </c>
      <c r="H168">
        <f>IF(Hoja1!I159="NO",0,1)</f>
        <v>1</v>
      </c>
      <c r="I168" t="s">
        <v>8</v>
      </c>
      <c r="J168">
        <f>IF(Hoja1!G159="NO",0,1)</f>
        <v>0</v>
      </c>
      <c r="K168">
        <f>IF(Hoja1!H159="NO",0,1)</f>
        <v>1</v>
      </c>
      <c r="L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X168">
        <f t="shared" si="2"/>
        <v>1</v>
      </c>
      <c r="Y168" s="2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4:33" x14ac:dyDescent="0.25">
      <c r="D169">
        <f>+Hoja1!A160</f>
        <v>120425002</v>
      </c>
      <c r="E169" t="str">
        <f>+Hoja1!B160</f>
        <v>MUEBLES Y UTILES AJUSTE</v>
      </c>
      <c r="F169" t="str">
        <f>+Hoja1!E160</f>
        <v>PS</v>
      </c>
      <c r="G169">
        <f>IF(Hoja1!F160="NO",0,1)</f>
        <v>1</v>
      </c>
      <c r="H169">
        <f>IF(Hoja1!I160="NO",0,1)</f>
        <v>1</v>
      </c>
      <c r="I169" t="s">
        <v>8</v>
      </c>
      <c r="J169">
        <f>IF(Hoja1!G160="NO",0,1)</f>
        <v>0</v>
      </c>
      <c r="K169">
        <f>IF(Hoja1!H160="NO",0,1)</f>
        <v>1</v>
      </c>
      <c r="L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X169">
        <f t="shared" si="2"/>
        <v>1</v>
      </c>
      <c r="Y169" s="28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4:33" x14ac:dyDescent="0.25">
      <c r="D170">
        <f>+Hoja1!A161</f>
        <v>120425003</v>
      </c>
      <c r="E170" t="str">
        <f>+Hoja1!B161</f>
        <v>Mueb y Útiles VO AxI</v>
      </c>
      <c r="F170" t="str">
        <f>+Hoja1!E161</f>
        <v>PS</v>
      </c>
      <c r="G170">
        <f>IF(Hoja1!F161="NO",0,1)</f>
        <v>1</v>
      </c>
      <c r="H170">
        <f>IF(Hoja1!I161="NO",0,1)</f>
        <v>1</v>
      </c>
      <c r="I170" t="s">
        <v>8</v>
      </c>
      <c r="J170">
        <f>IF(Hoja1!G161="NO",0,1)</f>
        <v>0</v>
      </c>
      <c r="K170">
        <f>IF(Hoja1!H161="NO",0,1)</f>
        <v>1</v>
      </c>
      <c r="L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X170">
        <f t="shared" si="2"/>
        <v>1</v>
      </c>
      <c r="Y170" s="28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4:33" x14ac:dyDescent="0.25">
      <c r="D171">
        <f>+Hoja1!A162</f>
        <v>120425010</v>
      </c>
      <c r="E171" t="str">
        <f>+Hoja1!B162</f>
        <v>AMORT.ACUM M Y UTIL</v>
      </c>
      <c r="F171" t="str">
        <f>+Hoja1!E162</f>
        <v>PS</v>
      </c>
      <c r="G171">
        <f>IF(Hoja1!F162="NO",0,1)</f>
        <v>1</v>
      </c>
      <c r="H171">
        <f>IF(Hoja1!I162="NO",0,1)</f>
        <v>1</v>
      </c>
      <c r="I171" t="s">
        <v>8</v>
      </c>
      <c r="J171">
        <f>IF(Hoja1!G162="NO",0,1)</f>
        <v>0</v>
      </c>
      <c r="K171">
        <f>IF(Hoja1!H162="NO",0,1)</f>
        <v>1</v>
      </c>
      <c r="L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X171">
        <f t="shared" si="2"/>
        <v>1</v>
      </c>
      <c r="Y171" s="28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4:33" x14ac:dyDescent="0.25">
      <c r="D172">
        <f>+Hoja1!A163</f>
        <v>120425012</v>
      </c>
      <c r="E172" t="str">
        <f>+Hoja1!B163</f>
        <v>AMORT.ACUM M Y UTIL AJUJSTE</v>
      </c>
      <c r="F172" t="str">
        <f>+Hoja1!E163</f>
        <v>PS</v>
      </c>
      <c r="G172">
        <f>IF(Hoja1!F163="NO",0,1)</f>
        <v>1</v>
      </c>
      <c r="H172">
        <f>IF(Hoja1!I163="NO",0,1)</f>
        <v>1</v>
      </c>
      <c r="I172" t="s">
        <v>8</v>
      </c>
      <c r="J172">
        <f>IF(Hoja1!G163="NO",0,1)</f>
        <v>0</v>
      </c>
      <c r="K172">
        <f>IF(Hoja1!H163="NO",0,1)</f>
        <v>1</v>
      </c>
      <c r="L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X172">
        <f t="shared" si="2"/>
        <v>1</v>
      </c>
      <c r="Y172" s="28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4:33" x14ac:dyDescent="0.25">
      <c r="D173">
        <f>+Hoja1!A164</f>
        <v>120425013</v>
      </c>
      <c r="E173" t="str">
        <f>+Hoja1!B164</f>
        <v>Amort Acum M y U VO AxI</v>
      </c>
      <c r="F173" t="str">
        <f>+Hoja1!E164</f>
        <v>PS</v>
      </c>
      <c r="G173">
        <f>IF(Hoja1!F164="NO",0,1)</f>
        <v>1</v>
      </c>
      <c r="H173">
        <f>IF(Hoja1!I164="NO",0,1)</f>
        <v>1</v>
      </c>
      <c r="I173" t="s">
        <v>8</v>
      </c>
      <c r="J173">
        <f>IF(Hoja1!G164="NO",0,1)</f>
        <v>0</v>
      </c>
      <c r="K173">
        <f>IF(Hoja1!H164="NO",0,1)</f>
        <v>1</v>
      </c>
      <c r="L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X173">
        <f t="shared" si="2"/>
        <v>1</v>
      </c>
      <c r="Y173" s="28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4:33" x14ac:dyDescent="0.25">
      <c r="D174">
        <f>+Hoja1!A165</f>
        <v>120425014</v>
      </c>
      <c r="E174" t="str">
        <f>+Hoja1!B165</f>
        <v>Equipos V.O.</v>
      </c>
      <c r="F174" t="str">
        <f>+Hoja1!E165</f>
        <v>PS</v>
      </c>
      <c r="G174">
        <f>IF(Hoja1!F165="NO",0,1)</f>
        <v>1</v>
      </c>
      <c r="H174">
        <f>IF(Hoja1!I165="NO",0,1)</f>
        <v>1</v>
      </c>
      <c r="I174" t="s">
        <v>8</v>
      </c>
      <c r="J174">
        <f>IF(Hoja1!G165="NO",0,1)</f>
        <v>0</v>
      </c>
      <c r="K174">
        <f>IF(Hoja1!H165="NO",0,1)</f>
        <v>1</v>
      </c>
      <c r="L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X174">
        <f t="shared" si="2"/>
        <v>1</v>
      </c>
      <c r="Y174" s="28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4:33" x14ac:dyDescent="0.25">
      <c r="D175">
        <f>+Hoja1!A166</f>
        <v>120425015</v>
      </c>
      <c r="E175" t="str">
        <f>+Hoja1!B166</f>
        <v>Equipos Rev. RT 48</v>
      </c>
      <c r="F175" t="str">
        <f>+Hoja1!E166</f>
        <v>PS</v>
      </c>
      <c r="G175">
        <f>IF(Hoja1!F166="NO",0,1)</f>
        <v>1</v>
      </c>
      <c r="H175">
        <f>IF(Hoja1!I166="NO",0,1)</f>
        <v>1</v>
      </c>
      <c r="I175" t="s">
        <v>8</v>
      </c>
      <c r="J175">
        <f>IF(Hoja1!G166="NO",0,1)</f>
        <v>0</v>
      </c>
      <c r="K175">
        <f>IF(Hoja1!H166="NO",0,1)</f>
        <v>1</v>
      </c>
      <c r="L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X175">
        <f t="shared" si="2"/>
        <v>1</v>
      </c>
      <c r="Y175" s="28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4:33" x14ac:dyDescent="0.25">
      <c r="D176">
        <f>+Hoja1!A167</f>
        <v>120425016</v>
      </c>
      <c r="E176" t="str">
        <f>+Hoja1!B167</f>
        <v>Amort. Acum Equipos</v>
      </c>
      <c r="F176" t="str">
        <f>+Hoja1!E167</f>
        <v>PS</v>
      </c>
      <c r="G176">
        <f>IF(Hoja1!F167="NO",0,1)</f>
        <v>1</v>
      </c>
      <c r="H176">
        <f>IF(Hoja1!I167="NO",0,1)</f>
        <v>1</v>
      </c>
      <c r="I176" t="s">
        <v>8</v>
      </c>
      <c r="J176">
        <f>IF(Hoja1!G167="NO",0,1)</f>
        <v>0</v>
      </c>
      <c r="K176">
        <f>IF(Hoja1!H167="NO",0,1)</f>
        <v>1</v>
      </c>
      <c r="L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X176">
        <f t="shared" si="2"/>
        <v>1</v>
      </c>
      <c r="Y176" s="28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4:33" x14ac:dyDescent="0.25">
      <c r="D177">
        <f>+Hoja1!A168</f>
        <v>120425017</v>
      </c>
      <c r="E177" t="str">
        <f>+Hoja1!B168</f>
        <v>Equipos VO AxI</v>
      </c>
      <c r="F177" t="str">
        <f>+Hoja1!E168</f>
        <v>PS</v>
      </c>
      <c r="G177">
        <f>IF(Hoja1!F168="NO",0,1)</f>
        <v>1</v>
      </c>
      <c r="H177">
        <f>IF(Hoja1!I168="NO",0,1)</f>
        <v>1</v>
      </c>
      <c r="I177" t="s">
        <v>8</v>
      </c>
      <c r="J177">
        <f>IF(Hoja1!G168="NO",0,1)</f>
        <v>0</v>
      </c>
      <c r="K177">
        <f>IF(Hoja1!H168="NO",0,1)</f>
        <v>1</v>
      </c>
      <c r="L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X177">
        <f t="shared" si="2"/>
        <v>1</v>
      </c>
      <c r="Y177" s="28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4:33" x14ac:dyDescent="0.25">
      <c r="D178">
        <f>+Hoja1!A169</f>
        <v>120425018</v>
      </c>
      <c r="E178" t="str">
        <f>+Hoja1!B169</f>
        <v>Amort Acum Equipos AxI</v>
      </c>
      <c r="F178" t="str">
        <f>+Hoja1!E169</f>
        <v>PS</v>
      </c>
      <c r="G178">
        <f>IF(Hoja1!F169="NO",0,1)</f>
        <v>1</v>
      </c>
      <c r="H178">
        <f>IF(Hoja1!I169="NO",0,1)</f>
        <v>1</v>
      </c>
      <c r="I178" t="s">
        <v>8</v>
      </c>
      <c r="J178">
        <f>IF(Hoja1!G169="NO",0,1)</f>
        <v>0</v>
      </c>
      <c r="K178">
        <f>IF(Hoja1!H169="NO",0,1)</f>
        <v>1</v>
      </c>
      <c r="L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X178">
        <f t="shared" si="2"/>
        <v>1</v>
      </c>
      <c r="Y178" s="2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4:33" x14ac:dyDescent="0.25">
      <c r="D179">
        <f>+Hoja1!A170</f>
        <v>120425019</v>
      </c>
      <c r="E179" t="str">
        <f>+Hoja1!B170</f>
        <v>Amort. Acum. Equipo Rev. RT 48</v>
      </c>
      <c r="F179" t="str">
        <f>+Hoja1!E170</f>
        <v>PS</v>
      </c>
      <c r="G179">
        <f>IF(Hoja1!F170="NO",0,1)</f>
        <v>1</v>
      </c>
      <c r="H179">
        <f>IF(Hoja1!I170="NO",0,1)</f>
        <v>1</v>
      </c>
      <c r="I179" t="s">
        <v>8</v>
      </c>
      <c r="J179">
        <f>IF(Hoja1!G170="NO",0,1)</f>
        <v>0</v>
      </c>
      <c r="K179">
        <f>IF(Hoja1!H170="NO",0,1)</f>
        <v>1</v>
      </c>
      <c r="L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X179">
        <f t="shared" si="2"/>
        <v>1</v>
      </c>
      <c r="Y179" s="28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4:33" x14ac:dyDescent="0.25">
      <c r="D180">
        <f>+Hoja1!A171</f>
        <v>120427</v>
      </c>
      <c r="E180" t="str">
        <f>+Hoja1!B171</f>
        <v>Computadoras</v>
      </c>
      <c r="F180" t="str">
        <f>+Hoja1!E171</f>
        <v>PS</v>
      </c>
      <c r="G180">
        <f>IF(Hoja1!F171="NO",0,1)</f>
        <v>0</v>
      </c>
      <c r="H180">
        <f>IF(Hoja1!I171="NO",0,1)</f>
        <v>1</v>
      </c>
      <c r="I180" t="s">
        <v>8</v>
      </c>
      <c r="J180">
        <f>IF(Hoja1!G171="NO",0,1)</f>
        <v>0</v>
      </c>
      <c r="K180">
        <f>IF(Hoja1!H171="NO",0,1)</f>
        <v>1</v>
      </c>
      <c r="L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X180">
        <f t="shared" si="2"/>
        <v>0</v>
      </c>
      <c r="Y180" s="28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4:33" x14ac:dyDescent="0.25">
      <c r="D181">
        <f>+Hoja1!A172</f>
        <v>120427001</v>
      </c>
      <c r="E181" t="str">
        <f>+Hoja1!B172</f>
        <v>COMPUTADORAS</v>
      </c>
      <c r="F181" t="str">
        <f>+Hoja1!E172</f>
        <v>PS</v>
      </c>
      <c r="G181">
        <f>IF(Hoja1!F172="NO",0,1)</f>
        <v>1</v>
      </c>
      <c r="H181">
        <f>IF(Hoja1!I172="NO",0,1)</f>
        <v>1</v>
      </c>
      <c r="I181" t="s">
        <v>8</v>
      </c>
      <c r="J181">
        <f>IF(Hoja1!G172="NO",0,1)</f>
        <v>0</v>
      </c>
      <c r="K181">
        <f>IF(Hoja1!H172="NO",0,1)</f>
        <v>1</v>
      </c>
      <c r="L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X181">
        <f t="shared" si="2"/>
        <v>1</v>
      </c>
      <c r="Y181" s="28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4:33" x14ac:dyDescent="0.25">
      <c r="D182">
        <f>+Hoja1!A173</f>
        <v>120427002</v>
      </c>
      <c r="E182" t="str">
        <f>+Hoja1!B173</f>
        <v>COMPUTADORAS AJUSTE</v>
      </c>
      <c r="F182" t="str">
        <f>+Hoja1!E173</f>
        <v>PS</v>
      </c>
      <c r="G182">
        <f>IF(Hoja1!F173="NO",0,1)</f>
        <v>1</v>
      </c>
      <c r="H182">
        <f>IF(Hoja1!I173="NO",0,1)</f>
        <v>1</v>
      </c>
      <c r="I182" t="s">
        <v>8</v>
      </c>
      <c r="J182">
        <f>IF(Hoja1!G173="NO",0,1)</f>
        <v>0</v>
      </c>
      <c r="K182">
        <f>IF(Hoja1!H173="NO",0,1)</f>
        <v>1</v>
      </c>
      <c r="L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X182">
        <f t="shared" si="2"/>
        <v>1</v>
      </c>
      <c r="Y182" s="28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4:33" x14ac:dyDescent="0.25">
      <c r="D183">
        <f>+Hoja1!A174</f>
        <v>120427003</v>
      </c>
      <c r="E183" t="str">
        <f>+Hoja1!B174</f>
        <v>Equipo de comput VO</v>
      </c>
      <c r="F183" t="str">
        <f>+Hoja1!E174</f>
        <v>PS</v>
      </c>
      <c r="G183">
        <f>IF(Hoja1!F174="NO",0,1)</f>
        <v>1</v>
      </c>
      <c r="H183">
        <f>IF(Hoja1!I174="NO",0,1)</f>
        <v>1</v>
      </c>
      <c r="I183" t="s">
        <v>8</v>
      </c>
      <c r="J183">
        <f>IF(Hoja1!G174="NO",0,1)</f>
        <v>0</v>
      </c>
      <c r="K183">
        <f>IF(Hoja1!H174="NO",0,1)</f>
        <v>1</v>
      </c>
      <c r="L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X183">
        <f t="shared" si="2"/>
        <v>1</v>
      </c>
      <c r="Y183" s="28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4:33" x14ac:dyDescent="0.25">
      <c r="D184">
        <f>+Hoja1!A175</f>
        <v>120427004</v>
      </c>
      <c r="E184" t="str">
        <f>+Hoja1!B175</f>
        <v>Equipo de computacion Rev. RT 48</v>
      </c>
      <c r="F184" t="str">
        <f>+Hoja1!E175</f>
        <v>PS</v>
      </c>
      <c r="G184">
        <f>IF(Hoja1!F175="NO",0,1)</f>
        <v>1</v>
      </c>
      <c r="H184">
        <f>IF(Hoja1!I175="NO",0,1)</f>
        <v>1</v>
      </c>
      <c r="I184" t="s">
        <v>8</v>
      </c>
      <c r="J184">
        <f>IF(Hoja1!G175="NO",0,1)</f>
        <v>0</v>
      </c>
      <c r="K184">
        <f>IF(Hoja1!H175="NO",0,1)</f>
        <v>1</v>
      </c>
      <c r="L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X184">
        <f t="shared" si="2"/>
        <v>1</v>
      </c>
      <c r="Y184" s="28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4:33" x14ac:dyDescent="0.25">
      <c r="D185">
        <f>+Hoja1!A176</f>
        <v>120427010</v>
      </c>
      <c r="E185" t="str">
        <f>+Hoja1!B176</f>
        <v>AMORT.ACUM.COMPUTADORAS</v>
      </c>
      <c r="F185" t="str">
        <f>+Hoja1!E176</f>
        <v>PS</v>
      </c>
      <c r="G185">
        <f>IF(Hoja1!F176="NO",0,1)</f>
        <v>1</v>
      </c>
      <c r="H185">
        <f>IF(Hoja1!I176="NO",0,1)</f>
        <v>1</v>
      </c>
      <c r="I185" t="s">
        <v>8</v>
      </c>
      <c r="J185">
        <f>IF(Hoja1!G176="NO",0,1)</f>
        <v>0</v>
      </c>
      <c r="K185">
        <f>IF(Hoja1!H176="NO",0,1)</f>
        <v>1</v>
      </c>
      <c r="L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X185">
        <f t="shared" si="2"/>
        <v>1</v>
      </c>
      <c r="Y185" s="28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4:33" x14ac:dyDescent="0.25">
      <c r="D186">
        <f>+Hoja1!A177</f>
        <v>120427012</v>
      </c>
      <c r="E186" t="str">
        <f>+Hoja1!B177</f>
        <v>AMORT.ACUM.COMPUT. AJUSTE</v>
      </c>
      <c r="F186" t="str">
        <f>+Hoja1!E177</f>
        <v>PS</v>
      </c>
      <c r="G186">
        <f>IF(Hoja1!F177="NO",0,1)</f>
        <v>1</v>
      </c>
      <c r="H186">
        <f>IF(Hoja1!I177="NO",0,1)</f>
        <v>1</v>
      </c>
      <c r="I186" t="s">
        <v>8</v>
      </c>
      <c r="J186">
        <f>IF(Hoja1!G177="NO",0,1)</f>
        <v>0</v>
      </c>
      <c r="K186">
        <f>IF(Hoja1!H177="NO",0,1)</f>
        <v>1</v>
      </c>
      <c r="L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X186">
        <f t="shared" si="2"/>
        <v>1</v>
      </c>
      <c r="Y186" s="28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4:33" x14ac:dyDescent="0.25">
      <c r="D187">
        <f>+Hoja1!A178</f>
        <v>120427013</v>
      </c>
      <c r="E187" t="str">
        <f>+Hoja1!B178</f>
        <v>Amort. Acum. Equipo Comp. Rev. RT 48</v>
      </c>
      <c r="F187" t="str">
        <f>+Hoja1!E178</f>
        <v>PS</v>
      </c>
      <c r="G187">
        <f>IF(Hoja1!F178="NO",0,1)</f>
        <v>1</v>
      </c>
      <c r="H187">
        <f>IF(Hoja1!I178="NO",0,1)</f>
        <v>1</v>
      </c>
      <c r="I187" t="s">
        <v>8</v>
      </c>
      <c r="J187">
        <f>IF(Hoja1!G178="NO",0,1)</f>
        <v>0</v>
      </c>
      <c r="K187">
        <f>IF(Hoja1!H178="NO",0,1)</f>
        <v>1</v>
      </c>
      <c r="L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X187">
        <f t="shared" si="2"/>
        <v>1</v>
      </c>
      <c r="Y187" s="28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4:33" x14ac:dyDescent="0.25">
      <c r="D188">
        <f>+Hoja1!A179</f>
        <v>120427014</v>
      </c>
      <c r="E188" t="str">
        <f>+Hoja1!B179</f>
        <v>Equipo de computacion VO AxI</v>
      </c>
      <c r="F188" t="str">
        <f>+Hoja1!E179</f>
        <v>PS</v>
      </c>
      <c r="G188">
        <f>IF(Hoja1!F179="NO",0,1)</f>
        <v>1</v>
      </c>
      <c r="H188">
        <f>IF(Hoja1!I179="NO",0,1)</f>
        <v>1</v>
      </c>
      <c r="I188" t="s">
        <v>8</v>
      </c>
      <c r="J188">
        <f>IF(Hoja1!G179="NO",0,1)</f>
        <v>0</v>
      </c>
      <c r="K188">
        <f>IF(Hoja1!H179="NO",0,1)</f>
        <v>1</v>
      </c>
      <c r="L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X188">
        <f t="shared" si="2"/>
        <v>1</v>
      </c>
      <c r="Y188" s="2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4:33" x14ac:dyDescent="0.25">
      <c r="D189">
        <f>+Hoja1!A180</f>
        <v>120427015</v>
      </c>
      <c r="E189" t="str">
        <f>+Hoja1!B180</f>
        <v>Amort. Acum. Equipo Comput AxI</v>
      </c>
      <c r="F189" t="str">
        <f>+Hoja1!E180</f>
        <v>PS</v>
      </c>
      <c r="G189">
        <f>IF(Hoja1!F180="NO",0,1)</f>
        <v>1</v>
      </c>
      <c r="H189">
        <f>IF(Hoja1!I180="NO",0,1)</f>
        <v>1</v>
      </c>
      <c r="I189" t="s">
        <v>8</v>
      </c>
      <c r="J189">
        <f>IF(Hoja1!G180="NO",0,1)</f>
        <v>0</v>
      </c>
      <c r="K189">
        <f>IF(Hoja1!H180="NO",0,1)</f>
        <v>1</v>
      </c>
      <c r="L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X189">
        <f t="shared" si="2"/>
        <v>1</v>
      </c>
      <c r="Y189" s="28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4:33" x14ac:dyDescent="0.25">
      <c r="D190">
        <f>+Hoja1!A181</f>
        <v>120435</v>
      </c>
      <c r="E190" t="str">
        <f>+Hoja1!B181</f>
        <v>Rodados</v>
      </c>
      <c r="F190" t="str">
        <f>+Hoja1!E181</f>
        <v>PS</v>
      </c>
      <c r="G190">
        <f>IF(Hoja1!F181="NO",0,1)</f>
        <v>0</v>
      </c>
      <c r="H190">
        <f>IF(Hoja1!I181="NO",0,1)</f>
        <v>1</v>
      </c>
      <c r="I190" t="s">
        <v>8</v>
      </c>
      <c r="J190">
        <f>IF(Hoja1!G181="NO",0,1)</f>
        <v>0</v>
      </c>
      <c r="K190">
        <f>IF(Hoja1!H181="NO",0,1)</f>
        <v>1</v>
      </c>
      <c r="L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X190">
        <f t="shared" si="2"/>
        <v>0</v>
      </c>
      <c r="Y190" s="28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4:33" x14ac:dyDescent="0.25">
      <c r="D191">
        <f>+Hoja1!A182</f>
        <v>120435001</v>
      </c>
      <c r="E191" t="str">
        <f>+Hoja1!B182</f>
        <v>Rodados</v>
      </c>
      <c r="F191" t="str">
        <f>+Hoja1!E182</f>
        <v>PS</v>
      </c>
      <c r="G191">
        <f>IF(Hoja1!F182="NO",0,1)</f>
        <v>1</v>
      </c>
      <c r="H191">
        <f>IF(Hoja1!I182="NO",0,1)</f>
        <v>1</v>
      </c>
      <c r="I191" t="s">
        <v>8</v>
      </c>
      <c r="J191">
        <f>IF(Hoja1!G182="NO",0,1)</f>
        <v>0</v>
      </c>
      <c r="K191">
        <f>IF(Hoja1!H182="NO",0,1)</f>
        <v>1</v>
      </c>
      <c r="L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X191">
        <f t="shared" si="2"/>
        <v>1</v>
      </c>
      <c r="Y191" s="28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4:33" x14ac:dyDescent="0.25">
      <c r="D192">
        <f>+Hoja1!A183</f>
        <v>120435002</v>
      </c>
      <c r="E192" t="str">
        <f>+Hoja1!B183</f>
        <v>Rodados AJUSTA</v>
      </c>
      <c r="F192" t="str">
        <f>+Hoja1!E183</f>
        <v>PS</v>
      </c>
      <c r="G192">
        <f>IF(Hoja1!F183="NO",0,1)</f>
        <v>1</v>
      </c>
      <c r="H192">
        <f>IF(Hoja1!I183="NO",0,1)</f>
        <v>1</v>
      </c>
      <c r="I192" t="s">
        <v>8</v>
      </c>
      <c r="J192">
        <f>IF(Hoja1!G183="NO",0,1)</f>
        <v>0</v>
      </c>
      <c r="K192">
        <f>IF(Hoja1!H183="NO",0,1)</f>
        <v>1</v>
      </c>
      <c r="L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X192">
        <f t="shared" si="2"/>
        <v>1</v>
      </c>
      <c r="Y192" s="28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4:33" x14ac:dyDescent="0.25">
      <c r="D193">
        <f>+Hoja1!A184</f>
        <v>120435010</v>
      </c>
      <c r="E193" t="str">
        <f>+Hoja1!B184</f>
        <v>Amortizac. Acum. Rodados</v>
      </c>
      <c r="F193" t="str">
        <f>+Hoja1!E184</f>
        <v>PS</v>
      </c>
      <c r="G193">
        <f>IF(Hoja1!F184="NO",0,1)</f>
        <v>1</v>
      </c>
      <c r="H193">
        <f>IF(Hoja1!I184="NO",0,1)</f>
        <v>1</v>
      </c>
      <c r="I193" t="s">
        <v>8</v>
      </c>
      <c r="J193">
        <f>IF(Hoja1!G184="NO",0,1)</f>
        <v>0</v>
      </c>
      <c r="K193">
        <f>IF(Hoja1!H184="NO",0,1)</f>
        <v>1</v>
      </c>
      <c r="L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X193">
        <f t="shared" si="2"/>
        <v>1</v>
      </c>
      <c r="Y193" s="28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4:33" x14ac:dyDescent="0.25">
      <c r="D194">
        <f>+Hoja1!A185</f>
        <v>120435012</v>
      </c>
      <c r="E194" t="str">
        <f>+Hoja1!B185</f>
        <v>Amortizac. Acum. Rodados AJUSTE</v>
      </c>
      <c r="F194" t="str">
        <f>+Hoja1!E185</f>
        <v>PS</v>
      </c>
      <c r="G194">
        <f>IF(Hoja1!F185="NO",0,1)</f>
        <v>1</v>
      </c>
      <c r="H194">
        <f>IF(Hoja1!I185="NO",0,1)</f>
        <v>1</v>
      </c>
      <c r="I194" t="s">
        <v>8</v>
      </c>
      <c r="J194">
        <f>IF(Hoja1!G185="NO",0,1)</f>
        <v>0</v>
      </c>
      <c r="K194">
        <f>IF(Hoja1!H185="NO",0,1)</f>
        <v>1</v>
      </c>
      <c r="L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X194">
        <f t="shared" si="2"/>
        <v>1</v>
      </c>
      <c r="Y194" s="28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4:33" x14ac:dyDescent="0.25">
      <c r="D195">
        <f>+Hoja1!A186</f>
        <v>1205</v>
      </c>
      <c r="E195" t="str">
        <f>+Hoja1!B186</f>
        <v>ACTIVOS INTANGIBLES</v>
      </c>
      <c r="F195" t="str">
        <f>+Hoja1!E186</f>
        <v>PS</v>
      </c>
      <c r="G195">
        <f>IF(Hoja1!F186="NO",0,1)</f>
        <v>0</v>
      </c>
      <c r="H195">
        <f>IF(Hoja1!I186="NO",0,1)</f>
        <v>1</v>
      </c>
      <c r="I195" t="s">
        <v>8</v>
      </c>
      <c r="J195">
        <f>IF(Hoja1!G186="NO",0,1)</f>
        <v>0</v>
      </c>
      <c r="K195">
        <f>IF(Hoja1!H186="NO",0,1)</f>
        <v>1</v>
      </c>
      <c r="L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X195">
        <f t="shared" si="2"/>
        <v>0</v>
      </c>
      <c r="Y195" s="28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4:33" x14ac:dyDescent="0.25">
      <c r="D196">
        <f>+Hoja1!A187</f>
        <v>120501</v>
      </c>
      <c r="E196" t="str">
        <f>+Hoja1!B187</f>
        <v>CARGOS DIFERIDOS</v>
      </c>
      <c r="F196" t="str">
        <f>+Hoja1!E187</f>
        <v>PS</v>
      </c>
      <c r="G196">
        <f>IF(Hoja1!F187="NO",0,1)</f>
        <v>0</v>
      </c>
      <c r="H196">
        <f>IF(Hoja1!I187="NO",0,1)</f>
        <v>1</v>
      </c>
      <c r="I196" t="s">
        <v>8</v>
      </c>
      <c r="J196">
        <f>IF(Hoja1!G187="NO",0,1)</f>
        <v>0</v>
      </c>
      <c r="K196">
        <f>IF(Hoja1!H187="NO",0,1)</f>
        <v>1</v>
      </c>
      <c r="L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X196">
        <f t="shared" si="2"/>
        <v>0</v>
      </c>
      <c r="Y196" s="28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4:33" x14ac:dyDescent="0.25">
      <c r="D197">
        <f>+Hoja1!A188</f>
        <v>120501001</v>
      </c>
      <c r="E197" t="str">
        <f>+Hoja1!B188</f>
        <v>GASTOS DE ORGANIZACION</v>
      </c>
      <c r="F197" t="str">
        <f>+Hoja1!E188</f>
        <v>PS</v>
      </c>
      <c r="G197">
        <f>IF(Hoja1!F188="NO",0,1)</f>
        <v>1</v>
      </c>
      <c r="H197">
        <f>IF(Hoja1!I188="NO",0,1)</f>
        <v>1</v>
      </c>
      <c r="I197" t="s">
        <v>8</v>
      </c>
      <c r="J197">
        <f>IF(Hoja1!G188="NO",0,1)</f>
        <v>0</v>
      </c>
      <c r="K197">
        <f>IF(Hoja1!H188="NO",0,1)</f>
        <v>1</v>
      </c>
      <c r="L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X197">
        <f t="shared" si="2"/>
        <v>1</v>
      </c>
      <c r="Y197" s="28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4:33" x14ac:dyDescent="0.25">
      <c r="D198">
        <f>+Hoja1!A189</f>
        <v>120505</v>
      </c>
      <c r="E198" t="str">
        <f>+Hoja1!B189</f>
        <v>MARCAS Y PATENTES</v>
      </c>
      <c r="F198" t="str">
        <f>+Hoja1!E189</f>
        <v>PS</v>
      </c>
      <c r="G198">
        <f>IF(Hoja1!F189="NO",0,1)</f>
        <v>0</v>
      </c>
      <c r="H198">
        <f>IF(Hoja1!I189="NO",0,1)</f>
        <v>1</v>
      </c>
      <c r="I198" t="s">
        <v>8</v>
      </c>
      <c r="J198">
        <f>IF(Hoja1!G189="NO",0,1)</f>
        <v>0</v>
      </c>
      <c r="K198">
        <f>IF(Hoja1!H189="NO",0,1)</f>
        <v>1</v>
      </c>
      <c r="L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X198">
        <f t="shared" si="2"/>
        <v>0</v>
      </c>
      <c r="Y198" s="2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4:33" x14ac:dyDescent="0.25">
      <c r="D199">
        <f>+Hoja1!A190</f>
        <v>120505001</v>
      </c>
      <c r="E199" t="str">
        <f>+Hoja1!B190</f>
        <v>MARCAS</v>
      </c>
      <c r="F199" t="str">
        <f>+Hoja1!E190</f>
        <v>PS</v>
      </c>
      <c r="G199">
        <f>IF(Hoja1!F190="NO",0,1)</f>
        <v>1</v>
      </c>
      <c r="H199">
        <f>IF(Hoja1!I190="NO",0,1)</f>
        <v>1</v>
      </c>
      <c r="I199" t="s">
        <v>8</v>
      </c>
      <c r="J199">
        <f>IF(Hoja1!G190="NO",0,1)</f>
        <v>0</v>
      </c>
      <c r="K199">
        <f>IF(Hoja1!H190="NO",0,1)</f>
        <v>1</v>
      </c>
      <c r="L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X199">
        <f t="shared" si="2"/>
        <v>1</v>
      </c>
      <c r="Y199" s="28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4:33" x14ac:dyDescent="0.25">
      <c r="D200">
        <f>+Hoja1!A191</f>
        <v>120505002</v>
      </c>
      <c r="E200" t="str">
        <f>+Hoja1!B191</f>
        <v>Marcas AJUSTE</v>
      </c>
      <c r="F200" t="str">
        <f>+Hoja1!E191</f>
        <v>PS</v>
      </c>
      <c r="G200">
        <f>IF(Hoja1!F191="NO",0,1)</f>
        <v>1</v>
      </c>
      <c r="H200">
        <f>IF(Hoja1!I191="NO",0,1)</f>
        <v>1</v>
      </c>
      <c r="I200" t="s">
        <v>8</v>
      </c>
      <c r="J200">
        <f>IF(Hoja1!G191="NO",0,1)</f>
        <v>0</v>
      </c>
      <c r="K200">
        <f>IF(Hoja1!H191="NO",0,1)</f>
        <v>1</v>
      </c>
      <c r="L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X200">
        <f t="shared" si="2"/>
        <v>1</v>
      </c>
      <c r="Y200" s="28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4:33" x14ac:dyDescent="0.25">
      <c r="D201">
        <f>+Hoja1!A192</f>
        <v>120505010</v>
      </c>
      <c r="E201" t="str">
        <f>+Hoja1!B192</f>
        <v>AMORT.ACUM.MARCAS</v>
      </c>
      <c r="F201" t="str">
        <f>+Hoja1!E192</f>
        <v>PS</v>
      </c>
      <c r="G201">
        <f>IF(Hoja1!F192="NO",0,1)</f>
        <v>1</v>
      </c>
      <c r="H201">
        <f>IF(Hoja1!I192="NO",0,1)</f>
        <v>1</v>
      </c>
      <c r="I201" t="s">
        <v>8</v>
      </c>
      <c r="J201">
        <f>IF(Hoja1!G192="NO",0,1)</f>
        <v>0</v>
      </c>
      <c r="K201">
        <f>IF(Hoja1!H192="NO",0,1)</f>
        <v>1</v>
      </c>
      <c r="L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X201">
        <f t="shared" si="2"/>
        <v>1</v>
      </c>
      <c r="Y201" s="28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4:33" x14ac:dyDescent="0.25">
      <c r="D202">
        <f>+Hoja1!A193</f>
        <v>120505012</v>
      </c>
      <c r="E202" t="str">
        <f>+Hoja1!B193</f>
        <v>AMORT.ACUM.MARCAS AJUSTE</v>
      </c>
      <c r="F202" t="str">
        <f>+Hoja1!E193</f>
        <v>PS</v>
      </c>
      <c r="G202">
        <f>IF(Hoja1!F193="NO",0,1)</f>
        <v>1</v>
      </c>
      <c r="H202">
        <f>IF(Hoja1!I193="NO",0,1)</f>
        <v>1</v>
      </c>
      <c r="I202" t="s">
        <v>8</v>
      </c>
      <c r="J202">
        <f>IF(Hoja1!G193="NO",0,1)</f>
        <v>0</v>
      </c>
      <c r="K202">
        <f>IF(Hoja1!H193="NO",0,1)</f>
        <v>1</v>
      </c>
      <c r="L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X202">
        <f t="shared" si="2"/>
        <v>1</v>
      </c>
      <c r="Y202" s="28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4:33" x14ac:dyDescent="0.25">
      <c r="D203">
        <f>+Hoja1!A194</f>
        <v>1206</v>
      </c>
      <c r="E203" t="str">
        <f>+Hoja1!B194</f>
        <v>GASTOS DE ORGANIZACION</v>
      </c>
      <c r="F203" t="str">
        <f>+Hoja1!E194</f>
        <v>PS</v>
      </c>
      <c r="G203">
        <f>IF(Hoja1!F194="NO",0,1)</f>
        <v>0</v>
      </c>
      <c r="H203">
        <f>IF(Hoja1!I194="NO",0,1)</f>
        <v>1</v>
      </c>
      <c r="I203" t="s">
        <v>8</v>
      </c>
      <c r="J203">
        <f>IF(Hoja1!G194="NO",0,1)</f>
        <v>0</v>
      </c>
      <c r="K203">
        <f>IF(Hoja1!H194="NO",0,1)</f>
        <v>0</v>
      </c>
      <c r="L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X203">
        <f t="shared" si="2"/>
        <v>0</v>
      </c>
      <c r="Y203" s="28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4:33" x14ac:dyDescent="0.25">
      <c r="D204">
        <f>+Hoja1!A195</f>
        <v>120601</v>
      </c>
      <c r="E204" t="str">
        <f>+Hoja1!B195</f>
        <v>GASTOS PREOPERATIVOS</v>
      </c>
      <c r="F204" t="str">
        <f>+Hoja1!E195</f>
        <v>PS</v>
      </c>
      <c r="G204">
        <f>IF(Hoja1!F195="NO",0,1)</f>
        <v>1</v>
      </c>
      <c r="H204">
        <f>IF(Hoja1!I195="NO",0,1)</f>
        <v>1</v>
      </c>
      <c r="I204" t="s">
        <v>8</v>
      </c>
      <c r="J204">
        <f>IF(Hoja1!G195="NO",0,1)</f>
        <v>0</v>
      </c>
      <c r="K204">
        <f>IF(Hoja1!H195="NO",0,1)</f>
        <v>0</v>
      </c>
      <c r="L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X204">
        <f t="shared" si="2"/>
        <v>1</v>
      </c>
      <c r="Y204" s="28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4:33" x14ac:dyDescent="0.25">
      <c r="D205">
        <f>+Hoja1!A196</f>
        <v>12425010</v>
      </c>
      <c r="E205" t="str">
        <f>+Hoja1!B196</f>
        <v>Amort Acum M y Util</v>
      </c>
      <c r="F205" t="str">
        <f>+Hoja1!E196</f>
        <v>PS</v>
      </c>
      <c r="G205">
        <f>IF(Hoja1!F196="NO",0,1)</f>
        <v>1</v>
      </c>
      <c r="H205">
        <f>IF(Hoja1!I196="NO",0,1)</f>
        <v>1</v>
      </c>
      <c r="I205" t="s">
        <v>8</v>
      </c>
      <c r="J205">
        <f>IF(Hoja1!G196="NO",0,1)</f>
        <v>0</v>
      </c>
      <c r="K205">
        <f>IF(Hoja1!H196="NO",0,1)</f>
        <v>1</v>
      </c>
      <c r="L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X205">
        <f t="shared" si="2"/>
        <v>1</v>
      </c>
      <c r="Y205" s="28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4:33" x14ac:dyDescent="0.25">
      <c r="D206">
        <f>+Hoja1!A197</f>
        <v>2</v>
      </c>
      <c r="E206" t="str">
        <f>+Hoja1!B197</f>
        <v>PASIVO</v>
      </c>
      <c r="F206" t="str">
        <f>+Hoja1!E197</f>
        <v>PS</v>
      </c>
      <c r="G206">
        <f>IF(Hoja1!F197="NO",0,1)</f>
        <v>0</v>
      </c>
      <c r="H206">
        <f>IF(Hoja1!I197="NO",0,1)</f>
        <v>1</v>
      </c>
      <c r="I206" t="s">
        <v>520</v>
      </c>
      <c r="J206">
        <f>IF(Hoja1!G197="NO",0,1)</f>
        <v>0</v>
      </c>
      <c r="K206">
        <f>IF(Hoja1!H197="NO",0,1)</f>
        <v>1</v>
      </c>
      <c r="L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X206">
        <f t="shared" ref="X206:X269" si="3">IF(G206=1,1,0)</f>
        <v>0</v>
      </c>
      <c r="Y206" s="28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4:33" x14ac:dyDescent="0.25">
      <c r="D207">
        <f>+Hoja1!A198</f>
        <v>21</v>
      </c>
      <c r="E207" t="str">
        <f>+Hoja1!B198</f>
        <v>PASIVO CORRIENTE</v>
      </c>
      <c r="F207" t="str">
        <f>+Hoja1!E198</f>
        <v>PS</v>
      </c>
      <c r="G207">
        <f>IF(Hoja1!F198="NO",0,1)</f>
        <v>0</v>
      </c>
      <c r="H207">
        <f>IF(Hoja1!I198="NO",0,1)</f>
        <v>1</v>
      </c>
      <c r="I207" t="s">
        <v>520</v>
      </c>
      <c r="J207">
        <f>IF(Hoja1!G198="NO",0,1)</f>
        <v>0</v>
      </c>
      <c r="K207">
        <f>IF(Hoja1!H198="NO",0,1)</f>
        <v>1</v>
      </c>
      <c r="L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X207">
        <f t="shared" si="3"/>
        <v>0</v>
      </c>
      <c r="Y207" s="28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4:33" x14ac:dyDescent="0.25">
      <c r="D208">
        <f>+Hoja1!A199</f>
        <v>2101</v>
      </c>
      <c r="E208" t="str">
        <f>+Hoja1!B199</f>
        <v>CUENTAS POR PAGAR</v>
      </c>
      <c r="F208" t="str">
        <f>+Hoja1!E199</f>
        <v>PS</v>
      </c>
      <c r="G208">
        <f>IF(Hoja1!F199="NO",0,1)</f>
        <v>0</v>
      </c>
      <c r="H208">
        <f>IF(Hoja1!I199="NO",0,1)</f>
        <v>1</v>
      </c>
      <c r="I208" t="s">
        <v>520</v>
      </c>
      <c r="J208">
        <f>IF(Hoja1!G199="NO",0,1)</f>
        <v>0</v>
      </c>
      <c r="K208">
        <f>IF(Hoja1!H199="NO",0,1)</f>
        <v>1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X208">
        <f t="shared" si="3"/>
        <v>0</v>
      </c>
      <c r="Y208" s="2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4:33" x14ac:dyDescent="0.25">
      <c r="D209">
        <f>+Hoja1!A200</f>
        <v>210101</v>
      </c>
      <c r="E209" t="str">
        <f>+Hoja1!B200</f>
        <v>Proveedores</v>
      </c>
      <c r="F209" t="str">
        <f>+Hoja1!E200</f>
        <v>PS</v>
      </c>
      <c r="G209">
        <f>IF(Hoja1!F200="NO",0,1)</f>
        <v>0</v>
      </c>
      <c r="H209">
        <f>IF(Hoja1!I200="NO",0,1)</f>
        <v>1</v>
      </c>
      <c r="I209" t="s">
        <v>520</v>
      </c>
      <c r="J209">
        <f>IF(Hoja1!G200="NO",0,1)</f>
        <v>0</v>
      </c>
      <c r="K209">
        <f>IF(Hoja1!H200="NO",0,1)</f>
        <v>1</v>
      </c>
      <c r="L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X209">
        <f t="shared" si="3"/>
        <v>0</v>
      </c>
      <c r="Y209" s="28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4:33" x14ac:dyDescent="0.25">
      <c r="D210">
        <f>+Hoja1!A201</f>
        <v>210101001</v>
      </c>
      <c r="E210" t="str">
        <f>+Hoja1!B201</f>
        <v>PROVEEDORES LOCALES</v>
      </c>
      <c r="F210" t="str">
        <f>+Hoja1!E201</f>
        <v>PS</v>
      </c>
      <c r="G210">
        <f>IF(Hoja1!F201="NO",0,1)</f>
        <v>1</v>
      </c>
      <c r="H210">
        <f>IF(Hoja1!I201="NO",0,1)</f>
        <v>1</v>
      </c>
      <c r="I210" t="s">
        <v>520</v>
      </c>
      <c r="J210">
        <f>IF(Hoja1!G201="NO",0,1)</f>
        <v>0</v>
      </c>
      <c r="K210">
        <f>IF(Hoja1!H201="NO",0,1)</f>
        <v>1</v>
      </c>
      <c r="L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X210">
        <f t="shared" si="3"/>
        <v>1</v>
      </c>
      <c r="Y210" s="28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4:33" x14ac:dyDescent="0.25">
      <c r="D211">
        <f>+Hoja1!A202</f>
        <v>210101010</v>
      </c>
      <c r="E211" t="str">
        <f>+Hoja1!B202</f>
        <v>PROVEED. EXTERIOR</v>
      </c>
      <c r="F211" t="str">
        <f>+Hoja1!E202</f>
        <v>DL</v>
      </c>
      <c r="G211">
        <f>IF(Hoja1!F202="NO",0,1)</f>
        <v>1</v>
      </c>
      <c r="H211">
        <f>IF(Hoja1!I202="NO",0,1)</f>
        <v>1</v>
      </c>
      <c r="I211" t="s">
        <v>520</v>
      </c>
      <c r="J211">
        <f>IF(Hoja1!G202="NO",0,1)</f>
        <v>0</v>
      </c>
      <c r="K211">
        <f>IF(Hoja1!H202="NO",0,1)</f>
        <v>1</v>
      </c>
      <c r="L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X211">
        <f t="shared" si="3"/>
        <v>1</v>
      </c>
      <c r="Y211" s="28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4:33" x14ac:dyDescent="0.25">
      <c r="D212">
        <f>+Hoja1!A203</f>
        <v>210101020</v>
      </c>
      <c r="E212" t="str">
        <f>+Hoja1!B203</f>
        <v>OBLIG.A PAGAR FINANCIERAS</v>
      </c>
      <c r="F212" t="str">
        <f>+Hoja1!E203</f>
        <v>PS</v>
      </c>
      <c r="G212">
        <f>IF(Hoja1!F203="NO",0,1)</f>
        <v>1</v>
      </c>
      <c r="H212">
        <f>IF(Hoja1!I203="NO",0,1)</f>
        <v>1</v>
      </c>
      <c r="I212" t="s">
        <v>520</v>
      </c>
      <c r="J212">
        <f>IF(Hoja1!G203="NO",0,1)</f>
        <v>0</v>
      </c>
      <c r="K212">
        <f>IF(Hoja1!H203="NO",0,1)</f>
        <v>1</v>
      </c>
      <c r="L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X212">
        <f t="shared" si="3"/>
        <v>1</v>
      </c>
      <c r="Y212" s="28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4:33" x14ac:dyDescent="0.25">
      <c r="D213">
        <f>+Hoja1!A204</f>
        <v>210101022</v>
      </c>
      <c r="E213" t="str">
        <f>+Hoja1!B204</f>
        <v>OBLIG.A PAGAR PRESTAMO</v>
      </c>
      <c r="F213" t="str">
        <f>+Hoja1!E204</f>
        <v>PS</v>
      </c>
      <c r="G213">
        <f>IF(Hoja1!F204="NO",0,1)</f>
        <v>1</v>
      </c>
      <c r="H213">
        <f>IF(Hoja1!I204="NO",0,1)</f>
        <v>1</v>
      </c>
      <c r="I213" t="s">
        <v>520</v>
      </c>
      <c r="J213">
        <f>IF(Hoja1!G204="NO",0,1)</f>
        <v>0</v>
      </c>
      <c r="K213">
        <f>IF(Hoja1!H204="NO",0,1)</f>
        <v>1</v>
      </c>
      <c r="L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X213">
        <f t="shared" si="3"/>
        <v>1</v>
      </c>
      <c r="Y213" s="28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4:33" x14ac:dyDescent="0.25">
      <c r="D214">
        <f>+Hoja1!A205</f>
        <v>210101027</v>
      </c>
      <c r="E214" t="str">
        <f>+Hoja1!B205</f>
        <v>LEASING A PAGAR BIENES DE USO</v>
      </c>
      <c r="F214" t="str">
        <f>+Hoja1!E205</f>
        <v>PS</v>
      </c>
      <c r="G214">
        <f>IF(Hoja1!F205="NO",0,1)</f>
        <v>1</v>
      </c>
      <c r="H214">
        <f>IF(Hoja1!I205="NO",0,1)</f>
        <v>1</v>
      </c>
      <c r="I214" t="s">
        <v>520</v>
      </c>
      <c r="J214">
        <f>IF(Hoja1!G205="NO",0,1)</f>
        <v>0</v>
      </c>
      <c r="K214">
        <f>IF(Hoja1!H205="NO",0,1)</f>
        <v>1</v>
      </c>
      <c r="L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X214">
        <f t="shared" si="3"/>
        <v>1</v>
      </c>
      <c r="Y214" s="28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4:33" x14ac:dyDescent="0.25">
      <c r="D215">
        <f>+Hoja1!A206</f>
        <v>210101030</v>
      </c>
      <c r="E215" t="str">
        <f>+Hoja1!B206</f>
        <v>FACTURAS A RECIBIR</v>
      </c>
      <c r="F215" t="str">
        <f>+Hoja1!E206</f>
        <v>PS</v>
      </c>
      <c r="G215">
        <f>IF(Hoja1!F206="NO",0,1)</f>
        <v>1</v>
      </c>
      <c r="H215">
        <f>IF(Hoja1!I206="NO",0,1)</f>
        <v>1</v>
      </c>
      <c r="I215" t="s">
        <v>520</v>
      </c>
      <c r="J215">
        <f>IF(Hoja1!G206="NO",0,1)</f>
        <v>0</v>
      </c>
      <c r="K215">
        <f>IF(Hoja1!H206="NO",0,1)</f>
        <v>1</v>
      </c>
      <c r="L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X215">
        <f t="shared" si="3"/>
        <v>1</v>
      </c>
      <c r="Y215" s="28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4:33" x14ac:dyDescent="0.25">
      <c r="D216">
        <f>+Hoja1!A207</f>
        <v>210101085</v>
      </c>
      <c r="E216" t="str">
        <f>+Hoja1!B207</f>
        <v>PROVISION CTAS POR PAGAR</v>
      </c>
      <c r="F216" t="str">
        <f>+Hoja1!E207</f>
        <v>PS</v>
      </c>
      <c r="G216">
        <f>IF(Hoja1!F207="NO",0,1)</f>
        <v>1</v>
      </c>
      <c r="H216">
        <f>IF(Hoja1!I207="NO",0,1)</f>
        <v>1</v>
      </c>
      <c r="I216" t="s">
        <v>520</v>
      </c>
      <c r="J216">
        <f>IF(Hoja1!G207="NO",0,1)</f>
        <v>0</v>
      </c>
      <c r="K216">
        <f>IF(Hoja1!H207="NO",0,1)</f>
        <v>1</v>
      </c>
      <c r="L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X216">
        <f t="shared" si="3"/>
        <v>1</v>
      </c>
      <c r="Y216" s="28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4:33" x14ac:dyDescent="0.25">
      <c r="D217">
        <f>+Hoja1!A208</f>
        <v>210105</v>
      </c>
      <c r="E217" t="str">
        <f>+Hoja1!B208</f>
        <v>OTRAS</v>
      </c>
      <c r="F217" t="str">
        <f>+Hoja1!E208</f>
        <v>PS</v>
      </c>
      <c r="G217">
        <f>IF(Hoja1!F208="NO",0,1)</f>
        <v>0</v>
      </c>
      <c r="H217">
        <f>IF(Hoja1!I208="NO",0,1)</f>
        <v>1</v>
      </c>
      <c r="I217" t="s">
        <v>520</v>
      </c>
      <c r="J217">
        <f>IF(Hoja1!G208="NO",0,1)</f>
        <v>0</v>
      </c>
      <c r="K217">
        <f>IF(Hoja1!H208="NO",0,1)</f>
        <v>1</v>
      </c>
      <c r="L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X217">
        <f t="shared" si="3"/>
        <v>0</v>
      </c>
      <c r="Y217" s="28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4:33" x14ac:dyDescent="0.25">
      <c r="D218">
        <f>+Hoja1!A209</f>
        <v>210105001</v>
      </c>
      <c r="E218" t="str">
        <f>+Hoja1!B209</f>
        <v>ANTICIPOS DE CLIENTES</v>
      </c>
      <c r="F218" t="str">
        <f>+Hoja1!E209</f>
        <v>PS</v>
      </c>
      <c r="G218">
        <f>IF(Hoja1!F209="NO",0,1)</f>
        <v>1</v>
      </c>
      <c r="H218">
        <f>IF(Hoja1!I209="NO",0,1)</f>
        <v>1</v>
      </c>
      <c r="I218" t="s">
        <v>520</v>
      </c>
      <c r="J218">
        <f>IF(Hoja1!G209="NO",0,1)</f>
        <v>0</v>
      </c>
      <c r="K218">
        <f>IF(Hoja1!H209="NO",0,1)</f>
        <v>1</v>
      </c>
      <c r="L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X218">
        <f t="shared" si="3"/>
        <v>1</v>
      </c>
      <c r="Y218" s="2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4:33" x14ac:dyDescent="0.25">
      <c r="D219">
        <f>+Hoja1!A210</f>
        <v>210105010</v>
      </c>
      <c r="E219" t="str">
        <f>+Hoja1!B210</f>
        <v>ANTICIPOS CLIENTES EN M.EXTRANJERA</v>
      </c>
      <c r="F219" t="str">
        <f>+Hoja1!E210</f>
        <v>DL</v>
      </c>
      <c r="G219">
        <f>IF(Hoja1!F210="NO",0,1)</f>
        <v>1</v>
      </c>
      <c r="H219">
        <f>IF(Hoja1!I210="NO",0,1)</f>
        <v>1</v>
      </c>
      <c r="I219" t="s">
        <v>520</v>
      </c>
      <c r="J219">
        <f>IF(Hoja1!G210="NO",0,1)</f>
        <v>0</v>
      </c>
      <c r="K219">
        <f>IF(Hoja1!H210="NO",0,1)</f>
        <v>1</v>
      </c>
      <c r="L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X219">
        <f t="shared" si="3"/>
        <v>1</v>
      </c>
      <c r="Y219" s="28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4:33" x14ac:dyDescent="0.25">
      <c r="D220">
        <f>+Hoja1!A211</f>
        <v>210105060</v>
      </c>
      <c r="E220" t="str">
        <f>+Hoja1!B211</f>
        <v>ACREEDORES VARIOS</v>
      </c>
      <c r="F220" t="str">
        <f>+Hoja1!E211</f>
        <v>PS</v>
      </c>
      <c r="G220">
        <f>IF(Hoja1!F211="NO",0,1)</f>
        <v>1</v>
      </c>
      <c r="H220">
        <f>IF(Hoja1!I211="NO",0,1)</f>
        <v>1</v>
      </c>
      <c r="I220" t="s">
        <v>520</v>
      </c>
      <c r="J220">
        <f>IF(Hoja1!G211="NO",0,1)</f>
        <v>0</v>
      </c>
      <c r="K220">
        <f>IF(Hoja1!H211="NO",0,1)</f>
        <v>1</v>
      </c>
      <c r="L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X220">
        <f t="shared" si="3"/>
        <v>1</v>
      </c>
      <c r="Y220" s="28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4:33" x14ac:dyDescent="0.25">
      <c r="D221">
        <f>+Hoja1!A212</f>
        <v>210105100</v>
      </c>
      <c r="E221" t="str">
        <f>+Hoja1!B212</f>
        <v>CHEQUE DIFERIDO BCO</v>
      </c>
      <c r="F221" t="str">
        <f>+Hoja1!E212</f>
        <v>PS</v>
      </c>
      <c r="G221">
        <f>IF(Hoja1!F212="NO",0,1)</f>
        <v>1</v>
      </c>
      <c r="H221">
        <f>IF(Hoja1!I212="NO",0,1)</f>
        <v>1</v>
      </c>
      <c r="I221" t="s">
        <v>520</v>
      </c>
      <c r="J221">
        <f>IF(Hoja1!G212="NO",0,1)</f>
        <v>0</v>
      </c>
      <c r="K221">
        <f>IF(Hoja1!H212="NO",0,1)</f>
        <v>1</v>
      </c>
      <c r="L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X221">
        <f t="shared" si="3"/>
        <v>1</v>
      </c>
      <c r="Y221" s="28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4:33" x14ac:dyDescent="0.25">
      <c r="D222">
        <f>+Hoja1!A213</f>
        <v>2102</v>
      </c>
      <c r="E222" t="str">
        <f>+Hoja1!B213</f>
        <v>PRESTAMOS</v>
      </c>
      <c r="F222" t="str">
        <f>+Hoja1!E213</f>
        <v>PS</v>
      </c>
      <c r="G222">
        <f>IF(Hoja1!F213="NO",0,1)</f>
        <v>0</v>
      </c>
      <c r="H222">
        <f>IF(Hoja1!I213="NO",0,1)</f>
        <v>1</v>
      </c>
      <c r="I222" t="s">
        <v>520</v>
      </c>
      <c r="J222">
        <f>IF(Hoja1!G213="NO",0,1)</f>
        <v>0</v>
      </c>
      <c r="K222">
        <f>IF(Hoja1!H213="NO",0,1)</f>
        <v>1</v>
      </c>
      <c r="L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X222">
        <f t="shared" si="3"/>
        <v>0</v>
      </c>
      <c r="Y222" s="28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4:33" x14ac:dyDescent="0.25">
      <c r="D223">
        <f>+Hoja1!A214</f>
        <v>210201</v>
      </c>
      <c r="E223" t="str">
        <f>+Hoja1!B214</f>
        <v>ADELANTOS EN CUENTA CORRIENTE</v>
      </c>
      <c r="F223" t="str">
        <f>+Hoja1!E214</f>
        <v>PS</v>
      </c>
      <c r="G223">
        <f>IF(Hoja1!F214="NO",0,1)</f>
        <v>0</v>
      </c>
      <c r="H223">
        <f>IF(Hoja1!I214="NO",0,1)</f>
        <v>1</v>
      </c>
      <c r="I223" t="s">
        <v>520</v>
      </c>
      <c r="J223">
        <f>IF(Hoja1!G214="NO",0,1)</f>
        <v>0</v>
      </c>
      <c r="K223">
        <f>IF(Hoja1!H214="NO",0,1)</f>
        <v>1</v>
      </c>
      <c r="L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X223">
        <f t="shared" si="3"/>
        <v>0</v>
      </c>
      <c r="Y223" s="28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4:33" x14ac:dyDescent="0.25">
      <c r="D224">
        <f>+Hoja1!A215</f>
        <v>210205030</v>
      </c>
      <c r="E224" t="str">
        <f>+Hoja1!B215</f>
        <v>INTERESES A PAGAR OBLIG.BANCAR</v>
      </c>
      <c r="F224" t="str">
        <f>+Hoja1!E215</f>
        <v>PS</v>
      </c>
      <c r="G224">
        <f>IF(Hoja1!F215="NO",0,1)</f>
        <v>1</v>
      </c>
      <c r="H224">
        <f>IF(Hoja1!I215="NO",0,1)</f>
        <v>1</v>
      </c>
      <c r="I224" t="s">
        <v>520</v>
      </c>
      <c r="J224">
        <f>IF(Hoja1!G215="NO",0,1)</f>
        <v>0</v>
      </c>
      <c r="K224">
        <f>IF(Hoja1!H215="NO",0,1)</f>
        <v>1</v>
      </c>
      <c r="L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X224">
        <f t="shared" si="3"/>
        <v>1</v>
      </c>
      <c r="Y224" s="28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4:33" x14ac:dyDescent="0.25">
      <c r="D225">
        <f>+Hoja1!A216</f>
        <v>210210</v>
      </c>
      <c r="E225" t="str">
        <f>+Hoja1!B216</f>
        <v>OBLIGACIONES A PAGAR FINANCIERAS</v>
      </c>
      <c r="F225" t="str">
        <f>+Hoja1!E216</f>
        <v>PS</v>
      </c>
      <c r="G225">
        <f>IF(Hoja1!F216="NO",0,1)</f>
        <v>0</v>
      </c>
      <c r="H225">
        <f>IF(Hoja1!I216="NO",0,1)</f>
        <v>1</v>
      </c>
      <c r="I225" t="s">
        <v>520</v>
      </c>
      <c r="J225">
        <f>IF(Hoja1!G216="NO",0,1)</f>
        <v>0</v>
      </c>
      <c r="K225">
        <f>IF(Hoja1!H216="NO",0,1)</f>
        <v>1</v>
      </c>
      <c r="L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X225">
        <f t="shared" si="3"/>
        <v>0</v>
      </c>
      <c r="Y225" s="28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4:33" x14ac:dyDescent="0.25">
      <c r="D226">
        <f>+Hoja1!A217</f>
        <v>210210001</v>
      </c>
      <c r="E226" t="str">
        <f>+Hoja1!B217</f>
        <v>FINANCIERAS LOCALES</v>
      </c>
      <c r="F226" t="str">
        <f>+Hoja1!E217</f>
        <v>PS</v>
      </c>
      <c r="G226">
        <f>IF(Hoja1!F217="NO",0,1)</f>
        <v>1</v>
      </c>
      <c r="H226">
        <f>IF(Hoja1!I217="NO",0,1)</f>
        <v>1</v>
      </c>
      <c r="I226" t="s">
        <v>520</v>
      </c>
      <c r="J226">
        <f>IF(Hoja1!G217="NO",0,1)</f>
        <v>0</v>
      </c>
      <c r="K226">
        <f>IF(Hoja1!H217="NO",0,1)</f>
        <v>1</v>
      </c>
      <c r="L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X226">
        <f t="shared" si="3"/>
        <v>1</v>
      </c>
      <c r="Y226" s="28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4:33" x14ac:dyDescent="0.25">
      <c r="D227">
        <f>+Hoja1!A218</f>
        <v>210210010</v>
      </c>
      <c r="E227" t="str">
        <f>+Hoja1!B218</f>
        <v>FINANC. EXTERIOR</v>
      </c>
      <c r="F227" t="str">
        <f>+Hoja1!E218</f>
        <v>PS</v>
      </c>
      <c r="G227">
        <f>IF(Hoja1!F218="NO",0,1)</f>
        <v>1</v>
      </c>
      <c r="H227">
        <f>IF(Hoja1!I218="NO",0,1)</f>
        <v>1</v>
      </c>
      <c r="I227" t="s">
        <v>520</v>
      </c>
      <c r="J227">
        <f>IF(Hoja1!G218="NO",0,1)</f>
        <v>0</v>
      </c>
      <c r="K227">
        <f>IF(Hoja1!H218="NO",0,1)</f>
        <v>1</v>
      </c>
      <c r="L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X227">
        <f t="shared" si="3"/>
        <v>1</v>
      </c>
      <c r="Y227" s="28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4:33" x14ac:dyDescent="0.25">
      <c r="D228">
        <f>+Hoja1!A219</f>
        <v>2103</v>
      </c>
      <c r="E228" t="str">
        <f>+Hoja1!B219</f>
        <v>REMUNERAC. Y CARGAS SOCIALES</v>
      </c>
      <c r="F228" t="str">
        <f>+Hoja1!E219</f>
        <v>PS</v>
      </c>
      <c r="G228">
        <f>IF(Hoja1!F219="NO",0,1)</f>
        <v>0</v>
      </c>
      <c r="H228">
        <f>IF(Hoja1!I219="NO",0,1)</f>
        <v>1</v>
      </c>
      <c r="I228" t="s">
        <v>520</v>
      </c>
      <c r="J228">
        <f>IF(Hoja1!G219="NO",0,1)</f>
        <v>0</v>
      </c>
      <c r="K228">
        <f>IF(Hoja1!H219="NO",0,1)</f>
        <v>1</v>
      </c>
      <c r="L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X228">
        <f t="shared" si="3"/>
        <v>0</v>
      </c>
      <c r="Y228" s="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4:33" x14ac:dyDescent="0.25">
      <c r="D229">
        <f>+Hoja1!A220</f>
        <v>210301</v>
      </c>
      <c r="E229" t="str">
        <f>+Hoja1!B220</f>
        <v>SUELDOS A PAGAR</v>
      </c>
      <c r="F229" t="str">
        <f>+Hoja1!E220</f>
        <v>PS</v>
      </c>
      <c r="G229">
        <f>IF(Hoja1!F220="NO",0,1)</f>
        <v>0</v>
      </c>
      <c r="H229">
        <f>IF(Hoja1!I220="NO",0,1)</f>
        <v>1</v>
      </c>
      <c r="I229" t="s">
        <v>520</v>
      </c>
      <c r="J229">
        <f>IF(Hoja1!G220="NO",0,1)</f>
        <v>0</v>
      </c>
      <c r="K229">
        <f>IF(Hoja1!H220="NO",0,1)</f>
        <v>1</v>
      </c>
      <c r="L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X229">
        <f t="shared" si="3"/>
        <v>0</v>
      </c>
      <c r="Y229" s="28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4:33" x14ac:dyDescent="0.25">
      <c r="D230">
        <f>+Hoja1!A221</f>
        <v>210301005</v>
      </c>
      <c r="E230" t="str">
        <f>+Hoja1!B221</f>
        <v>SUELDOS Y JORNALES A PAGAR</v>
      </c>
      <c r="F230" t="str">
        <f>+Hoja1!E221</f>
        <v>PS</v>
      </c>
      <c r="G230">
        <f>IF(Hoja1!F221="NO",0,1)</f>
        <v>1</v>
      </c>
      <c r="H230">
        <f>IF(Hoja1!I221="NO",0,1)</f>
        <v>1</v>
      </c>
      <c r="I230" t="s">
        <v>520</v>
      </c>
      <c r="J230">
        <f>IF(Hoja1!G221="NO",0,1)</f>
        <v>0</v>
      </c>
      <c r="K230">
        <f>IF(Hoja1!H221="NO",0,1)</f>
        <v>1</v>
      </c>
      <c r="L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X230">
        <f t="shared" si="3"/>
        <v>1</v>
      </c>
      <c r="Y230" s="28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4:33" x14ac:dyDescent="0.25">
      <c r="D231">
        <f>+Hoja1!A222</f>
        <v>210301010</v>
      </c>
      <c r="E231" t="str">
        <f>+Hoja1!B222</f>
        <v>SUELDOS Y JORNALES NO RECLAM.</v>
      </c>
      <c r="F231" t="str">
        <f>+Hoja1!E222</f>
        <v>PS</v>
      </c>
      <c r="G231">
        <f>IF(Hoja1!F222="NO",0,1)</f>
        <v>1</v>
      </c>
      <c r="H231">
        <f>IF(Hoja1!I222="NO",0,1)</f>
        <v>1</v>
      </c>
      <c r="I231" t="s">
        <v>520</v>
      </c>
      <c r="J231">
        <f>IF(Hoja1!G222="NO",0,1)</f>
        <v>0</v>
      </c>
      <c r="K231">
        <f>IF(Hoja1!H222="NO",0,1)</f>
        <v>1</v>
      </c>
      <c r="L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X231">
        <f t="shared" si="3"/>
        <v>1</v>
      </c>
      <c r="Y231" s="28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4:33" x14ac:dyDescent="0.25">
      <c r="D232">
        <f>+Hoja1!A223</f>
        <v>210301020</v>
      </c>
      <c r="E232" t="str">
        <f>+Hoja1!B223</f>
        <v>ANTICIPOS AL PERSONAL</v>
      </c>
      <c r="F232" t="str">
        <f>+Hoja1!E223</f>
        <v>PS</v>
      </c>
      <c r="G232">
        <f>IF(Hoja1!F223="NO",0,1)</f>
        <v>1</v>
      </c>
      <c r="H232">
        <f>IF(Hoja1!I223="NO",0,1)</f>
        <v>1</v>
      </c>
      <c r="I232" t="s">
        <v>520</v>
      </c>
      <c r="J232">
        <f>IF(Hoja1!G223="NO",0,1)</f>
        <v>0</v>
      </c>
      <c r="K232">
        <f>IF(Hoja1!H223="NO",0,1)</f>
        <v>1</v>
      </c>
      <c r="L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X232">
        <f t="shared" si="3"/>
        <v>1</v>
      </c>
      <c r="Y232" s="28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4:33" x14ac:dyDescent="0.25">
      <c r="D233">
        <f>+Hoja1!A224</f>
        <v>210301030</v>
      </c>
      <c r="E233" t="str">
        <f>+Hoja1!B224</f>
        <v>ANTICIPOS PRENDAS PERS</v>
      </c>
      <c r="F233" t="str">
        <f>+Hoja1!E224</f>
        <v>PS</v>
      </c>
      <c r="G233">
        <f>IF(Hoja1!F224="NO",0,1)</f>
        <v>1</v>
      </c>
      <c r="H233">
        <f>IF(Hoja1!I224="NO",0,1)</f>
        <v>1</v>
      </c>
      <c r="I233" t="s">
        <v>520</v>
      </c>
      <c r="J233">
        <f>IF(Hoja1!G224="NO",0,1)</f>
        <v>0</v>
      </c>
      <c r="K233">
        <f>IF(Hoja1!H224="NO",0,1)</f>
        <v>1</v>
      </c>
      <c r="L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X233">
        <f t="shared" si="3"/>
        <v>1</v>
      </c>
      <c r="Y233" s="28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4:33" x14ac:dyDescent="0.25">
      <c r="D234">
        <f>+Hoja1!A225</f>
        <v>210301040</v>
      </c>
      <c r="E234" t="str">
        <f>+Hoja1!B225</f>
        <v>PROVISION S.A.C.</v>
      </c>
      <c r="F234" t="str">
        <f>+Hoja1!E225</f>
        <v>PS</v>
      </c>
      <c r="G234">
        <f>IF(Hoja1!F225="NO",0,1)</f>
        <v>1</v>
      </c>
      <c r="H234">
        <f>IF(Hoja1!I225="NO",0,1)</f>
        <v>1</v>
      </c>
      <c r="I234" t="s">
        <v>520</v>
      </c>
      <c r="J234">
        <f>IF(Hoja1!G225="NO",0,1)</f>
        <v>0</v>
      </c>
      <c r="K234">
        <f>IF(Hoja1!H225="NO",0,1)</f>
        <v>1</v>
      </c>
      <c r="L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X234">
        <f t="shared" si="3"/>
        <v>1</v>
      </c>
      <c r="Y234" s="28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4:33" x14ac:dyDescent="0.25">
      <c r="D235">
        <f>+Hoja1!A226</f>
        <v>210301050</v>
      </c>
      <c r="E235" t="str">
        <f>+Hoja1!B226</f>
        <v>PROVISION VACACIONES</v>
      </c>
      <c r="F235" t="str">
        <f>+Hoja1!E226</f>
        <v>PS</v>
      </c>
      <c r="G235">
        <f>IF(Hoja1!F226="NO",0,1)</f>
        <v>1</v>
      </c>
      <c r="H235">
        <f>IF(Hoja1!I226="NO",0,1)</f>
        <v>1</v>
      </c>
      <c r="I235" t="s">
        <v>520</v>
      </c>
      <c r="J235">
        <f>IF(Hoja1!G226="NO",0,1)</f>
        <v>0</v>
      </c>
      <c r="K235">
        <f>IF(Hoja1!H226="NO",0,1)</f>
        <v>1</v>
      </c>
      <c r="L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X235">
        <f t="shared" si="3"/>
        <v>1</v>
      </c>
      <c r="Y235" s="28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4:33" x14ac:dyDescent="0.25">
      <c r="D236">
        <f>+Hoja1!A227</f>
        <v>210305</v>
      </c>
      <c r="E236" t="str">
        <f>+Hoja1!B227</f>
        <v>Reg. Nac. de la Seg. Social</v>
      </c>
      <c r="F236" t="str">
        <f>+Hoja1!E227</f>
        <v>PS</v>
      </c>
      <c r="G236">
        <f>IF(Hoja1!F227="NO",0,1)</f>
        <v>0</v>
      </c>
      <c r="H236">
        <f>IF(Hoja1!I227="NO",0,1)</f>
        <v>1</v>
      </c>
      <c r="I236" t="s">
        <v>520</v>
      </c>
      <c r="J236">
        <f>IF(Hoja1!G227="NO",0,1)</f>
        <v>0</v>
      </c>
      <c r="K236">
        <f>IF(Hoja1!H227="NO",0,1)</f>
        <v>1</v>
      </c>
      <c r="L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X236">
        <f t="shared" si="3"/>
        <v>0</v>
      </c>
      <c r="Y236" s="28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4:33" x14ac:dyDescent="0.25">
      <c r="D237">
        <f>+Hoja1!A228</f>
        <v>210305001</v>
      </c>
      <c r="E237" t="str">
        <f>+Hoja1!B228</f>
        <v>REG.N.SEG.SOCIAL</v>
      </c>
      <c r="F237" t="str">
        <f>+Hoja1!E228</f>
        <v>PS</v>
      </c>
      <c r="G237">
        <f>IF(Hoja1!F228="NO",0,1)</f>
        <v>1</v>
      </c>
      <c r="H237">
        <f>IF(Hoja1!I228="NO",0,1)</f>
        <v>1</v>
      </c>
      <c r="I237" t="s">
        <v>520</v>
      </c>
      <c r="J237">
        <f>IF(Hoja1!G228="NO",0,1)</f>
        <v>0</v>
      </c>
      <c r="K237">
        <f>IF(Hoja1!H228="NO",0,1)</f>
        <v>1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X237">
        <f t="shared" si="3"/>
        <v>1</v>
      </c>
      <c r="Y237" s="28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4:33" x14ac:dyDescent="0.25">
      <c r="D238">
        <f>+Hoja1!A229</f>
        <v>210305020</v>
      </c>
      <c r="E238" t="str">
        <f>+Hoja1!B229</f>
        <v>INTERESES A PAGAR SEG.SOCIAL</v>
      </c>
      <c r="F238" t="str">
        <f>+Hoja1!E229</f>
        <v>PS</v>
      </c>
      <c r="G238">
        <f>IF(Hoja1!F229="NO",0,1)</f>
        <v>1</v>
      </c>
      <c r="H238">
        <f>IF(Hoja1!I229="NO",0,1)</f>
        <v>1</v>
      </c>
      <c r="I238" t="s">
        <v>520</v>
      </c>
      <c r="J238">
        <f>IF(Hoja1!G229="NO",0,1)</f>
        <v>0</v>
      </c>
      <c r="K238">
        <f>IF(Hoja1!H229="NO",0,1)</f>
        <v>1</v>
      </c>
      <c r="L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X238">
        <f t="shared" si="3"/>
        <v>1</v>
      </c>
      <c r="Y238" s="2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4:33" x14ac:dyDescent="0.25">
      <c r="D239">
        <f>+Hoja1!A230</f>
        <v>210305038</v>
      </c>
      <c r="E239" t="str">
        <f>+Hoja1!B230</f>
        <v>CARGAS SOCIALES A PAGAR</v>
      </c>
      <c r="F239" t="str">
        <f>+Hoja1!E230</f>
        <v>PS</v>
      </c>
      <c r="G239">
        <f>IF(Hoja1!F230="NO",0,1)</f>
        <v>1</v>
      </c>
      <c r="H239">
        <f>IF(Hoja1!I230="NO",0,1)</f>
        <v>1</v>
      </c>
      <c r="I239" t="s">
        <v>520</v>
      </c>
      <c r="J239">
        <f>IF(Hoja1!G230="NO",0,1)</f>
        <v>0</v>
      </c>
      <c r="K239">
        <f>IF(Hoja1!H230="NO",0,1)</f>
        <v>1</v>
      </c>
      <c r="L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X239">
        <f t="shared" si="3"/>
        <v>1</v>
      </c>
      <c r="Y239" s="28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4:33" x14ac:dyDescent="0.25">
      <c r="D240">
        <f>+Hoja1!A231</f>
        <v>210305040</v>
      </c>
      <c r="E240" t="str">
        <f>+Hoja1!B231</f>
        <v>PLAN DE PAGOS CARGAS SOCIALES</v>
      </c>
      <c r="F240" t="str">
        <f>+Hoja1!E231</f>
        <v>PS</v>
      </c>
      <c r="G240">
        <f>IF(Hoja1!F231="NO",0,1)</f>
        <v>1</v>
      </c>
      <c r="H240">
        <f>IF(Hoja1!I231="NO",0,1)</f>
        <v>1</v>
      </c>
      <c r="I240" t="s">
        <v>520</v>
      </c>
      <c r="J240">
        <f>IF(Hoja1!G231="NO",0,1)</f>
        <v>0</v>
      </c>
      <c r="K240">
        <f>IF(Hoja1!H231="NO",0,1)</f>
        <v>1</v>
      </c>
      <c r="L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X240">
        <f t="shared" si="3"/>
        <v>1</v>
      </c>
      <c r="Y240" s="28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4:33" x14ac:dyDescent="0.25">
      <c r="D241">
        <f>+Hoja1!A232</f>
        <v>210305050</v>
      </c>
      <c r="E241" t="str">
        <f>+Hoja1!B232</f>
        <v>INTERES A DEV. DEUDAS SOCIALES</v>
      </c>
      <c r="F241" t="str">
        <f>+Hoja1!E232</f>
        <v>PS</v>
      </c>
      <c r="G241">
        <f>IF(Hoja1!F232="NO",0,1)</f>
        <v>1</v>
      </c>
      <c r="H241">
        <f>IF(Hoja1!I232="NO",0,1)</f>
        <v>1</v>
      </c>
      <c r="I241" t="s">
        <v>520</v>
      </c>
      <c r="J241">
        <f>IF(Hoja1!G232="NO",0,1)</f>
        <v>0</v>
      </c>
      <c r="K241">
        <f>IF(Hoja1!H232="NO",0,1)</f>
        <v>1</v>
      </c>
      <c r="L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X241">
        <f t="shared" si="3"/>
        <v>1</v>
      </c>
      <c r="Y241" s="28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4:33" x14ac:dyDescent="0.25">
      <c r="D242">
        <f>+Hoja1!A233</f>
        <v>210310050</v>
      </c>
      <c r="E242" t="str">
        <f>+Hoja1!B233</f>
        <v>A.R.T.</v>
      </c>
      <c r="F242" t="str">
        <f>+Hoja1!E233</f>
        <v>PS</v>
      </c>
      <c r="G242">
        <f>IF(Hoja1!F233="NO",0,1)</f>
        <v>1</v>
      </c>
      <c r="H242">
        <f>IF(Hoja1!I233="NO",0,1)</f>
        <v>1</v>
      </c>
      <c r="I242" t="s">
        <v>520</v>
      </c>
      <c r="J242">
        <f>IF(Hoja1!G233="NO",0,1)</f>
        <v>0</v>
      </c>
      <c r="K242">
        <f>IF(Hoja1!H233="NO",0,1)</f>
        <v>1</v>
      </c>
      <c r="L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X242">
        <f t="shared" si="3"/>
        <v>1</v>
      </c>
      <c r="Y242" s="28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4:33" x14ac:dyDescent="0.25">
      <c r="D243">
        <f>+Hoja1!A234</f>
        <v>210315</v>
      </c>
      <c r="E243" t="str">
        <f>+Hoja1!B234</f>
        <v>CUOTAS SINDICALES</v>
      </c>
      <c r="F243" t="str">
        <f>+Hoja1!E234</f>
        <v>PS</v>
      </c>
      <c r="G243">
        <f>IF(Hoja1!F234="NO",0,1)</f>
        <v>0</v>
      </c>
      <c r="H243">
        <f>IF(Hoja1!I234="NO",0,1)</f>
        <v>1</v>
      </c>
      <c r="I243" t="s">
        <v>520</v>
      </c>
      <c r="J243">
        <f>IF(Hoja1!G234="NO",0,1)</f>
        <v>0</v>
      </c>
      <c r="K243">
        <f>IF(Hoja1!H234="NO",0,1)</f>
        <v>1</v>
      </c>
      <c r="L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X243">
        <f t="shared" si="3"/>
        <v>0</v>
      </c>
      <c r="Y243" s="28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4:33" x14ac:dyDescent="0.25">
      <c r="D244">
        <f>+Hoja1!A235</f>
        <v>210315001</v>
      </c>
      <c r="E244" t="str">
        <f>+Hoja1!B235</f>
        <v>CUOTA SIND. SETIA</v>
      </c>
      <c r="F244" t="str">
        <f>+Hoja1!E235</f>
        <v>PS</v>
      </c>
      <c r="G244">
        <f>IF(Hoja1!F235="NO",0,1)</f>
        <v>1</v>
      </c>
      <c r="H244">
        <f>IF(Hoja1!I235="NO",0,1)</f>
        <v>1</v>
      </c>
      <c r="I244" t="s">
        <v>520</v>
      </c>
      <c r="J244">
        <f>IF(Hoja1!G235="NO",0,1)</f>
        <v>0</v>
      </c>
      <c r="K244">
        <f>IF(Hoja1!H235="NO",0,1)</f>
        <v>1</v>
      </c>
      <c r="L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X244">
        <f t="shared" si="3"/>
        <v>1</v>
      </c>
      <c r="Y244" s="28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4:33" x14ac:dyDescent="0.25">
      <c r="D245">
        <f>+Hoja1!A236</f>
        <v>210315002</v>
      </c>
      <c r="E245" t="str">
        <f>+Hoja1!B236</f>
        <v>SINDICATO</v>
      </c>
      <c r="F245" t="str">
        <f>+Hoja1!E236</f>
        <v>PS</v>
      </c>
      <c r="G245">
        <f>IF(Hoja1!F236="NO",0,1)</f>
        <v>0</v>
      </c>
      <c r="H245">
        <f>IF(Hoja1!I236="NO",0,1)</f>
        <v>1</v>
      </c>
      <c r="I245" t="s">
        <v>520</v>
      </c>
      <c r="J245">
        <f>IF(Hoja1!G236="NO",0,1)</f>
        <v>0</v>
      </c>
      <c r="K245">
        <f>IF(Hoja1!H236="NO",0,1)</f>
        <v>0</v>
      </c>
      <c r="L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X245">
        <f t="shared" si="3"/>
        <v>0</v>
      </c>
      <c r="Y245" s="28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4:33" x14ac:dyDescent="0.25">
      <c r="D246">
        <f>+Hoja1!A237</f>
        <v>210315051</v>
      </c>
      <c r="E246" t="str">
        <f>+Hoja1!B237</f>
        <v>APORTE SEGURO DE VIDA CCT 308/75</v>
      </c>
      <c r="F246" t="str">
        <f>+Hoja1!E237</f>
        <v>PS</v>
      </c>
      <c r="G246">
        <f>IF(Hoja1!F237="NO",0,1)</f>
        <v>1</v>
      </c>
      <c r="H246">
        <f>IF(Hoja1!I237="NO",0,1)</f>
        <v>1</v>
      </c>
      <c r="I246" t="s">
        <v>520</v>
      </c>
      <c r="J246">
        <f>IF(Hoja1!G237="NO",0,1)</f>
        <v>0</v>
      </c>
      <c r="K246">
        <f>IF(Hoja1!H237="NO",0,1)</f>
        <v>1</v>
      </c>
      <c r="L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X246">
        <f t="shared" si="3"/>
        <v>1</v>
      </c>
      <c r="Y246" s="28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4:33" x14ac:dyDescent="0.25">
      <c r="D247">
        <f>+Hoja1!A238</f>
        <v>210315052</v>
      </c>
      <c r="E247" t="str">
        <f>+Hoja1!B238</f>
        <v>SINDICATO A PAGAR</v>
      </c>
      <c r="F247" t="str">
        <f>+Hoja1!E238</f>
        <v>PS</v>
      </c>
      <c r="G247">
        <f>IF(Hoja1!F238="NO",0,1)</f>
        <v>1</v>
      </c>
      <c r="H247">
        <f>IF(Hoja1!I238="NO",0,1)</f>
        <v>1</v>
      </c>
      <c r="I247" t="s">
        <v>520</v>
      </c>
      <c r="J247">
        <f>IF(Hoja1!G238="NO",0,1)</f>
        <v>0</v>
      </c>
      <c r="K247">
        <f>IF(Hoja1!H238="NO",0,1)</f>
        <v>1</v>
      </c>
      <c r="L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X247">
        <f t="shared" si="3"/>
        <v>1</v>
      </c>
      <c r="Y247" s="28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4:33" x14ac:dyDescent="0.25">
      <c r="D248">
        <f>+Hoja1!A239</f>
        <v>210315054</v>
      </c>
      <c r="E248" t="str">
        <f>+Hoja1!B239</f>
        <v>INACAP</v>
      </c>
      <c r="F248" t="str">
        <f>+Hoja1!E239</f>
        <v>PS</v>
      </c>
      <c r="G248">
        <f>IF(Hoja1!F239="NO",0,1)</f>
        <v>0</v>
      </c>
      <c r="H248">
        <f>IF(Hoja1!I239="NO",0,1)</f>
        <v>1</v>
      </c>
      <c r="I248" t="s">
        <v>520</v>
      </c>
      <c r="J248">
        <f>IF(Hoja1!G239="NO",0,1)</f>
        <v>0</v>
      </c>
      <c r="K248">
        <f>IF(Hoja1!H239="NO",0,1)</f>
        <v>0</v>
      </c>
      <c r="L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X248">
        <f t="shared" si="3"/>
        <v>0</v>
      </c>
      <c r="Y248" s="2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4:33" x14ac:dyDescent="0.25">
      <c r="D249">
        <f>+Hoja1!A240</f>
        <v>210315057</v>
      </c>
      <c r="E249" t="str">
        <f>+Hoja1!B240</f>
        <v>FAECYS</v>
      </c>
      <c r="F249" t="str">
        <f>+Hoja1!E240</f>
        <v>PS</v>
      </c>
      <c r="G249">
        <f>IF(Hoja1!F240="NO",0,1)</f>
        <v>0</v>
      </c>
      <c r="H249">
        <f>IF(Hoja1!I240="NO",0,1)</f>
        <v>1</v>
      </c>
      <c r="I249" t="s">
        <v>520</v>
      </c>
      <c r="J249">
        <f>IF(Hoja1!G240="NO",0,1)</f>
        <v>0</v>
      </c>
      <c r="K249">
        <f>IF(Hoja1!H240="NO",0,1)</f>
        <v>0</v>
      </c>
      <c r="L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X249">
        <f t="shared" si="3"/>
        <v>0</v>
      </c>
      <c r="Y249" s="28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4:33" x14ac:dyDescent="0.25">
      <c r="D250">
        <f>+Hoja1!A241</f>
        <v>210315059</v>
      </c>
      <c r="E250" t="str">
        <f>+Hoja1!B241</f>
        <v>LA ESTRELLA</v>
      </c>
      <c r="F250" t="str">
        <f>+Hoja1!E241</f>
        <v>PS</v>
      </c>
      <c r="G250">
        <f>IF(Hoja1!F241="NO",0,1)</f>
        <v>1</v>
      </c>
      <c r="H250">
        <f>IF(Hoja1!I241="NO",0,1)</f>
        <v>1</v>
      </c>
      <c r="I250" t="s">
        <v>520</v>
      </c>
      <c r="J250">
        <f>IF(Hoja1!G241="NO",0,1)</f>
        <v>0</v>
      </c>
      <c r="K250">
        <f>IF(Hoja1!H241="NO",0,1)</f>
        <v>1</v>
      </c>
      <c r="L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X250">
        <f t="shared" si="3"/>
        <v>1</v>
      </c>
      <c r="Y250" s="28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4:33" x14ac:dyDescent="0.25">
      <c r="D251">
        <f>+Hoja1!A242</f>
        <v>210320</v>
      </c>
      <c r="E251" t="str">
        <f>+Hoja1!B242</f>
        <v>OTRAS</v>
      </c>
      <c r="F251" t="str">
        <f>+Hoja1!E242</f>
        <v>PS</v>
      </c>
      <c r="G251">
        <f>IF(Hoja1!F242="NO",0,1)</f>
        <v>0</v>
      </c>
      <c r="H251">
        <f>IF(Hoja1!I242="NO",0,1)</f>
        <v>1</v>
      </c>
      <c r="I251" t="s">
        <v>520</v>
      </c>
      <c r="J251">
        <f>IF(Hoja1!G242="NO",0,1)</f>
        <v>0</v>
      </c>
      <c r="K251">
        <f>IF(Hoja1!H242="NO",0,1)</f>
        <v>1</v>
      </c>
      <c r="L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X251">
        <f t="shared" si="3"/>
        <v>0</v>
      </c>
      <c r="Y251" s="28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4:33" x14ac:dyDescent="0.25">
      <c r="D252">
        <f>+Hoja1!A243</f>
        <v>210320001</v>
      </c>
      <c r="E252" t="str">
        <f>+Hoja1!B243</f>
        <v>EMBARGOS JUDICIALES</v>
      </c>
      <c r="F252" t="str">
        <f>+Hoja1!E243</f>
        <v>PS</v>
      </c>
      <c r="G252">
        <f>IF(Hoja1!F243="NO",0,1)</f>
        <v>1</v>
      </c>
      <c r="H252">
        <f>IF(Hoja1!I243="NO",0,1)</f>
        <v>1</v>
      </c>
      <c r="I252" t="s">
        <v>520</v>
      </c>
      <c r="J252">
        <f>IF(Hoja1!G243="NO",0,1)</f>
        <v>0</v>
      </c>
      <c r="K252">
        <f>IF(Hoja1!H243="NO",0,1)</f>
        <v>1</v>
      </c>
      <c r="L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X252">
        <f t="shared" si="3"/>
        <v>1</v>
      </c>
      <c r="Y252" s="28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4:33" x14ac:dyDescent="0.25">
      <c r="D253">
        <f>+Hoja1!A244</f>
        <v>210320030</v>
      </c>
      <c r="E253" t="str">
        <f>+Hoja1!B244</f>
        <v>INTERESES A PAGAR OTRAS</v>
      </c>
      <c r="F253" t="str">
        <f>+Hoja1!E244</f>
        <v>PS</v>
      </c>
      <c r="G253">
        <f>IF(Hoja1!F244="NO",0,1)</f>
        <v>1</v>
      </c>
      <c r="H253">
        <f>IF(Hoja1!I244="NO",0,1)</f>
        <v>1</v>
      </c>
      <c r="I253" t="s">
        <v>520</v>
      </c>
      <c r="J253">
        <f>IF(Hoja1!G244="NO",0,1)</f>
        <v>0</v>
      </c>
      <c r="K253">
        <f>IF(Hoja1!H244="NO",0,1)</f>
        <v>1</v>
      </c>
      <c r="L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X253">
        <f t="shared" si="3"/>
        <v>1</v>
      </c>
      <c r="Y253" s="28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4:33" x14ac:dyDescent="0.25">
      <c r="D254">
        <f>+Hoja1!A245</f>
        <v>210320050</v>
      </c>
      <c r="E254" t="str">
        <f>+Hoja1!B245</f>
        <v>OTRAS DEUDAS A PAGAR</v>
      </c>
      <c r="F254" t="str">
        <f>+Hoja1!E245</f>
        <v>PS</v>
      </c>
      <c r="G254">
        <f>IF(Hoja1!F245="NO",0,1)</f>
        <v>1</v>
      </c>
      <c r="H254">
        <f>IF(Hoja1!I245="NO",0,1)</f>
        <v>1</v>
      </c>
      <c r="I254" t="s">
        <v>520</v>
      </c>
      <c r="J254">
        <f>IF(Hoja1!G245="NO",0,1)</f>
        <v>0</v>
      </c>
      <c r="K254">
        <f>IF(Hoja1!H245="NO",0,1)</f>
        <v>1</v>
      </c>
      <c r="L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X254">
        <f t="shared" si="3"/>
        <v>1</v>
      </c>
      <c r="Y254" s="28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4:33" x14ac:dyDescent="0.25">
      <c r="D255">
        <f>+Hoja1!A246</f>
        <v>2104</v>
      </c>
      <c r="E255" t="str">
        <f>+Hoja1!B246</f>
        <v>CARGAS FISCALES</v>
      </c>
      <c r="F255" t="str">
        <f>+Hoja1!E246</f>
        <v>PS</v>
      </c>
      <c r="G255">
        <f>IF(Hoja1!F246="NO",0,1)</f>
        <v>0</v>
      </c>
      <c r="H255">
        <f>IF(Hoja1!I246="NO",0,1)</f>
        <v>1</v>
      </c>
      <c r="I255" t="s">
        <v>520</v>
      </c>
      <c r="J255">
        <f>IF(Hoja1!G246="NO",0,1)</f>
        <v>0</v>
      </c>
      <c r="K255">
        <f>IF(Hoja1!H246="NO",0,1)</f>
        <v>1</v>
      </c>
      <c r="L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X255">
        <f t="shared" si="3"/>
        <v>0</v>
      </c>
      <c r="Y255" s="28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4:33" x14ac:dyDescent="0.25">
      <c r="D256">
        <f>+Hoja1!A247</f>
        <v>210401</v>
      </c>
      <c r="E256" t="str">
        <f>+Hoja1!B247</f>
        <v>GANANCIAS</v>
      </c>
      <c r="F256" t="str">
        <f>+Hoja1!E247</f>
        <v>PS</v>
      </c>
      <c r="G256">
        <f>IF(Hoja1!F247="NO",0,1)</f>
        <v>0</v>
      </c>
      <c r="H256">
        <f>IF(Hoja1!I247="NO",0,1)</f>
        <v>1</v>
      </c>
      <c r="I256" t="s">
        <v>520</v>
      </c>
      <c r="J256">
        <f>IF(Hoja1!G247="NO",0,1)</f>
        <v>0</v>
      </c>
      <c r="K256">
        <f>IF(Hoja1!H247="NO",0,1)</f>
        <v>1</v>
      </c>
      <c r="L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X256">
        <f t="shared" si="3"/>
        <v>0</v>
      </c>
      <c r="Y256" s="28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4:33" x14ac:dyDescent="0.25">
      <c r="D257">
        <f>+Hoja1!A248</f>
        <v>210401001</v>
      </c>
      <c r="E257" t="str">
        <f>+Hoja1!B248</f>
        <v>RETENCIONES R.G. Nº 830</v>
      </c>
      <c r="F257" t="str">
        <f>+Hoja1!E248</f>
        <v>PS</v>
      </c>
      <c r="G257">
        <f>IF(Hoja1!F248="NO",0,1)</f>
        <v>1</v>
      </c>
      <c r="H257">
        <f>IF(Hoja1!I248="NO",0,1)</f>
        <v>1</v>
      </c>
      <c r="I257" t="s">
        <v>520</v>
      </c>
      <c r="J257">
        <f>IF(Hoja1!G248="NO",0,1)</f>
        <v>0</v>
      </c>
      <c r="K257">
        <f>IF(Hoja1!H248="NO",0,1)</f>
        <v>1</v>
      </c>
      <c r="L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X257">
        <f t="shared" si="3"/>
        <v>1</v>
      </c>
      <c r="Y257" s="28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4:33" x14ac:dyDescent="0.25">
      <c r="D258">
        <f>+Hoja1!A249</f>
        <v>210401002</v>
      </c>
      <c r="E258" t="str">
        <f>+Hoja1!B249</f>
        <v>RET.GCIAS 4TA CATEGORIA</v>
      </c>
      <c r="F258" t="str">
        <f>+Hoja1!E249</f>
        <v>PS</v>
      </c>
      <c r="G258">
        <f>IF(Hoja1!F249="NO",0,1)</f>
        <v>1</v>
      </c>
      <c r="H258">
        <f>IF(Hoja1!I249="NO",0,1)</f>
        <v>1</v>
      </c>
      <c r="I258" t="s">
        <v>520</v>
      </c>
      <c r="J258">
        <f>IF(Hoja1!G249="NO",0,1)</f>
        <v>0</v>
      </c>
      <c r="K258">
        <f>IF(Hoja1!H249="NO",0,1)</f>
        <v>1</v>
      </c>
      <c r="L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X258">
        <f t="shared" si="3"/>
        <v>1</v>
      </c>
      <c r="Y258" s="2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4:33" x14ac:dyDescent="0.25">
      <c r="D259">
        <f>+Hoja1!A250</f>
        <v>210401003</v>
      </c>
      <c r="E259" t="str">
        <f>+Hoja1!B250</f>
        <v>SICORE A PAGAR</v>
      </c>
      <c r="F259" t="str">
        <f>+Hoja1!E250</f>
        <v>PS</v>
      </c>
      <c r="G259">
        <f>IF(Hoja1!F250="NO",0,1)</f>
        <v>1</v>
      </c>
      <c r="H259">
        <f>IF(Hoja1!I250="NO",0,1)</f>
        <v>1</v>
      </c>
      <c r="I259" t="s">
        <v>520</v>
      </c>
      <c r="J259">
        <f>IF(Hoja1!G250="NO",0,1)</f>
        <v>0</v>
      </c>
      <c r="K259">
        <f>IF(Hoja1!H250="NO",0,1)</f>
        <v>1</v>
      </c>
      <c r="L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X259">
        <f t="shared" si="3"/>
        <v>1</v>
      </c>
      <c r="Y259" s="28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4:33" x14ac:dyDescent="0.25">
      <c r="D260">
        <f>+Hoja1!A251</f>
        <v>210401010</v>
      </c>
      <c r="E260" t="str">
        <f>+Hoja1!B251</f>
        <v>RET GCIAS.BENEF EXTERIOR</v>
      </c>
      <c r="F260" t="str">
        <f>+Hoja1!E251</f>
        <v>PS</v>
      </c>
      <c r="G260">
        <f>IF(Hoja1!F251="NO",0,1)</f>
        <v>1</v>
      </c>
      <c r="H260">
        <f>IF(Hoja1!I251="NO",0,1)</f>
        <v>1</v>
      </c>
      <c r="I260" t="s">
        <v>520</v>
      </c>
      <c r="J260">
        <f>IF(Hoja1!G251="NO",0,1)</f>
        <v>0</v>
      </c>
      <c r="K260">
        <f>IF(Hoja1!H251="NO",0,1)</f>
        <v>1</v>
      </c>
      <c r="L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X260">
        <f t="shared" si="3"/>
        <v>1</v>
      </c>
      <c r="Y260" s="28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4:33" x14ac:dyDescent="0.25">
      <c r="D261">
        <f>+Hoja1!A252</f>
        <v>210401020</v>
      </c>
      <c r="E261" t="str">
        <f>+Hoja1!B252</f>
        <v>GANANCIAS DD.JJ.</v>
      </c>
      <c r="F261" t="str">
        <f>+Hoja1!E252</f>
        <v>PS</v>
      </c>
      <c r="G261">
        <f>IF(Hoja1!F252="NO",0,1)</f>
        <v>1</v>
      </c>
      <c r="H261">
        <f>IF(Hoja1!I252="NO",0,1)</f>
        <v>1</v>
      </c>
      <c r="I261" t="s">
        <v>520</v>
      </c>
      <c r="J261">
        <f>IF(Hoja1!G252="NO",0,1)</f>
        <v>0</v>
      </c>
      <c r="K261">
        <f>IF(Hoja1!H252="NO",0,1)</f>
        <v>1</v>
      </c>
      <c r="L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X261">
        <f t="shared" si="3"/>
        <v>1</v>
      </c>
      <c r="Y261" s="28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4:33" x14ac:dyDescent="0.25">
      <c r="D262">
        <f>+Hoja1!A253</f>
        <v>210401040</v>
      </c>
      <c r="E262" t="str">
        <f>+Hoja1!B253</f>
        <v>PROVISION GANANCIAS</v>
      </c>
      <c r="F262" t="str">
        <f>+Hoja1!E253</f>
        <v>PS</v>
      </c>
      <c r="G262">
        <f>IF(Hoja1!F253="NO",0,1)</f>
        <v>1</v>
      </c>
      <c r="H262">
        <f>IF(Hoja1!I253="NO",0,1)</f>
        <v>1</v>
      </c>
      <c r="I262" t="s">
        <v>520</v>
      </c>
      <c r="J262">
        <f>IF(Hoja1!G253="NO",0,1)</f>
        <v>0</v>
      </c>
      <c r="K262">
        <f>IF(Hoja1!H253="NO",0,1)</f>
        <v>1</v>
      </c>
      <c r="L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X262">
        <f t="shared" si="3"/>
        <v>1</v>
      </c>
      <c r="Y262" s="28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4:33" x14ac:dyDescent="0.25">
      <c r="D263">
        <f>+Hoja1!A254</f>
        <v>210401050</v>
      </c>
      <c r="E263" t="str">
        <f>+Hoja1!B254</f>
        <v>IMPUESTO A LAS GANANCIAS A PAGAR</v>
      </c>
      <c r="F263" t="str">
        <f>+Hoja1!E254</f>
        <v>PS</v>
      </c>
      <c r="G263">
        <f>IF(Hoja1!F254="NO",0,1)</f>
        <v>1</v>
      </c>
      <c r="H263">
        <f>IF(Hoja1!I254="NO",0,1)</f>
        <v>1</v>
      </c>
      <c r="I263" t="s">
        <v>520</v>
      </c>
      <c r="J263">
        <f>IF(Hoja1!G254="NO",0,1)</f>
        <v>0</v>
      </c>
      <c r="K263">
        <f>IF(Hoja1!H254="NO",0,1)</f>
        <v>1</v>
      </c>
      <c r="L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X263">
        <f t="shared" si="3"/>
        <v>1</v>
      </c>
      <c r="Y263" s="28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4:33" x14ac:dyDescent="0.25">
      <c r="D264">
        <f>+Hoja1!A255</f>
        <v>210401060</v>
      </c>
      <c r="E264" t="str">
        <f>+Hoja1!B255</f>
        <v>PLAN FACILIDADES IIBB</v>
      </c>
      <c r="F264" t="str">
        <f>+Hoja1!E255</f>
        <v>PS</v>
      </c>
      <c r="G264">
        <f>IF(Hoja1!F255="NO",0,1)</f>
        <v>1</v>
      </c>
      <c r="H264">
        <f>IF(Hoja1!I255="NO",0,1)</f>
        <v>1</v>
      </c>
      <c r="I264" t="s">
        <v>520</v>
      </c>
      <c r="J264">
        <f>IF(Hoja1!G255="NO",0,1)</f>
        <v>0</v>
      </c>
      <c r="K264">
        <f>IF(Hoja1!H255="NO",0,1)</f>
        <v>1</v>
      </c>
      <c r="L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X264">
        <f t="shared" si="3"/>
        <v>1</v>
      </c>
      <c r="Y264" s="28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4:33" x14ac:dyDescent="0.25">
      <c r="D265">
        <f>+Hoja1!A256</f>
        <v>210410</v>
      </c>
      <c r="E265" t="str">
        <f>+Hoja1!B256</f>
        <v>IVA</v>
      </c>
      <c r="F265" t="str">
        <f>+Hoja1!E256</f>
        <v>PS</v>
      </c>
      <c r="G265">
        <f>IF(Hoja1!F256="NO",0,1)</f>
        <v>0</v>
      </c>
      <c r="H265">
        <f>IF(Hoja1!I256="NO",0,1)</f>
        <v>1</v>
      </c>
      <c r="I265" t="s">
        <v>520</v>
      </c>
      <c r="J265">
        <f>IF(Hoja1!G256="NO",0,1)</f>
        <v>0</v>
      </c>
      <c r="K265">
        <f>IF(Hoja1!H256="NO",0,1)</f>
        <v>1</v>
      </c>
      <c r="L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X265">
        <f t="shared" si="3"/>
        <v>0</v>
      </c>
      <c r="Y265" s="28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4:33" x14ac:dyDescent="0.25">
      <c r="D266">
        <f>+Hoja1!A257</f>
        <v>210410001</v>
      </c>
      <c r="E266" t="str">
        <f>+Hoja1!B257</f>
        <v>IVA VTAS DEB.FISCAL</v>
      </c>
      <c r="F266" t="str">
        <f>+Hoja1!E257</f>
        <v>PS</v>
      </c>
      <c r="G266">
        <f>IF(Hoja1!F257="NO",0,1)</f>
        <v>1</v>
      </c>
      <c r="H266">
        <f>IF(Hoja1!I257="NO",0,1)</f>
        <v>1</v>
      </c>
      <c r="I266" t="s">
        <v>520</v>
      </c>
      <c r="J266">
        <f>IF(Hoja1!G257="NO",0,1)</f>
        <v>0</v>
      </c>
      <c r="K266">
        <f>IF(Hoja1!H257="NO",0,1)</f>
        <v>1</v>
      </c>
      <c r="L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X266">
        <f t="shared" si="3"/>
        <v>1</v>
      </c>
      <c r="Y266" s="28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4:33" x14ac:dyDescent="0.25">
      <c r="D267">
        <f>+Hoja1!A258</f>
        <v>210410010</v>
      </c>
      <c r="E267" t="str">
        <f>+Hoja1!B258</f>
        <v>IVA RET. RG Nº 18 (RG-3125)</v>
      </c>
      <c r="F267" t="str">
        <f>+Hoja1!E258</f>
        <v>PS</v>
      </c>
      <c r="G267">
        <f>IF(Hoja1!F258="NO",0,1)</f>
        <v>1</v>
      </c>
      <c r="H267">
        <f>IF(Hoja1!I258="NO",0,1)</f>
        <v>1</v>
      </c>
      <c r="I267" t="s">
        <v>520</v>
      </c>
      <c r="J267">
        <f>IF(Hoja1!G258="NO",0,1)</f>
        <v>0</v>
      </c>
      <c r="K267">
        <f>IF(Hoja1!H258="NO",0,1)</f>
        <v>1</v>
      </c>
      <c r="L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X267">
        <f t="shared" si="3"/>
        <v>1</v>
      </c>
      <c r="Y267" s="28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4:33" x14ac:dyDescent="0.25">
      <c r="D268">
        <f>+Hoja1!A259</f>
        <v>210410015</v>
      </c>
      <c r="E268" t="str">
        <f>+Hoja1!B259</f>
        <v>IVA RETENCION FACT. "M"</v>
      </c>
      <c r="F268" t="str">
        <f>+Hoja1!E259</f>
        <v>PS</v>
      </c>
      <c r="G268">
        <f>IF(Hoja1!F259="NO",0,1)</f>
        <v>1</v>
      </c>
      <c r="H268">
        <f>IF(Hoja1!I259="NO",0,1)</f>
        <v>1</v>
      </c>
      <c r="I268" t="s">
        <v>520</v>
      </c>
      <c r="J268">
        <f>IF(Hoja1!G259="NO",0,1)</f>
        <v>0</v>
      </c>
      <c r="K268">
        <f>IF(Hoja1!H259="NO",0,1)</f>
        <v>1</v>
      </c>
      <c r="L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X268">
        <f t="shared" si="3"/>
        <v>1</v>
      </c>
      <c r="Y268" s="2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4:33" x14ac:dyDescent="0.25">
      <c r="D269">
        <f>+Hoja1!A260</f>
        <v>210410020</v>
      </c>
      <c r="E269" t="str">
        <f>+Hoja1!B260</f>
        <v>IVA PERCEP.RG Nº 3337 (CLIENTE)</v>
      </c>
      <c r="F269" t="str">
        <f>+Hoja1!E260</f>
        <v>PS</v>
      </c>
      <c r="G269">
        <f>IF(Hoja1!F260="NO",0,1)</f>
        <v>1</v>
      </c>
      <c r="H269">
        <f>IF(Hoja1!I260="NO",0,1)</f>
        <v>1</v>
      </c>
      <c r="I269" t="s">
        <v>520</v>
      </c>
      <c r="J269">
        <f>IF(Hoja1!G260="NO",0,1)</f>
        <v>0</v>
      </c>
      <c r="K269">
        <f>IF(Hoja1!H260="NO",0,1)</f>
        <v>1</v>
      </c>
      <c r="L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X269">
        <f t="shared" si="3"/>
        <v>1</v>
      </c>
      <c r="Y269" s="28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4:33" x14ac:dyDescent="0.25">
      <c r="D270">
        <f>+Hoja1!A261</f>
        <v>210410060</v>
      </c>
      <c r="E270" t="str">
        <f>+Hoja1!B261</f>
        <v>DTO FISCAL MONOTRIBUTO</v>
      </c>
      <c r="F270" t="str">
        <f>+Hoja1!E261</f>
        <v>PS</v>
      </c>
      <c r="G270">
        <f>IF(Hoja1!F261="NO",0,1)</f>
        <v>1</v>
      </c>
      <c r="H270">
        <f>IF(Hoja1!I261="NO",0,1)</f>
        <v>1</v>
      </c>
      <c r="I270" t="s">
        <v>520</v>
      </c>
      <c r="J270">
        <f>IF(Hoja1!G261="NO",0,1)</f>
        <v>0</v>
      </c>
      <c r="K270">
        <f>IF(Hoja1!H261="NO",0,1)</f>
        <v>1</v>
      </c>
      <c r="L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X270">
        <f t="shared" ref="X270:X333" si="4">IF(G270=1,1,0)</f>
        <v>1</v>
      </c>
      <c r="Y270" s="28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4:33" x14ac:dyDescent="0.25">
      <c r="D271">
        <f>+Hoja1!A262</f>
        <v>210410100</v>
      </c>
      <c r="E271" t="str">
        <f>+Hoja1!B262</f>
        <v>CANCELACION DEBITOS FISCALES</v>
      </c>
      <c r="F271" t="str">
        <f>+Hoja1!E262</f>
        <v>PS</v>
      </c>
      <c r="G271">
        <f>IF(Hoja1!F262="NO",0,1)</f>
        <v>1</v>
      </c>
      <c r="H271">
        <f>IF(Hoja1!I262="NO",0,1)</f>
        <v>1</v>
      </c>
      <c r="I271" t="s">
        <v>520</v>
      </c>
      <c r="J271">
        <f>IF(Hoja1!G262="NO",0,1)</f>
        <v>0</v>
      </c>
      <c r="K271">
        <f>IF(Hoja1!H262="NO",0,1)</f>
        <v>1</v>
      </c>
      <c r="L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X271">
        <f t="shared" si="4"/>
        <v>1</v>
      </c>
      <c r="Y271" s="28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4:33" x14ac:dyDescent="0.25">
      <c r="D272">
        <f>+Hoja1!A263</f>
        <v>210415</v>
      </c>
      <c r="E272" t="str">
        <f>+Hoja1!B263</f>
        <v>INGRESOS BRUTOS</v>
      </c>
      <c r="F272" t="str">
        <f>+Hoja1!E263</f>
        <v>PS</v>
      </c>
      <c r="G272">
        <f>IF(Hoja1!F263="NO",0,1)</f>
        <v>0</v>
      </c>
      <c r="H272">
        <f>IF(Hoja1!I263="NO",0,1)</f>
        <v>1</v>
      </c>
      <c r="I272" t="s">
        <v>520</v>
      </c>
      <c r="J272">
        <f>IF(Hoja1!G263="NO",0,1)</f>
        <v>0</v>
      </c>
      <c r="K272">
        <f>IF(Hoja1!H263="NO",0,1)</f>
        <v>1</v>
      </c>
      <c r="L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X272">
        <f t="shared" si="4"/>
        <v>0</v>
      </c>
      <c r="Y272" s="28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4:33" x14ac:dyDescent="0.25">
      <c r="D273">
        <f>+Hoja1!A264</f>
        <v>210415001</v>
      </c>
      <c r="E273" t="str">
        <f>+Hoja1!B264</f>
        <v>IMPUESTO SOBRE LOS IIBB</v>
      </c>
      <c r="F273" t="str">
        <f>+Hoja1!E264</f>
        <v>PS</v>
      </c>
      <c r="G273">
        <f>IF(Hoja1!F264="NO",0,1)</f>
        <v>1</v>
      </c>
      <c r="H273">
        <f>IF(Hoja1!I264="NO",0,1)</f>
        <v>1</v>
      </c>
      <c r="I273" t="s">
        <v>520</v>
      </c>
      <c r="J273">
        <f>IF(Hoja1!G264="NO",0,1)</f>
        <v>0</v>
      </c>
      <c r="K273">
        <f>IF(Hoja1!H264="NO",0,1)</f>
        <v>1</v>
      </c>
      <c r="L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X273">
        <f t="shared" si="4"/>
        <v>1</v>
      </c>
      <c r="Y273" s="28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4:33" x14ac:dyDescent="0.25">
      <c r="D274">
        <f>+Hoja1!A265</f>
        <v>210415030</v>
      </c>
      <c r="E274" t="str">
        <f>+Hoja1!B265</f>
        <v>PROV. INTERESES A PAGAR IIBB</v>
      </c>
      <c r="F274" t="str">
        <f>+Hoja1!E265</f>
        <v>PS</v>
      </c>
      <c r="G274">
        <f>IF(Hoja1!F265="NO",0,1)</f>
        <v>1</v>
      </c>
      <c r="H274">
        <f>IF(Hoja1!I265="NO",0,1)</f>
        <v>1</v>
      </c>
      <c r="I274" t="s">
        <v>520</v>
      </c>
      <c r="J274">
        <f>IF(Hoja1!G265="NO",0,1)</f>
        <v>0</v>
      </c>
      <c r="K274">
        <f>IF(Hoja1!H265="NO",0,1)</f>
        <v>1</v>
      </c>
      <c r="L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X274">
        <f t="shared" si="4"/>
        <v>1</v>
      </c>
      <c r="Y274" s="28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4:33" x14ac:dyDescent="0.25">
      <c r="D275">
        <f>+Hoja1!A266</f>
        <v>210420</v>
      </c>
      <c r="E275" t="str">
        <f>+Hoja1!B266</f>
        <v>OTRAS</v>
      </c>
      <c r="F275" t="str">
        <f>+Hoja1!E266</f>
        <v>PS</v>
      </c>
      <c r="G275">
        <f>IF(Hoja1!F266="NO",0,1)</f>
        <v>0</v>
      </c>
      <c r="H275">
        <f>IF(Hoja1!I266="NO",0,1)</f>
        <v>1</v>
      </c>
      <c r="I275" t="s">
        <v>520</v>
      </c>
      <c r="J275">
        <f>IF(Hoja1!G266="NO",0,1)</f>
        <v>0</v>
      </c>
      <c r="K275">
        <f>IF(Hoja1!H266="NO",0,1)</f>
        <v>1</v>
      </c>
      <c r="L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X275">
        <f t="shared" si="4"/>
        <v>0</v>
      </c>
      <c r="Y275" s="28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4:33" x14ac:dyDescent="0.25">
      <c r="D276">
        <f>+Hoja1!A267</f>
        <v>210420050</v>
      </c>
      <c r="E276" t="str">
        <f>+Hoja1!B267</f>
        <v>PROV. INTERES A PAGAR FISCALES</v>
      </c>
      <c r="F276" t="str">
        <f>+Hoja1!E267</f>
        <v>PS</v>
      </c>
      <c r="G276">
        <f>IF(Hoja1!F267="NO",0,1)</f>
        <v>1</v>
      </c>
      <c r="H276">
        <f>IF(Hoja1!I267="NO",0,1)</f>
        <v>1</v>
      </c>
      <c r="I276" t="s">
        <v>520</v>
      </c>
      <c r="J276">
        <f>IF(Hoja1!G267="NO",0,1)</f>
        <v>0</v>
      </c>
      <c r="K276">
        <f>IF(Hoja1!H267="NO",0,1)</f>
        <v>1</v>
      </c>
      <c r="L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X276">
        <f t="shared" si="4"/>
        <v>1</v>
      </c>
      <c r="Y276" s="28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4:33" x14ac:dyDescent="0.25">
      <c r="D277">
        <f>+Hoja1!A268</f>
        <v>210420080</v>
      </c>
      <c r="E277" t="str">
        <f>+Hoja1!B268</f>
        <v>MORATORIAS / PLANES DE PAGO</v>
      </c>
      <c r="F277" t="str">
        <f>+Hoja1!E268</f>
        <v>PS</v>
      </c>
      <c r="G277">
        <f>IF(Hoja1!F268="NO",0,1)</f>
        <v>1</v>
      </c>
      <c r="H277">
        <f>IF(Hoja1!I268="NO",0,1)</f>
        <v>1</v>
      </c>
      <c r="I277" t="s">
        <v>520</v>
      </c>
      <c r="J277">
        <f>IF(Hoja1!G268="NO",0,1)</f>
        <v>0</v>
      </c>
      <c r="K277">
        <f>IF(Hoja1!H268="NO",0,1)</f>
        <v>1</v>
      </c>
      <c r="L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X277">
        <f t="shared" si="4"/>
        <v>1</v>
      </c>
      <c r="Y277" s="28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4:33" x14ac:dyDescent="0.25">
      <c r="D278">
        <f>+Hoja1!A269</f>
        <v>210420090</v>
      </c>
      <c r="E278" t="str">
        <f>+Hoja1!B269</f>
        <v>INTERES A DEV. DEUDAS FISCALES</v>
      </c>
      <c r="F278" t="str">
        <f>+Hoja1!E269</f>
        <v>PS</v>
      </c>
      <c r="G278">
        <f>IF(Hoja1!F269="NO",0,1)</f>
        <v>1</v>
      </c>
      <c r="H278">
        <f>IF(Hoja1!I269="NO",0,1)</f>
        <v>1</v>
      </c>
      <c r="I278" t="s">
        <v>520</v>
      </c>
      <c r="J278">
        <f>IF(Hoja1!G269="NO",0,1)</f>
        <v>0</v>
      </c>
      <c r="K278">
        <f>IF(Hoja1!H269="NO",0,1)</f>
        <v>1</v>
      </c>
      <c r="L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X278">
        <f t="shared" si="4"/>
        <v>1</v>
      </c>
      <c r="Y278" s="2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4:33" x14ac:dyDescent="0.25">
      <c r="D279">
        <f>+Hoja1!A270</f>
        <v>210420095</v>
      </c>
      <c r="E279" t="str">
        <f>+Hoja1!B270</f>
        <v>RETENCION SUSS RG 1784</v>
      </c>
      <c r="F279" t="str">
        <f>+Hoja1!E270</f>
        <v>PS</v>
      </c>
      <c r="G279">
        <f>IF(Hoja1!F270="NO",0,1)</f>
        <v>1</v>
      </c>
      <c r="H279">
        <f>IF(Hoja1!I270="NO",0,1)</f>
        <v>1</v>
      </c>
      <c r="I279" t="s">
        <v>520</v>
      </c>
      <c r="J279">
        <f>IF(Hoja1!G270="NO",0,1)</f>
        <v>0</v>
      </c>
      <c r="K279">
        <f>IF(Hoja1!H270="NO",0,1)</f>
        <v>1</v>
      </c>
      <c r="L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X279">
        <f t="shared" si="4"/>
        <v>1</v>
      </c>
      <c r="Y279" s="28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4:33" x14ac:dyDescent="0.25">
      <c r="D280">
        <f>+Hoja1!A271</f>
        <v>2105</v>
      </c>
      <c r="E280" t="str">
        <f>+Hoja1!B271</f>
        <v>OTROS PASIVOS</v>
      </c>
      <c r="F280" t="str">
        <f>+Hoja1!E271</f>
        <v>PS</v>
      </c>
      <c r="G280">
        <f>IF(Hoja1!F271="NO",0,1)</f>
        <v>0</v>
      </c>
      <c r="H280">
        <f>IF(Hoja1!I271="NO",0,1)</f>
        <v>1</v>
      </c>
      <c r="I280" t="s">
        <v>520</v>
      </c>
      <c r="J280">
        <f>IF(Hoja1!G271="NO",0,1)</f>
        <v>0</v>
      </c>
      <c r="K280">
        <f>IF(Hoja1!H271="NO",0,1)</f>
        <v>1</v>
      </c>
      <c r="L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X280">
        <f t="shared" si="4"/>
        <v>0</v>
      </c>
      <c r="Y280" s="28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4:33" x14ac:dyDescent="0.25">
      <c r="D281">
        <f>+Hoja1!A272</f>
        <v>210501</v>
      </c>
      <c r="E281" t="str">
        <f>+Hoja1!B272</f>
        <v>Directores</v>
      </c>
      <c r="F281" t="str">
        <f>+Hoja1!E272</f>
        <v>PS</v>
      </c>
      <c r="G281">
        <f>IF(Hoja1!F272="NO",0,1)</f>
        <v>0</v>
      </c>
      <c r="H281">
        <f>IF(Hoja1!I272="NO",0,1)</f>
        <v>1</v>
      </c>
      <c r="I281" t="s">
        <v>520</v>
      </c>
      <c r="J281">
        <f>IF(Hoja1!G272="NO",0,1)</f>
        <v>0</v>
      </c>
      <c r="K281">
        <f>IF(Hoja1!H272="NO",0,1)</f>
        <v>1</v>
      </c>
      <c r="L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X281">
        <f t="shared" si="4"/>
        <v>0</v>
      </c>
      <c r="Y281" s="28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4:33" x14ac:dyDescent="0.25">
      <c r="D282">
        <f>+Hoja1!A273</f>
        <v>210501001</v>
      </c>
      <c r="E282" t="str">
        <f>+Hoja1!B273</f>
        <v>GARANTIA DIRECTORES</v>
      </c>
      <c r="F282" t="str">
        <f>+Hoja1!E273</f>
        <v>PS</v>
      </c>
      <c r="G282">
        <f>IF(Hoja1!F273="NO",0,1)</f>
        <v>1</v>
      </c>
      <c r="H282">
        <f>IF(Hoja1!I273="NO",0,1)</f>
        <v>1</v>
      </c>
      <c r="I282" t="s">
        <v>520</v>
      </c>
      <c r="J282">
        <f>IF(Hoja1!G273="NO",0,1)</f>
        <v>0</v>
      </c>
      <c r="K282">
        <f>IF(Hoja1!H273="NO",0,1)</f>
        <v>1</v>
      </c>
      <c r="L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X282">
        <f t="shared" si="4"/>
        <v>1</v>
      </c>
      <c r="Y282" s="28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4:33" x14ac:dyDescent="0.25">
      <c r="D283">
        <f>+Hoja1!A274</f>
        <v>210501010</v>
      </c>
      <c r="E283" t="str">
        <f>+Hoja1!B274</f>
        <v>CUENTA PARTICULAR DIRECTORES</v>
      </c>
      <c r="F283" t="str">
        <f>+Hoja1!E274</f>
        <v>PS</v>
      </c>
      <c r="G283">
        <f>IF(Hoja1!F274="NO",0,1)</f>
        <v>1</v>
      </c>
      <c r="H283">
        <f>IF(Hoja1!I274="NO",0,1)</f>
        <v>1</v>
      </c>
      <c r="I283" t="s">
        <v>520</v>
      </c>
      <c r="J283">
        <f>IF(Hoja1!G274="NO",0,1)</f>
        <v>0</v>
      </c>
      <c r="K283">
        <f>IF(Hoja1!H274="NO",0,1)</f>
        <v>1</v>
      </c>
      <c r="L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X283">
        <f t="shared" si="4"/>
        <v>1</v>
      </c>
      <c r="Y283" s="28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4:33" x14ac:dyDescent="0.25">
      <c r="D284">
        <f>+Hoja1!A275</f>
        <v>210501011</v>
      </c>
      <c r="E284" t="str">
        <f>+Hoja1!B275</f>
        <v>Cuenta Particular Camrucci Isabella</v>
      </c>
      <c r="F284" t="str">
        <f>+Hoja1!E275</f>
        <v>PS</v>
      </c>
      <c r="G284">
        <f>IF(Hoja1!F275="NO",0,1)</f>
        <v>1</v>
      </c>
      <c r="H284">
        <f>IF(Hoja1!I275="NO",0,1)</f>
        <v>1</v>
      </c>
      <c r="I284" t="s">
        <v>520</v>
      </c>
      <c r="J284">
        <f>IF(Hoja1!G275="NO",0,1)</f>
        <v>0</v>
      </c>
      <c r="K284">
        <f>IF(Hoja1!H275="NO",0,1)</f>
        <v>1</v>
      </c>
      <c r="L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X284">
        <f t="shared" si="4"/>
        <v>1</v>
      </c>
      <c r="Y284" s="28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4:33" x14ac:dyDescent="0.25">
      <c r="D285">
        <f>+Hoja1!A276</f>
        <v>210501020</v>
      </c>
      <c r="E285" t="str">
        <f>+Hoja1!B276</f>
        <v>Prov. Honorarios direc.</v>
      </c>
      <c r="F285" t="str">
        <f>+Hoja1!E276</f>
        <v>PS</v>
      </c>
      <c r="G285">
        <f>IF(Hoja1!F276="NO",0,1)</f>
        <v>1</v>
      </c>
      <c r="H285">
        <f>IF(Hoja1!I276="NO",0,1)</f>
        <v>1</v>
      </c>
      <c r="I285" t="s">
        <v>520</v>
      </c>
      <c r="J285">
        <f>IF(Hoja1!G276="NO",0,1)</f>
        <v>0</v>
      </c>
      <c r="K285">
        <f>IF(Hoja1!H276="NO",0,1)</f>
        <v>1</v>
      </c>
      <c r="L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X285">
        <f t="shared" si="4"/>
        <v>1</v>
      </c>
      <c r="Y285" s="28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4:33" x14ac:dyDescent="0.25">
      <c r="D286">
        <f>+Hoja1!A277</f>
        <v>210505</v>
      </c>
      <c r="E286" t="str">
        <f>+Hoja1!B277</f>
        <v>Otras</v>
      </c>
      <c r="F286" t="str">
        <f>+Hoja1!E277</f>
        <v>PS</v>
      </c>
      <c r="G286">
        <f>IF(Hoja1!F277="NO",0,1)</f>
        <v>0</v>
      </c>
      <c r="H286">
        <f>IF(Hoja1!I277="NO",0,1)</f>
        <v>1</v>
      </c>
      <c r="I286" t="s">
        <v>520</v>
      </c>
      <c r="J286">
        <f>IF(Hoja1!G277="NO",0,1)</f>
        <v>0</v>
      </c>
      <c r="K286">
        <f>IF(Hoja1!H277="NO",0,1)</f>
        <v>1</v>
      </c>
      <c r="L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X286">
        <f t="shared" si="4"/>
        <v>0</v>
      </c>
      <c r="Y286" s="28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4:33" x14ac:dyDescent="0.25">
      <c r="D287">
        <f>+Hoja1!A278</f>
        <v>210505001</v>
      </c>
      <c r="E287" t="str">
        <f>+Hoja1!B278</f>
        <v>HONORARIOS A PAGAR</v>
      </c>
      <c r="F287" t="str">
        <f>+Hoja1!E278</f>
        <v>PS</v>
      </c>
      <c r="G287">
        <f>IF(Hoja1!F278="NO",0,1)</f>
        <v>1</v>
      </c>
      <c r="H287">
        <f>IF(Hoja1!I278="NO",0,1)</f>
        <v>1</v>
      </c>
      <c r="I287" t="s">
        <v>520</v>
      </c>
      <c r="J287">
        <f>IF(Hoja1!G278="NO",0,1)</f>
        <v>0</v>
      </c>
      <c r="K287">
        <f>IF(Hoja1!H278="NO",0,1)</f>
        <v>1</v>
      </c>
      <c r="L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X287">
        <f t="shared" si="4"/>
        <v>1</v>
      </c>
      <c r="Y287" s="28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4:33" x14ac:dyDescent="0.25">
      <c r="D288">
        <f>+Hoja1!A279</f>
        <v>210505010</v>
      </c>
      <c r="E288" t="str">
        <f>+Hoja1!B279</f>
        <v>DIVIDENDOS A PAGAR</v>
      </c>
      <c r="F288" t="str">
        <f>+Hoja1!E279</f>
        <v>PS</v>
      </c>
      <c r="G288">
        <f>IF(Hoja1!F279="NO",0,1)</f>
        <v>1</v>
      </c>
      <c r="H288">
        <f>IF(Hoja1!I279="NO",0,1)</f>
        <v>1</v>
      </c>
      <c r="I288" t="s">
        <v>520</v>
      </c>
      <c r="J288">
        <f>IF(Hoja1!G279="NO",0,1)</f>
        <v>0</v>
      </c>
      <c r="K288">
        <f>IF(Hoja1!H279="NO",0,1)</f>
        <v>1</v>
      </c>
      <c r="L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X288">
        <f t="shared" si="4"/>
        <v>1</v>
      </c>
      <c r="Y288" s="2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4:33" x14ac:dyDescent="0.25">
      <c r="D289">
        <f>+Hoja1!A280</f>
        <v>210505020</v>
      </c>
      <c r="E289" t="str">
        <f>+Hoja1!B280</f>
        <v>PROVISION SEGUROS A PAGAR</v>
      </c>
      <c r="F289" t="str">
        <f>+Hoja1!E280</f>
        <v>PS</v>
      </c>
      <c r="G289">
        <f>IF(Hoja1!F280="NO",0,1)</f>
        <v>1</v>
      </c>
      <c r="H289">
        <f>IF(Hoja1!I280="NO",0,1)</f>
        <v>1</v>
      </c>
      <c r="I289" t="s">
        <v>520</v>
      </c>
      <c r="J289">
        <f>IF(Hoja1!G280="NO",0,1)</f>
        <v>0</v>
      </c>
      <c r="K289">
        <f>IF(Hoja1!H280="NO",0,1)</f>
        <v>1</v>
      </c>
      <c r="L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X289">
        <f t="shared" si="4"/>
        <v>1</v>
      </c>
      <c r="Y289" s="28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4:33" x14ac:dyDescent="0.25">
      <c r="D290">
        <f>+Hoja1!A281</f>
        <v>210505030</v>
      </c>
      <c r="E290" t="str">
        <f>+Hoja1!B281</f>
        <v>PROVISIONES GASTOS BANCARIOS</v>
      </c>
      <c r="F290" t="str">
        <f>+Hoja1!E281</f>
        <v>PS</v>
      </c>
      <c r="G290">
        <f>IF(Hoja1!F281="NO",0,1)</f>
        <v>1</v>
      </c>
      <c r="H290">
        <f>IF(Hoja1!I281="NO",0,1)</f>
        <v>1</v>
      </c>
      <c r="I290" t="s">
        <v>520</v>
      </c>
      <c r="J290">
        <f>IF(Hoja1!G281="NO",0,1)</f>
        <v>0</v>
      </c>
      <c r="K290">
        <f>IF(Hoja1!H281="NO",0,1)</f>
        <v>1</v>
      </c>
      <c r="L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X290">
        <f t="shared" si="4"/>
        <v>1</v>
      </c>
      <c r="Y290" s="28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4:33" x14ac:dyDescent="0.25">
      <c r="D291">
        <f>+Hoja1!A282</f>
        <v>210505035</v>
      </c>
      <c r="E291" t="str">
        <f>+Hoja1!B282</f>
        <v>PROVISIONES VARIAS</v>
      </c>
      <c r="F291" t="str">
        <f>+Hoja1!E282</f>
        <v>PS</v>
      </c>
      <c r="G291">
        <f>IF(Hoja1!F282="NO",0,1)</f>
        <v>1</v>
      </c>
      <c r="H291">
        <f>IF(Hoja1!I282="NO",0,1)</f>
        <v>1</v>
      </c>
      <c r="I291" t="s">
        <v>520</v>
      </c>
      <c r="J291">
        <f>IF(Hoja1!G282="NO",0,1)</f>
        <v>0</v>
      </c>
      <c r="K291">
        <f>IF(Hoja1!H282="NO",0,1)</f>
        <v>1</v>
      </c>
      <c r="L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X291">
        <f t="shared" si="4"/>
        <v>1</v>
      </c>
      <c r="Y291" s="28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4:33" x14ac:dyDescent="0.25">
      <c r="D292">
        <f>+Hoja1!A283</f>
        <v>210505040</v>
      </c>
      <c r="E292" t="str">
        <f>+Hoja1!B283</f>
        <v>PROV. INTERES A PAGAR FINANCIE</v>
      </c>
      <c r="F292" t="str">
        <f>+Hoja1!E283</f>
        <v>PS</v>
      </c>
      <c r="G292">
        <f>IF(Hoja1!F283="NO",0,1)</f>
        <v>1</v>
      </c>
      <c r="H292">
        <f>IF(Hoja1!I283="NO",0,1)</f>
        <v>1</v>
      </c>
      <c r="I292" t="s">
        <v>520</v>
      </c>
      <c r="J292">
        <f>IF(Hoja1!G283="NO",0,1)</f>
        <v>0</v>
      </c>
      <c r="K292">
        <f>IF(Hoja1!H283="NO",0,1)</f>
        <v>1</v>
      </c>
      <c r="L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X292">
        <f t="shared" si="4"/>
        <v>1</v>
      </c>
      <c r="Y292" s="28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4:33" x14ac:dyDescent="0.25">
      <c r="D293">
        <f>+Hoja1!A284</f>
        <v>210505050</v>
      </c>
      <c r="E293" t="str">
        <f>+Hoja1!B284</f>
        <v>OTRAS DEUDAS</v>
      </c>
      <c r="F293" t="str">
        <f>+Hoja1!E284</f>
        <v>PS</v>
      </c>
      <c r="G293">
        <f>IF(Hoja1!F284="NO",0,1)</f>
        <v>1</v>
      </c>
      <c r="H293">
        <f>IF(Hoja1!I284="NO",0,1)</f>
        <v>1</v>
      </c>
      <c r="I293" t="s">
        <v>520</v>
      </c>
      <c r="J293">
        <f>IF(Hoja1!G284="NO",0,1)</f>
        <v>0</v>
      </c>
      <c r="K293">
        <f>IF(Hoja1!H284="NO",0,1)</f>
        <v>1</v>
      </c>
      <c r="L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X293">
        <f t="shared" si="4"/>
        <v>1</v>
      </c>
      <c r="Y293" s="28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4:33" x14ac:dyDescent="0.25">
      <c r="D294">
        <f>+Hoja1!A285</f>
        <v>22</v>
      </c>
      <c r="E294" t="str">
        <f>+Hoja1!B285</f>
        <v>PASIVO NO CORRIENTE</v>
      </c>
      <c r="F294" t="str">
        <f>+Hoja1!E285</f>
        <v>PS</v>
      </c>
      <c r="G294">
        <f>IF(Hoja1!F285="NO",0,1)</f>
        <v>0</v>
      </c>
      <c r="H294">
        <f>IF(Hoja1!I285="NO",0,1)</f>
        <v>1</v>
      </c>
      <c r="I294" t="s">
        <v>520</v>
      </c>
      <c r="J294">
        <f>IF(Hoja1!G285="NO",0,1)</f>
        <v>0</v>
      </c>
      <c r="K294">
        <f>IF(Hoja1!H285="NO",0,1)</f>
        <v>1</v>
      </c>
      <c r="L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X294">
        <f t="shared" si="4"/>
        <v>0</v>
      </c>
      <c r="Y294" s="28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4:33" x14ac:dyDescent="0.25">
      <c r="D295">
        <f>+Hoja1!A286</f>
        <v>2202</v>
      </c>
      <c r="E295" t="str">
        <f>+Hoja1!B286</f>
        <v>PRESTAMOS</v>
      </c>
      <c r="F295" t="str">
        <f>+Hoja1!E286</f>
        <v>PS</v>
      </c>
      <c r="G295">
        <f>IF(Hoja1!F286="NO",0,1)</f>
        <v>0</v>
      </c>
      <c r="H295">
        <f>IF(Hoja1!I286="NO",0,1)</f>
        <v>1</v>
      </c>
      <c r="I295" t="s">
        <v>520</v>
      </c>
      <c r="J295">
        <f>IF(Hoja1!G286="NO",0,1)</f>
        <v>0</v>
      </c>
      <c r="K295">
        <f>IF(Hoja1!H286="NO",0,1)</f>
        <v>1</v>
      </c>
      <c r="L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X295">
        <f t="shared" si="4"/>
        <v>0</v>
      </c>
      <c r="Y295" s="28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4:33" x14ac:dyDescent="0.25">
      <c r="D296">
        <f>+Hoja1!A287</f>
        <v>220210</v>
      </c>
      <c r="E296" t="str">
        <f>+Hoja1!B287</f>
        <v>OBLIG. A PAGAR FINANCIERAS</v>
      </c>
      <c r="F296" t="str">
        <f>+Hoja1!E287</f>
        <v>PS</v>
      </c>
      <c r="G296">
        <f>IF(Hoja1!F287="NO",0,1)</f>
        <v>0</v>
      </c>
      <c r="H296">
        <f>IF(Hoja1!I287="NO",0,1)</f>
        <v>1</v>
      </c>
      <c r="I296" t="s">
        <v>520</v>
      </c>
      <c r="J296">
        <f>IF(Hoja1!G287="NO",0,1)</f>
        <v>0</v>
      </c>
      <c r="K296">
        <f>IF(Hoja1!H287="NO",0,1)</f>
        <v>1</v>
      </c>
      <c r="L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X296">
        <f t="shared" si="4"/>
        <v>0</v>
      </c>
      <c r="Y296" s="28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4:33" x14ac:dyDescent="0.25">
      <c r="D297">
        <f>+Hoja1!A288</f>
        <v>220210020</v>
      </c>
      <c r="E297" t="str">
        <f>+Hoja1!B288</f>
        <v>HONORARIOS POR ASES.FINANCIERO</v>
      </c>
      <c r="F297" t="str">
        <f>+Hoja1!E288</f>
        <v>PS</v>
      </c>
      <c r="G297">
        <f>IF(Hoja1!F288="NO",0,1)</f>
        <v>1</v>
      </c>
      <c r="H297">
        <f>IF(Hoja1!I288="NO",0,1)</f>
        <v>1</v>
      </c>
      <c r="I297" t="s">
        <v>520</v>
      </c>
      <c r="J297">
        <f>IF(Hoja1!G288="NO",0,1)</f>
        <v>0</v>
      </c>
      <c r="K297">
        <f>IF(Hoja1!H288="NO",0,1)</f>
        <v>1</v>
      </c>
      <c r="L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X297">
        <f t="shared" si="4"/>
        <v>1</v>
      </c>
      <c r="Y297" s="28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4:33" x14ac:dyDescent="0.25">
      <c r="D298">
        <f>+Hoja1!A289</f>
        <v>220210030</v>
      </c>
      <c r="E298" t="str">
        <f>+Hoja1!B289</f>
        <v>OBLIG. A PAGAR LETRAS</v>
      </c>
      <c r="F298" t="str">
        <f>+Hoja1!E289</f>
        <v>DL</v>
      </c>
      <c r="G298">
        <f>IF(Hoja1!F289="NO",0,1)</f>
        <v>1</v>
      </c>
      <c r="H298">
        <f>IF(Hoja1!I289="NO",0,1)</f>
        <v>1</v>
      </c>
      <c r="I298" t="s">
        <v>520</v>
      </c>
      <c r="J298">
        <f>IF(Hoja1!G289="NO",0,1)</f>
        <v>0</v>
      </c>
      <c r="K298">
        <f>IF(Hoja1!H289="NO",0,1)</f>
        <v>1</v>
      </c>
      <c r="L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X298">
        <f t="shared" si="4"/>
        <v>1</v>
      </c>
      <c r="Y298" s="2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4:33" x14ac:dyDescent="0.25">
      <c r="D299">
        <f>+Hoja1!A290</f>
        <v>2204</v>
      </c>
      <c r="E299" t="str">
        <f>+Hoja1!B290</f>
        <v>CARGAS FISCALES</v>
      </c>
      <c r="F299" t="str">
        <f>+Hoja1!E290</f>
        <v>PS</v>
      </c>
      <c r="G299">
        <f>IF(Hoja1!F290="NO",0,1)</f>
        <v>0</v>
      </c>
      <c r="H299">
        <f>IF(Hoja1!I290="NO",0,1)</f>
        <v>1</v>
      </c>
      <c r="I299" t="s">
        <v>520</v>
      </c>
      <c r="J299">
        <f>IF(Hoja1!G290="NO",0,1)</f>
        <v>0</v>
      </c>
      <c r="K299">
        <f>IF(Hoja1!H290="NO",0,1)</f>
        <v>1</v>
      </c>
      <c r="L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X299">
        <f t="shared" si="4"/>
        <v>0</v>
      </c>
      <c r="Y299" s="28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4:33" x14ac:dyDescent="0.25">
      <c r="D300">
        <f>+Hoja1!A291</f>
        <v>220410010</v>
      </c>
      <c r="E300" t="str">
        <f>+Hoja1!B291</f>
        <v>PASIVO IMPUESTO DIFERIDO</v>
      </c>
      <c r="F300" t="str">
        <f>+Hoja1!E291</f>
        <v>PS</v>
      </c>
      <c r="G300">
        <f>IF(Hoja1!F291="NO",0,1)</f>
        <v>1</v>
      </c>
      <c r="H300">
        <f>IF(Hoja1!I291="NO",0,1)</f>
        <v>1</v>
      </c>
      <c r="I300" t="s">
        <v>520</v>
      </c>
      <c r="J300">
        <f>IF(Hoja1!G291="NO",0,1)</f>
        <v>0</v>
      </c>
      <c r="K300">
        <f>IF(Hoja1!H291="NO",0,1)</f>
        <v>1</v>
      </c>
      <c r="L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X300">
        <f t="shared" si="4"/>
        <v>1</v>
      </c>
      <c r="Y300" s="28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4:33" x14ac:dyDescent="0.25">
      <c r="D301">
        <f>+Hoja1!A292</f>
        <v>3</v>
      </c>
      <c r="E301" t="str">
        <f>+Hoja1!B292</f>
        <v>PATRIMONIO NETO</v>
      </c>
      <c r="F301" t="str">
        <f>+Hoja1!E292</f>
        <v>PS</v>
      </c>
      <c r="G301">
        <f>IF(Hoja1!F292="NO",0,1)</f>
        <v>0</v>
      </c>
      <c r="H301">
        <f>IF(Hoja1!I292="NO",0,1)</f>
        <v>1</v>
      </c>
      <c r="I301" t="s">
        <v>520</v>
      </c>
      <c r="J301">
        <f>IF(Hoja1!G292="NO",0,1)</f>
        <v>0</v>
      </c>
      <c r="K301">
        <f>IF(Hoja1!H292="NO",0,1)</f>
        <v>1</v>
      </c>
      <c r="L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X301">
        <f t="shared" si="4"/>
        <v>0</v>
      </c>
      <c r="Y301" s="28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4:33" x14ac:dyDescent="0.25">
      <c r="D302">
        <f>+Hoja1!A293</f>
        <v>31</v>
      </c>
      <c r="E302" t="str">
        <f>+Hoja1!B293</f>
        <v>CAPITAL SOCIAL</v>
      </c>
      <c r="F302" t="str">
        <f>+Hoja1!E293</f>
        <v>PS</v>
      </c>
      <c r="G302">
        <f>IF(Hoja1!F293="NO",0,1)</f>
        <v>0</v>
      </c>
      <c r="H302">
        <f>IF(Hoja1!I293="NO",0,1)</f>
        <v>1</v>
      </c>
      <c r="I302" t="s">
        <v>520</v>
      </c>
      <c r="J302">
        <f>IF(Hoja1!G293="NO",0,1)</f>
        <v>0</v>
      </c>
      <c r="K302">
        <f>IF(Hoja1!H293="NO",0,1)</f>
        <v>1</v>
      </c>
      <c r="L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X302">
        <f t="shared" si="4"/>
        <v>0</v>
      </c>
      <c r="Y302" s="28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4:33" x14ac:dyDescent="0.25">
      <c r="D303">
        <f>+Hoja1!A294</f>
        <v>3101</v>
      </c>
      <c r="E303" t="str">
        <f>+Hoja1!B294</f>
        <v>CAPITAL SOCIAL</v>
      </c>
      <c r="F303" t="str">
        <f>+Hoja1!E294</f>
        <v>PS</v>
      </c>
      <c r="G303">
        <f>IF(Hoja1!F294="NO",0,1)</f>
        <v>1</v>
      </c>
      <c r="H303">
        <f>IF(Hoja1!I294="NO",0,1)</f>
        <v>1</v>
      </c>
      <c r="I303" t="s">
        <v>520</v>
      </c>
      <c r="J303">
        <f>IF(Hoja1!G294="NO",0,1)</f>
        <v>0</v>
      </c>
      <c r="K303">
        <f>IF(Hoja1!H294="NO",0,1)</f>
        <v>1</v>
      </c>
      <c r="L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X303">
        <f t="shared" si="4"/>
        <v>1</v>
      </c>
      <c r="Y303" s="28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4:33" x14ac:dyDescent="0.25">
      <c r="D304">
        <f>+Hoja1!A295</f>
        <v>3105</v>
      </c>
      <c r="E304" t="str">
        <f>+Hoja1!B295</f>
        <v>ACCIONES</v>
      </c>
      <c r="F304" t="str">
        <f>+Hoja1!E295</f>
        <v>PS</v>
      </c>
      <c r="G304">
        <f>IF(Hoja1!F295="NO",0,1)</f>
        <v>1</v>
      </c>
      <c r="H304">
        <f>IF(Hoja1!I295="NO",0,1)</f>
        <v>1</v>
      </c>
      <c r="I304" t="s">
        <v>520</v>
      </c>
      <c r="J304">
        <f>IF(Hoja1!G295="NO",0,1)</f>
        <v>0</v>
      </c>
      <c r="K304">
        <f>IF(Hoja1!H295="NO",0,1)</f>
        <v>1</v>
      </c>
      <c r="L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X304">
        <f t="shared" si="4"/>
        <v>1</v>
      </c>
      <c r="Y304" s="28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4:33" x14ac:dyDescent="0.25">
      <c r="D305">
        <f>+Hoja1!A296</f>
        <v>3110</v>
      </c>
      <c r="E305" t="str">
        <f>+Hoja1!B296</f>
        <v>ANTIC.FUT.SUSCRIP.</v>
      </c>
      <c r="F305" t="str">
        <f>+Hoja1!E296</f>
        <v>PS</v>
      </c>
      <c r="G305">
        <f>IF(Hoja1!F296="NO",0,1)</f>
        <v>1</v>
      </c>
      <c r="H305">
        <f>IF(Hoja1!I296="NO",0,1)</f>
        <v>1</v>
      </c>
      <c r="I305" t="s">
        <v>520</v>
      </c>
      <c r="J305">
        <f>IF(Hoja1!G296="NO",0,1)</f>
        <v>0</v>
      </c>
      <c r="K305">
        <f>IF(Hoja1!H296="NO",0,1)</f>
        <v>1</v>
      </c>
      <c r="L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X305">
        <f t="shared" si="4"/>
        <v>1</v>
      </c>
      <c r="Y305" s="28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4:33" x14ac:dyDescent="0.25">
      <c r="D306">
        <f>+Hoja1!A297</f>
        <v>3115</v>
      </c>
      <c r="E306" t="str">
        <f>+Hoja1!B297</f>
        <v>AJUSTE DE CAPITAL</v>
      </c>
      <c r="F306" t="str">
        <f>+Hoja1!E297</f>
        <v>PS</v>
      </c>
      <c r="G306">
        <f>IF(Hoja1!F297="NO",0,1)</f>
        <v>1</v>
      </c>
      <c r="H306">
        <f>IF(Hoja1!I297="NO",0,1)</f>
        <v>1</v>
      </c>
      <c r="I306" t="s">
        <v>520</v>
      </c>
      <c r="J306">
        <f>IF(Hoja1!G297="NO",0,1)</f>
        <v>0</v>
      </c>
      <c r="K306">
        <f>IF(Hoja1!H297="NO",0,1)</f>
        <v>1</v>
      </c>
      <c r="L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X306">
        <f t="shared" si="4"/>
        <v>1</v>
      </c>
      <c r="Y306" s="28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4:33" x14ac:dyDescent="0.25">
      <c r="D307">
        <f>+Hoja1!A298</f>
        <v>3120</v>
      </c>
      <c r="E307" t="str">
        <f>+Hoja1!B298</f>
        <v>PRIMA DE EMISION</v>
      </c>
      <c r="F307" t="str">
        <f>+Hoja1!E298</f>
        <v>PS</v>
      </c>
      <c r="G307">
        <f>IF(Hoja1!F298="NO",0,1)</f>
        <v>1</v>
      </c>
      <c r="H307">
        <f>IF(Hoja1!I298="NO",0,1)</f>
        <v>1</v>
      </c>
      <c r="I307" t="s">
        <v>520</v>
      </c>
      <c r="J307">
        <f>IF(Hoja1!G298="NO",0,1)</f>
        <v>0</v>
      </c>
      <c r="K307">
        <f>IF(Hoja1!H298="NO",0,1)</f>
        <v>1</v>
      </c>
      <c r="L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X307">
        <f t="shared" si="4"/>
        <v>1</v>
      </c>
      <c r="Y307" s="28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4:33" x14ac:dyDescent="0.25">
      <c r="D308">
        <f>+Hoja1!A299</f>
        <v>3125</v>
      </c>
      <c r="E308" t="str">
        <f>+Hoja1!B299</f>
        <v>AJUSTE DE PRIMA DE EMISION</v>
      </c>
      <c r="F308" t="str">
        <f>+Hoja1!E299</f>
        <v>PS</v>
      </c>
      <c r="G308">
        <f>IF(Hoja1!F299="NO",0,1)</f>
        <v>1</v>
      </c>
      <c r="H308">
        <f>IF(Hoja1!I299="NO",0,1)</f>
        <v>1</v>
      </c>
      <c r="I308" t="s">
        <v>520</v>
      </c>
      <c r="J308">
        <f>IF(Hoja1!G299="NO",0,1)</f>
        <v>0</v>
      </c>
      <c r="K308">
        <f>IF(Hoja1!H299="NO",0,1)</f>
        <v>1</v>
      </c>
      <c r="L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X308">
        <f t="shared" si="4"/>
        <v>1</v>
      </c>
      <c r="Y308" s="2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4:33" x14ac:dyDescent="0.25">
      <c r="D309">
        <f>+Hoja1!A300</f>
        <v>3130</v>
      </c>
      <c r="E309" t="str">
        <f>+Hoja1!B300</f>
        <v>APORTES IRREVOCABLES</v>
      </c>
      <c r="F309" t="str">
        <f>+Hoja1!E300</f>
        <v>PS</v>
      </c>
      <c r="G309">
        <f>IF(Hoja1!F300="NO",0,1)</f>
        <v>1</v>
      </c>
      <c r="H309">
        <f>IF(Hoja1!I300="NO",0,1)</f>
        <v>1</v>
      </c>
      <c r="I309" t="s">
        <v>520</v>
      </c>
      <c r="J309">
        <f>IF(Hoja1!G300="NO",0,1)</f>
        <v>0</v>
      </c>
      <c r="K309">
        <f>IF(Hoja1!H300="NO",0,1)</f>
        <v>1</v>
      </c>
      <c r="L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X309">
        <f t="shared" si="4"/>
        <v>1</v>
      </c>
      <c r="Y309" s="28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4:33" x14ac:dyDescent="0.25">
      <c r="D310">
        <f>+Hoja1!A301</f>
        <v>32</v>
      </c>
      <c r="E310" t="str">
        <f>+Hoja1!B301</f>
        <v>RESERVAS DE UTILIDADES</v>
      </c>
      <c r="F310" t="str">
        <f>+Hoja1!E301</f>
        <v>PS</v>
      </c>
      <c r="G310">
        <f>IF(Hoja1!F301="NO",0,1)</f>
        <v>0</v>
      </c>
      <c r="H310">
        <f>IF(Hoja1!I301="NO",0,1)</f>
        <v>1</v>
      </c>
      <c r="I310" t="s">
        <v>520</v>
      </c>
      <c r="J310">
        <f>IF(Hoja1!G301="NO",0,1)</f>
        <v>0</v>
      </c>
      <c r="K310">
        <f>IF(Hoja1!H301="NO",0,1)</f>
        <v>1</v>
      </c>
      <c r="L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X310">
        <f t="shared" si="4"/>
        <v>0</v>
      </c>
      <c r="Y310" s="28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4:33" x14ac:dyDescent="0.25">
      <c r="D311">
        <f>+Hoja1!A302</f>
        <v>3201</v>
      </c>
      <c r="E311" t="str">
        <f>+Hoja1!B302</f>
        <v>RESERVA LEGAL</v>
      </c>
      <c r="F311" t="str">
        <f>+Hoja1!E302</f>
        <v>PS</v>
      </c>
      <c r="G311">
        <f>IF(Hoja1!F302="NO",0,1)</f>
        <v>1</v>
      </c>
      <c r="H311">
        <f>IF(Hoja1!I302="NO",0,1)</f>
        <v>1</v>
      </c>
      <c r="I311" t="s">
        <v>520</v>
      </c>
      <c r="J311">
        <f>IF(Hoja1!G302="NO",0,1)</f>
        <v>0</v>
      </c>
      <c r="K311">
        <f>IF(Hoja1!H302="NO",0,1)</f>
        <v>1</v>
      </c>
      <c r="L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X311">
        <f t="shared" si="4"/>
        <v>1</v>
      </c>
      <c r="Y311" s="28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4:33" x14ac:dyDescent="0.25">
      <c r="D312">
        <f>+Hoja1!A303</f>
        <v>3202</v>
      </c>
      <c r="E312" t="str">
        <f>+Hoja1!B303</f>
        <v>RESERVA FACULTATIVA</v>
      </c>
      <c r="F312" t="str">
        <f>+Hoja1!E303</f>
        <v>PS</v>
      </c>
      <c r="G312">
        <f>IF(Hoja1!F303="NO",0,1)</f>
        <v>1</v>
      </c>
      <c r="H312">
        <f>IF(Hoja1!I303="NO",0,1)</f>
        <v>1</v>
      </c>
      <c r="I312" t="s">
        <v>520</v>
      </c>
      <c r="J312">
        <f>IF(Hoja1!G303="NO",0,1)</f>
        <v>0</v>
      </c>
      <c r="K312">
        <f>IF(Hoja1!H303="NO",0,1)</f>
        <v>1</v>
      </c>
      <c r="L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X312">
        <f t="shared" si="4"/>
        <v>1</v>
      </c>
      <c r="Y312" s="28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4:33" x14ac:dyDescent="0.25">
      <c r="D313">
        <f>+Hoja1!A304</f>
        <v>3205</v>
      </c>
      <c r="E313" t="str">
        <f>+Hoja1!B304</f>
        <v>RESERVA REVALÚO TÉCNICO</v>
      </c>
      <c r="F313" t="str">
        <f>+Hoja1!E304</f>
        <v>PS</v>
      </c>
      <c r="G313">
        <f>IF(Hoja1!F304="NO",0,1)</f>
        <v>1</v>
      </c>
      <c r="H313">
        <f>IF(Hoja1!I304="NO",0,1)</f>
        <v>1</v>
      </c>
      <c r="I313" t="s">
        <v>520</v>
      </c>
      <c r="J313">
        <f>IF(Hoja1!G304="NO",0,1)</f>
        <v>0</v>
      </c>
      <c r="K313">
        <f>IF(Hoja1!H304="NO",0,1)</f>
        <v>1</v>
      </c>
      <c r="L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X313">
        <f t="shared" si="4"/>
        <v>1</v>
      </c>
      <c r="Y313" s="28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4:33" x14ac:dyDescent="0.25">
      <c r="D314">
        <f>+Hoja1!A305</f>
        <v>33</v>
      </c>
      <c r="E314" t="str">
        <f>+Hoja1!B305</f>
        <v>RESULTADOS ACUMULADOS</v>
      </c>
      <c r="F314" t="str">
        <f>+Hoja1!E305</f>
        <v>PS</v>
      </c>
      <c r="G314">
        <f>IF(Hoja1!F305="NO",0,1)</f>
        <v>0</v>
      </c>
      <c r="H314">
        <f>IF(Hoja1!I305="NO",0,1)</f>
        <v>1</v>
      </c>
      <c r="I314" t="s">
        <v>520</v>
      </c>
      <c r="J314">
        <f>IF(Hoja1!G305="NO",0,1)</f>
        <v>0</v>
      </c>
      <c r="K314">
        <f>IF(Hoja1!H305="NO",0,1)</f>
        <v>1</v>
      </c>
      <c r="L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X314">
        <f t="shared" si="4"/>
        <v>0</v>
      </c>
      <c r="Y314" s="28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4:33" x14ac:dyDescent="0.25">
      <c r="D315">
        <f>+Hoja1!A306</f>
        <v>3301</v>
      </c>
      <c r="E315" t="str">
        <f>+Hoja1!B306</f>
        <v>RESULTADOS ACUMUL.</v>
      </c>
      <c r="F315" t="str">
        <f>+Hoja1!E306</f>
        <v>PS</v>
      </c>
      <c r="G315">
        <f>IF(Hoja1!F306="NO",0,1)</f>
        <v>1</v>
      </c>
      <c r="H315">
        <f>IF(Hoja1!I306="NO",0,1)</f>
        <v>1</v>
      </c>
      <c r="I315" t="s">
        <v>520</v>
      </c>
      <c r="J315">
        <f>IF(Hoja1!G306="NO",0,1)</f>
        <v>0</v>
      </c>
      <c r="K315">
        <f>IF(Hoja1!H306="NO",0,1)</f>
        <v>1</v>
      </c>
      <c r="L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X315">
        <f t="shared" si="4"/>
        <v>1</v>
      </c>
      <c r="Y315" s="28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4:33" x14ac:dyDescent="0.25">
      <c r="D316">
        <f>+Hoja1!A307</f>
        <v>3303</v>
      </c>
      <c r="E316" t="str">
        <f>+Hoja1!B307</f>
        <v>AJUSTE DE RESULTADO EJ ANT.</v>
      </c>
      <c r="F316" t="str">
        <f>+Hoja1!E307</f>
        <v>PS</v>
      </c>
      <c r="G316">
        <f>IF(Hoja1!F307="NO",0,1)</f>
        <v>1</v>
      </c>
      <c r="H316">
        <f>IF(Hoja1!I307="NO",0,1)</f>
        <v>1</v>
      </c>
      <c r="I316" t="s">
        <v>520</v>
      </c>
      <c r="J316">
        <f>IF(Hoja1!G307="NO",0,1)</f>
        <v>0</v>
      </c>
      <c r="K316">
        <f>IF(Hoja1!H307="NO",0,1)</f>
        <v>1</v>
      </c>
      <c r="L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X316">
        <f t="shared" si="4"/>
        <v>1</v>
      </c>
      <c r="Y316" s="28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4:33" x14ac:dyDescent="0.25">
      <c r="D317">
        <f>+Hoja1!A308</f>
        <v>3305</v>
      </c>
      <c r="E317" t="str">
        <f>+Hoja1!B308</f>
        <v>RESULTADO DEL EJERC.</v>
      </c>
      <c r="F317" t="str">
        <f>+Hoja1!E308</f>
        <v>PS</v>
      </c>
      <c r="G317">
        <f>IF(Hoja1!F308="NO",0,1)</f>
        <v>1</v>
      </c>
      <c r="H317">
        <f>IF(Hoja1!I308="NO",0,1)</f>
        <v>1</v>
      </c>
      <c r="I317" t="s">
        <v>520</v>
      </c>
      <c r="J317">
        <f>IF(Hoja1!G308="NO",0,1)</f>
        <v>0</v>
      </c>
      <c r="K317">
        <f>IF(Hoja1!H308="NO",0,1)</f>
        <v>1</v>
      </c>
      <c r="L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X317">
        <f t="shared" si="4"/>
        <v>1</v>
      </c>
      <c r="Y317" s="28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4:33" x14ac:dyDescent="0.25">
      <c r="D318">
        <f>+Hoja1!A309</f>
        <v>4</v>
      </c>
      <c r="E318" t="str">
        <f>+Hoja1!B309</f>
        <v>RESULTADOS</v>
      </c>
      <c r="F318" t="str">
        <f>+Hoja1!E309</f>
        <v>PS</v>
      </c>
      <c r="G318">
        <f>IF(Hoja1!F309="NO",0,1)</f>
        <v>0</v>
      </c>
      <c r="H318">
        <f>IF(Hoja1!I309="NO",0,1)</f>
        <v>1</v>
      </c>
      <c r="I318" t="s">
        <v>520</v>
      </c>
      <c r="J318">
        <f>IF(Hoja1!G309="NO",0,1)</f>
        <v>1</v>
      </c>
      <c r="K318">
        <f>IF(Hoja1!H309="NO",0,1)</f>
        <v>1</v>
      </c>
      <c r="L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X318">
        <f t="shared" si="4"/>
        <v>0</v>
      </c>
      <c r="Y318" s="2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4:33" x14ac:dyDescent="0.25">
      <c r="D319">
        <f>+Hoja1!A310</f>
        <v>41</v>
      </c>
      <c r="E319" t="str">
        <f>+Hoja1!B310</f>
        <v>INGRESOS POR VENTAS</v>
      </c>
      <c r="F319" t="str">
        <f>+Hoja1!E310</f>
        <v>PS</v>
      </c>
      <c r="G319">
        <f>IF(Hoja1!F310="NO",0,1)</f>
        <v>0</v>
      </c>
      <c r="H319">
        <f>IF(Hoja1!I310="NO",0,1)</f>
        <v>1</v>
      </c>
      <c r="I319" t="s">
        <v>520</v>
      </c>
      <c r="J319">
        <f>IF(Hoja1!G310="NO",0,1)</f>
        <v>1</v>
      </c>
      <c r="K319">
        <f>IF(Hoja1!H310="NO",0,1)</f>
        <v>1</v>
      </c>
      <c r="L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X319">
        <f t="shared" si="4"/>
        <v>0</v>
      </c>
      <c r="Y319" s="28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4:33" x14ac:dyDescent="0.25">
      <c r="D320">
        <f>+Hoja1!A311</f>
        <v>4101</v>
      </c>
      <c r="E320" t="str">
        <f>+Hoja1!B311</f>
        <v>VENTAS PRODUCCIÓN PROPIA</v>
      </c>
      <c r="F320" t="str">
        <f>+Hoja1!E311</f>
        <v>PS</v>
      </c>
      <c r="G320">
        <f>IF(Hoja1!F311="NO",0,1)</f>
        <v>0</v>
      </c>
      <c r="H320">
        <f>IF(Hoja1!I311="NO",0,1)</f>
        <v>1</v>
      </c>
      <c r="I320" t="s">
        <v>520</v>
      </c>
      <c r="J320">
        <f>IF(Hoja1!G311="NO",0,1)</f>
        <v>1</v>
      </c>
      <c r="K320">
        <f>IF(Hoja1!H311="NO",0,1)</f>
        <v>1</v>
      </c>
      <c r="L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X320">
        <f t="shared" si="4"/>
        <v>0</v>
      </c>
      <c r="Y320" s="28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4:33" x14ac:dyDescent="0.25">
      <c r="D321">
        <f>+Hoja1!A312</f>
        <v>4110</v>
      </c>
      <c r="E321" t="str">
        <f>+Hoja1!B312</f>
        <v>VENTAS DE SERVICIOS</v>
      </c>
      <c r="F321" t="str">
        <f>+Hoja1!E312</f>
        <v>PS</v>
      </c>
      <c r="G321">
        <f>IF(Hoja1!F312="NO",0,1)</f>
        <v>1</v>
      </c>
      <c r="H321">
        <f>IF(Hoja1!I312="NO",0,1)</f>
        <v>1</v>
      </c>
      <c r="I321" t="s">
        <v>520</v>
      </c>
      <c r="J321">
        <f>IF(Hoja1!G312="NO",0,1)</f>
        <v>1</v>
      </c>
      <c r="K321">
        <f>IF(Hoja1!H312="NO",0,1)</f>
        <v>1</v>
      </c>
      <c r="L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X321">
        <f t="shared" si="4"/>
        <v>1</v>
      </c>
      <c r="Y321" s="28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4:33" x14ac:dyDescent="0.25">
      <c r="D322">
        <f>+Hoja1!A313</f>
        <v>411001</v>
      </c>
      <c r="E322" t="str">
        <f>+Hoja1!B313</f>
        <v>SERVICIOS DE ALMACENAJE</v>
      </c>
      <c r="F322" t="str">
        <f>+Hoja1!E313</f>
        <v>PS</v>
      </c>
      <c r="G322">
        <f>IF(Hoja1!F313="NO",0,1)</f>
        <v>1</v>
      </c>
      <c r="H322">
        <f>IF(Hoja1!I313="NO",0,1)</f>
        <v>1</v>
      </c>
      <c r="I322" t="s">
        <v>520</v>
      </c>
      <c r="J322">
        <f>IF(Hoja1!G313="NO",0,1)</f>
        <v>1</v>
      </c>
      <c r="K322">
        <f>IF(Hoja1!H313="NO",0,1)</f>
        <v>0</v>
      </c>
      <c r="L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X322">
        <f t="shared" si="4"/>
        <v>1</v>
      </c>
      <c r="Y322" s="28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4:33" x14ac:dyDescent="0.25">
      <c r="D323">
        <f>+Hoja1!A314</f>
        <v>411005</v>
      </c>
      <c r="E323" t="str">
        <f>+Hoja1!B314</f>
        <v>GESTIÓN Y ASESORAM.</v>
      </c>
      <c r="F323" t="str">
        <f>+Hoja1!E314</f>
        <v>PS</v>
      </c>
      <c r="G323">
        <f>IF(Hoja1!F314="NO",0,1)</f>
        <v>1</v>
      </c>
      <c r="H323">
        <f>IF(Hoja1!I314="NO",0,1)</f>
        <v>1</v>
      </c>
      <c r="I323" t="s">
        <v>520</v>
      </c>
      <c r="J323">
        <f>IF(Hoja1!G314="NO",0,1)</f>
        <v>1</v>
      </c>
      <c r="K323">
        <f>IF(Hoja1!H314="NO",0,1)</f>
        <v>0</v>
      </c>
      <c r="L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X323">
        <f t="shared" si="4"/>
        <v>1</v>
      </c>
      <c r="Y323" s="28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4:33" x14ac:dyDescent="0.25">
      <c r="D324">
        <f>+Hoja1!A315</f>
        <v>411010</v>
      </c>
      <c r="E324" t="str">
        <f>+Hoja1!B315</f>
        <v>OTROS SERVICIOS</v>
      </c>
      <c r="F324" t="str">
        <f>+Hoja1!E315</f>
        <v>PS</v>
      </c>
      <c r="G324">
        <f>IF(Hoja1!F315="NO",0,1)</f>
        <v>1</v>
      </c>
      <c r="H324">
        <f>IF(Hoja1!I315="NO",0,1)</f>
        <v>1</v>
      </c>
      <c r="I324" t="s">
        <v>520</v>
      </c>
      <c r="J324">
        <f>IF(Hoja1!G315="NO",0,1)</f>
        <v>1</v>
      </c>
      <c r="K324">
        <f>IF(Hoja1!H315="NO",0,1)</f>
        <v>0</v>
      </c>
      <c r="L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X324">
        <f t="shared" si="4"/>
        <v>1</v>
      </c>
      <c r="Y324" s="28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4:33" x14ac:dyDescent="0.25">
      <c r="D325">
        <f>+Hoja1!A316</f>
        <v>42</v>
      </c>
      <c r="E325" t="str">
        <f>+Hoja1!B316</f>
        <v>VENTAS DE ACTIVIDAD INMOBILIARIA</v>
      </c>
      <c r="F325" t="str">
        <f>+Hoja1!E316</f>
        <v>PS</v>
      </c>
      <c r="G325">
        <f>IF(Hoja1!F316="NO",0,1)</f>
        <v>0</v>
      </c>
      <c r="H325">
        <f>IF(Hoja1!I316="NO",0,1)</f>
        <v>1</v>
      </c>
      <c r="I325" t="s">
        <v>520</v>
      </c>
      <c r="J325">
        <f>IF(Hoja1!G316="NO",0,1)</f>
        <v>1</v>
      </c>
      <c r="K325">
        <f>IF(Hoja1!H316="NO",0,1)</f>
        <v>1</v>
      </c>
      <c r="L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X325">
        <f t="shared" si="4"/>
        <v>0</v>
      </c>
      <c r="Y325" s="28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4:33" x14ac:dyDescent="0.25">
      <c r="D326">
        <f>+Hoja1!A317</f>
        <v>43</v>
      </c>
      <c r="E326" t="str">
        <f>+Hoja1!B317</f>
        <v>OTROS INGRESOS</v>
      </c>
      <c r="F326" t="str">
        <f>+Hoja1!E317</f>
        <v>PS</v>
      </c>
      <c r="G326">
        <f>IF(Hoja1!F317="NO",0,1)</f>
        <v>0</v>
      </c>
      <c r="H326">
        <f>IF(Hoja1!I317="NO",0,1)</f>
        <v>1</v>
      </c>
      <c r="I326" t="s">
        <v>520</v>
      </c>
      <c r="J326">
        <f>IF(Hoja1!G317="NO",0,1)</f>
        <v>1</v>
      </c>
      <c r="K326">
        <f>IF(Hoja1!H317="NO",0,1)</f>
        <v>1</v>
      </c>
      <c r="L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X326">
        <f t="shared" si="4"/>
        <v>0</v>
      </c>
      <c r="Y326" s="28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4:33" x14ac:dyDescent="0.25">
      <c r="D327">
        <f>+Hoja1!A318</f>
        <v>4301</v>
      </c>
      <c r="E327" t="str">
        <f>+Hoja1!B318</f>
        <v>INGRESOS FINANCIEROS</v>
      </c>
      <c r="F327" t="str">
        <f>+Hoja1!E318</f>
        <v>PS</v>
      </c>
      <c r="G327">
        <f>IF(Hoja1!F318="NO",0,1)</f>
        <v>0</v>
      </c>
      <c r="H327">
        <f>IF(Hoja1!I318="NO",0,1)</f>
        <v>1</v>
      </c>
      <c r="I327" t="s">
        <v>520</v>
      </c>
      <c r="J327">
        <f>IF(Hoja1!G318="NO",0,1)</f>
        <v>0</v>
      </c>
      <c r="K327">
        <f>IF(Hoja1!H318="NO",0,1)</f>
        <v>1</v>
      </c>
      <c r="L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X327">
        <f t="shared" si="4"/>
        <v>0</v>
      </c>
      <c r="Y327" s="28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4:33" x14ac:dyDescent="0.25">
      <c r="D328">
        <f>+Hoja1!A319</f>
        <v>430101</v>
      </c>
      <c r="E328" t="str">
        <f>+Hoja1!B319</f>
        <v>INTERESES GANANCIAS</v>
      </c>
      <c r="F328" t="str">
        <f>+Hoja1!E319</f>
        <v>PS</v>
      </c>
      <c r="G328">
        <f>IF(Hoja1!F319="NO",0,1)</f>
        <v>1</v>
      </c>
      <c r="H328">
        <f>IF(Hoja1!I319="NO",0,1)</f>
        <v>1</v>
      </c>
      <c r="I328" t="s">
        <v>520</v>
      </c>
      <c r="J328">
        <f>IF(Hoja1!G319="NO",0,1)</f>
        <v>1</v>
      </c>
      <c r="K328">
        <f>IF(Hoja1!H319="NO",0,1)</f>
        <v>0</v>
      </c>
      <c r="L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X328">
        <f t="shared" si="4"/>
        <v>1</v>
      </c>
      <c r="Y328" s="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4:33" x14ac:dyDescent="0.25">
      <c r="D329">
        <f>+Hoja1!A320</f>
        <v>430102</v>
      </c>
      <c r="E329" t="str">
        <f>+Hoja1!B320</f>
        <v>INTERESES BANCARIOS</v>
      </c>
      <c r="F329" t="str">
        <f>+Hoja1!E320</f>
        <v>PS</v>
      </c>
      <c r="G329">
        <f>IF(Hoja1!F320="NO",0,1)</f>
        <v>1</v>
      </c>
      <c r="H329">
        <f>IF(Hoja1!I320="NO",0,1)</f>
        <v>1</v>
      </c>
      <c r="I329" t="s">
        <v>520</v>
      </c>
      <c r="J329">
        <f>IF(Hoja1!G320="NO",0,1)</f>
        <v>1</v>
      </c>
      <c r="K329">
        <f>IF(Hoja1!H320="NO",0,1)</f>
        <v>0</v>
      </c>
      <c r="L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X329">
        <f t="shared" si="4"/>
        <v>1</v>
      </c>
      <c r="Y329" s="28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4:33" x14ac:dyDescent="0.25">
      <c r="D330">
        <f>+Hoja1!A321</f>
        <v>430105</v>
      </c>
      <c r="E330" t="str">
        <f>+Hoja1!B321</f>
        <v>DESCUENTOS OBTENIDOS</v>
      </c>
      <c r="F330" t="str">
        <f>+Hoja1!E321</f>
        <v>PS</v>
      </c>
      <c r="G330">
        <f>IF(Hoja1!F321="NO",0,1)</f>
        <v>1</v>
      </c>
      <c r="H330">
        <f>IF(Hoja1!I321="NO",0,1)</f>
        <v>1</v>
      </c>
      <c r="I330" t="s">
        <v>520</v>
      </c>
      <c r="J330">
        <f>IF(Hoja1!G321="NO",0,1)</f>
        <v>1</v>
      </c>
      <c r="K330">
        <f>IF(Hoja1!H321="NO",0,1)</f>
        <v>0</v>
      </c>
      <c r="L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X330">
        <f t="shared" si="4"/>
        <v>1</v>
      </c>
      <c r="Y330" s="28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4:33" x14ac:dyDescent="0.25">
      <c r="D331">
        <f>+Hoja1!A322</f>
        <v>430110</v>
      </c>
      <c r="E331" t="str">
        <f>+Hoja1!B322</f>
        <v>DIFERENCIA DE CAMBIO GANANCIAS</v>
      </c>
      <c r="F331" t="str">
        <f>+Hoja1!E322</f>
        <v>PS</v>
      </c>
      <c r="G331">
        <f>IF(Hoja1!F322="NO",0,1)</f>
        <v>1</v>
      </c>
      <c r="H331">
        <f>IF(Hoja1!I322="NO",0,1)</f>
        <v>1</v>
      </c>
      <c r="I331" t="s">
        <v>520</v>
      </c>
      <c r="J331">
        <f>IF(Hoja1!G322="NO",0,1)</f>
        <v>1</v>
      </c>
      <c r="K331">
        <f>IF(Hoja1!H322="NO",0,1)</f>
        <v>0</v>
      </c>
      <c r="L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X331">
        <f t="shared" si="4"/>
        <v>1</v>
      </c>
      <c r="Y331" s="28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4:33" x14ac:dyDescent="0.25">
      <c r="D332">
        <f>+Hoja1!A323</f>
        <v>430115</v>
      </c>
      <c r="E332" t="str">
        <f>+Hoja1!B323</f>
        <v>OTROS</v>
      </c>
      <c r="F332" t="str">
        <f>+Hoja1!E323</f>
        <v>PS</v>
      </c>
      <c r="G332">
        <f>IF(Hoja1!F323="NO",0,1)</f>
        <v>1</v>
      </c>
      <c r="H332">
        <f>IF(Hoja1!I323="NO",0,1)</f>
        <v>1</v>
      </c>
      <c r="I332" t="s">
        <v>520</v>
      </c>
      <c r="J332">
        <f>IF(Hoja1!G323="NO",0,1)</f>
        <v>1</v>
      </c>
      <c r="K332">
        <f>IF(Hoja1!H323="NO",0,1)</f>
        <v>0</v>
      </c>
      <c r="L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X332">
        <f t="shared" si="4"/>
        <v>1</v>
      </c>
      <c r="Y332" s="28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4:33" x14ac:dyDescent="0.25">
      <c r="D333">
        <f>+Hoja1!A324</f>
        <v>430118</v>
      </c>
      <c r="E333" t="str">
        <f>+Hoja1!B324</f>
        <v>RESULTADO POR TENENCIA DE INVERSIONES</v>
      </c>
      <c r="F333" t="str">
        <f>+Hoja1!E324</f>
        <v>PS</v>
      </c>
      <c r="G333">
        <f>IF(Hoja1!F324="NO",0,1)</f>
        <v>1</v>
      </c>
      <c r="H333">
        <f>IF(Hoja1!I324="NO",0,1)</f>
        <v>1</v>
      </c>
      <c r="I333" t="s">
        <v>520</v>
      </c>
      <c r="J333">
        <f>IF(Hoja1!G324="NO",0,1)</f>
        <v>1</v>
      </c>
      <c r="K333">
        <f>IF(Hoja1!H324="NO",0,1)</f>
        <v>0</v>
      </c>
      <c r="L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X333">
        <f t="shared" si="4"/>
        <v>1</v>
      </c>
      <c r="Y333" s="28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4:33" x14ac:dyDescent="0.25">
      <c r="D334">
        <f>+Hoja1!A325</f>
        <v>44</v>
      </c>
      <c r="E334" t="str">
        <f>+Hoja1!B325</f>
        <v>INGRESOS EXTRAORDINARIOS</v>
      </c>
      <c r="F334" t="str">
        <f>+Hoja1!E325</f>
        <v>PS</v>
      </c>
      <c r="G334">
        <f>IF(Hoja1!F325="NO",0,1)</f>
        <v>0</v>
      </c>
      <c r="H334">
        <f>IF(Hoja1!I325="NO",0,1)</f>
        <v>1</v>
      </c>
      <c r="I334" t="s">
        <v>520</v>
      </c>
      <c r="J334">
        <f>IF(Hoja1!G325="NO",0,1)</f>
        <v>0</v>
      </c>
      <c r="K334">
        <f>IF(Hoja1!H325="NO",0,1)</f>
        <v>1</v>
      </c>
      <c r="L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X334">
        <f t="shared" ref="X334:X397" si="5">IF(G334=1,1,0)</f>
        <v>0</v>
      </c>
      <c r="Y334" s="28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4:33" x14ac:dyDescent="0.25">
      <c r="D335">
        <f>+Hoja1!A326</f>
        <v>4401</v>
      </c>
      <c r="E335" t="str">
        <f>+Hoja1!B326</f>
        <v>Otros Ingresos Extraordinarios</v>
      </c>
      <c r="F335" t="str">
        <f>+Hoja1!E326</f>
        <v>PS</v>
      </c>
      <c r="G335">
        <f>IF(Hoja1!F326="NO",0,1)</f>
        <v>0</v>
      </c>
      <c r="H335">
        <f>IF(Hoja1!I326="NO",0,1)</f>
        <v>1</v>
      </c>
      <c r="I335" t="s">
        <v>520</v>
      </c>
      <c r="J335">
        <f>IF(Hoja1!G326="NO",0,1)</f>
        <v>0</v>
      </c>
      <c r="K335">
        <f>IF(Hoja1!H326="NO",0,1)</f>
        <v>1</v>
      </c>
      <c r="L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X335">
        <f t="shared" si="5"/>
        <v>0</v>
      </c>
      <c r="Y335" s="28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4:33" x14ac:dyDescent="0.25">
      <c r="D336">
        <f>+Hoja1!A327</f>
        <v>440101</v>
      </c>
      <c r="E336" t="str">
        <f>+Hoja1!B327</f>
        <v>ACREEDORES CONCURSO PREVENTIVO</v>
      </c>
      <c r="F336" t="str">
        <f>+Hoja1!E327</f>
        <v>PS</v>
      </c>
      <c r="G336">
        <f>IF(Hoja1!F327="NO",0,1)</f>
        <v>1</v>
      </c>
      <c r="H336">
        <f>IF(Hoja1!I327="NO",0,1)</f>
        <v>1</v>
      </c>
      <c r="I336" t="s">
        <v>520</v>
      </c>
      <c r="J336">
        <f>IF(Hoja1!G327="NO",0,1)</f>
        <v>1</v>
      </c>
      <c r="K336">
        <f>IF(Hoja1!H327="NO",0,1)</f>
        <v>0</v>
      </c>
      <c r="L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X336">
        <f t="shared" si="5"/>
        <v>1</v>
      </c>
      <c r="Y336" s="28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4:33" x14ac:dyDescent="0.25">
      <c r="D337">
        <f>+Hoja1!A328</f>
        <v>440102</v>
      </c>
      <c r="E337" t="str">
        <f>+Hoja1!B328</f>
        <v>OTROS INGRESOS</v>
      </c>
      <c r="F337" t="str">
        <f>+Hoja1!E328</f>
        <v>PS</v>
      </c>
      <c r="G337">
        <f>IF(Hoja1!F328="NO",0,1)</f>
        <v>1</v>
      </c>
      <c r="H337">
        <f>IF(Hoja1!I328="NO",0,1)</f>
        <v>1</v>
      </c>
      <c r="I337" t="s">
        <v>520</v>
      </c>
      <c r="J337">
        <f>IF(Hoja1!G328="NO",0,1)</f>
        <v>1</v>
      </c>
      <c r="K337">
        <f>IF(Hoja1!H328="NO",0,1)</f>
        <v>0</v>
      </c>
      <c r="L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X337">
        <f t="shared" si="5"/>
        <v>1</v>
      </c>
      <c r="Y337" s="28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4:33" x14ac:dyDescent="0.25">
      <c r="D338">
        <f>+Hoja1!A329</f>
        <v>45</v>
      </c>
      <c r="E338" t="str">
        <f>+Hoja1!B329</f>
        <v>INGRESOS POR SERVICIOS PRESTADOS</v>
      </c>
      <c r="F338" t="str">
        <f>+Hoja1!E329</f>
        <v>PS</v>
      </c>
      <c r="G338">
        <f>IF(Hoja1!F329="NO",0,1)</f>
        <v>0</v>
      </c>
      <c r="H338">
        <f>IF(Hoja1!I329="NO",0,1)</f>
        <v>1</v>
      </c>
      <c r="I338" t="s">
        <v>520</v>
      </c>
      <c r="J338">
        <f>IF(Hoja1!G329="NO",0,1)</f>
        <v>0</v>
      </c>
      <c r="K338">
        <f>IF(Hoja1!H329="NO",0,1)</f>
        <v>1</v>
      </c>
      <c r="L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X338">
        <f t="shared" si="5"/>
        <v>0</v>
      </c>
      <c r="Y338" s="2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4:33" x14ac:dyDescent="0.25">
      <c r="D339">
        <f>+Hoja1!A330</f>
        <v>4501</v>
      </c>
      <c r="E339" t="str">
        <f>+Hoja1!B330</f>
        <v>Otros servicios prestados</v>
      </c>
      <c r="F339" t="str">
        <f>+Hoja1!E330</f>
        <v>PS</v>
      </c>
      <c r="G339">
        <f>IF(Hoja1!F330="NO",0,1)</f>
        <v>1</v>
      </c>
      <c r="H339">
        <f>IF(Hoja1!I330="NO",0,1)</f>
        <v>1</v>
      </c>
      <c r="I339" t="s">
        <v>520</v>
      </c>
      <c r="J339">
        <f>IF(Hoja1!G330="NO",0,1)</f>
        <v>0</v>
      </c>
      <c r="K339">
        <f>IF(Hoja1!H330="NO",0,1)</f>
        <v>1</v>
      </c>
      <c r="L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X339">
        <f t="shared" si="5"/>
        <v>1</v>
      </c>
      <c r="Y339" s="28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4:33" x14ac:dyDescent="0.25">
      <c r="D340">
        <f>+Hoja1!A331</f>
        <v>450101</v>
      </c>
      <c r="E340" t="str">
        <f>+Hoja1!B331</f>
        <v>Servicios prestados</v>
      </c>
      <c r="F340" t="str">
        <f>+Hoja1!E331</f>
        <v>PS</v>
      </c>
      <c r="G340">
        <f>IF(Hoja1!F331="NO",0,1)</f>
        <v>1</v>
      </c>
      <c r="H340">
        <f>IF(Hoja1!I331="NO",0,1)</f>
        <v>1</v>
      </c>
      <c r="I340" t="s">
        <v>520</v>
      </c>
      <c r="J340">
        <f>IF(Hoja1!G331="NO",0,1)</f>
        <v>1</v>
      </c>
      <c r="K340">
        <f>IF(Hoja1!H331="NO",0,1)</f>
        <v>0</v>
      </c>
      <c r="L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X340">
        <f t="shared" si="5"/>
        <v>1</v>
      </c>
      <c r="Y340" s="28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4:33" x14ac:dyDescent="0.25">
      <c r="D341">
        <f>+Hoja1!A332</f>
        <v>5</v>
      </c>
      <c r="E341" t="str">
        <f>+Hoja1!B332</f>
        <v>GASTOS</v>
      </c>
      <c r="F341" t="str">
        <f>+Hoja1!E332</f>
        <v>PS</v>
      </c>
      <c r="G341">
        <f>IF(Hoja1!F332="NO",0,1)</f>
        <v>0</v>
      </c>
      <c r="H341">
        <f>IF(Hoja1!I332="NO",0,1)</f>
        <v>1</v>
      </c>
      <c r="I341" t="s">
        <v>8</v>
      </c>
      <c r="J341">
        <f>IF(Hoja1!G332="NO",0,1)</f>
        <v>0</v>
      </c>
      <c r="K341">
        <f>IF(Hoja1!H332="NO",0,1)</f>
        <v>0</v>
      </c>
      <c r="L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X341">
        <f t="shared" si="5"/>
        <v>0</v>
      </c>
      <c r="Y341" s="28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4:33" x14ac:dyDescent="0.25">
      <c r="D342">
        <f>+Hoja1!A333</f>
        <v>5110</v>
      </c>
      <c r="E342" t="str">
        <f>+Hoja1!B333</f>
        <v>COSTO DE SERVICIOS VENDIDOS</v>
      </c>
      <c r="F342" t="str">
        <f>+Hoja1!E333</f>
        <v>PS</v>
      </c>
      <c r="G342">
        <f>IF(Hoja1!F333="NO",0,1)</f>
        <v>0</v>
      </c>
      <c r="H342">
        <f>IF(Hoja1!I333="NO",0,1)</f>
        <v>1</v>
      </c>
      <c r="I342" t="s">
        <v>8</v>
      </c>
      <c r="J342">
        <f>IF(Hoja1!G333="NO",0,1)</f>
        <v>1</v>
      </c>
      <c r="K342">
        <f>IF(Hoja1!H333="NO",0,1)</f>
        <v>1</v>
      </c>
      <c r="L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X342">
        <f t="shared" si="5"/>
        <v>0</v>
      </c>
      <c r="Y342" s="28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4:33" x14ac:dyDescent="0.25">
      <c r="D343">
        <f>+Hoja1!A334</f>
        <v>511001</v>
      </c>
      <c r="E343" t="str">
        <f>+Hoja1!B334</f>
        <v>SERV. DE ALMACENAJE</v>
      </c>
      <c r="F343" t="str">
        <f>+Hoja1!E334</f>
        <v>PS</v>
      </c>
      <c r="G343">
        <f>IF(Hoja1!F334="NO",0,1)</f>
        <v>1</v>
      </c>
      <c r="H343">
        <f>IF(Hoja1!I334="NO",0,1)</f>
        <v>1</v>
      </c>
      <c r="I343" t="s">
        <v>8</v>
      </c>
      <c r="J343">
        <f>IF(Hoja1!G334="NO",0,1)</f>
        <v>1</v>
      </c>
      <c r="K343">
        <f>IF(Hoja1!H334="NO",0,1)</f>
        <v>0</v>
      </c>
      <c r="L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X343">
        <f t="shared" si="5"/>
        <v>1</v>
      </c>
      <c r="Y343" s="28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</row>
    <row r="344" spans="4:33" x14ac:dyDescent="0.25">
      <c r="D344">
        <f>+Hoja1!A335</f>
        <v>511005</v>
      </c>
      <c r="E344" t="str">
        <f>+Hoja1!B335</f>
        <v>GESTIÓN Y ASESORAM.</v>
      </c>
      <c r="F344" t="str">
        <f>+Hoja1!E335</f>
        <v>PS</v>
      </c>
      <c r="G344">
        <f>IF(Hoja1!F335="NO",0,1)</f>
        <v>1</v>
      </c>
      <c r="H344">
        <f>IF(Hoja1!I335="NO",0,1)</f>
        <v>1</v>
      </c>
      <c r="I344" t="s">
        <v>8</v>
      </c>
      <c r="J344">
        <f>IF(Hoja1!G335="NO",0,1)</f>
        <v>1</v>
      </c>
      <c r="K344">
        <f>IF(Hoja1!H335="NO",0,1)</f>
        <v>0</v>
      </c>
      <c r="L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X344">
        <f t="shared" si="5"/>
        <v>1</v>
      </c>
      <c r="Y344" s="28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4:33" x14ac:dyDescent="0.25">
      <c r="D345">
        <f>+Hoja1!A336</f>
        <v>511010</v>
      </c>
      <c r="E345" t="str">
        <f>+Hoja1!B336</f>
        <v>MATERIALES VARIOS</v>
      </c>
      <c r="F345" t="str">
        <f>+Hoja1!E336</f>
        <v>PS</v>
      </c>
      <c r="G345">
        <f>IF(Hoja1!F336="NO",0,1)</f>
        <v>1</v>
      </c>
      <c r="H345">
        <f>IF(Hoja1!I336="NO",0,1)</f>
        <v>1</v>
      </c>
      <c r="I345" t="s">
        <v>8</v>
      </c>
      <c r="J345">
        <f>IF(Hoja1!G336="NO",0,1)</f>
        <v>1</v>
      </c>
      <c r="K345">
        <f>IF(Hoja1!H336="NO",0,1)</f>
        <v>0</v>
      </c>
      <c r="L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X345">
        <f t="shared" si="5"/>
        <v>1</v>
      </c>
      <c r="Y345" s="28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4:33" x14ac:dyDescent="0.25">
      <c r="D346">
        <f>+Hoja1!A337</f>
        <v>511015</v>
      </c>
      <c r="E346" t="str">
        <f>+Hoja1!B337</f>
        <v>OTROS SERVICIOS</v>
      </c>
      <c r="F346" t="str">
        <f>+Hoja1!E337</f>
        <v>PS</v>
      </c>
      <c r="G346">
        <f>IF(Hoja1!F337="NO",0,1)</f>
        <v>1</v>
      </c>
      <c r="H346">
        <f>IF(Hoja1!I337="NO",0,1)</f>
        <v>1</v>
      </c>
      <c r="I346" t="s">
        <v>8</v>
      </c>
      <c r="J346">
        <f>IF(Hoja1!G337="NO",0,1)</f>
        <v>1</v>
      </c>
      <c r="K346">
        <f>IF(Hoja1!H337="NO",0,1)</f>
        <v>0</v>
      </c>
      <c r="L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X346">
        <f t="shared" si="5"/>
        <v>1</v>
      </c>
      <c r="Y346" s="28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4:33" x14ac:dyDescent="0.25">
      <c r="D347">
        <f>+Hoja1!A338</f>
        <v>5115</v>
      </c>
      <c r="E347" t="str">
        <f>+Hoja1!B338</f>
        <v>COSTO DE VENTA OTROS</v>
      </c>
      <c r="F347" t="str">
        <f>+Hoja1!E338</f>
        <v>PS</v>
      </c>
      <c r="G347">
        <f>IF(Hoja1!F338="NO",0,1)</f>
        <v>0</v>
      </c>
      <c r="H347">
        <f>IF(Hoja1!I338="NO",0,1)</f>
        <v>1</v>
      </c>
      <c r="I347" t="s">
        <v>8</v>
      </c>
      <c r="J347">
        <f>IF(Hoja1!G338="NO",0,1)</f>
        <v>1</v>
      </c>
      <c r="K347">
        <f>IF(Hoja1!H338="NO",0,1)</f>
        <v>1</v>
      </c>
      <c r="L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X347">
        <f t="shared" si="5"/>
        <v>0</v>
      </c>
      <c r="Y347" s="28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4:33" x14ac:dyDescent="0.25">
      <c r="D348">
        <f>+Hoja1!A339</f>
        <v>5115001</v>
      </c>
      <c r="E348" t="str">
        <f>+Hoja1!B339</f>
        <v>COSTO DE VENTA MAQUINARIAS</v>
      </c>
      <c r="F348" t="str">
        <f>+Hoja1!E339</f>
        <v>PS</v>
      </c>
      <c r="G348">
        <f>IF(Hoja1!F339="NO",0,1)</f>
        <v>1</v>
      </c>
      <c r="H348">
        <f>IF(Hoja1!I339="NO",0,1)</f>
        <v>1</v>
      </c>
      <c r="I348" t="s">
        <v>8</v>
      </c>
      <c r="J348">
        <f>IF(Hoja1!G339="NO",0,1)</f>
        <v>1</v>
      </c>
      <c r="K348">
        <f>IF(Hoja1!H339="NO",0,1)</f>
        <v>0</v>
      </c>
      <c r="L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X348">
        <f t="shared" si="5"/>
        <v>1</v>
      </c>
      <c r="Y348" s="2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4:33" x14ac:dyDescent="0.25">
      <c r="D349">
        <f>+Hoja1!A340</f>
        <v>5115002</v>
      </c>
      <c r="E349" t="str">
        <f>+Hoja1!B340</f>
        <v>COSTO DE VENTA RODADOS</v>
      </c>
      <c r="F349" t="str">
        <f>+Hoja1!E340</f>
        <v>PS</v>
      </c>
      <c r="G349">
        <f>IF(Hoja1!F340="NO",0,1)</f>
        <v>1</v>
      </c>
      <c r="H349">
        <f>IF(Hoja1!I340="NO",0,1)</f>
        <v>1</v>
      </c>
      <c r="I349" t="s">
        <v>8</v>
      </c>
      <c r="J349">
        <f>IF(Hoja1!G340="NO",0,1)</f>
        <v>1</v>
      </c>
      <c r="K349">
        <f>IF(Hoja1!H340="NO",0,1)</f>
        <v>0</v>
      </c>
      <c r="L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X349">
        <f t="shared" si="5"/>
        <v>1</v>
      </c>
      <c r="Y349" s="28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4:33" x14ac:dyDescent="0.25">
      <c r="D350">
        <f>+Hoja1!A341</f>
        <v>5115003</v>
      </c>
      <c r="E350" t="str">
        <f>+Hoja1!B341</f>
        <v>COSTO DE VENTA OTROS BIENES</v>
      </c>
      <c r="F350" t="str">
        <f>+Hoja1!E341</f>
        <v>PS</v>
      </c>
      <c r="G350">
        <f>IF(Hoja1!F341="NO",0,1)</f>
        <v>1</v>
      </c>
      <c r="H350">
        <f>IF(Hoja1!I341="NO",0,1)</f>
        <v>1</v>
      </c>
      <c r="I350" t="s">
        <v>8</v>
      </c>
      <c r="J350">
        <f>IF(Hoja1!G341="NO",0,1)</f>
        <v>1</v>
      </c>
      <c r="K350">
        <f>IF(Hoja1!H341="NO",0,1)</f>
        <v>0</v>
      </c>
      <c r="L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X350">
        <f t="shared" si="5"/>
        <v>1</v>
      </c>
      <c r="Y350" s="28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4:33" x14ac:dyDescent="0.25">
      <c r="D351">
        <f>+Hoja1!A342</f>
        <v>52</v>
      </c>
      <c r="E351" t="str">
        <f>+Hoja1!B342</f>
        <v>GASTOS OPERATIVOS</v>
      </c>
      <c r="F351" t="str">
        <f>+Hoja1!E342</f>
        <v>PS</v>
      </c>
      <c r="G351">
        <f>IF(Hoja1!F342="NO",0,1)</f>
        <v>0</v>
      </c>
      <c r="H351">
        <f>IF(Hoja1!I342="NO",0,1)</f>
        <v>1</v>
      </c>
      <c r="I351" t="s">
        <v>8</v>
      </c>
      <c r="J351">
        <f>IF(Hoja1!G342="NO",0,1)</f>
        <v>0</v>
      </c>
      <c r="K351">
        <f>IF(Hoja1!H342="NO",0,1)</f>
        <v>1</v>
      </c>
      <c r="L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X351">
        <f t="shared" si="5"/>
        <v>0</v>
      </c>
      <c r="Y351" s="28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4:33" x14ac:dyDescent="0.25">
      <c r="D352">
        <f>+Hoja1!A343</f>
        <v>5201</v>
      </c>
      <c r="E352" t="str">
        <f>+Hoja1!B343</f>
        <v>Gastos de Personal</v>
      </c>
      <c r="F352" t="str">
        <f>+Hoja1!E343</f>
        <v>PS</v>
      </c>
      <c r="G352">
        <f>IF(Hoja1!F343="NO",0,1)</f>
        <v>0</v>
      </c>
      <c r="H352">
        <f>IF(Hoja1!I343="NO",0,1)</f>
        <v>1</v>
      </c>
      <c r="I352" t="s">
        <v>8</v>
      </c>
      <c r="J352">
        <f>IF(Hoja1!G343="NO",0,1)</f>
        <v>1</v>
      </c>
      <c r="K352">
        <f>IF(Hoja1!H343="NO",0,1)</f>
        <v>1</v>
      </c>
      <c r="L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X352">
        <f t="shared" si="5"/>
        <v>0</v>
      </c>
      <c r="Y352" s="28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4:33" x14ac:dyDescent="0.25">
      <c r="D353">
        <f>+Hoja1!A344</f>
        <v>520101</v>
      </c>
      <c r="E353" t="str">
        <f>+Hoja1!B344</f>
        <v>SUELDOS PRODUCCION</v>
      </c>
      <c r="F353" t="str">
        <f>+Hoja1!E344</f>
        <v>PS</v>
      </c>
      <c r="G353">
        <f>IF(Hoja1!F344="NO",0,1)</f>
        <v>1</v>
      </c>
      <c r="H353">
        <f>IF(Hoja1!I344="NO",0,1)</f>
        <v>1</v>
      </c>
      <c r="I353" t="s">
        <v>8</v>
      </c>
      <c r="J353">
        <f>IF(Hoja1!G344="NO",0,1)</f>
        <v>1</v>
      </c>
      <c r="K353">
        <f>IF(Hoja1!H344="NO",0,1)</f>
        <v>0</v>
      </c>
      <c r="L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X353">
        <f t="shared" si="5"/>
        <v>1</v>
      </c>
      <c r="Y353" s="28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4:33" x14ac:dyDescent="0.25">
      <c r="D354">
        <f>+Hoja1!A345</f>
        <v>520102</v>
      </c>
      <c r="E354" t="str">
        <f>+Hoja1!B345</f>
        <v>SUELDOS ADMINISTRACIÓN</v>
      </c>
      <c r="F354" t="str">
        <f>+Hoja1!E345</f>
        <v>PS</v>
      </c>
      <c r="G354">
        <f>IF(Hoja1!F345="NO",0,1)</f>
        <v>1</v>
      </c>
      <c r="H354">
        <f>IF(Hoja1!I345="NO",0,1)</f>
        <v>1</v>
      </c>
      <c r="I354" t="s">
        <v>8</v>
      </c>
      <c r="J354">
        <f>IF(Hoja1!G345="NO",0,1)</f>
        <v>1</v>
      </c>
      <c r="K354">
        <f>IF(Hoja1!H345="NO",0,1)</f>
        <v>0</v>
      </c>
      <c r="L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X354">
        <f t="shared" si="5"/>
        <v>1</v>
      </c>
      <c r="Y354" s="28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4:33" x14ac:dyDescent="0.25">
      <c r="D355">
        <f>+Hoja1!A346</f>
        <v>520103</v>
      </c>
      <c r="E355" t="str">
        <f>+Hoja1!B346</f>
        <v>SUELDOS COMERCIAL</v>
      </c>
      <c r="F355" t="str">
        <f>+Hoja1!E346</f>
        <v>PS</v>
      </c>
      <c r="G355">
        <f>IF(Hoja1!F346="NO",0,1)</f>
        <v>1</v>
      </c>
      <c r="H355">
        <f>IF(Hoja1!I346="NO",0,1)</f>
        <v>1</v>
      </c>
      <c r="I355" t="s">
        <v>8</v>
      </c>
      <c r="J355">
        <f>IF(Hoja1!G346="NO",0,1)</f>
        <v>1</v>
      </c>
      <c r="K355">
        <f>IF(Hoja1!H346="NO",0,1)</f>
        <v>0</v>
      </c>
      <c r="L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X355">
        <f t="shared" si="5"/>
        <v>1</v>
      </c>
      <c r="Y355" s="28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4:33" x14ac:dyDescent="0.25">
      <c r="D356">
        <f>+Hoja1!A347</f>
        <v>520105</v>
      </c>
      <c r="E356" t="str">
        <f>+Hoja1!B347</f>
        <v>SUELDOS NO REMUNERATIVOS</v>
      </c>
      <c r="F356" t="str">
        <f>+Hoja1!E347</f>
        <v>PS</v>
      </c>
      <c r="G356">
        <f>IF(Hoja1!F347="NO",0,1)</f>
        <v>1</v>
      </c>
      <c r="H356">
        <f>IF(Hoja1!I347="NO",0,1)</f>
        <v>1</v>
      </c>
      <c r="I356" t="s">
        <v>8</v>
      </c>
      <c r="J356">
        <f>IF(Hoja1!G347="NO",0,1)</f>
        <v>1</v>
      </c>
      <c r="K356">
        <f>IF(Hoja1!H347="NO",0,1)</f>
        <v>0</v>
      </c>
      <c r="L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X356">
        <f t="shared" si="5"/>
        <v>1</v>
      </c>
      <c r="Y356" s="28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4:33" x14ac:dyDescent="0.25">
      <c r="D357">
        <f>+Hoja1!A348</f>
        <v>520110</v>
      </c>
      <c r="E357" t="str">
        <f>+Hoja1!B348</f>
        <v>COMISIONES</v>
      </c>
      <c r="F357" t="str">
        <f>+Hoja1!E348</f>
        <v>PS</v>
      </c>
      <c r="G357">
        <f>IF(Hoja1!F348="NO",0,1)</f>
        <v>1</v>
      </c>
      <c r="H357">
        <f>IF(Hoja1!I348="NO",0,1)</f>
        <v>1</v>
      </c>
      <c r="I357" t="s">
        <v>8</v>
      </c>
      <c r="J357">
        <f>IF(Hoja1!G348="NO",0,1)</f>
        <v>1</v>
      </c>
      <c r="K357">
        <f>IF(Hoja1!H348="NO",0,1)</f>
        <v>0</v>
      </c>
      <c r="L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X357">
        <f t="shared" si="5"/>
        <v>1</v>
      </c>
      <c r="Y357" s="28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4:33" x14ac:dyDescent="0.25">
      <c r="D358">
        <f>+Hoja1!A349</f>
        <v>520114</v>
      </c>
      <c r="E358" t="str">
        <f>+Hoja1!B349</f>
        <v>AUTONOMOS</v>
      </c>
      <c r="F358" t="str">
        <f>+Hoja1!E349</f>
        <v>PS</v>
      </c>
      <c r="G358">
        <f>IF(Hoja1!F349="NO",0,1)</f>
        <v>1</v>
      </c>
      <c r="H358">
        <f>IF(Hoja1!I349="NO",0,1)</f>
        <v>1</v>
      </c>
      <c r="I358" t="s">
        <v>8</v>
      </c>
      <c r="J358">
        <f>IF(Hoja1!G349="NO",0,1)</f>
        <v>1</v>
      </c>
      <c r="K358">
        <f>IF(Hoja1!H349="NO",0,1)</f>
        <v>0</v>
      </c>
      <c r="L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X358">
        <f t="shared" si="5"/>
        <v>1</v>
      </c>
      <c r="Y358" s="2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4:33" x14ac:dyDescent="0.25">
      <c r="D359">
        <f>+Hoja1!A350</f>
        <v>520115</v>
      </c>
      <c r="E359" t="str">
        <f>+Hoja1!B350</f>
        <v>CARGAS SOCIALES PRODUCCION</v>
      </c>
      <c r="F359" t="str">
        <f>+Hoja1!E350</f>
        <v>PS</v>
      </c>
      <c r="G359">
        <f>IF(Hoja1!F350="NO",0,1)</f>
        <v>1</v>
      </c>
      <c r="H359">
        <f>IF(Hoja1!I350="NO",0,1)</f>
        <v>1</v>
      </c>
      <c r="I359" t="s">
        <v>8</v>
      </c>
      <c r="J359">
        <f>IF(Hoja1!G350="NO",0,1)</f>
        <v>1</v>
      </c>
      <c r="K359">
        <f>IF(Hoja1!H350="NO",0,1)</f>
        <v>0</v>
      </c>
      <c r="L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X359">
        <f t="shared" si="5"/>
        <v>1</v>
      </c>
      <c r="Y359" s="28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4:33" x14ac:dyDescent="0.25">
      <c r="D360">
        <f>+Hoja1!A351</f>
        <v>520116</v>
      </c>
      <c r="E360" t="str">
        <f>+Hoja1!B351</f>
        <v>ADIC. OSDE CARGAS SOCIALES</v>
      </c>
      <c r="F360" t="str">
        <f>+Hoja1!E351</f>
        <v>PS</v>
      </c>
      <c r="G360">
        <f>IF(Hoja1!F351="NO",0,1)</f>
        <v>1</v>
      </c>
      <c r="H360">
        <f>IF(Hoja1!I351="NO",0,1)</f>
        <v>1</v>
      </c>
      <c r="I360" t="s">
        <v>8</v>
      </c>
      <c r="J360">
        <f>IF(Hoja1!G351="NO",0,1)</f>
        <v>1</v>
      </c>
      <c r="K360">
        <f>IF(Hoja1!H351="NO",0,1)</f>
        <v>0</v>
      </c>
      <c r="L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X360">
        <f t="shared" si="5"/>
        <v>1</v>
      </c>
      <c r="Y360" s="28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4:33" x14ac:dyDescent="0.25">
      <c r="D361">
        <f>+Hoja1!A352</f>
        <v>520117</v>
      </c>
      <c r="E361" t="str">
        <f>+Hoja1!B352</f>
        <v>CARGAS SOCIALES ADMINISTRACION</v>
      </c>
      <c r="F361" t="str">
        <f>+Hoja1!E352</f>
        <v>PS</v>
      </c>
      <c r="G361">
        <f>IF(Hoja1!F352="NO",0,1)</f>
        <v>1</v>
      </c>
      <c r="H361">
        <f>IF(Hoja1!I352="NO",0,1)</f>
        <v>1</v>
      </c>
      <c r="I361" t="s">
        <v>8</v>
      </c>
      <c r="J361">
        <f>IF(Hoja1!G352="NO",0,1)</f>
        <v>1</v>
      </c>
      <c r="K361">
        <f>IF(Hoja1!H352="NO",0,1)</f>
        <v>0</v>
      </c>
      <c r="L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X361">
        <f t="shared" si="5"/>
        <v>1</v>
      </c>
      <c r="Y361" s="28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4:33" x14ac:dyDescent="0.25">
      <c r="D362">
        <f>+Hoja1!A353</f>
        <v>520118</v>
      </c>
      <c r="E362" t="str">
        <f>+Hoja1!B353</f>
        <v>CARGAS SOCIALES COMERCIALES</v>
      </c>
      <c r="F362" t="str">
        <f>+Hoja1!E353</f>
        <v>PS</v>
      </c>
      <c r="G362">
        <f>IF(Hoja1!F353="NO",0,1)</f>
        <v>1</v>
      </c>
      <c r="H362">
        <f>IF(Hoja1!I353="NO",0,1)</f>
        <v>1</v>
      </c>
      <c r="I362" t="s">
        <v>8</v>
      </c>
      <c r="J362">
        <f>IF(Hoja1!G353="NO",0,1)</f>
        <v>1</v>
      </c>
      <c r="K362">
        <f>IF(Hoja1!H353="NO",0,1)</f>
        <v>0</v>
      </c>
      <c r="L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X362">
        <f t="shared" si="5"/>
        <v>1</v>
      </c>
      <c r="Y362" s="28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4:33" x14ac:dyDescent="0.25">
      <c r="D363">
        <f>+Hoja1!A354</f>
        <v>520135</v>
      </c>
      <c r="E363" t="str">
        <f>+Hoja1!B354</f>
        <v>SEGUROS - ART</v>
      </c>
      <c r="F363" t="str">
        <f>+Hoja1!E354</f>
        <v>PS</v>
      </c>
      <c r="G363">
        <f>IF(Hoja1!F354="NO",0,1)</f>
        <v>1</v>
      </c>
      <c r="H363">
        <f>IF(Hoja1!I354="NO",0,1)</f>
        <v>1</v>
      </c>
      <c r="I363" t="s">
        <v>8</v>
      </c>
      <c r="J363">
        <f>IF(Hoja1!G354="NO",0,1)</f>
        <v>1</v>
      </c>
      <c r="K363">
        <f>IF(Hoja1!H354="NO",0,1)</f>
        <v>0</v>
      </c>
      <c r="L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X363">
        <f t="shared" si="5"/>
        <v>1</v>
      </c>
      <c r="Y363" s="28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4:33" x14ac:dyDescent="0.25">
      <c r="D364">
        <f>+Hoja1!A355</f>
        <v>520136</v>
      </c>
      <c r="E364" t="str">
        <f>+Hoja1!B355</f>
        <v>SINDICATOS</v>
      </c>
      <c r="F364" t="str">
        <f>+Hoja1!E355</f>
        <v>PS</v>
      </c>
      <c r="G364">
        <f>IF(Hoja1!F355="NO",0,1)</f>
        <v>1</v>
      </c>
      <c r="H364">
        <f>IF(Hoja1!I355="NO",0,1)</f>
        <v>1</v>
      </c>
      <c r="I364" t="s">
        <v>8</v>
      </c>
      <c r="J364">
        <f>IF(Hoja1!G355="NO",0,1)</f>
        <v>1</v>
      </c>
      <c r="K364">
        <f>IF(Hoja1!H355="NO",0,1)</f>
        <v>0</v>
      </c>
      <c r="L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X364">
        <f t="shared" si="5"/>
        <v>1</v>
      </c>
      <c r="Y364" s="28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4:33" x14ac:dyDescent="0.25">
      <c r="D365">
        <f>+Hoja1!A356</f>
        <v>520140</v>
      </c>
      <c r="E365" t="str">
        <f>+Hoja1!B356</f>
        <v>ROPA DE TRABAJO</v>
      </c>
      <c r="F365" t="str">
        <f>+Hoja1!E356</f>
        <v>PS</v>
      </c>
      <c r="G365">
        <f>IF(Hoja1!F356="NO",0,1)</f>
        <v>1</v>
      </c>
      <c r="H365">
        <f>IF(Hoja1!I356="NO",0,1)</f>
        <v>1</v>
      </c>
      <c r="I365" t="s">
        <v>8</v>
      </c>
      <c r="J365">
        <f>IF(Hoja1!G356="NO",0,1)</f>
        <v>1</v>
      </c>
      <c r="K365">
        <f>IF(Hoja1!H356="NO",0,1)</f>
        <v>0</v>
      </c>
      <c r="L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X365">
        <f t="shared" si="5"/>
        <v>1</v>
      </c>
      <c r="Y365" s="28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4:33" x14ac:dyDescent="0.25">
      <c r="D366">
        <f>+Hoja1!A357</f>
        <v>520145</v>
      </c>
      <c r="E366" t="str">
        <f>+Hoja1!B357</f>
        <v>OTROS GASTOS DE PERSONAL</v>
      </c>
      <c r="F366" t="str">
        <f>+Hoja1!E357</f>
        <v>PS</v>
      </c>
      <c r="G366">
        <f>IF(Hoja1!F357="NO",0,1)</f>
        <v>1</v>
      </c>
      <c r="H366">
        <f>IF(Hoja1!I357="NO",0,1)</f>
        <v>1</v>
      </c>
      <c r="I366" t="s">
        <v>8</v>
      </c>
      <c r="J366">
        <f>IF(Hoja1!G357="NO",0,1)</f>
        <v>1</v>
      </c>
      <c r="K366">
        <f>IF(Hoja1!H357="NO",0,1)</f>
        <v>0</v>
      </c>
      <c r="L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X366">
        <f t="shared" si="5"/>
        <v>1</v>
      </c>
      <c r="Y366" s="28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4:33" x14ac:dyDescent="0.25">
      <c r="D367">
        <f>+Hoja1!A358</f>
        <v>520150</v>
      </c>
      <c r="E367" t="str">
        <f>+Hoja1!B358</f>
        <v>ACUERDOS MINIST.TRABAJO</v>
      </c>
      <c r="F367" t="str">
        <f>+Hoja1!E358</f>
        <v>PS</v>
      </c>
      <c r="G367">
        <f>IF(Hoja1!F358="NO",0,1)</f>
        <v>1</v>
      </c>
      <c r="H367">
        <f>IF(Hoja1!I358="NO",0,1)</f>
        <v>1</v>
      </c>
      <c r="I367" t="s">
        <v>8</v>
      </c>
      <c r="J367">
        <f>IF(Hoja1!G358="NO",0,1)</f>
        <v>1</v>
      </c>
      <c r="K367">
        <f>IF(Hoja1!H358="NO",0,1)</f>
        <v>0</v>
      </c>
      <c r="L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X367">
        <f t="shared" si="5"/>
        <v>1</v>
      </c>
      <c r="Y367" s="28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4:33" x14ac:dyDescent="0.25">
      <c r="D368">
        <f>+Hoja1!A359</f>
        <v>520153</v>
      </c>
      <c r="E368" t="str">
        <f>+Hoja1!B359</f>
        <v>JUICIOS LABORALES PROVISION</v>
      </c>
      <c r="F368" t="str">
        <f>+Hoja1!E359</f>
        <v>PS</v>
      </c>
      <c r="G368">
        <f>IF(Hoja1!F359="NO",0,1)</f>
        <v>1</v>
      </c>
      <c r="H368">
        <f>IF(Hoja1!I359="NO",0,1)</f>
        <v>1</v>
      </c>
      <c r="I368" t="s">
        <v>8</v>
      </c>
      <c r="J368">
        <f>IF(Hoja1!G359="NO",0,1)</f>
        <v>1</v>
      </c>
      <c r="K368">
        <f>IF(Hoja1!H359="NO",0,1)</f>
        <v>0</v>
      </c>
      <c r="L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X368">
        <f t="shared" si="5"/>
        <v>1</v>
      </c>
      <c r="Y368" s="2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4:33" x14ac:dyDescent="0.25">
      <c r="D369">
        <f>+Hoja1!A360</f>
        <v>520160</v>
      </c>
      <c r="E369" t="str">
        <f>+Hoja1!B360</f>
        <v>HONORARIOS ACUERDO MINIST.</v>
      </c>
      <c r="F369" t="str">
        <f>+Hoja1!E360</f>
        <v>PS</v>
      </c>
      <c r="G369">
        <f>IF(Hoja1!F360="NO",0,1)</f>
        <v>1</v>
      </c>
      <c r="H369">
        <f>IF(Hoja1!I360="NO",0,1)</f>
        <v>1</v>
      </c>
      <c r="I369" t="s">
        <v>8</v>
      </c>
      <c r="J369">
        <f>IF(Hoja1!G360="NO",0,1)</f>
        <v>1</v>
      </c>
      <c r="K369">
        <f>IF(Hoja1!H360="NO",0,1)</f>
        <v>0</v>
      </c>
      <c r="L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X369">
        <f t="shared" si="5"/>
        <v>1</v>
      </c>
      <c r="Y369" s="28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4:33" x14ac:dyDescent="0.25">
      <c r="D370">
        <f>+Hoja1!A361</f>
        <v>520510</v>
      </c>
      <c r="E370" t="str">
        <f>+Hoja1!B361</f>
        <v>AGUA</v>
      </c>
      <c r="F370" t="str">
        <f>+Hoja1!E361</f>
        <v>PS</v>
      </c>
      <c r="G370">
        <f>IF(Hoja1!F361="NO",0,1)</f>
        <v>1</v>
      </c>
      <c r="H370">
        <f>IF(Hoja1!I361="NO",0,1)</f>
        <v>1</v>
      </c>
      <c r="I370" t="s">
        <v>8</v>
      </c>
      <c r="J370">
        <f>IF(Hoja1!G361="NO",0,1)</f>
        <v>1</v>
      </c>
      <c r="K370">
        <f>IF(Hoja1!H361="NO",0,1)</f>
        <v>0</v>
      </c>
      <c r="L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X370">
        <f t="shared" si="5"/>
        <v>1</v>
      </c>
      <c r="Y370" s="28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4:33" x14ac:dyDescent="0.25">
      <c r="D371">
        <f>+Hoja1!A362</f>
        <v>520515</v>
      </c>
      <c r="E371" t="str">
        <f>+Hoja1!B362</f>
        <v>GAS Y COMBUSTIBLE PRODUCTIVO</v>
      </c>
      <c r="F371" t="str">
        <f>+Hoja1!E362</f>
        <v>PS</v>
      </c>
      <c r="G371">
        <f>IF(Hoja1!F362="NO",0,1)</f>
        <v>1</v>
      </c>
      <c r="H371">
        <f>IF(Hoja1!I362="NO",0,1)</f>
        <v>1</v>
      </c>
      <c r="I371" t="s">
        <v>8</v>
      </c>
      <c r="J371">
        <f>IF(Hoja1!G362="NO",0,1)</f>
        <v>1</v>
      </c>
      <c r="K371">
        <f>IF(Hoja1!H362="NO",0,1)</f>
        <v>0</v>
      </c>
      <c r="L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X371">
        <f t="shared" si="5"/>
        <v>1</v>
      </c>
      <c r="Y371" s="28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4:33" x14ac:dyDescent="0.25">
      <c r="D372">
        <f>+Hoja1!A363</f>
        <v>5210</v>
      </c>
      <c r="E372" t="str">
        <f>+Hoja1!B363</f>
        <v>REPARACIONES</v>
      </c>
      <c r="F372" t="str">
        <f>+Hoja1!E363</f>
        <v>PS</v>
      </c>
      <c r="G372">
        <f>IF(Hoja1!F363="NO",0,1)</f>
        <v>0</v>
      </c>
      <c r="H372">
        <f>IF(Hoja1!I363="NO",0,1)</f>
        <v>1</v>
      </c>
      <c r="I372" t="s">
        <v>8</v>
      </c>
      <c r="J372">
        <f>IF(Hoja1!G363="NO",0,1)</f>
        <v>0</v>
      </c>
      <c r="K372">
        <f>IF(Hoja1!H363="NO",0,1)</f>
        <v>1</v>
      </c>
      <c r="L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X372">
        <f t="shared" si="5"/>
        <v>0</v>
      </c>
      <c r="Y372" s="28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4:33" x14ac:dyDescent="0.25">
      <c r="D373">
        <f>+Hoja1!A364</f>
        <v>521001</v>
      </c>
      <c r="E373" t="str">
        <f>+Hoja1!B364</f>
        <v>REPAR.Y MANT. DE MÁQ.</v>
      </c>
      <c r="F373" t="str">
        <f>+Hoja1!E364</f>
        <v>PS</v>
      </c>
      <c r="G373">
        <f>IF(Hoja1!F364="NO",0,1)</f>
        <v>1</v>
      </c>
      <c r="H373">
        <f>IF(Hoja1!I364="NO",0,1)</f>
        <v>1</v>
      </c>
      <c r="I373" t="s">
        <v>8</v>
      </c>
      <c r="J373">
        <f>IF(Hoja1!G364="NO",0,1)</f>
        <v>1</v>
      </c>
      <c r="K373">
        <f>IF(Hoja1!H364="NO",0,1)</f>
        <v>0</v>
      </c>
      <c r="L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X373">
        <f t="shared" si="5"/>
        <v>1</v>
      </c>
      <c r="Y373" s="28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4:33" x14ac:dyDescent="0.25">
      <c r="D374">
        <f>+Hoja1!A365</f>
        <v>521005</v>
      </c>
      <c r="E374" t="str">
        <f>+Hoja1!B365</f>
        <v>REPAR. Y MANT. DE INMUEBLES</v>
      </c>
      <c r="F374" t="str">
        <f>+Hoja1!E365</f>
        <v>PS</v>
      </c>
      <c r="G374">
        <f>IF(Hoja1!F365="NO",0,1)</f>
        <v>1</v>
      </c>
      <c r="H374">
        <f>IF(Hoja1!I365="NO",0,1)</f>
        <v>1</v>
      </c>
      <c r="I374" t="s">
        <v>8</v>
      </c>
      <c r="J374">
        <f>IF(Hoja1!G365="NO",0,1)</f>
        <v>1</v>
      </c>
      <c r="K374">
        <f>IF(Hoja1!H365="NO",0,1)</f>
        <v>0</v>
      </c>
      <c r="L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X374">
        <f t="shared" si="5"/>
        <v>1</v>
      </c>
      <c r="Y374" s="28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4:33" x14ac:dyDescent="0.25">
      <c r="D375">
        <f>+Hoja1!A366</f>
        <v>521010</v>
      </c>
      <c r="E375" t="str">
        <f>+Hoja1!B366</f>
        <v>REPAR. Y MANT.GENERALES</v>
      </c>
      <c r="F375" t="str">
        <f>+Hoja1!E366</f>
        <v>PS</v>
      </c>
      <c r="G375">
        <f>IF(Hoja1!F366="NO",0,1)</f>
        <v>1</v>
      </c>
      <c r="H375">
        <f>IF(Hoja1!I366="NO",0,1)</f>
        <v>1</v>
      </c>
      <c r="I375" t="s">
        <v>8</v>
      </c>
      <c r="J375">
        <f>IF(Hoja1!G366="NO",0,1)</f>
        <v>1</v>
      </c>
      <c r="K375">
        <f>IF(Hoja1!H366="NO",0,1)</f>
        <v>0</v>
      </c>
      <c r="L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X375">
        <f t="shared" si="5"/>
        <v>1</v>
      </c>
      <c r="Y375" s="28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4:33" x14ac:dyDescent="0.25">
      <c r="D376">
        <f>+Hoja1!A367</f>
        <v>521015</v>
      </c>
      <c r="E376" t="str">
        <f>+Hoja1!B367</f>
        <v>REPAR. Y MANT.RODADOS</v>
      </c>
      <c r="F376" t="str">
        <f>+Hoja1!E367</f>
        <v>PS</v>
      </c>
      <c r="G376">
        <f>IF(Hoja1!F367="NO",0,1)</f>
        <v>1</v>
      </c>
      <c r="H376">
        <f>IF(Hoja1!I367="NO",0,1)</f>
        <v>1</v>
      </c>
      <c r="I376" t="s">
        <v>8</v>
      </c>
      <c r="J376">
        <f>IF(Hoja1!G367="NO",0,1)</f>
        <v>1</v>
      </c>
      <c r="K376">
        <f>IF(Hoja1!H367="NO",0,1)</f>
        <v>0</v>
      </c>
      <c r="L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X376">
        <f t="shared" si="5"/>
        <v>1</v>
      </c>
      <c r="Y376" s="28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4:33" x14ac:dyDescent="0.25">
      <c r="D377">
        <f>+Hoja1!A368</f>
        <v>5215</v>
      </c>
      <c r="E377" t="str">
        <f>+Hoja1!B368</f>
        <v>SEGUROS</v>
      </c>
      <c r="F377" t="str">
        <f>+Hoja1!E368</f>
        <v>PS</v>
      </c>
      <c r="G377">
        <f>IF(Hoja1!F368="NO",0,1)</f>
        <v>0</v>
      </c>
      <c r="H377">
        <f>IF(Hoja1!I368="NO",0,1)</f>
        <v>1</v>
      </c>
      <c r="I377" t="s">
        <v>8</v>
      </c>
      <c r="J377">
        <f>IF(Hoja1!G368="NO",0,1)</f>
        <v>0</v>
      </c>
      <c r="K377">
        <f>IF(Hoja1!H368="NO",0,1)</f>
        <v>1</v>
      </c>
      <c r="L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X377">
        <f t="shared" si="5"/>
        <v>0</v>
      </c>
      <c r="Y377" s="28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4:33" x14ac:dyDescent="0.25">
      <c r="D378">
        <f>+Hoja1!A369</f>
        <v>521501</v>
      </c>
      <c r="E378" t="str">
        <f>+Hoja1!B369</f>
        <v>SEGUROS DE EDIFICIO</v>
      </c>
      <c r="F378" t="str">
        <f>+Hoja1!E369</f>
        <v>PS</v>
      </c>
      <c r="G378">
        <f>IF(Hoja1!F369="NO",0,1)</f>
        <v>1</v>
      </c>
      <c r="H378">
        <f>IF(Hoja1!I369="NO",0,1)</f>
        <v>1</v>
      </c>
      <c r="I378" t="s">
        <v>8</v>
      </c>
      <c r="J378">
        <f>IF(Hoja1!G369="NO",0,1)</f>
        <v>1</v>
      </c>
      <c r="K378">
        <f>IF(Hoja1!H369="NO",0,1)</f>
        <v>0</v>
      </c>
      <c r="L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X378">
        <f t="shared" si="5"/>
        <v>1</v>
      </c>
      <c r="Y378" s="2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4:33" x14ac:dyDescent="0.25">
      <c r="D379">
        <f>+Hoja1!A370</f>
        <v>521505</v>
      </c>
      <c r="E379" t="str">
        <f>+Hoja1!B370</f>
        <v>SEGUROS DE RODADOS</v>
      </c>
      <c r="F379" t="str">
        <f>+Hoja1!E370</f>
        <v>PS</v>
      </c>
      <c r="G379">
        <f>IF(Hoja1!F370="NO",0,1)</f>
        <v>1</v>
      </c>
      <c r="H379">
        <f>IF(Hoja1!I370="NO",0,1)</f>
        <v>1</v>
      </c>
      <c r="I379" t="s">
        <v>8</v>
      </c>
      <c r="J379">
        <f>IF(Hoja1!G370="NO",0,1)</f>
        <v>1</v>
      </c>
      <c r="K379">
        <f>IF(Hoja1!H370="NO",0,1)</f>
        <v>0</v>
      </c>
      <c r="L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X379">
        <f t="shared" si="5"/>
        <v>1</v>
      </c>
      <c r="Y379" s="28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4:33" x14ac:dyDescent="0.25">
      <c r="D380">
        <f>+Hoja1!A371</f>
        <v>521510</v>
      </c>
      <c r="E380" t="str">
        <f>+Hoja1!B371</f>
        <v>SEGUROS S/MAQUINAS</v>
      </c>
      <c r="F380" t="str">
        <f>+Hoja1!E371</f>
        <v>PS</v>
      </c>
      <c r="G380">
        <f>IF(Hoja1!F371="NO",0,1)</f>
        <v>1</v>
      </c>
      <c r="H380">
        <f>IF(Hoja1!I371="NO",0,1)</f>
        <v>1</v>
      </c>
      <c r="I380" t="s">
        <v>8</v>
      </c>
      <c r="J380">
        <f>IF(Hoja1!G371="NO",0,1)</f>
        <v>1</v>
      </c>
      <c r="K380">
        <f>IF(Hoja1!H371="NO",0,1)</f>
        <v>0</v>
      </c>
      <c r="L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X380">
        <f t="shared" si="5"/>
        <v>1</v>
      </c>
      <c r="Y380" s="28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4:33" x14ac:dyDescent="0.25">
      <c r="D381">
        <f>+Hoja1!A372</f>
        <v>521515</v>
      </c>
      <c r="E381" t="str">
        <f>+Hoja1!B372</f>
        <v>SEGUROS GENERALES</v>
      </c>
      <c r="F381" t="str">
        <f>+Hoja1!E372</f>
        <v>PS</v>
      </c>
      <c r="G381">
        <f>IF(Hoja1!F372="NO",0,1)</f>
        <v>1</v>
      </c>
      <c r="H381">
        <f>IF(Hoja1!I372="NO",0,1)</f>
        <v>1</v>
      </c>
      <c r="I381" t="s">
        <v>8</v>
      </c>
      <c r="J381">
        <f>IF(Hoja1!G372="NO",0,1)</f>
        <v>1</v>
      </c>
      <c r="K381">
        <f>IF(Hoja1!H372="NO",0,1)</f>
        <v>0</v>
      </c>
      <c r="L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X381">
        <f t="shared" si="5"/>
        <v>1</v>
      </c>
      <c r="Y381" s="28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4:33" x14ac:dyDescent="0.25">
      <c r="D382">
        <f>+Hoja1!A373</f>
        <v>5220</v>
      </c>
      <c r="E382" t="str">
        <f>+Hoja1!B373</f>
        <v>Amortizaciones del Ejercicio</v>
      </c>
      <c r="F382" t="str">
        <f>+Hoja1!E373</f>
        <v>PS</v>
      </c>
      <c r="G382">
        <f>IF(Hoja1!F373="NO",0,1)</f>
        <v>0</v>
      </c>
      <c r="H382">
        <f>IF(Hoja1!I373="NO",0,1)</f>
        <v>1</v>
      </c>
      <c r="I382" t="s">
        <v>8</v>
      </c>
      <c r="J382">
        <f>IF(Hoja1!G373="NO",0,1)</f>
        <v>0</v>
      </c>
      <c r="K382">
        <f>IF(Hoja1!H373="NO",0,1)</f>
        <v>1</v>
      </c>
      <c r="L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X382">
        <f t="shared" si="5"/>
        <v>0</v>
      </c>
      <c r="Y382" s="28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4:33" x14ac:dyDescent="0.25">
      <c r="D383">
        <f>+Hoja1!A374</f>
        <v>522001</v>
      </c>
      <c r="E383" t="str">
        <f>+Hoja1!B374</f>
        <v>AMORT. DE EDIFICIOS</v>
      </c>
      <c r="F383" t="str">
        <f>+Hoja1!E374</f>
        <v>PS</v>
      </c>
      <c r="G383">
        <f>IF(Hoja1!F374="NO",0,1)</f>
        <v>1</v>
      </c>
      <c r="H383">
        <f>IF(Hoja1!I374="NO",0,1)</f>
        <v>1</v>
      </c>
      <c r="I383" t="s">
        <v>8</v>
      </c>
      <c r="J383">
        <f>IF(Hoja1!G374="NO",0,1)</f>
        <v>1</v>
      </c>
      <c r="K383">
        <f>IF(Hoja1!H374="NO",0,1)</f>
        <v>0</v>
      </c>
      <c r="L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X383">
        <f t="shared" si="5"/>
        <v>1</v>
      </c>
      <c r="Y383" s="28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4:33" x14ac:dyDescent="0.25">
      <c r="D384">
        <f>+Hoja1!A375</f>
        <v>522005</v>
      </c>
      <c r="E384" t="str">
        <f>+Hoja1!B375</f>
        <v>AMORT. DE MAQUINAS</v>
      </c>
      <c r="F384" t="str">
        <f>+Hoja1!E375</f>
        <v>PS</v>
      </c>
      <c r="G384">
        <f>IF(Hoja1!F375="NO",0,1)</f>
        <v>1</v>
      </c>
      <c r="H384">
        <f>IF(Hoja1!I375="NO",0,1)</f>
        <v>1</v>
      </c>
      <c r="I384" t="s">
        <v>8</v>
      </c>
      <c r="J384">
        <f>IF(Hoja1!G375="NO",0,1)</f>
        <v>1</v>
      </c>
      <c r="K384">
        <f>IF(Hoja1!H375="NO",0,1)</f>
        <v>0</v>
      </c>
      <c r="L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X384">
        <f t="shared" si="5"/>
        <v>1</v>
      </c>
      <c r="Y384" s="28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4:33" x14ac:dyDescent="0.25">
      <c r="D385">
        <f>+Hoja1!A376</f>
        <v>522010</v>
      </c>
      <c r="E385" t="str">
        <f>+Hoja1!B376</f>
        <v>AMORT. DE INSTALACIONES</v>
      </c>
      <c r="F385" t="str">
        <f>+Hoja1!E376</f>
        <v>PS</v>
      </c>
      <c r="G385">
        <f>IF(Hoja1!F376="NO",0,1)</f>
        <v>1</v>
      </c>
      <c r="H385">
        <f>IF(Hoja1!I376="NO",0,1)</f>
        <v>1</v>
      </c>
      <c r="I385" t="s">
        <v>8</v>
      </c>
      <c r="J385">
        <f>IF(Hoja1!G376="NO",0,1)</f>
        <v>1</v>
      </c>
      <c r="K385">
        <f>IF(Hoja1!H376="NO",0,1)</f>
        <v>0</v>
      </c>
      <c r="L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X385">
        <f t="shared" si="5"/>
        <v>1</v>
      </c>
      <c r="Y385" s="28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4:33" x14ac:dyDescent="0.25">
      <c r="D386">
        <f>+Hoja1!A377</f>
        <v>522015</v>
      </c>
      <c r="E386" t="str">
        <f>+Hoja1!B377</f>
        <v>AMORT. DE HERRAMIENTAS</v>
      </c>
      <c r="F386" t="str">
        <f>+Hoja1!E377</f>
        <v>PS</v>
      </c>
      <c r="G386">
        <f>IF(Hoja1!F377="NO",0,1)</f>
        <v>1</v>
      </c>
      <c r="H386">
        <f>IF(Hoja1!I377="NO",0,1)</f>
        <v>1</v>
      </c>
      <c r="I386" t="s">
        <v>8</v>
      </c>
      <c r="J386">
        <f>IF(Hoja1!G377="NO",0,1)</f>
        <v>1</v>
      </c>
      <c r="K386">
        <f>IF(Hoja1!H377="NO",0,1)</f>
        <v>0</v>
      </c>
      <c r="L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X386">
        <f t="shared" si="5"/>
        <v>1</v>
      </c>
      <c r="Y386" s="28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 spans="4:33" x14ac:dyDescent="0.25">
      <c r="D387">
        <f>+Hoja1!A378</f>
        <v>522020</v>
      </c>
      <c r="E387" t="str">
        <f>+Hoja1!B378</f>
        <v>AMORT. DE MUEBLES Y UTILES</v>
      </c>
      <c r="F387" t="str">
        <f>+Hoja1!E378</f>
        <v>PS</v>
      </c>
      <c r="G387">
        <f>IF(Hoja1!F378="NO",0,1)</f>
        <v>1</v>
      </c>
      <c r="H387">
        <f>IF(Hoja1!I378="NO",0,1)</f>
        <v>1</v>
      </c>
      <c r="I387" t="s">
        <v>8</v>
      </c>
      <c r="J387">
        <f>IF(Hoja1!G378="NO",0,1)</f>
        <v>1</v>
      </c>
      <c r="K387">
        <f>IF(Hoja1!H378="NO",0,1)</f>
        <v>0</v>
      </c>
      <c r="L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X387">
        <f t="shared" si="5"/>
        <v>1</v>
      </c>
      <c r="Y387" s="28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4:33" x14ac:dyDescent="0.25">
      <c r="D388">
        <f>+Hoja1!A379</f>
        <v>522025</v>
      </c>
      <c r="E388" t="str">
        <f>+Hoja1!B379</f>
        <v>AMORT. DE SIST. DE CÓMPUTOS</v>
      </c>
      <c r="F388" t="str">
        <f>+Hoja1!E379</f>
        <v>PS</v>
      </c>
      <c r="G388">
        <f>IF(Hoja1!F379="NO",0,1)</f>
        <v>1</v>
      </c>
      <c r="H388">
        <f>IF(Hoja1!I379="NO",0,1)</f>
        <v>1</v>
      </c>
      <c r="I388" t="s">
        <v>8</v>
      </c>
      <c r="J388">
        <f>IF(Hoja1!G379="NO",0,1)</f>
        <v>1</v>
      </c>
      <c r="K388">
        <f>IF(Hoja1!H379="NO",0,1)</f>
        <v>0</v>
      </c>
      <c r="L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X388">
        <f t="shared" si="5"/>
        <v>1</v>
      </c>
      <c r="Y388" s="2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4:33" x14ac:dyDescent="0.25">
      <c r="D389">
        <f>+Hoja1!A380</f>
        <v>522030</v>
      </c>
      <c r="E389" t="str">
        <f>+Hoja1!B380</f>
        <v>AMORT. GTOS ORGANIZACIÓN</v>
      </c>
      <c r="F389" t="str">
        <f>+Hoja1!E380</f>
        <v>PS</v>
      </c>
      <c r="G389">
        <f>IF(Hoja1!F380="NO",0,1)</f>
        <v>1</v>
      </c>
      <c r="H389">
        <f>IF(Hoja1!I380="NO",0,1)</f>
        <v>1</v>
      </c>
      <c r="I389" t="s">
        <v>8</v>
      </c>
      <c r="J389">
        <f>IF(Hoja1!G380="NO",0,1)</f>
        <v>1</v>
      </c>
      <c r="K389">
        <f>IF(Hoja1!H380="NO",0,1)</f>
        <v>0</v>
      </c>
      <c r="L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X389">
        <f t="shared" si="5"/>
        <v>1</v>
      </c>
      <c r="Y389" s="28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4:33" x14ac:dyDescent="0.25">
      <c r="D390">
        <f>+Hoja1!A381</f>
        <v>522035</v>
      </c>
      <c r="E390" t="str">
        <f>+Hoja1!B381</f>
        <v>AMORTIZACIÓN DE MARCAS</v>
      </c>
      <c r="F390" t="str">
        <f>+Hoja1!E381</f>
        <v>PS</v>
      </c>
      <c r="G390">
        <f>IF(Hoja1!F381="NO",0,1)</f>
        <v>1</v>
      </c>
      <c r="H390">
        <f>IF(Hoja1!I381="NO",0,1)</f>
        <v>1</v>
      </c>
      <c r="I390" t="s">
        <v>8</v>
      </c>
      <c r="J390">
        <f>IF(Hoja1!G381="NO",0,1)</f>
        <v>1</v>
      </c>
      <c r="K390">
        <f>IF(Hoja1!H381="NO",0,1)</f>
        <v>0</v>
      </c>
      <c r="L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X390">
        <f t="shared" si="5"/>
        <v>1</v>
      </c>
      <c r="Y390" s="28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4:33" x14ac:dyDescent="0.25">
      <c r="D391">
        <f>+Hoja1!A382</f>
        <v>522040</v>
      </c>
      <c r="E391" t="str">
        <f>+Hoja1!B382</f>
        <v>AMORTIZ. GS. ASESOR.FINANCIERO</v>
      </c>
      <c r="F391" t="str">
        <f>+Hoja1!E382</f>
        <v>PS</v>
      </c>
      <c r="G391">
        <f>IF(Hoja1!F382="NO",0,1)</f>
        <v>1</v>
      </c>
      <c r="H391">
        <f>IF(Hoja1!I382="NO",0,1)</f>
        <v>1</v>
      </c>
      <c r="I391" t="s">
        <v>8</v>
      </c>
      <c r="J391">
        <f>IF(Hoja1!G382="NO",0,1)</f>
        <v>1</v>
      </c>
      <c r="K391">
        <f>IF(Hoja1!H382="NO",0,1)</f>
        <v>0</v>
      </c>
      <c r="L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X391">
        <f t="shared" si="5"/>
        <v>1</v>
      </c>
      <c r="Y391" s="28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4:33" x14ac:dyDescent="0.25">
      <c r="D392">
        <f>+Hoja1!A383</f>
        <v>522045</v>
      </c>
      <c r="E392" t="str">
        <f>+Hoja1!B383</f>
        <v>AMORT. GASTOS CONCURSO</v>
      </c>
      <c r="F392" t="str">
        <f>+Hoja1!E383</f>
        <v>PS</v>
      </c>
      <c r="G392">
        <f>IF(Hoja1!F383="NO",0,1)</f>
        <v>1</v>
      </c>
      <c r="H392">
        <f>IF(Hoja1!I383="NO",0,1)</f>
        <v>1</v>
      </c>
      <c r="I392" t="s">
        <v>8</v>
      </c>
      <c r="J392">
        <f>IF(Hoja1!G383="NO",0,1)</f>
        <v>1</v>
      </c>
      <c r="K392">
        <f>IF(Hoja1!H383="NO",0,1)</f>
        <v>0</v>
      </c>
      <c r="L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X392">
        <f t="shared" si="5"/>
        <v>1</v>
      </c>
      <c r="Y392" s="28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4:33" x14ac:dyDescent="0.25">
      <c r="D393">
        <f>+Hoja1!A384</f>
        <v>522050</v>
      </c>
      <c r="E393" t="str">
        <f>+Hoja1!B384</f>
        <v>AMORTIZ. RODADOS</v>
      </c>
      <c r="F393" t="str">
        <f>+Hoja1!E384</f>
        <v>PS</v>
      </c>
      <c r="G393">
        <f>IF(Hoja1!F384="NO",0,1)</f>
        <v>1</v>
      </c>
      <c r="H393">
        <f>IF(Hoja1!I384="NO",0,1)</f>
        <v>1</v>
      </c>
      <c r="I393" t="s">
        <v>8</v>
      </c>
      <c r="J393">
        <f>IF(Hoja1!G384="NO",0,1)</f>
        <v>1</v>
      </c>
      <c r="K393">
        <f>IF(Hoja1!H384="NO",0,1)</f>
        <v>0</v>
      </c>
      <c r="L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X393">
        <f t="shared" si="5"/>
        <v>1</v>
      </c>
      <c r="Y393" s="28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4:33" x14ac:dyDescent="0.25">
      <c r="D394">
        <f>+Hoja1!A385</f>
        <v>522055</v>
      </c>
      <c r="E394" t="str">
        <f>+Hoja1!B385</f>
        <v>AMORTIZACIONES</v>
      </c>
      <c r="F394" t="str">
        <f>+Hoja1!E385</f>
        <v>PS</v>
      </c>
      <c r="G394">
        <f>IF(Hoja1!F385="NO",0,1)</f>
        <v>1</v>
      </c>
      <c r="H394">
        <f>IF(Hoja1!I385="NO",0,1)</f>
        <v>1</v>
      </c>
      <c r="I394" t="s">
        <v>8</v>
      </c>
      <c r="J394">
        <f>IF(Hoja1!G385="NO",0,1)</f>
        <v>1</v>
      </c>
      <c r="K394">
        <f>IF(Hoja1!H385="NO",0,1)</f>
        <v>0</v>
      </c>
      <c r="L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X394">
        <f t="shared" si="5"/>
        <v>1</v>
      </c>
      <c r="Y394" s="28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4:33" x14ac:dyDescent="0.25">
      <c r="D395">
        <f>+Hoja1!A386</f>
        <v>522060</v>
      </c>
      <c r="E395" t="str">
        <f>+Hoja1!B386</f>
        <v>AMORTIZ. DE COMPUTADORAS</v>
      </c>
      <c r="F395" t="str">
        <f>+Hoja1!E386</f>
        <v>PS</v>
      </c>
      <c r="G395">
        <f>IF(Hoja1!F386="NO",0,1)</f>
        <v>1</v>
      </c>
      <c r="H395">
        <f>IF(Hoja1!I386="NO",0,1)</f>
        <v>1</v>
      </c>
      <c r="I395" t="s">
        <v>8</v>
      </c>
      <c r="J395">
        <f>IF(Hoja1!G386="NO",0,1)</f>
        <v>1</v>
      </c>
      <c r="K395">
        <f>IF(Hoja1!H386="NO",0,1)</f>
        <v>0</v>
      </c>
      <c r="L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X395">
        <f t="shared" si="5"/>
        <v>1</v>
      </c>
      <c r="Y395" s="28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4:33" x14ac:dyDescent="0.25">
      <c r="D396">
        <f>+Hoja1!A387</f>
        <v>5224</v>
      </c>
      <c r="E396" t="str">
        <f>+Hoja1!B387</f>
        <v>IMPUESTOS Y TASAS</v>
      </c>
      <c r="F396" t="str">
        <f>+Hoja1!E387</f>
        <v>PS</v>
      </c>
      <c r="G396">
        <f>IF(Hoja1!F387="NO",0,1)</f>
        <v>0</v>
      </c>
      <c r="H396">
        <f>IF(Hoja1!I387="NO",0,1)</f>
        <v>1</v>
      </c>
      <c r="I396" t="s">
        <v>8</v>
      </c>
      <c r="J396">
        <f>IF(Hoja1!G387="NO",0,1)</f>
        <v>0</v>
      </c>
      <c r="K396">
        <f>IF(Hoja1!H387="NO",0,1)</f>
        <v>1</v>
      </c>
      <c r="L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X396">
        <f t="shared" si="5"/>
        <v>0</v>
      </c>
      <c r="Y396" s="28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4:33" x14ac:dyDescent="0.25">
      <c r="D397">
        <f>+Hoja1!A388</f>
        <v>522401</v>
      </c>
      <c r="E397" t="str">
        <f>+Hoja1!B388</f>
        <v>IMPUESTOS A LAS GANANCIAS RESU</v>
      </c>
      <c r="F397" t="str">
        <f>+Hoja1!E388</f>
        <v>PS</v>
      </c>
      <c r="G397">
        <f>IF(Hoja1!F388="NO",0,1)</f>
        <v>1</v>
      </c>
      <c r="H397">
        <f>IF(Hoja1!I388="NO",0,1)</f>
        <v>1</v>
      </c>
      <c r="I397" t="s">
        <v>8</v>
      </c>
      <c r="J397">
        <f>IF(Hoja1!G388="NO",0,1)</f>
        <v>1</v>
      </c>
      <c r="K397">
        <f>IF(Hoja1!H388="NO",0,1)</f>
        <v>0</v>
      </c>
      <c r="L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X397">
        <f t="shared" si="5"/>
        <v>1</v>
      </c>
      <c r="Y397" s="28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 spans="4:33" x14ac:dyDescent="0.25">
      <c r="D398">
        <f>+Hoja1!A389</f>
        <v>522402</v>
      </c>
      <c r="E398" t="str">
        <f>+Hoja1!B389</f>
        <v>IMPUESTO A LOS INGRESOS BRUTOS</v>
      </c>
      <c r="F398" t="str">
        <f>+Hoja1!E389</f>
        <v>PS</v>
      </c>
      <c r="G398">
        <f>IF(Hoja1!F389="NO",0,1)</f>
        <v>1</v>
      </c>
      <c r="H398">
        <f>IF(Hoja1!I389="NO",0,1)</f>
        <v>1</v>
      </c>
      <c r="I398" t="s">
        <v>8</v>
      </c>
      <c r="J398">
        <f>IF(Hoja1!G389="NO",0,1)</f>
        <v>1</v>
      </c>
      <c r="K398">
        <f>IF(Hoja1!H389="NO",0,1)</f>
        <v>0</v>
      </c>
      <c r="L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X398">
        <f t="shared" ref="X398:X461" si="6">IF(G398=1,1,0)</f>
        <v>1</v>
      </c>
      <c r="Y398" s="2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4:33" x14ac:dyDescent="0.25">
      <c r="D399">
        <f>+Hoja1!A390</f>
        <v>522470</v>
      </c>
      <c r="E399" t="str">
        <f>+Hoja1!B390</f>
        <v>IMPUESTOS PAIS (EXTERIOR)</v>
      </c>
      <c r="F399" t="str">
        <f>+Hoja1!E390</f>
        <v>PS</v>
      </c>
      <c r="G399">
        <f>IF(Hoja1!F390="NO",0,1)</f>
        <v>1</v>
      </c>
      <c r="H399">
        <f>IF(Hoja1!I390="NO",0,1)</f>
        <v>1</v>
      </c>
      <c r="I399" t="s">
        <v>8</v>
      </c>
      <c r="J399">
        <f>IF(Hoja1!G390="NO",0,1)</f>
        <v>1</v>
      </c>
      <c r="K399">
        <f>IF(Hoja1!H390="NO",0,1)</f>
        <v>0</v>
      </c>
      <c r="L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X399">
        <f t="shared" si="6"/>
        <v>1</v>
      </c>
      <c r="Y399" s="28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4:33" x14ac:dyDescent="0.25">
      <c r="D400">
        <f>+Hoja1!A391</f>
        <v>522480</v>
      </c>
      <c r="E400" t="str">
        <f>+Hoja1!B391</f>
        <v>OTROS IMPUESTOS</v>
      </c>
      <c r="F400" t="str">
        <f>+Hoja1!E391</f>
        <v>PS</v>
      </c>
      <c r="G400">
        <f>IF(Hoja1!F391="NO",0,1)</f>
        <v>1</v>
      </c>
      <c r="H400">
        <f>IF(Hoja1!I391="NO",0,1)</f>
        <v>1</v>
      </c>
      <c r="I400" t="s">
        <v>8</v>
      </c>
      <c r="J400">
        <f>IF(Hoja1!G391="NO",0,1)</f>
        <v>1</v>
      </c>
      <c r="K400">
        <f>IF(Hoja1!H391="NO",0,1)</f>
        <v>0</v>
      </c>
      <c r="L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X400">
        <f t="shared" si="6"/>
        <v>1</v>
      </c>
      <c r="Y400" s="28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4:33" x14ac:dyDescent="0.25">
      <c r="D401">
        <f>+Hoja1!A392</f>
        <v>522490</v>
      </c>
      <c r="E401" t="str">
        <f>+Hoja1!B392</f>
        <v>IMP. PARTICIP. SOCIETARIAS</v>
      </c>
      <c r="F401" t="str">
        <f>+Hoja1!E392</f>
        <v>PS</v>
      </c>
      <c r="G401">
        <f>IF(Hoja1!F392="NO",0,1)</f>
        <v>1</v>
      </c>
      <c r="H401">
        <f>IF(Hoja1!I392="NO",0,1)</f>
        <v>1</v>
      </c>
      <c r="I401" t="s">
        <v>8</v>
      </c>
      <c r="J401">
        <f>IF(Hoja1!G392="NO",0,1)</f>
        <v>1</v>
      </c>
      <c r="K401">
        <f>IF(Hoja1!H392="NO",0,1)</f>
        <v>0</v>
      </c>
      <c r="L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X401">
        <f t="shared" si="6"/>
        <v>1</v>
      </c>
      <c r="Y401" s="28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4:33" x14ac:dyDescent="0.25">
      <c r="D402">
        <f>+Hoja1!A393</f>
        <v>522491</v>
      </c>
      <c r="E402" t="str">
        <f>+Hoja1!B393</f>
        <v>IMP. DÉB. CRED. BANCARIOS LEY 25413</v>
      </c>
      <c r="F402" t="str">
        <f>+Hoja1!E393</f>
        <v>PS</v>
      </c>
      <c r="G402">
        <f>IF(Hoja1!F393="NO",0,1)</f>
        <v>1</v>
      </c>
      <c r="H402">
        <f>IF(Hoja1!I393="NO",0,1)</f>
        <v>1</v>
      </c>
      <c r="I402" t="s">
        <v>8</v>
      </c>
      <c r="J402">
        <f>IF(Hoja1!G393="NO",0,1)</f>
        <v>1</v>
      </c>
      <c r="K402">
        <f>IF(Hoja1!H393="NO",0,1)</f>
        <v>0</v>
      </c>
      <c r="L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X402">
        <f t="shared" si="6"/>
        <v>1</v>
      </c>
      <c r="Y402" s="28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4:33" x14ac:dyDescent="0.25">
      <c r="D403">
        <f>+Hoja1!A394</f>
        <v>522492</v>
      </c>
      <c r="E403" t="str">
        <f>+Hoja1!B394</f>
        <v>IMP. A LOS SELLOS</v>
      </c>
      <c r="F403" t="str">
        <f>+Hoja1!E394</f>
        <v>PS</v>
      </c>
      <c r="G403">
        <f>IF(Hoja1!F394="NO",0,1)</f>
        <v>1</v>
      </c>
      <c r="H403">
        <f>IF(Hoja1!I394="NO",0,1)</f>
        <v>1</v>
      </c>
      <c r="I403" t="s">
        <v>8</v>
      </c>
      <c r="J403">
        <f>IF(Hoja1!G394="NO",0,1)</f>
        <v>1</v>
      </c>
      <c r="K403">
        <f>IF(Hoja1!H394="NO",0,1)</f>
        <v>0</v>
      </c>
      <c r="L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X403">
        <f t="shared" si="6"/>
        <v>1</v>
      </c>
      <c r="Y403" s="28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4:33" x14ac:dyDescent="0.25">
      <c r="D404">
        <f>+Hoja1!A395</f>
        <v>522496</v>
      </c>
      <c r="E404" t="str">
        <f>+Hoja1!B395</f>
        <v>IVA CF no computable</v>
      </c>
      <c r="F404" t="str">
        <f>+Hoja1!E395</f>
        <v>PS</v>
      </c>
      <c r="G404">
        <f>IF(Hoja1!F395="NO",0,1)</f>
        <v>1</v>
      </c>
      <c r="H404">
        <f>IF(Hoja1!I395="NO",0,1)</f>
        <v>1</v>
      </c>
      <c r="I404" t="s">
        <v>8</v>
      </c>
      <c r="J404">
        <f>IF(Hoja1!G395="NO",0,1)</f>
        <v>1</v>
      </c>
      <c r="K404">
        <f>IF(Hoja1!H395="NO",0,1)</f>
        <v>0</v>
      </c>
      <c r="L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X404">
        <f t="shared" si="6"/>
        <v>1</v>
      </c>
      <c r="Y404" s="28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4:33" x14ac:dyDescent="0.25">
      <c r="D405">
        <f>+Hoja1!A396</f>
        <v>5225</v>
      </c>
      <c r="E405" t="str">
        <f>+Hoja1!B396</f>
        <v>OTROS GASTOS OPERATIVOS</v>
      </c>
      <c r="F405" t="str">
        <f>+Hoja1!E396</f>
        <v>PS</v>
      </c>
      <c r="G405">
        <f>IF(Hoja1!F396="NO",0,1)</f>
        <v>0</v>
      </c>
      <c r="H405">
        <f>IF(Hoja1!I396="NO",0,1)</f>
        <v>1</v>
      </c>
      <c r="I405" t="s">
        <v>8</v>
      </c>
      <c r="J405">
        <f>IF(Hoja1!G396="NO",0,1)</f>
        <v>0</v>
      </c>
      <c r="K405">
        <f>IF(Hoja1!H396="NO",0,1)</f>
        <v>1</v>
      </c>
      <c r="L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X405">
        <f t="shared" si="6"/>
        <v>0</v>
      </c>
      <c r="Y405" s="28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4:33" x14ac:dyDescent="0.25">
      <c r="D406">
        <f>+Hoja1!A397</f>
        <v>522501</v>
      </c>
      <c r="E406" t="str">
        <f>+Hoja1!B397</f>
        <v>GASTOS DE PERSONAL TÉCNICO</v>
      </c>
      <c r="F406" t="str">
        <f>+Hoja1!E397</f>
        <v>PS</v>
      </c>
      <c r="G406">
        <f>IF(Hoja1!F397="NO",0,1)</f>
        <v>1</v>
      </c>
      <c r="H406">
        <f>IF(Hoja1!I397="NO",0,1)</f>
        <v>1</v>
      </c>
      <c r="I406" t="s">
        <v>8</v>
      </c>
      <c r="J406">
        <f>IF(Hoja1!G397="NO",0,1)</f>
        <v>1</v>
      </c>
      <c r="K406">
        <f>IF(Hoja1!H397="NO",0,1)</f>
        <v>0</v>
      </c>
      <c r="L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X406">
        <f t="shared" si="6"/>
        <v>1</v>
      </c>
      <c r="Y406" s="28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4:33" x14ac:dyDescent="0.25">
      <c r="D407">
        <f>+Hoja1!A398</f>
        <v>522502</v>
      </c>
      <c r="E407" t="str">
        <f>+Hoja1!B398</f>
        <v>Comunicaciones G</v>
      </c>
      <c r="F407" t="str">
        <f>+Hoja1!E398</f>
        <v>PS</v>
      </c>
      <c r="G407">
        <f>IF(Hoja1!F398="NO",0,1)</f>
        <v>1</v>
      </c>
      <c r="H407">
        <f>IF(Hoja1!I398="NO",0,1)</f>
        <v>1</v>
      </c>
      <c r="I407" t="s">
        <v>8</v>
      </c>
      <c r="J407">
        <f>IF(Hoja1!G398="NO",0,1)</f>
        <v>1</v>
      </c>
      <c r="K407">
        <f>IF(Hoja1!H398="NO",0,1)</f>
        <v>0</v>
      </c>
      <c r="L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X407">
        <f t="shared" si="6"/>
        <v>1</v>
      </c>
      <c r="Y407" s="28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4:33" x14ac:dyDescent="0.25">
      <c r="D408">
        <f>+Hoja1!A399</f>
        <v>522503</v>
      </c>
      <c r="E408" t="str">
        <f>+Hoja1!B399</f>
        <v>FLETES Y ACARREOS</v>
      </c>
      <c r="F408" t="str">
        <f>+Hoja1!E399</f>
        <v>PS</v>
      </c>
      <c r="G408">
        <f>IF(Hoja1!F399="NO",0,1)</f>
        <v>1</v>
      </c>
      <c r="H408">
        <f>IF(Hoja1!I399="NO",0,1)</f>
        <v>1</v>
      </c>
      <c r="I408" t="s">
        <v>8</v>
      </c>
      <c r="J408">
        <f>IF(Hoja1!G399="NO",0,1)</f>
        <v>1</v>
      </c>
      <c r="K408">
        <f>IF(Hoja1!H399="NO",0,1)</f>
        <v>0</v>
      </c>
      <c r="L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X408">
        <f t="shared" si="6"/>
        <v>1</v>
      </c>
      <c r="Y408" s="2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4:33" x14ac:dyDescent="0.25">
      <c r="D409">
        <f>+Hoja1!A400</f>
        <v>522505</v>
      </c>
      <c r="E409" t="str">
        <f>+Hoja1!B400</f>
        <v>FLETES PLANTA</v>
      </c>
      <c r="F409" t="str">
        <f>+Hoja1!E400</f>
        <v>PS</v>
      </c>
      <c r="G409">
        <f>IF(Hoja1!F400="NO",0,1)</f>
        <v>1</v>
      </c>
      <c r="H409">
        <f>IF(Hoja1!I400="NO",0,1)</f>
        <v>1</v>
      </c>
      <c r="I409" t="s">
        <v>8</v>
      </c>
      <c r="J409">
        <f>IF(Hoja1!G400="NO",0,1)</f>
        <v>1</v>
      </c>
      <c r="K409">
        <f>IF(Hoja1!H400="NO",0,1)</f>
        <v>0</v>
      </c>
      <c r="L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X409">
        <f t="shared" si="6"/>
        <v>1</v>
      </c>
      <c r="Y409" s="28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4:33" x14ac:dyDescent="0.25">
      <c r="D410">
        <f>+Hoja1!A401</f>
        <v>522506</v>
      </c>
      <c r="E410" t="str">
        <f>+Hoja1!B401</f>
        <v>GASTOS COMERCIALES TELA</v>
      </c>
      <c r="F410" t="str">
        <f>+Hoja1!E401</f>
        <v>PS</v>
      </c>
      <c r="G410">
        <f>IF(Hoja1!F401="NO",0,1)</f>
        <v>1</v>
      </c>
      <c r="H410">
        <f>IF(Hoja1!I401="NO",0,1)</f>
        <v>1</v>
      </c>
      <c r="I410" t="s">
        <v>8</v>
      </c>
      <c r="J410">
        <f>IF(Hoja1!G401="NO",0,1)</f>
        <v>1</v>
      </c>
      <c r="K410">
        <f>IF(Hoja1!H401="NO",0,1)</f>
        <v>0</v>
      </c>
      <c r="L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X410">
        <f t="shared" si="6"/>
        <v>1</v>
      </c>
      <c r="Y410" s="28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4:33" x14ac:dyDescent="0.25">
      <c r="D411">
        <f>+Hoja1!A402</f>
        <v>522509</v>
      </c>
      <c r="E411" t="str">
        <f>+Hoja1!B402</f>
        <v>GASTOS COMERCIALES PRENDAS</v>
      </c>
      <c r="F411" t="str">
        <f>+Hoja1!E402</f>
        <v>PS</v>
      </c>
      <c r="G411">
        <f>IF(Hoja1!F402="NO",0,1)</f>
        <v>1</v>
      </c>
      <c r="H411">
        <f>IF(Hoja1!I402="NO",0,1)</f>
        <v>1</v>
      </c>
      <c r="I411" t="s">
        <v>8</v>
      </c>
      <c r="J411">
        <f>IF(Hoja1!G402="NO",0,1)</f>
        <v>1</v>
      </c>
      <c r="K411">
        <f>IF(Hoja1!H402="NO",0,1)</f>
        <v>0</v>
      </c>
      <c r="L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X411">
        <f t="shared" si="6"/>
        <v>1</v>
      </c>
      <c r="Y411" s="28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4:33" x14ac:dyDescent="0.25">
      <c r="D412">
        <f>+Hoja1!A403</f>
        <v>522512</v>
      </c>
      <c r="E412" t="str">
        <f>+Hoja1!B403</f>
        <v>MUESTRAS COMERCIALES</v>
      </c>
      <c r="F412" t="str">
        <f>+Hoja1!E403</f>
        <v>PS</v>
      </c>
      <c r="G412">
        <f>IF(Hoja1!F403="NO",0,1)</f>
        <v>1</v>
      </c>
      <c r="H412">
        <f>IF(Hoja1!I403="NO",0,1)</f>
        <v>1</v>
      </c>
      <c r="I412" t="s">
        <v>8</v>
      </c>
      <c r="J412">
        <f>IF(Hoja1!G403="NO",0,1)</f>
        <v>1</v>
      </c>
      <c r="K412">
        <f>IF(Hoja1!H403="NO",0,1)</f>
        <v>0</v>
      </c>
      <c r="L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X412">
        <f t="shared" si="6"/>
        <v>1</v>
      </c>
      <c r="Y412" s="28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4:33" x14ac:dyDescent="0.25">
      <c r="D413">
        <f>+Hoja1!A404</f>
        <v>522515</v>
      </c>
      <c r="E413" t="str">
        <f>+Hoja1!B404</f>
        <v>PUBLICIDAD Y PROPAGANDA</v>
      </c>
      <c r="F413" t="str">
        <f>+Hoja1!E404</f>
        <v>PS</v>
      </c>
      <c r="G413">
        <f>IF(Hoja1!F404="NO",0,1)</f>
        <v>1</v>
      </c>
      <c r="H413">
        <f>IF(Hoja1!I404="NO",0,1)</f>
        <v>1</v>
      </c>
      <c r="I413" t="s">
        <v>8</v>
      </c>
      <c r="J413">
        <f>IF(Hoja1!G404="NO",0,1)</f>
        <v>1</v>
      </c>
      <c r="K413">
        <f>IF(Hoja1!H404="NO",0,1)</f>
        <v>0</v>
      </c>
      <c r="L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X413">
        <f t="shared" si="6"/>
        <v>1</v>
      </c>
      <c r="Y413" s="28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4:33" x14ac:dyDescent="0.25">
      <c r="D414">
        <f>+Hoja1!A405</f>
        <v>522516</v>
      </c>
      <c r="E414" t="str">
        <f>+Hoja1!B405</f>
        <v>GASTOS DE PUBLICIDAD Y PROPAG.</v>
      </c>
      <c r="F414" t="str">
        <f>+Hoja1!E405</f>
        <v>PS</v>
      </c>
      <c r="G414">
        <f>IF(Hoja1!F405="NO",0,1)</f>
        <v>1</v>
      </c>
      <c r="H414">
        <f>IF(Hoja1!I405="NO",0,1)</f>
        <v>1</v>
      </c>
      <c r="I414" t="s">
        <v>8</v>
      </c>
      <c r="J414">
        <f>IF(Hoja1!G405="NO",0,1)</f>
        <v>1</v>
      </c>
      <c r="K414">
        <f>IF(Hoja1!H405="NO",0,1)</f>
        <v>0</v>
      </c>
      <c r="L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X414">
        <f t="shared" si="6"/>
        <v>1</v>
      </c>
      <c r="Y414" s="28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4:33" x14ac:dyDescent="0.25">
      <c r="D415">
        <f>+Hoja1!A406</f>
        <v>522518</v>
      </c>
      <c r="E415" t="str">
        <f>+Hoja1!B406</f>
        <v>REGALIAS</v>
      </c>
      <c r="F415" t="str">
        <f>+Hoja1!E406</f>
        <v>PS</v>
      </c>
      <c r="G415">
        <f>IF(Hoja1!F406="NO",0,1)</f>
        <v>1</v>
      </c>
      <c r="H415">
        <f>IF(Hoja1!I406="NO",0,1)</f>
        <v>1</v>
      </c>
      <c r="I415" t="s">
        <v>8</v>
      </c>
      <c r="J415">
        <f>IF(Hoja1!G406="NO",0,1)</f>
        <v>1</v>
      </c>
      <c r="K415">
        <f>IF(Hoja1!H406="NO",0,1)</f>
        <v>0</v>
      </c>
      <c r="L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X415">
        <f t="shared" si="6"/>
        <v>1</v>
      </c>
      <c r="Y415" s="28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4:33" x14ac:dyDescent="0.25">
      <c r="D416">
        <f>+Hoja1!A407</f>
        <v>522520</v>
      </c>
      <c r="E416" t="str">
        <f>+Hoja1!B407</f>
        <v>BONIFICACION TELA DEFECTUOSA</v>
      </c>
      <c r="F416" t="str">
        <f>+Hoja1!E407</f>
        <v>PS</v>
      </c>
      <c r="G416">
        <f>IF(Hoja1!F407="NO",0,1)</f>
        <v>1</v>
      </c>
      <c r="H416">
        <f>IF(Hoja1!I407="NO",0,1)</f>
        <v>1</v>
      </c>
      <c r="I416" t="s">
        <v>8</v>
      </c>
      <c r="J416">
        <f>IF(Hoja1!G407="NO",0,1)</f>
        <v>1</v>
      </c>
      <c r="K416">
        <f>IF(Hoja1!H407="NO",0,1)</f>
        <v>0</v>
      </c>
      <c r="L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X416">
        <f t="shared" si="6"/>
        <v>1</v>
      </c>
      <c r="Y416" s="28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4:33" x14ac:dyDescent="0.25">
      <c r="D417">
        <f>+Hoja1!A408</f>
        <v>522521</v>
      </c>
      <c r="E417" t="str">
        <f>+Hoja1!B408</f>
        <v>TASA SEGURIDAD E HIGIENE</v>
      </c>
      <c r="F417" t="str">
        <f>+Hoja1!E408</f>
        <v>PS</v>
      </c>
      <c r="G417">
        <f>IF(Hoja1!F408="NO",0,1)</f>
        <v>1</v>
      </c>
      <c r="H417">
        <f>IF(Hoja1!I408="NO",0,1)</f>
        <v>1</v>
      </c>
      <c r="I417" t="s">
        <v>8</v>
      </c>
      <c r="J417">
        <f>IF(Hoja1!G408="NO",0,1)</f>
        <v>1</v>
      </c>
      <c r="K417">
        <f>IF(Hoja1!H408="NO",0,1)</f>
        <v>0</v>
      </c>
      <c r="L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X417">
        <f t="shared" si="6"/>
        <v>1</v>
      </c>
      <c r="Y417" s="28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4:33" x14ac:dyDescent="0.25">
      <c r="D418">
        <f>+Hoja1!A409</f>
        <v>522524</v>
      </c>
      <c r="E418" t="str">
        <f>+Hoja1!B409</f>
        <v>DEUDORES INCOBRABLES</v>
      </c>
      <c r="F418" t="str">
        <f>+Hoja1!E409</f>
        <v>PS</v>
      </c>
      <c r="G418">
        <f>IF(Hoja1!F409="NO",0,1)</f>
        <v>1</v>
      </c>
      <c r="H418">
        <f>IF(Hoja1!I409="NO",0,1)</f>
        <v>1</v>
      </c>
      <c r="I418" t="s">
        <v>8</v>
      </c>
      <c r="J418">
        <f>IF(Hoja1!G409="NO",0,1)</f>
        <v>1</v>
      </c>
      <c r="K418">
        <f>IF(Hoja1!H409="NO",0,1)</f>
        <v>0</v>
      </c>
      <c r="L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X418">
        <f t="shared" si="6"/>
        <v>1</v>
      </c>
      <c r="Y418" s="2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4:33" x14ac:dyDescent="0.25">
      <c r="D419">
        <f>+Hoja1!A410</f>
        <v>522527</v>
      </c>
      <c r="E419" t="str">
        <f>+Hoja1!B410</f>
        <v>HONORARIOS</v>
      </c>
      <c r="F419" t="str">
        <f>+Hoja1!E410</f>
        <v>PS</v>
      </c>
      <c r="G419">
        <f>IF(Hoja1!F410="NO",0,1)</f>
        <v>1</v>
      </c>
      <c r="H419">
        <f>IF(Hoja1!I410="NO",0,1)</f>
        <v>1</v>
      </c>
      <c r="I419" t="s">
        <v>8</v>
      </c>
      <c r="J419">
        <f>IF(Hoja1!G410="NO",0,1)</f>
        <v>1</v>
      </c>
      <c r="K419">
        <f>IF(Hoja1!H410="NO",0,1)</f>
        <v>0</v>
      </c>
      <c r="L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X419">
        <f t="shared" si="6"/>
        <v>1</v>
      </c>
      <c r="Y419" s="28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4:33" x14ac:dyDescent="0.25">
      <c r="D420">
        <f>+Hoja1!A411</f>
        <v>522528</v>
      </c>
      <c r="E420" t="str">
        <f>+Hoja1!B411</f>
        <v>HONORARIOS CONTABLES</v>
      </c>
      <c r="F420" t="str">
        <f>+Hoja1!E411</f>
        <v>PS</v>
      </c>
      <c r="G420">
        <f>IF(Hoja1!F411="NO",0,1)</f>
        <v>1</v>
      </c>
      <c r="H420">
        <f>IF(Hoja1!I411="NO",0,1)</f>
        <v>1</v>
      </c>
      <c r="I420" t="s">
        <v>8</v>
      </c>
      <c r="J420">
        <f>IF(Hoja1!G411="NO",0,1)</f>
        <v>1</v>
      </c>
      <c r="K420">
        <f>IF(Hoja1!H411="NO",0,1)</f>
        <v>0</v>
      </c>
      <c r="L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X420">
        <f t="shared" si="6"/>
        <v>1</v>
      </c>
      <c r="Y420" s="28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4:33" x14ac:dyDescent="0.25">
      <c r="D421">
        <f>+Hoja1!A412</f>
        <v>522529</v>
      </c>
      <c r="E421" t="str">
        <f>+Hoja1!B412</f>
        <v>HONORARIOS IMPOSITIVOS</v>
      </c>
      <c r="F421" t="str">
        <f>+Hoja1!E412</f>
        <v>PS</v>
      </c>
      <c r="G421">
        <f>IF(Hoja1!F412="NO",0,1)</f>
        <v>1</v>
      </c>
      <c r="H421">
        <f>IF(Hoja1!I412="NO",0,1)</f>
        <v>1</v>
      </c>
      <c r="I421" t="s">
        <v>8</v>
      </c>
      <c r="J421">
        <f>IF(Hoja1!G412="NO",0,1)</f>
        <v>1</v>
      </c>
      <c r="K421">
        <f>IF(Hoja1!H412="NO",0,1)</f>
        <v>0</v>
      </c>
      <c r="L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X421">
        <f t="shared" si="6"/>
        <v>1</v>
      </c>
      <c r="Y421" s="28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</row>
    <row r="422" spans="4:33" x14ac:dyDescent="0.25">
      <c r="D422">
        <f>+Hoja1!A413</f>
        <v>522530</v>
      </c>
      <c r="E422" t="str">
        <f>+Hoja1!B413</f>
        <v>INSUMOS COMPUTACIÓN</v>
      </c>
      <c r="F422" t="str">
        <f>+Hoja1!E413</f>
        <v>PS</v>
      </c>
      <c r="G422">
        <f>IF(Hoja1!F413="NO",0,1)</f>
        <v>1</v>
      </c>
      <c r="H422">
        <f>IF(Hoja1!I413="NO",0,1)</f>
        <v>1</v>
      </c>
      <c r="I422" t="s">
        <v>8</v>
      </c>
      <c r="J422">
        <f>IF(Hoja1!G413="NO",0,1)</f>
        <v>1</v>
      </c>
      <c r="K422">
        <f>IF(Hoja1!H413="NO",0,1)</f>
        <v>0</v>
      </c>
      <c r="L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X422">
        <f t="shared" si="6"/>
        <v>1</v>
      </c>
      <c r="Y422" s="28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4:33" x14ac:dyDescent="0.25">
      <c r="D423">
        <f>+Hoja1!A414</f>
        <v>522532</v>
      </c>
      <c r="E423" t="str">
        <f>+Hoja1!B414</f>
        <v>HONORARIOS LEGALES</v>
      </c>
      <c r="F423" t="str">
        <f>+Hoja1!E414</f>
        <v>PS</v>
      </c>
      <c r="G423">
        <f>IF(Hoja1!F414="NO",0,1)</f>
        <v>1</v>
      </c>
      <c r="H423">
        <f>IF(Hoja1!I414="NO",0,1)</f>
        <v>1</v>
      </c>
      <c r="I423" t="s">
        <v>8</v>
      </c>
      <c r="J423">
        <f>IF(Hoja1!G414="NO",0,1)</f>
        <v>1</v>
      </c>
      <c r="K423">
        <f>IF(Hoja1!H414="NO",0,1)</f>
        <v>0</v>
      </c>
      <c r="L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X423">
        <f t="shared" si="6"/>
        <v>1</v>
      </c>
      <c r="Y423" s="28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4:33" x14ac:dyDescent="0.25">
      <c r="D424">
        <f>+Hoja1!A415</f>
        <v>522533</v>
      </c>
      <c r="E424" t="str">
        <f>+Hoja1!B415</f>
        <v>MANTENIM. HARDWARE Y SOFTWARE</v>
      </c>
      <c r="F424" t="str">
        <f>+Hoja1!E415</f>
        <v>PS</v>
      </c>
      <c r="G424">
        <f>IF(Hoja1!F415="NO",0,1)</f>
        <v>1</v>
      </c>
      <c r="H424">
        <f>IF(Hoja1!I415="NO",0,1)</f>
        <v>1</v>
      </c>
      <c r="I424" t="s">
        <v>8</v>
      </c>
      <c r="J424">
        <f>IF(Hoja1!G415="NO",0,1)</f>
        <v>1</v>
      </c>
      <c r="K424">
        <f>IF(Hoja1!H415="NO",0,1)</f>
        <v>0</v>
      </c>
      <c r="L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X424">
        <f t="shared" si="6"/>
        <v>1</v>
      </c>
      <c r="Y424" s="28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4:33" x14ac:dyDescent="0.25">
      <c r="D425">
        <f>+Hoja1!A416</f>
        <v>522536</v>
      </c>
      <c r="E425" t="str">
        <f>+Hoja1!B416</f>
        <v>ALQUILERES PLANTA</v>
      </c>
      <c r="F425" t="str">
        <f>+Hoja1!E416</f>
        <v>PS</v>
      </c>
      <c r="G425">
        <f>IF(Hoja1!F416="NO",0,1)</f>
        <v>1</v>
      </c>
      <c r="H425">
        <f>IF(Hoja1!I416="NO",0,1)</f>
        <v>1</v>
      </c>
      <c r="I425" t="s">
        <v>8</v>
      </c>
      <c r="J425">
        <f>IF(Hoja1!G416="NO",0,1)</f>
        <v>1</v>
      </c>
      <c r="K425">
        <f>IF(Hoja1!H416="NO",0,1)</f>
        <v>0</v>
      </c>
      <c r="L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X425">
        <f t="shared" si="6"/>
        <v>1</v>
      </c>
      <c r="Y425" s="28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4:33" x14ac:dyDescent="0.25">
      <c r="D426">
        <f>+Hoja1!A417</f>
        <v>522537</v>
      </c>
      <c r="E426" t="str">
        <f>+Hoja1!B417</f>
        <v>ALQUILERES</v>
      </c>
      <c r="F426" t="str">
        <f>+Hoja1!E417</f>
        <v>PS</v>
      </c>
      <c r="G426">
        <f>IF(Hoja1!F417="NO",0,1)</f>
        <v>1</v>
      </c>
      <c r="H426">
        <f>IF(Hoja1!I417="NO",0,1)</f>
        <v>1</v>
      </c>
      <c r="I426" t="s">
        <v>8</v>
      </c>
      <c r="J426">
        <f>IF(Hoja1!G417="NO",0,1)</f>
        <v>1</v>
      </c>
      <c r="K426">
        <f>IF(Hoja1!H417="NO",0,1)</f>
        <v>0</v>
      </c>
      <c r="L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X426">
        <f t="shared" si="6"/>
        <v>1</v>
      </c>
      <c r="Y426" s="28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4:33" x14ac:dyDescent="0.25">
      <c r="D427">
        <f>+Hoja1!A418</f>
        <v>522538</v>
      </c>
      <c r="E427" t="str">
        <f>+Hoja1!B418</f>
        <v>REFRIGERIOS</v>
      </c>
      <c r="F427" t="str">
        <f>+Hoja1!E418</f>
        <v>PS</v>
      </c>
      <c r="G427">
        <f>IF(Hoja1!F418="NO",0,1)</f>
        <v>1</v>
      </c>
      <c r="H427">
        <f>IF(Hoja1!I418="NO",0,1)</f>
        <v>1</v>
      </c>
      <c r="I427" t="s">
        <v>8</v>
      </c>
      <c r="J427">
        <f>IF(Hoja1!G418="NO",0,1)</f>
        <v>1</v>
      </c>
      <c r="K427">
        <f>IF(Hoja1!H418="NO",0,1)</f>
        <v>0</v>
      </c>
      <c r="L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X427">
        <f t="shared" si="6"/>
        <v>1</v>
      </c>
      <c r="Y427" s="28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4:33" x14ac:dyDescent="0.25">
      <c r="D428">
        <f>+Hoja1!A419</f>
        <v>522539</v>
      </c>
      <c r="E428" t="str">
        <f>+Hoja1!B419</f>
        <v>VIATICOS Y MOVILIDAD</v>
      </c>
      <c r="F428" t="str">
        <f>+Hoja1!E419</f>
        <v>PS</v>
      </c>
      <c r="G428">
        <f>IF(Hoja1!F419="NO",0,1)</f>
        <v>1</v>
      </c>
      <c r="H428">
        <f>IF(Hoja1!I419="NO",0,1)</f>
        <v>1</v>
      </c>
      <c r="I428" t="s">
        <v>8</v>
      </c>
      <c r="J428">
        <f>IF(Hoja1!G419="NO",0,1)</f>
        <v>1</v>
      </c>
      <c r="K428">
        <f>IF(Hoja1!H419="NO",0,1)</f>
        <v>0</v>
      </c>
      <c r="L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X428">
        <f t="shared" si="6"/>
        <v>1</v>
      </c>
      <c r="Y428" s="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4:33" x14ac:dyDescent="0.25">
      <c r="D429">
        <f>+Hoja1!A420</f>
        <v>522540</v>
      </c>
      <c r="E429" t="str">
        <f>+Hoja1!B420</f>
        <v>EVENTOS</v>
      </c>
      <c r="F429" t="str">
        <f>+Hoja1!E420</f>
        <v>PS</v>
      </c>
      <c r="G429">
        <f>IF(Hoja1!F420="NO",0,1)</f>
        <v>1</v>
      </c>
      <c r="H429">
        <f>IF(Hoja1!I420="NO",0,1)</f>
        <v>1</v>
      </c>
      <c r="I429" t="s">
        <v>8</v>
      </c>
      <c r="J429">
        <f>IF(Hoja1!G420="NO",0,1)</f>
        <v>1</v>
      </c>
      <c r="K429">
        <f>IF(Hoja1!H420="NO",0,1)</f>
        <v>0</v>
      </c>
      <c r="L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X429">
        <f t="shared" si="6"/>
        <v>1</v>
      </c>
      <c r="Y429" s="28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4:33" x14ac:dyDescent="0.25">
      <c r="D430">
        <f>+Hoja1!A421</f>
        <v>522542</v>
      </c>
      <c r="E430" t="str">
        <f>+Hoja1!B421</f>
        <v>COMB. Y LUBRIC. RODADOS</v>
      </c>
      <c r="F430" t="str">
        <f>+Hoja1!E421</f>
        <v>PS</v>
      </c>
      <c r="G430">
        <f>IF(Hoja1!F421="NO",0,1)</f>
        <v>1</v>
      </c>
      <c r="H430">
        <f>IF(Hoja1!I421="NO",0,1)</f>
        <v>1</v>
      </c>
      <c r="I430" t="s">
        <v>8</v>
      </c>
      <c r="J430">
        <f>IF(Hoja1!G421="NO",0,1)</f>
        <v>1</v>
      </c>
      <c r="K430">
        <f>IF(Hoja1!H421="NO",0,1)</f>
        <v>0</v>
      </c>
      <c r="L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X430">
        <f t="shared" si="6"/>
        <v>1</v>
      </c>
      <c r="Y430" s="28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4:33" x14ac:dyDescent="0.25">
      <c r="D431">
        <f>+Hoja1!A422</f>
        <v>522545</v>
      </c>
      <c r="E431" t="str">
        <f>+Hoja1!B422</f>
        <v>VIAJES Y REPRESENTACIÓN</v>
      </c>
      <c r="F431" t="str">
        <f>+Hoja1!E422</f>
        <v>PS</v>
      </c>
      <c r="G431">
        <f>IF(Hoja1!F422="NO",0,1)</f>
        <v>1</v>
      </c>
      <c r="H431">
        <f>IF(Hoja1!I422="NO",0,1)</f>
        <v>1</v>
      </c>
      <c r="I431" t="s">
        <v>8</v>
      </c>
      <c r="J431">
        <f>IF(Hoja1!G422="NO",0,1)</f>
        <v>1</v>
      </c>
      <c r="K431">
        <f>IF(Hoja1!H422="NO",0,1)</f>
        <v>0</v>
      </c>
      <c r="L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X431">
        <f t="shared" si="6"/>
        <v>1</v>
      </c>
      <c r="Y431" s="28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4:33" x14ac:dyDescent="0.25">
      <c r="D432">
        <f>+Hoja1!A423</f>
        <v>522548</v>
      </c>
      <c r="E432" t="str">
        <f>+Hoja1!B423</f>
        <v>PAPELERÍA Y UTILES</v>
      </c>
      <c r="F432" t="str">
        <f>+Hoja1!E423</f>
        <v>PS</v>
      </c>
      <c r="G432">
        <f>IF(Hoja1!F423="NO",0,1)</f>
        <v>1</v>
      </c>
      <c r="H432">
        <f>IF(Hoja1!I423="NO",0,1)</f>
        <v>1</v>
      </c>
      <c r="I432" t="s">
        <v>8</v>
      </c>
      <c r="J432">
        <f>IF(Hoja1!G423="NO",0,1)</f>
        <v>1</v>
      </c>
      <c r="K432">
        <f>IF(Hoja1!H423="NO",0,1)</f>
        <v>0</v>
      </c>
      <c r="L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X432">
        <f t="shared" si="6"/>
        <v>1</v>
      </c>
      <c r="Y432" s="28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4:33" x14ac:dyDescent="0.25">
      <c r="D433">
        <f>+Hoja1!A424</f>
        <v>522551</v>
      </c>
      <c r="E433" t="str">
        <f>+Hoja1!B424</f>
        <v>ATENCIONES Y DONACIONES</v>
      </c>
      <c r="F433" t="str">
        <f>+Hoja1!E424</f>
        <v>PS</v>
      </c>
      <c r="G433">
        <f>IF(Hoja1!F424="NO",0,1)</f>
        <v>1</v>
      </c>
      <c r="H433">
        <f>IF(Hoja1!I424="NO",0,1)</f>
        <v>1</v>
      </c>
      <c r="I433" t="s">
        <v>8</v>
      </c>
      <c r="J433">
        <f>IF(Hoja1!G424="NO",0,1)</f>
        <v>1</v>
      </c>
      <c r="K433">
        <f>IF(Hoja1!H424="NO",0,1)</f>
        <v>0</v>
      </c>
      <c r="L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X433">
        <f t="shared" si="6"/>
        <v>1</v>
      </c>
      <c r="Y433" s="28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4:33" x14ac:dyDescent="0.25">
      <c r="D434">
        <f>+Hoja1!A425</f>
        <v>522554</v>
      </c>
      <c r="E434" t="str">
        <f>+Hoja1!B425</f>
        <v>TELEFONO</v>
      </c>
      <c r="F434" t="str">
        <f>+Hoja1!E425</f>
        <v>PS</v>
      </c>
      <c r="G434">
        <f>IF(Hoja1!F425="NO",0,1)</f>
        <v>1</v>
      </c>
      <c r="H434">
        <f>IF(Hoja1!I425="NO",0,1)</f>
        <v>1</v>
      </c>
      <c r="I434" t="s">
        <v>8</v>
      </c>
      <c r="J434">
        <f>IF(Hoja1!G425="NO",0,1)</f>
        <v>1</v>
      </c>
      <c r="K434">
        <f>IF(Hoja1!H425="NO",0,1)</f>
        <v>0</v>
      </c>
      <c r="L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X434">
        <f t="shared" si="6"/>
        <v>1</v>
      </c>
      <c r="Y434" s="28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4:33" x14ac:dyDescent="0.25">
      <c r="D435">
        <f>+Hoja1!A426</f>
        <v>522555</v>
      </c>
      <c r="E435" t="str">
        <f>+Hoja1!B426</f>
        <v>FRANQUEO ( CARTAS DOCUMENTOS )</v>
      </c>
      <c r="F435" t="str">
        <f>+Hoja1!E426</f>
        <v>PS</v>
      </c>
      <c r="G435">
        <f>IF(Hoja1!F426="NO",0,1)</f>
        <v>1</v>
      </c>
      <c r="H435">
        <f>IF(Hoja1!I426="NO",0,1)</f>
        <v>1</v>
      </c>
      <c r="I435" t="s">
        <v>8</v>
      </c>
      <c r="J435">
        <f>IF(Hoja1!G426="NO",0,1)</f>
        <v>1</v>
      </c>
      <c r="K435">
        <f>IF(Hoja1!H426="NO",0,1)</f>
        <v>0</v>
      </c>
      <c r="L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X435">
        <f t="shared" si="6"/>
        <v>1</v>
      </c>
      <c r="Y435" s="28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4:33" x14ac:dyDescent="0.25">
      <c r="D436">
        <f>+Hoja1!A427</f>
        <v>522556</v>
      </c>
      <c r="E436" t="str">
        <f>+Hoja1!B427</f>
        <v>CERTIFICACIONES</v>
      </c>
      <c r="F436" t="str">
        <f>+Hoja1!E427</f>
        <v>PS</v>
      </c>
      <c r="G436">
        <f>IF(Hoja1!F427="NO",0,1)</f>
        <v>1</v>
      </c>
      <c r="H436">
        <f>IF(Hoja1!I427="NO",0,1)</f>
        <v>1</v>
      </c>
      <c r="I436" t="s">
        <v>8</v>
      </c>
      <c r="J436">
        <f>IF(Hoja1!G427="NO",0,1)</f>
        <v>1</v>
      </c>
      <c r="K436">
        <f>IF(Hoja1!H427="NO",0,1)</f>
        <v>0</v>
      </c>
      <c r="L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X436">
        <f t="shared" si="6"/>
        <v>1</v>
      </c>
      <c r="Y436" s="28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4:33" x14ac:dyDescent="0.25">
      <c r="D437">
        <f>+Hoja1!A428</f>
        <v>522557</v>
      </c>
      <c r="E437" t="str">
        <f>+Hoja1!B428</f>
        <v>SUSCRIPCIONES</v>
      </c>
      <c r="F437" t="str">
        <f>+Hoja1!E428</f>
        <v>PS</v>
      </c>
      <c r="G437">
        <f>IF(Hoja1!F428="NO",0,1)</f>
        <v>1</v>
      </c>
      <c r="H437">
        <f>IF(Hoja1!I428="NO",0,1)</f>
        <v>1</v>
      </c>
      <c r="I437" t="s">
        <v>8</v>
      </c>
      <c r="J437">
        <f>IF(Hoja1!G428="NO",0,1)</f>
        <v>1</v>
      </c>
      <c r="K437">
        <f>IF(Hoja1!H428="NO",0,1)</f>
        <v>0</v>
      </c>
      <c r="L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X437">
        <f t="shared" si="6"/>
        <v>1</v>
      </c>
      <c r="Y437" s="28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4:33" x14ac:dyDescent="0.25">
      <c r="D438">
        <f>+Hoja1!A429</f>
        <v>522558</v>
      </c>
      <c r="E438" t="str">
        <f>+Hoja1!B429</f>
        <v>EXPENSAS-MANTENIMIENTO</v>
      </c>
      <c r="F438" t="str">
        <f>+Hoja1!E429</f>
        <v>PS</v>
      </c>
      <c r="G438">
        <f>IF(Hoja1!F429="NO",0,1)</f>
        <v>1</v>
      </c>
      <c r="H438">
        <f>IF(Hoja1!I429="NO",0,1)</f>
        <v>1</v>
      </c>
      <c r="I438" t="s">
        <v>8</v>
      </c>
      <c r="J438">
        <f>IF(Hoja1!G429="NO",0,1)</f>
        <v>1</v>
      </c>
      <c r="K438">
        <f>IF(Hoja1!H429="NO",0,1)</f>
        <v>0</v>
      </c>
      <c r="L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X438">
        <f t="shared" si="6"/>
        <v>1</v>
      </c>
      <c r="Y438" s="2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4:33" x14ac:dyDescent="0.25">
      <c r="D439">
        <f>+Hoja1!A430</f>
        <v>522560</v>
      </c>
      <c r="E439" t="str">
        <f>+Hoja1!B430</f>
        <v>SERVICIOS DE TERCEROS</v>
      </c>
      <c r="F439" t="str">
        <f>+Hoja1!E430</f>
        <v>PS</v>
      </c>
      <c r="G439">
        <f>IF(Hoja1!F430="NO",0,1)</f>
        <v>1</v>
      </c>
      <c r="H439">
        <f>IF(Hoja1!I430="NO",0,1)</f>
        <v>1</v>
      </c>
      <c r="I439" t="s">
        <v>8</v>
      </c>
      <c r="J439">
        <f>IF(Hoja1!G430="NO",0,1)</f>
        <v>1</v>
      </c>
      <c r="K439">
        <f>IF(Hoja1!H430="NO",0,1)</f>
        <v>0</v>
      </c>
      <c r="L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X439">
        <f t="shared" si="6"/>
        <v>1</v>
      </c>
      <c r="Y439" s="28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4:33" x14ac:dyDescent="0.25">
      <c r="D440">
        <f>+Hoja1!A431</f>
        <v>522561</v>
      </c>
      <c r="E440" t="str">
        <f>+Hoja1!B431</f>
        <v>TASA DESINFECCION</v>
      </c>
      <c r="F440" t="str">
        <f>+Hoja1!E431</f>
        <v>PS</v>
      </c>
      <c r="G440">
        <f>IF(Hoja1!F431="NO",0,1)</f>
        <v>1</v>
      </c>
      <c r="H440">
        <f>IF(Hoja1!I431="NO",0,1)</f>
        <v>1</v>
      </c>
      <c r="I440" t="s">
        <v>8</v>
      </c>
      <c r="J440">
        <f>IF(Hoja1!G431="NO",0,1)</f>
        <v>1</v>
      </c>
      <c r="K440">
        <f>IF(Hoja1!H431="NO",0,1)</f>
        <v>0</v>
      </c>
      <c r="L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X440">
        <f t="shared" si="6"/>
        <v>1</v>
      </c>
      <c r="Y440" s="28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4:33" x14ac:dyDescent="0.25">
      <c r="D441">
        <f>+Hoja1!A432</f>
        <v>522563</v>
      </c>
      <c r="E441" t="str">
        <f>+Hoja1!B432</f>
        <v>GASTOS LEGALES</v>
      </c>
      <c r="F441" t="str">
        <f>+Hoja1!E432</f>
        <v>PS</v>
      </c>
      <c r="G441">
        <f>IF(Hoja1!F432="NO",0,1)</f>
        <v>1</v>
      </c>
      <c r="H441">
        <f>IF(Hoja1!I432="NO",0,1)</f>
        <v>1</v>
      </c>
      <c r="I441" t="s">
        <v>8</v>
      </c>
      <c r="J441">
        <f>IF(Hoja1!G432="NO",0,1)</f>
        <v>1</v>
      </c>
      <c r="K441">
        <f>IF(Hoja1!H432="NO",0,1)</f>
        <v>0</v>
      </c>
      <c r="L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X441">
        <f t="shared" si="6"/>
        <v>1</v>
      </c>
      <c r="Y441" s="28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4:33" x14ac:dyDescent="0.25">
      <c r="D442">
        <f>+Hoja1!A433</f>
        <v>522566</v>
      </c>
      <c r="E442" t="str">
        <f>+Hoja1!B433</f>
        <v>TASAS Y CONTRIB. GRALES. ( IGJ )</v>
      </c>
      <c r="F442" t="str">
        <f>+Hoja1!E433</f>
        <v>PS</v>
      </c>
      <c r="G442">
        <f>IF(Hoja1!F433="NO",0,1)</f>
        <v>1</v>
      </c>
      <c r="H442">
        <f>IF(Hoja1!I433="NO",0,1)</f>
        <v>1</v>
      </c>
      <c r="I442" t="s">
        <v>8</v>
      </c>
      <c r="J442">
        <f>IF(Hoja1!G433="NO",0,1)</f>
        <v>1</v>
      </c>
      <c r="K442">
        <f>IF(Hoja1!H433="NO",0,1)</f>
        <v>0</v>
      </c>
      <c r="L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X442">
        <f t="shared" si="6"/>
        <v>1</v>
      </c>
      <c r="Y442" s="28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4:33" x14ac:dyDescent="0.25">
      <c r="D443">
        <f>+Hoja1!A434</f>
        <v>522569</v>
      </c>
      <c r="E443" t="str">
        <f>+Hoja1!B434</f>
        <v>VIGILANCIA Y SEGURIDAD PLANTA</v>
      </c>
      <c r="F443" t="str">
        <f>+Hoja1!E434</f>
        <v>PS</v>
      </c>
      <c r="G443">
        <f>IF(Hoja1!F434="NO",0,1)</f>
        <v>1</v>
      </c>
      <c r="H443">
        <f>IF(Hoja1!I434="NO",0,1)</f>
        <v>1</v>
      </c>
      <c r="I443" t="s">
        <v>8</v>
      </c>
      <c r="J443">
        <f>IF(Hoja1!G434="NO",0,1)</f>
        <v>1</v>
      </c>
      <c r="K443">
        <f>IF(Hoja1!H434="NO",0,1)</f>
        <v>0</v>
      </c>
      <c r="L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X443">
        <f t="shared" si="6"/>
        <v>1</v>
      </c>
      <c r="Y443" s="28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4:33" x14ac:dyDescent="0.25">
      <c r="D444">
        <f>+Hoja1!A435</f>
        <v>522570</v>
      </c>
      <c r="E444" t="str">
        <f>+Hoja1!B435</f>
        <v>VIGILANCIA Y SEGUR. REPARTO</v>
      </c>
      <c r="F444" t="str">
        <f>+Hoja1!E435</f>
        <v>PS</v>
      </c>
      <c r="G444">
        <f>IF(Hoja1!F435="NO",0,1)</f>
        <v>1</v>
      </c>
      <c r="H444">
        <f>IF(Hoja1!I435="NO",0,1)</f>
        <v>1</v>
      </c>
      <c r="I444" t="s">
        <v>8</v>
      </c>
      <c r="J444">
        <f>IF(Hoja1!G435="NO",0,1)</f>
        <v>1</v>
      </c>
      <c r="K444">
        <f>IF(Hoja1!H435="NO",0,1)</f>
        <v>0</v>
      </c>
      <c r="L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X444">
        <f t="shared" si="6"/>
        <v>1</v>
      </c>
      <c r="Y444" s="28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4:33" x14ac:dyDescent="0.25">
      <c r="D445">
        <f>+Hoja1!A436</f>
        <v>522572</v>
      </c>
      <c r="E445" t="str">
        <f>+Hoja1!B436</f>
        <v>GASTOS VARIOS</v>
      </c>
      <c r="F445" t="str">
        <f>+Hoja1!E436</f>
        <v>PS</v>
      </c>
      <c r="G445">
        <f>IF(Hoja1!F436="NO",0,1)</f>
        <v>1</v>
      </c>
      <c r="H445">
        <f>IF(Hoja1!I436="NO",0,1)</f>
        <v>1</v>
      </c>
      <c r="I445" t="s">
        <v>8</v>
      </c>
      <c r="J445">
        <f>IF(Hoja1!G436="NO",0,1)</f>
        <v>1</v>
      </c>
      <c r="K445">
        <f>IF(Hoja1!H436="NO",0,1)</f>
        <v>0</v>
      </c>
      <c r="L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X445">
        <f t="shared" si="6"/>
        <v>1</v>
      </c>
      <c r="Y445" s="28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4:33" x14ac:dyDescent="0.25">
      <c r="D446">
        <f>+Hoja1!A437</f>
        <v>522573</v>
      </c>
      <c r="E446" t="str">
        <f>+Hoja1!B437</f>
        <v>ARTICULOS DE CAFETERIA</v>
      </c>
      <c r="F446" t="str">
        <f>+Hoja1!E437</f>
        <v>PS</v>
      </c>
      <c r="G446">
        <f>IF(Hoja1!F437="NO",0,1)</f>
        <v>1</v>
      </c>
      <c r="H446">
        <f>IF(Hoja1!I437="NO",0,1)</f>
        <v>1</v>
      </c>
      <c r="I446" t="s">
        <v>8</v>
      </c>
      <c r="J446">
        <f>IF(Hoja1!G437="NO",0,1)</f>
        <v>1</v>
      </c>
      <c r="K446">
        <f>IF(Hoja1!H437="NO",0,1)</f>
        <v>0</v>
      </c>
      <c r="L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X446">
        <f t="shared" si="6"/>
        <v>1</v>
      </c>
      <c r="Y446" s="28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4:33" x14ac:dyDescent="0.25">
      <c r="D447">
        <f>+Hoja1!A438</f>
        <v>522575</v>
      </c>
      <c r="E447" t="str">
        <f>+Hoja1!B438</f>
        <v>TASA INSPECCION GRAL JUSTICIA</v>
      </c>
      <c r="F447" t="str">
        <f>+Hoja1!E438</f>
        <v>PS</v>
      </c>
      <c r="G447">
        <f>IF(Hoja1!F438="NO",0,1)</f>
        <v>1</v>
      </c>
      <c r="H447">
        <f>IF(Hoja1!I438="NO",0,1)</f>
        <v>1</v>
      </c>
      <c r="I447" t="s">
        <v>8</v>
      </c>
      <c r="J447">
        <f>IF(Hoja1!G438="NO",0,1)</f>
        <v>1</v>
      </c>
      <c r="K447">
        <f>IF(Hoja1!H438="NO",0,1)</f>
        <v>0</v>
      </c>
      <c r="L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X447">
        <f t="shared" si="6"/>
        <v>1</v>
      </c>
      <c r="Y447" s="28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4:33" x14ac:dyDescent="0.25">
      <c r="D448">
        <f>+Hoja1!A439</f>
        <v>522578</v>
      </c>
      <c r="E448" t="str">
        <f>+Hoja1!B439</f>
        <v>GASTOS EXPORTACIONES</v>
      </c>
      <c r="F448" t="str">
        <f>+Hoja1!E439</f>
        <v>PS</v>
      </c>
      <c r="G448">
        <f>IF(Hoja1!F439="NO",0,1)</f>
        <v>1</v>
      </c>
      <c r="H448">
        <f>IF(Hoja1!I439="NO",0,1)</f>
        <v>1</v>
      </c>
      <c r="I448" t="s">
        <v>8</v>
      </c>
      <c r="J448">
        <f>IF(Hoja1!G439="NO",0,1)</f>
        <v>1</v>
      </c>
      <c r="K448">
        <f>IF(Hoja1!H439="NO",0,1)</f>
        <v>0</v>
      </c>
      <c r="L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X448">
        <f t="shared" si="6"/>
        <v>1</v>
      </c>
      <c r="Y448" s="2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4:33" x14ac:dyDescent="0.25">
      <c r="D449">
        <f>+Hoja1!A440</f>
        <v>522579</v>
      </c>
      <c r="E449" t="str">
        <f>+Hoja1!B440</f>
        <v>GASTOS IMPORTACION</v>
      </c>
      <c r="F449" t="str">
        <f>+Hoja1!E440</f>
        <v>PS</v>
      </c>
      <c r="G449">
        <f>IF(Hoja1!F440="NO",0,1)</f>
        <v>1</v>
      </c>
      <c r="H449">
        <f>IF(Hoja1!I440="NO",0,1)</f>
        <v>1</v>
      </c>
      <c r="I449" t="s">
        <v>8</v>
      </c>
      <c r="J449">
        <f>IF(Hoja1!G440="NO",0,1)</f>
        <v>1</v>
      </c>
      <c r="K449">
        <f>IF(Hoja1!H440="NO",0,1)</f>
        <v>0</v>
      </c>
      <c r="L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X449">
        <f t="shared" si="6"/>
        <v>1</v>
      </c>
      <c r="Y449" s="28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4:33" x14ac:dyDescent="0.25">
      <c r="D450">
        <f>+Hoja1!A441</f>
        <v>522581</v>
      </c>
      <c r="E450" t="str">
        <f>+Hoja1!B441</f>
        <v>MATERIALES DE EMBALAJES</v>
      </c>
      <c r="F450" t="str">
        <f>+Hoja1!E441</f>
        <v>PS</v>
      </c>
      <c r="G450">
        <f>IF(Hoja1!F441="NO",0,1)</f>
        <v>1</v>
      </c>
      <c r="H450">
        <f>IF(Hoja1!I441="NO",0,1)</f>
        <v>1</v>
      </c>
      <c r="I450" t="s">
        <v>8</v>
      </c>
      <c r="J450">
        <f>IF(Hoja1!G441="NO",0,1)</f>
        <v>1</v>
      </c>
      <c r="K450">
        <f>IF(Hoja1!H441="NO",0,1)</f>
        <v>0</v>
      </c>
      <c r="L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X450">
        <f t="shared" si="6"/>
        <v>1</v>
      </c>
      <c r="Y450" s="28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4:33" x14ac:dyDescent="0.25">
      <c r="D451">
        <f>+Hoja1!A442</f>
        <v>522585</v>
      </c>
      <c r="E451" t="str">
        <f>+Hoja1!B442</f>
        <v>GASTOS COMPRA DE FIBRA</v>
      </c>
      <c r="F451" t="str">
        <f>+Hoja1!E442</f>
        <v>PS</v>
      </c>
      <c r="G451">
        <f>IF(Hoja1!F442="NO",0,1)</f>
        <v>1</v>
      </c>
      <c r="H451">
        <f>IF(Hoja1!I442="NO",0,1)</f>
        <v>1</v>
      </c>
      <c r="I451" t="s">
        <v>8</v>
      </c>
      <c r="J451">
        <f>IF(Hoja1!G442="NO",0,1)</f>
        <v>1</v>
      </c>
      <c r="K451">
        <f>IF(Hoja1!H442="NO",0,1)</f>
        <v>0</v>
      </c>
      <c r="L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X451">
        <f t="shared" si="6"/>
        <v>1</v>
      </c>
      <c r="Y451" s="28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4:33" x14ac:dyDescent="0.25">
      <c r="D452">
        <f>+Hoja1!A443</f>
        <v>522586</v>
      </c>
      <c r="E452" t="str">
        <f>+Hoja1!B443</f>
        <v>SERVICIO DE INTERNET</v>
      </c>
      <c r="F452" t="str">
        <f>+Hoja1!E443</f>
        <v>PS</v>
      </c>
      <c r="G452">
        <f>IF(Hoja1!F443="NO",0,1)</f>
        <v>1</v>
      </c>
      <c r="H452">
        <f>IF(Hoja1!I443="NO",0,1)</f>
        <v>1</v>
      </c>
      <c r="I452" t="s">
        <v>8</v>
      </c>
      <c r="J452">
        <f>IF(Hoja1!G443="NO",0,1)</f>
        <v>1</v>
      </c>
      <c r="K452">
        <f>IF(Hoja1!H443="NO",0,1)</f>
        <v>0</v>
      </c>
      <c r="L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X452">
        <f t="shared" si="6"/>
        <v>1</v>
      </c>
      <c r="Y452" s="28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4:33" x14ac:dyDescent="0.25">
      <c r="D453">
        <f>+Hoja1!A444</f>
        <v>522593</v>
      </c>
      <c r="E453" t="str">
        <f>+Hoja1!B444</f>
        <v>ARTICULOS DE LIMPIEZA</v>
      </c>
      <c r="F453" t="str">
        <f>+Hoja1!E444</f>
        <v>PS</v>
      </c>
      <c r="G453">
        <f>IF(Hoja1!F444="NO",0,1)</f>
        <v>1</v>
      </c>
      <c r="H453">
        <f>IF(Hoja1!I444="NO",0,1)</f>
        <v>1</v>
      </c>
      <c r="I453" t="s">
        <v>8</v>
      </c>
      <c r="J453">
        <f>IF(Hoja1!G444="NO",0,1)</f>
        <v>1</v>
      </c>
      <c r="K453">
        <f>IF(Hoja1!H444="NO",0,1)</f>
        <v>0</v>
      </c>
      <c r="L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X453">
        <f t="shared" si="6"/>
        <v>1</v>
      </c>
      <c r="Y453" s="28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 spans="4:33" x14ac:dyDescent="0.25">
      <c r="D454">
        <f>+Hoja1!A445</f>
        <v>522595</v>
      </c>
      <c r="E454" t="str">
        <f>+Hoja1!B445</f>
        <v>ELEMENTOS DE SEGURIDAD</v>
      </c>
      <c r="F454" t="str">
        <f>+Hoja1!E445</f>
        <v>PS</v>
      </c>
      <c r="G454">
        <f>IF(Hoja1!F445="NO",0,1)</f>
        <v>1</v>
      </c>
      <c r="H454">
        <f>IF(Hoja1!I445="NO",0,1)</f>
        <v>1</v>
      </c>
      <c r="I454" t="s">
        <v>8</v>
      </c>
      <c r="J454">
        <f>IF(Hoja1!G445="NO",0,1)</f>
        <v>1</v>
      </c>
      <c r="K454">
        <f>IF(Hoja1!H445="NO",0,1)</f>
        <v>0</v>
      </c>
      <c r="L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X454">
        <f t="shared" si="6"/>
        <v>1</v>
      </c>
      <c r="Y454" s="28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4:33" x14ac:dyDescent="0.25">
      <c r="D455">
        <f>+Hoja1!A446</f>
        <v>53</v>
      </c>
      <c r="E455" t="str">
        <f>+Hoja1!B446</f>
        <v>GASTOS FINANCIEROS</v>
      </c>
      <c r="F455" t="str">
        <f>+Hoja1!E446</f>
        <v>PS</v>
      </c>
      <c r="G455">
        <f>IF(Hoja1!F446="NO",0,1)</f>
        <v>0</v>
      </c>
      <c r="H455">
        <f>IF(Hoja1!I446="NO",0,1)</f>
        <v>1</v>
      </c>
      <c r="I455" t="s">
        <v>8</v>
      </c>
      <c r="J455">
        <f>IF(Hoja1!G446="NO",0,1)</f>
        <v>0</v>
      </c>
      <c r="K455">
        <f>IF(Hoja1!H446="NO",0,1)</f>
        <v>1</v>
      </c>
      <c r="L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X455">
        <f t="shared" si="6"/>
        <v>0</v>
      </c>
      <c r="Y455" s="28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4:33" x14ac:dyDescent="0.25">
      <c r="D456">
        <f>+Hoja1!A447</f>
        <v>5301</v>
      </c>
      <c r="E456" t="str">
        <f>+Hoja1!B447</f>
        <v>GASTOS</v>
      </c>
      <c r="F456" t="str">
        <f>+Hoja1!E447</f>
        <v>PS</v>
      </c>
      <c r="G456">
        <f>IF(Hoja1!F447="NO",0,1)</f>
        <v>0</v>
      </c>
      <c r="H456">
        <f>IF(Hoja1!I447="NO",0,1)</f>
        <v>1</v>
      </c>
      <c r="I456" t="s">
        <v>8</v>
      </c>
      <c r="J456">
        <f>IF(Hoja1!G447="NO",0,1)</f>
        <v>0</v>
      </c>
      <c r="K456">
        <f>IF(Hoja1!H447="NO",0,1)</f>
        <v>0</v>
      </c>
      <c r="L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X456">
        <f t="shared" si="6"/>
        <v>0</v>
      </c>
      <c r="Y456" s="28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 spans="4:33" x14ac:dyDescent="0.25">
      <c r="D457">
        <f>+Hoja1!A448</f>
        <v>530101</v>
      </c>
      <c r="E457" t="str">
        <f>+Hoja1!B448</f>
        <v>GASTOS</v>
      </c>
      <c r="F457" t="str">
        <f>+Hoja1!E448</f>
        <v>PS</v>
      </c>
      <c r="G457">
        <f>IF(Hoja1!F448="NO",0,1)</f>
        <v>0</v>
      </c>
      <c r="H457">
        <f>IF(Hoja1!I448="NO",0,1)</f>
        <v>1</v>
      </c>
      <c r="I457" t="s">
        <v>8</v>
      </c>
      <c r="J457">
        <f>IF(Hoja1!G448="NO",0,1)</f>
        <v>0</v>
      </c>
      <c r="K457">
        <f>IF(Hoja1!H448="NO",0,1)</f>
        <v>0</v>
      </c>
      <c r="L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X457">
        <f t="shared" si="6"/>
        <v>0</v>
      </c>
      <c r="Y457" s="28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4:33" x14ac:dyDescent="0.25">
      <c r="D458">
        <f>+Hoja1!A449</f>
        <v>530105</v>
      </c>
      <c r="E458" t="str">
        <f>+Hoja1!B449</f>
        <v>RECPAM</v>
      </c>
      <c r="F458" t="str">
        <f>+Hoja1!E449</f>
        <v>PS</v>
      </c>
      <c r="G458">
        <f>IF(Hoja1!F449="NO",0,1)</f>
        <v>0</v>
      </c>
      <c r="H458">
        <f>IF(Hoja1!I449="NO",0,1)</f>
        <v>0</v>
      </c>
      <c r="I458" t="s">
        <v>8</v>
      </c>
      <c r="J458">
        <f>IF(Hoja1!G449="NO",0,1)</f>
        <v>0</v>
      </c>
      <c r="K458">
        <f>IF(Hoja1!H449="NO",0,1)</f>
        <v>0</v>
      </c>
      <c r="L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X458">
        <f t="shared" si="6"/>
        <v>0</v>
      </c>
      <c r="Y458" s="2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4:33" x14ac:dyDescent="0.25">
      <c r="D459">
        <f>+Hoja1!A450</f>
        <v>530501</v>
      </c>
      <c r="E459" t="str">
        <f>+Hoja1!B450</f>
        <v>INTERESES PERDIDA</v>
      </c>
      <c r="F459" t="str">
        <f>+Hoja1!E450</f>
        <v>PS</v>
      </c>
      <c r="G459">
        <f>IF(Hoja1!F450="NO",0,1)</f>
        <v>1</v>
      </c>
      <c r="H459">
        <f>IF(Hoja1!I450="NO",0,1)</f>
        <v>1</v>
      </c>
      <c r="I459" t="s">
        <v>8</v>
      </c>
      <c r="J459">
        <f>IF(Hoja1!G450="NO",0,1)</f>
        <v>1</v>
      </c>
      <c r="K459">
        <f>IF(Hoja1!H450="NO",0,1)</f>
        <v>0</v>
      </c>
      <c r="L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X459">
        <f t="shared" si="6"/>
        <v>1</v>
      </c>
      <c r="Y459" s="28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4:33" x14ac:dyDescent="0.25">
      <c r="D460">
        <f>+Hoja1!A451</f>
        <v>530502</v>
      </c>
      <c r="E460" t="str">
        <f>+Hoja1!B451</f>
        <v>GASTOS Y COMISIONES BANCARIAS</v>
      </c>
      <c r="F460" t="str">
        <f>+Hoja1!E451</f>
        <v>PS</v>
      </c>
      <c r="G460">
        <f>IF(Hoja1!F451="NO",0,1)</f>
        <v>1</v>
      </c>
      <c r="H460">
        <f>IF(Hoja1!I451="NO",0,1)</f>
        <v>1</v>
      </c>
      <c r="I460" t="s">
        <v>8</v>
      </c>
      <c r="J460">
        <f>IF(Hoja1!G451="NO",0,1)</f>
        <v>1</v>
      </c>
      <c r="K460">
        <f>IF(Hoja1!H451="NO",0,1)</f>
        <v>0</v>
      </c>
      <c r="L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X460">
        <f t="shared" si="6"/>
        <v>1</v>
      </c>
      <c r="Y460" s="28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4:33" x14ac:dyDescent="0.25">
      <c r="D461">
        <f>+Hoja1!A452</f>
        <v>530505</v>
      </c>
      <c r="E461" t="str">
        <f>+Hoja1!B452</f>
        <v>DESC. CONCEDIDOS</v>
      </c>
      <c r="F461" t="str">
        <f>+Hoja1!E452</f>
        <v>PS</v>
      </c>
      <c r="G461">
        <f>IF(Hoja1!F452="NO",0,1)</f>
        <v>1</v>
      </c>
      <c r="H461">
        <f>IF(Hoja1!I452="NO",0,1)</f>
        <v>1</v>
      </c>
      <c r="I461" t="s">
        <v>8</v>
      </c>
      <c r="J461">
        <f>IF(Hoja1!G452="NO",0,1)</f>
        <v>1</v>
      </c>
      <c r="K461">
        <f>IF(Hoja1!H452="NO",0,1)</f>
        <v>0</v>
      </c>
      <c r="L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X461">
        <f t="shared" si="6"/>
        <v>1</v>
      </c>
      <c r="Y461" s="28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 spans="4:33" x14ac:dyDescent="0.25">
      <c r="D462">
        <f>+Hoja1!A453</f>
        <v>530510</v>
      </c>
      <c r="E462" t="str">
        <f>+Hoja1!B453</f>
        <v>DIFEREN. DE CAMBIO PERDIDA</v>
      </c>
      <c r="F462" t="str">
        <f>+Hoja1!E453</f>
        <v>PS</v>
      </c>
      <c r="G462">
        <f>IF(Hoja1!F453="NO",0,1)</f>
        <v>1</v>
      </c>
      <c r="H462">
        <f>IF(Hoja1!I453="NO",0,1)</f>
        <v>1</v>
      </c>
      <c r="I462" t="s">
        <v>8</v>
      </c>
      <c r="J462">
        <f>IF(Hoja1!G453="NO",0,1)</f>
        <v>1</v>
      </c>
      <c r="K462">
        <f>IF(Hoja1!H453="NO",0,1)</f>
        <v>0</v>
      </c>
      <c r="L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X462">
        <f t="shared" ref="X462:X525" si="7">IF(G462=1,1,0)</f>
        <v>1</v>
      </c>
      <c r="Y462" s="28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4:33" x14ac:dyDescent="0.25">
      <c r="D463">
        <f>+Hoja1!A454</f>
        <v>530513</v>
      </c>
      <c r="E463" t="str">
        <f>+Hoja1!B454</f>
        <v>DIF.CAMBIO CPRA FIBRA PERDIDA</v>
      </c>
      <c r="F463" t="str">
        <f>+Hoja1!E454</f>
        <v>PS</v>
      </c>
      <c r="G463">
        <f>IF(Hoja1!F454="NO",0,1)</f>
        <v>1</v>
      </c>
      <c r="H463">
        <f>IF(Hoja1!I454="NO",0,1)</f>
        <v>1</v>
      </c>
      <c r="I463" t="s">
        <v>8</v>
      </c>
      <c r="J463">
        <f>IF(Hoja1!G454="NO",0,1)</f>
        <v>1</v>
      </c>
      <c r="K463">
        <f>IF(Hoja1!H454="NO",0,1)</f>
        <v>0</v>
      </c>
      <c r="L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X463">
        <f t="shared" si="7"/>
        <v>1</v>
      </c>
      <c r="Y463" s="28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 spans="4:33" x14ac:dyDescent="0.25">
      <c r="D464">
        <f>+Hoja1!A455</f>
        <v>530514</v>
      </c>
      <c r="E464" t="str">
        <f>+Hoja1!B455</f>
        <v>INTERESES BANCARIOS</v>
      </c>
      <c r="F464" t="str">
        <f>+Hoja1!E455</f>
        <v>PS</v>
      </c>
      <c r="G464">
        <f>IF(Hoja1!F455="NO",0,1)</f>
        <v>1</v>
      </c>
      <c r="H464">
        <f>IF(Hoja1!I455="NO",0,1)</f>
        <v>1</v>
      </c>
      <c r="I464" t="s">
        <v>8</v>
      </c>
      <c r="J464">
        <f>IF(Hoja1!G455="NO",0,1)</f>
        <v>1</v>
      </c>
      <c r="K464">
        <f>IF(Hoja1!H455="NO",0,1)</f>
        <v>0</v>
      </c>
      <c r="L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X464">
        <f t="shared" si="7"/>
        <v>1</v>
      </c>
      <c r="Y464" s="28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 spans="4:33" x14ac:dyDescent="0.25">
      <c r="D465">
        <f>+Hoja1!A456</f>
        <v>530515</v>
      </c>
      <c r="E465" t="str">
        <f>+Hoja1!B456</f>
        <v>COMISIONES Y SELLADOS BANC.</v>
      </c>
      <c r="F465" t="str">
        <f>+Hoja1!E456</f>
        <v>PS</v>
      </c>
      <c r="G465">
        <f>IF(Hoja1!F456="NO",0,1)</f>
        <v>1</v>
      </c>
      <c r="H465">
        <f>IF(Hoja1!I456="NO",0,1)</f>
        <v>1</v>
      </c>
      <c r="I465" t="s">
        <v>8</v>
      </c>
      <c r="J465">
        <f>IF(Hoja1!G456="NO",0,1)</f>
        <v>1</v>
      </c>
      <c r="K465">
        <f>IF(Hoja1!H456="NO",0,1)</f>
        <v>0</v>
      </c>
      <c r="L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X465">
        <f t="shared" si="7"/>
        <v>1</v>
      </c>
      <c r="Y465" s="28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4:33" x14ac:dyDescent="0.25">
      <c r="D466">
        <f>+Hoja1!A457</f>
        <v>530516</v>
      </c>
      <c r="E466" t="str">
        <f>+Hoja1!B457</f>
        <v>COMISIONES DESCUENTOS CHEQUES</v>
      </c>
      <c r="F466" t="str">
        <f>+Hoja1!E457</f>
        <v>PS</v>
      </c>
      <c r="G466">
        <f>IF(Hoja1!F457="NO",0,1)</f>
        <v>1</v>
      </c>
      <c r="H466">
        <f>IF(Hoja1!I457="NO",0,1)</f>
        <v>1</v>
      </c>
      <c r="I466" t="s">
        <v>8</v>
      </c>
      <c r="J466">
        <f>IF(Hoja1!G457="NO",0,1)</f>
        <v>1</v>
      </c>
      <c r="K466">
        <f>IF(Hoja1!H457="NO",0,1)</f>
        <v>0</v>
      </c>
      <c r="L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X466">
        <f t="shared" si="7"/>
        <v>1</v>
      </c>
      <c r="Y466" s="28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4:33" x14ac:dyDescent="0.25">
      <c r="D467">
        <f>+Hoja1!A458</f>
        <v>530517</v>
      </c>
      <c r="E467" t="str">
        <f>+Hoja1!B458</f>
        <v>COMISIONES POR PRÉSTAMOS</v>
      </c>
      <c r="F467" t="str">
        <f>+Hoja1!E458</f>
        <v>PS</v>
      </c>
      <c r="G467">
        <f>IF(Hoja1!F458="NO",0,1)</f>
        <v>1</v>
      </c>
      <c r="H467">
        <f>IF(Hoja1!I458="NO",0,1)</f>
        <v>1</v>
      </c>
      <c r="I467" t="s">
        <v>8</v>
      </c>
      <c r="J467">
        <f>IF(Hoja1!G458="NO",0,1)</f>
        <v>1</v>
      </c>
      <c r="K467">
        <f>IF(Hoja1!H458="NO",0,1)</f>
        <v>0</v>
      </c>
      <c r="L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X467">
        <f t="shared" si="7"/>
        <v>1</v>
      </c>
      <c r="Y467" s="28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4:33" x14ac:dyDescent="0.25">
      <c r="D468">
        <f>+Hoja1!A459</f>
        <v>530520</v>
      </c>
      <c r="E468" t="str">
        <f>+Hoja1!B459</f>
        <v>INTERESES IMPOSITIVOS</v>
      </c>
      <c r="F468" t="str">
        <f>+Hoja1!E459</f>
        <v>PS</v>
      </c>
      <c r="G468">
        <f>IF(Hoja1!F459="NO",0,1)</f>
        <v>1</v>
      </c>
      <c r="H468">
        <f>IF(Hoja1!I459="NO",0,1)</f>
        <v>1</v>
      </c>
      <c r="I468" t="s">
        <v>8</v>
      </c>
      <c r="J468">
        <f>IF(Hoja1!G459="NO",0,1)</f>
        <v>1</v>
      </c>
      <c r="K468">
        <f>IF(Hoja1!H459="NO",0,1)</f>
        <v>0</v>
      </c>
      <c r="L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X468">
        <f t="shared" si="7"/>
        <v>1</v>
      </c>
      <c r="Y468" s="2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4:33" x14ac:dyDescent="0.25">
      <c r="D469">
        <f>+Hoja1!A460</f>
        <v>530523</v>
      </c>
      <c r="E469" t="str">
        <f>+Hoja1!B460</f>
        <v>MULTAS IMPOSITIVAS Y OTRAS</v>
      </c>
      <c r="F469" t="str">
        <f>+Hoja1!E460</f>
        <v>PS</v>
      </c>
      <c r="G469">
        <f>IF(Hoja1!F460="NO",0,1)</f>
        <v>1</v>
      </c>
      <c r="H469">
        <f>IF(Hoja1!I460="NO",0,1)</f>
        <v>1</v>
      </c>
      <c r="I469" t="s">
        <v>8</v>
      </c>
      <c r="J469">
        <f>IF(Hoja1!G460="NO",0,1)</f>
        <v>1</v>
      </c>
      <c r="K469">
        <f>IF(Hoja1!H460="NO",0,1)</f>
        <v>0</v>
      </c>
      <c r="L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X469">
        <f t="shared" si="7"/>
        <v>1</v>
      </c>
      <c r="Y469" s="28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4:33" x14ac:dyDescent="0.25">
      <c r="D470">
        <f>+Hoja1!A461</f>
        <v>530525</v>
      </c>
      <c r="E470" t="str">
        <f>+Hoja1!B461</f>
        <v>GASTOS BANC.EXP. E IMP.</v>
      </c>
      <c r="F470" t="str">
        <f>+Hoja1!E461</f>
        <v>PS</v>
      </c>
      <c r="G470">
        <f>IF(Hoja1!F461="NO",0,1)</f>
        <v>1</v>
      </c>
      <c r="H470">
        <f>IF(Hoja1!I461="NO",0,1)</f>
        <v>1</v>
      </c>
      <c r="I470" t="s">
        <v>8</v>
      </c>
      <c r="J470">
        <f>IF(Hoja1!G461="NO",0,1)</f>
        <v>1</v>
      </c>
      <c r="K470">
        <f>IF(Hoja1!H461="NO",0,1)</f>
        <v>0</v>
      </c>
      <c r="L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X470">
        <f t="shared" si="7"/>
        <v>1</v>
      </c>
      <c r="Y470" s="28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4:33" x14ac:dyDescent="0.25">
      <c r="D471">
        <f>+Hoja1!A462</f>
        <v>530530</v>
      </c>
      <c r="E471" t="str">
        <f>+Hoja1!B462</f>
        <v>AJUSTE PAGO PROVEEDORES</v>
      </c>
      <c r="F471" t="str">
        <f>+Hoja1!E462</f>
        <v>PS</v>
      </c>
      <c r="G471">
        <f>IF(Hoja1!F462="NO",0,1)</f>
        <v>1</v>
      </c>
      <c r="H471">
        <f>IF(Hoja1!I462="NO",0,1)</f>
        <v>1</v>
      </c>
      <c r="I471" t="s">
        <v>8</v>
      </c>
      <c r="J471">
        <f>IF(Hoja1!G462="NO",0,1)</f>
        <v>1</v>
      </c>
      <c r="K471">
        <f>IF(Hoja1!H462="NO",0,1)</f>
        <v>0</v>
      </c>
      <c r="L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X471">
        <f t="shared" si="7"/>
        <v>1</v>
      </c>
      <c r="Y471" s="28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</row>
    <row r="472" spans="4:33" x14ac:dyDescent="0.25">
      <c r="D472">
        <f>+Hoja1!A463</f>
        <v>530535</v>
      </c>
      <c r="E472" t="str">
        <f>+Hoja1!B463</f>
        <v>AJUSTE COBRANZAS</v>
      </c>
      <c r="F472" t="str">
        <f>+Hoja1!E463</f>
        <v>PS</v>
      </c>
      <c r="G472">
        <f>IF(Hoja1!F463="NO",0,1)</f>
        <v>1</v>
      </c>
      <c r="H472">
        <f>IF(Hoja1!I463="NO",0,1)</f>
        <v>1</v>
      </c>
      <c r="I472" t="s">
        <v>8</v>
      </c>
      <c r="J472">
        <f>IF(Hoja1!G463="NO",0,1)</f>
        <v>1</v>
      </c>
      <c r="K472">
        <f>IF(Hoja1!H463="NO",0,1)</f>
        <v>0</v>
      </c>
      <c r="L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X472">
        <f t="shared" si="7"/>
        <v>1</v>
      </c>
      <c r="Y472" s="28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 spans="4:33" x14ac:dyDescent="0.25">
      <c r="D473">
        <f>+Hoja1!A464</f>
        <v>530540</v>
      </c>
      <c r="E473" t="str">
        <f>+Hoja1!B464</f>
        <v>IMPTO.S/CTA CTE BANCARIA</v>
      </c>
      <c r="F473" t="str">
        <f>+Hoja1!E464</f>
        <v>PS</v>
      </c>
      <c r="G473">
        <f>IF(Hoja1!F464="NO",0,1)</f>
        <v>1</v>
      </c>
      <c r="H473">
        <f>IF(Hoja1!I464="NO",0,1)</f>
        <v>1</v>
      </c>
      <c r="I473" t="s">
        <v>8</v>
      </c>
      <c r="J473">
        <f>IF(Hoja1!G464="NO",0,1)</f>
        <v>1</v>
      </c>
      <c r="K473">
        <f>IF(Hoja1!H464="NO",0,1)</f>
        <v>0</v>
      </c>
      <c r="L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X473">
        <f t="shared" si="7"/>
        <v>1</v>
      </c>
      <c r="Y473" s="28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4:33" x14ac:dyDescent="0.25">
      <c r="D474">
        <f>+Hoja1!A465</f>
        <v>530545</v>
      </c>
      <c r="E474" t="str">
        <f>+Hoja1!B465</f>
        <v>IMPUESTO COSTO FINANCIER</v>
      </c>
      <c r="F474" t="str">
        <f>+Hoja1!E465</f>
        <v>PS</v>
      </c>
      <c r="G474">
        <f>IF(Hoja1!F465="NO",0,1)</f>
        <v>1</v>
      </c>
      <c r="H474">
        <f>IF(Hoja1!I465="NO",0,1)</f>
        <v>1</v>
      </c>
      <c r="I474" t="s">
        <v>8</v>
      </c>
      <c r="J474">
        <f>IF(Hoja1!G465="NO",0,1)</f>
        <v>1</v>
      </c>
      <c r="K474">
        <f>IF(Hoja1!H465="NO",0,1)</f>
        <v>0</v>
      </c>
      <c r="L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X474">
        <f t="shared" si="7"/>
        <v>1</v>
      </c>
      <c r="Y474" s="28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4:33" x14ac:dyDescent="0.25">
      <c r="D475">
        <f>+Hoja1!A466</f>
        <v>530550</v>
      </c>
      <c r="E475" t="str">
        <f>+Hoja1!B466</f>
        <v>R.E.I.</v>
      </c>
      <c r="F475" t="str">
        <f>+Hoja1!E466</f>
        <v>PS</v>
      </c>
      <c r="G475">
        <f>IF(Hoja1!F466="NO",0,1)</f>
        <v>1</v>
      </c>
      <c r="H475">
        <f>IF(Hoja1!I466="NO",0,1)</f>
        <v>1</v>
      </c>
      <c r="I475" t="s">
        <v>8</v>
      </c>
      <c r="J475">
        <f>IF(Hoja1!G466="NO",0,1)</f>
        <v>1</v>
      </c>
      <c r="K475">
        <f>IF(Hoja1!H466="NO",0,1)</f>
        <v>0</v>
      </c>
      <c r="L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X475">
        <f t="shared" si="7"/>
        <v>1</v>
      </c>
      <c r="Y475" s="28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 spans="4:33" x14ac:dyDescent="0.25">
      <c r="D476">
        <f>+Hoja1!A467</f>
        <v>530560</v>
      </c>
      <c r="E476" t="str">
        <f>+Hoja1!B467</f>
        <v>AJUSTE CTA PUENTE</v>
      </c>
      <c r="F476" t="str">
        <f>+Hoja1!E467</f>
        <v>PS</v>
      </c>
      <c r="G476">
        <f>IF(Hoja1!F467="NO",0,1)</f>
        <v>1</v>
      </c>
      <c r="H476">
        <f>IF(Hoja1!I467="NO",0,1)</f>
        <v>1</v>
      </c>
      <c r="I476" t="s">
        <v>8</v>
      </c>
      <c r="J476">
        <f>IF(Hoja1!G467="NO",0,1)</f>
        <v>1</v>
      </c>
      <c r="K476">
        <f>IF(Hoja1!H467="NO",0,1)</f>
        <v>0</v>
      </c>
      <c r="L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X476">
        <f t="shared" si="7"/>
        <v>1</v>
      </c>
      <c r="Y476" s="28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4:33" x14ac:dyDescent="0.25">
      <c r="D477">
        <f>+Hoja1!A468</f>
        <v>530570</v>
      </c>
      <c r="E477" t="str">
        <f>+Hoja1!B468</f>
        <v>R.E.I. CTAS DE RESULTADO</v>
      </c>
      <c r="F477" t="str">
        <f>+Hoja1!E468</f>
        <v>PS</v>
      </c>
      <c r="G477">
        <f>IF(Hoja1!F468="NO",0,1)</f>
        <v>1</v>
      </c>
      <c r="H477">
        <f>IF(Hoja1!I468="NO",0,1)</f>
        <v>1</v>
      </c>
      <c r="I477" t="s">
        <v>8</v>
      </c>
      <c r="J477">
        <f>IF(Hoja1!G468="NO",0,1)</f>
        <v>1</v>
      </c>
      <c r="K477">
        <f>IF(Hoja1!H468="NO",0,1)</f>
        <v>0</v>
      </c>
      <c r="L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X477">
        <f t="shared" si="7"/>
        <v>1</v>
      </c>
      <c r="Y477" s="28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</row>
    <row r="478" spans="4:33" x14ac:dyDescent="0.25">
      <c r="D478">
        <f>+Hoja1!A469</f>
        <v>530571</v>
      </c>
      <c r="E478" t="str">
        <f>+Hoja1!B469</f>
        <v>R.E.I. CTAS PATRIMONIALES</v>
      </c>
      <c r="F478" t="str">
        <f>+Hoja1!E469</f>
        <v>PS</v>
      </c>
      <c r="G478">
        <f>IF(Hoja1!F469="NO",0,1)</f>
        <v>1</v>
      </c>
      <c r="H478">
        <f>IF(Hoja1!I469="NO",0,1)</f>
        <v>1</v>
      </c>
      <c r="I478" t="s">
        <v>8</v>
      </c>
      <c r="J478">
        <f>IF(Hoja1!G469="NO",0,1)</f>
        <v>1</v>
      </c>
      <c r="K478">
        <f>IF(Hoja1!H469="NO",0,1)</f>
        <v>0</v>
      </c>
      <c r="L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X478">
        <f t="shared" si="7"/>
        <v>1</v>
      </c>
      <c r="Y478" s="2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4:33" x14ac:dyDescent="0.25">
      <c r="D479">
        <f>+Hoja1!A470</f>
        <v>54</v>
      </c>
      <c r="E479" t="str">
        <f>+Hoja1!B470</f>
        <v>OTROS EGRESOS</v>
      </c>
      <c r="F479" t="str">
        <f>+Hoja1!E470</f>
        <v>PS</v>
      </c>
      <c r="G479">
        <f>IF(Hoja1!F470="NO",0,1)</f>
        <v>0</v>
      </c>
      <c r="H479">
        <f>IF(Hoja1!I470="NO",0,1)</f>
        <v>1</v>
      </c>
      <c r="I479" t="s">
        <v>8</v>
      </c>
      <c r="J479">
        <f>IF(Hoja1!G470="NO",0,1)</f>
        <v>0</v>
      </c>
      <c r="K479">
        <f>IF(Hoja1!H470="NO",0,1)</f>
        <v>1</v>
      </c>
      <c r="L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X479">
        <f t="shared" si="7"/>
        <v>0</v>
      </c>
      <c r="Y479" s="28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 spans="4:33" x14ac:dyDescent="0.25">
      <c r="D480">
        <f>+Hoja1!A471</f>
        <v>5405</v>
      </c>
      <c r="E480" t="str">
        <f>+Hoja1!B471</f>
        <v>Otros Egresos Varios</v>
      </c>
      <c r="F480" t="str">
        <f>+Hoja1!E471</f>
        <v>PS</v>
      </c>
      <c r="G480">
        <f>IF(Hoja1!F471="NO",0,1)</f>
        <v>0</v>
      </c>
      <c r="H480">
        <f>IF(Hoja1!I471="NO",0,1)</f>
        <v>1</v>
      </c>
      <c r="I480" t="s">
        <v>8</v>
      </c>
      <c r="J480">
        <f>IF(Hoja1!G471="NO",0,1)</f>
        <v>0</v>
      </c>
      <c r="K480">
        <f>IF(Hoja1!H471="NO",0,1)</f>
        <v>0</v>
      </c>
      <c r="L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X480">
        <f t="shared" si="7"/>
        <v>0</v>
      </c>
      <c r="Y480" s="28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</row>
    <row r="481" spans="4:33" x14ac:dyDescent="0.25">
      <c r="D481">
        <f>+Hoja1!A472</f>
        <v>540515</v>
      </c>
      <c r="E481" t="str">
        <f>+Hoja1!B472</f>
        <v>OTROS GASTOS</v>
      </c>
      <c r="F481" t="str">
        <f>+Hoja1!E472</f>
        <v>PS</v>
      </c>
      <c r="G481">
        <f>IF(Hoja1!F472="NO",0,1)</f>
        <v>1</v>
      </c>
      <c r="H481">
        <f>IF(Hoja1!I472="NO",0,1)</f>
        <v>1</v>
      </c>
      <c r="I481" t="s">
        <v>8</v>
      </c>
      <c r="J481">
        <f>IF(Hoja1!G472="NO",0,1)</f>
        <v>1</v>
      </c>
      <c r="K481">
        <f>IF(Hoja1!H472="NO",0,1)</f>
        <v>0</v>
      </c>
      <c r="L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X481">
        <f t="shared" si="7"/>
        <v>1</v>
      </c>
      <c r="Y481" s="28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 spans="4:33" x14ac:dyDescent="0.25">
      <c r="D482">
        <f>+Hoja1!A473</f>
        <v>540520</v>
      </c>
      <c r="E482" t="str">
        <f>+Hoja1!B473</f>
        <v>DIFERENCIA DE CAMBIO CLIENTE</v>
      </c>
      <c r="F482" t="str">
        <f>+Hoja1!E473</f>
        <v>PS</v>
      </c>
      <c r="G482">
        <f>IF(Hoja1!F473="NO",0,1)</f>
        <v>1</v>
      </c>
      <c r="H482">
        <f>IF(Hoja1!I473="NO",0,1)</f>
        <v>1</v>
      </c>
      <c r="I482" t="s">
        <v>8</v>
      </c>
      <c r="J482">
        <f>IF(Hoja1!G473="NO",0,1)</f>
        <v>1</v>
      </c>
      <c r="K482">
        <f>IF(Hoja1!H473="NO",0,1)</f>
        <v>0</v>
      </c>
      <c r="L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X482">
        <f t="shared" si="7"/>
        <v>1</v>
      </c>
      <c r="Y482" s="28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4:33" x14ac:dyDescent="0.25">
      <c r="D483">
        <f>+Hoja1!A474</f>
        <v>540522</v>
      </c>
      <c r="E483" t="str">
        <f>+Hoja1!B474</f>
        <v>DIFERENCIA PRECIO CPRA FIBRA</v>
      </c>
      <c r="F483" t="str">
        <f>+Hoja1!E474</f>
        <v>PS</v>
      </c>
      <c r="G483">
        <f>IF(Hoja1!F474="NO",0,1)</f>
        <v>1</v>
      </c>
      <c r="H483">
        <f>IF(Hoja1!I474="NO",0,1)</f>
        <v>1</v>
      </c>
      <c r="I483" t="s">
        <v>8</v>
      </c>
      <c r="J483">
        <f>IF(Hoja1!G474="NO",0,1)</f>
        <v>1</v>
      </c>
      <c r="K483">
        <f>IF(Hoja1!H474="NO",0,1)</f>
        <v>0</v>
      </c>
      <c r="L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X483">
        <f t="shared" si="7"/>
        <v>1</v>
      </c>
      <c r="Y483" s="28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4:33" x14ac:dyDescent="0.25">
      <c r="D484">
        <f>+Hoja1!A475</f>
        <v>540525</v>
      </c>
      <c r="E484" t="str">
        <f>+Hoja1!B475</f>
        <v>FACON</v>
      </c>
      <c r="F484" t="str">
        <f>+Hoja1!E475</f>
        <v>PS</v>
      </c>
      <c r="G484">
        <f>IF(Hoja1!F475="NO",0,1)</f>
        <v>1</v>
      </c>
      <c r="H484">
        <f>IF(Hoja1!I475="NO",0,1)</f>
        <v>1</v>
      </c>
      <c r="I484" t="s">
        <v>8</v>
      </c>
      <c r="J484">
        <f>IF(Hoja1!G475="NO",0,1)</f>
        <v>1</v>
      </c>
      <c r="K484">
        <f>IF(Hoja1!H475="NO",0,1)</f>
        <v>0</v>
      </c>
      <c r="L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X484">
        <f t="shared" si="7"/>
        <v>1</v>
      </c>
      <c r="Y484" s="28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4:33" x14ac:dyDescent="0.25">
      <c r="D485">
        <f>+Hoja1!A476</f>
        <v>540530</v>
      </c>
      <c r="E485" t="str">
        <f>+Hoja1!B476</f>
        <v>PERDIDA DE SINIESTRO</v>
      </c>
      <c r="F485" t="str">
        <f>+Hoja1!E476</f>
        <v>PS</v>
      </c>
      <c r="G485">
        <f>IF(Hoja1!F476="NO",0,1)</f>
        <v>1</v>
      </c>
      <c r="H485">
        <f>IF(Hoja1!I476="NO",0,1)</f>
        <v>1</v>
      </c>
      <c r="I485" t="s">
        <v>8</v>
      </c>
      <c r="J485">
        <f>IF(Hoja1!G476="NO",0,1)</f>
        <v>1</v>
      </c>
      <c r="K485">
        <f>IF(Hoja1!H476="NO",0,1)</f>
        <v>0</v>
      </c>
      <c r="L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X485">
        <f t="shared" si="7"/>
        <v>1</v>
      </c>
      <c r="Y485" s="28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4:33" x14ac:dyDescent="0.25">
      <c r="D486">
        <f>+Hoja1!A477</f>
        <v>540535</v>
      </c>
      <c r="E486" t="str">
        <f>+Hoja1!B477</f>
        <v>RESULTADO NEG. POR TENENCIA</v>
      </c>
      <c r="F486" t="str">
        <f>+Hoja1!E477</f>
        <v>PS</v>
      </c>
      <c r="G486">
        <f>IF(Hoja1!F477="NO",0,1)</f>
        <v>1</v>
      </c>
      <c r="H486">
        <f>IF(Hoja1!I477="NO",0,1)</f>
        <v>1</v>
      </c>
      <c r="I486" t="s">
        <v>8</v>
      </c>
      <c r="J486">
        <f>IF(Hoja1!G477="NO",0,1)</f>
        <v>1</v>
      </c>
      <c r="K486">
        <f>IF(Hoja1!H477="NO",0,1)</f>
        <v>0</v>
      </c>
      <c r="L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X486">
        <f t="shared" si="7"/>
        <v>1</v>
      </c>
      <c r="Y486" s="28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4:33" x14ac:dyDescent="0.25">
      <c r="D487">
        <f>+Hoja1!A478</f>
        <v>540536</v>
      </c>
      <c r="E487" t="str">
        <f>+Hoja1!B478</f>
        <v>Redondeos</v>
      </c>
      <c r="F487" t="str">
        <f>+Hoja1!E478</f>
        <v>PS</v>
      </c>
      <c r="G487">
        <f>IF(Hoja1!F478="NO",0,1)</f>
        <v>1</v>
      </c>
      <c r="H487">
        <f>IF(Hoja1!I478="NO",0,1)</f>
        <v>1</v>
      </c>
      <c r="I487" t="s">
        <v>8</v>
      </c>
      <c r="J487">
        <f>IF(Hoja1!G478="NO",0,1)</f>
        <v>1</v>
      </c>
      <c r="K487">
        <f>IF(Hoja1!H478="NO",0,1)</f>
        <v>0</v>
      </c>
      <c r="L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X487">
        <f t="shared" si="7"/>
        <v>1</v>
      </c>
      <c r="Y487" s="28">
        <v>1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4:33" x14ac:dyDescent="0.25">
      <c r="D488">
        <f>+Hoja1!A479</f>
        <v>540537</v>
      </c>
      <c r="E488" t="str">
        <f>+Hoja1!B479</f>
        <v>Resultado por Exposición a la Inflación</v>
      </c>
      <c r="F488" t="str">
        <f>+Hoja1!E479</f>
        <v>PS</v>
      </c>
      <c r="G488">
        <f>IF(Hoja1!F479="NO",0,1)</f>
        <v>1</v>
      </c>
      <c r="H488">
        <f>IF(Hoja1!I479="NO",0,1)</f>
        <v>1</v>
      </c>
      <c r="I488" t="s">
        <v>8</v>
      </c>
      <c r="J488">
        <f>IF(Hoja1!G479="NO",0,1)</f>
        <v>0</v>
      </c>
      <c r="K488">
        <f>IF(Hoja1!H479="NO",0,1)</f>
        <v>0</v>
      </c>
      <c r="L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X488">
        <f t="shared" si="7"/>
        <v>1</v>
      </c>
      <c r="Y488" s="2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4:33" x14ac:dyDescent="0.25">
      <c r="D489">
        <f>+Hoja1!A480</f>
        <v>55</v>
      </c>
      <c r="E489" t="str">
        <f>+Hoja1!B480</f>
        <v>EGRESOS EXTRAORDINARIOS</v>
      </c>
      <c r="F489" t="str">
        <f>+Hoja1!E480</f>
        <v>PS</v>
      </c>
      <c r="G489">
        <f>IF(Hoja1!F480="NO",0,1)</f>
        <v>0</v>
      </c>
      <c r="H489">
        <f>IF(Hoja1!I480="NO",0,1)</f>
        <v>1</v>
      </c>
      <c r="I489" t="s">
        <v>8</v>
      </c>
      <c r="J489">
        <f>IF(Hoja1!G480="NO",0,1)</f>
        <v>0</v>
      </c>
      <c r="K489">
        <f>IF(Hoja1!H480="NO",0,1)</f>
        <v>1</v>
      </c>
      <c r="L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X489">
        <f t="shared" si="7"/>
        <v>0</v>
      </c>
      <c r="Y489" s="28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4:33" x14ac:dyDescent="0.25">
      <c r="D490">
        <f>+Hoja1!A481</f>
        <v>5501</v>
      </c>
      <c r="E490" t="str">
        <f>+Hoja1!B481</f>
        <v>OTROS EGRESOS EXTRAORDINARIOS</v>
      </c>
      <c r="F490" t="str">
        <f>+Hoja1!E481</f>
        <v>PS</v>
      </c>
      <c r="G490">
        <f>IF(Hoja1!F481="NO",0,1)</f>
        <v>1</v>
      </c>
      <c r="H490">
        <f>IF(Hoja1!I481="NO",0,1)</f>
        <v>1</v>
      </c>
      <c r="I490" t="s">
        <v>8</v>
      </c>
      <c r="J490">
        <f>IF(Hoja1!G481="NO",0,1)</f>
        <v>1</v>
      </c>
      <c r="K490">
        <f>IF(Hoja1!H481="NO",0,1)</f>
        <v>0</v>
      </c>
      <c r="L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X490">
        <f t="shared" si="7"/>
        <v>1</v>
      </c>
      <c r="Y490" s="28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</row>
  </sheetData>
  <mergeCells count="5">
    <mergeCell ref="A1:D3"/>
    <mergeCell ref="O10:R10"/>
    <mergeCell ref="X10:AG10"/>
    <mergeCell ref="AI10:AM10"/>
    <mergeCell ref="F1:M1"/>
  </mergeCells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1"/>
  <sheetViews>
    <sheetView tabSelected="1" workbookViewId="0">
      <selection activeCell="N4" sqref="N4"/>
    </sheetView>
  </sheetViews>
  <sheetFormatPr baseColWidth="10" defaultColWidth="11.42578125" defaultRowHeight="12.75" x14ac:dyDescent="0.2"/>
  <cols>
    <col min="1" max="1" width="24.7109375" style="23" customWidth="1"/>
    <col min="2" max="2" width="42.42578125" style="23" bestFit="1" customWidth="1"/>
    <col min="3" max="3" width="7.85546875" style="23" bestFit="1" customWidth="1"/>
    <col min="4" max="4" width="7.85546875" style="23" customWidth="1"/>
    <col min="5" max="5" width="9.85546875" style="23" customWidth="1"/>
    <col min="6" max="6" width="7.5703125" style="23" customWidth="1"/>
    <col min="7" max="7" width="6.85546875" style="23" customWidth="1"/>
    <col min="8" max="8" width="8.7109375" style="23" customWidth="1"/>
    <col min="9" max="9" width="8.42578125" style="23" customWidth="1"/>
    <col min="10" max="13" width="11.42578125" style="23"/>
    <col min="14" max="14" width="11.42578125" style="29"/>
    <col min="15" max="16384" width="11.42578125" style="23"/>
  </cols>
  <sheetData>
    <row r="1" spans="1:17" ht="17.25" x14ac:dyDescent="0.25">
      <c r="A1" s="22" t="s">
        <v>46</v>
      </c>
      <c r="N1" s="23"/>
    </row>
    <row r="2" spans="1:17" ht="17.25" x14ac:dyDescent="0.25">
      <c r="A2" s="22" t="s">
        <v>1</v>
      </c>
      <c r="B2" s="22"/>
      <c r="N2" s="23"/>
    </row>
    <row r="3" spans="1:17" ht="15" x14ac:dyDescent="0.25">
      <c r="A3" s="24" t="s">
        <v>47</v>
      </c>
      <c r="B3" s="24" t="s">
        <v>3</v>
      </c>
      <c r="C3" s="24" t="s">
        <v>48</v>
      </c>
      <c r="D3" s="24" t="s">
        <v>49</v>
      </c>
      <c r="E3" s="24" t="s">
        <v>4</v>
      </c>
      <c r="F3" s="24" t="s">
        <v>50</v>
      </c>
      <c r="G3" s="24" t="s">
        <v>51</v>
      </c>
      <c r="H3" s="24" t="s">
        <v>52</v>
      </c>
      <c r="I3" s="24" t="s">
        <v>53</v>
      </c>
      <c r="J3" s="25"/>
      <c r="L3">
        <v>1</v>
      </c>
      <c r="N3" s="23"/>
      <c r="Q3" s="23" t="str">
        <f>CONCATENATE(L3,".")</f>
        <v>1.</v>
      </c>
    </row>
    <row r="4" spans="1:17" ht="15" x14ac:dyDescent="0.25">
      <c r="A4" t="s">
        <v>521</v>
      </c>
      <c r="B4" t="s">
        <v>54</v>
      </c>
      <c r="C4" s="26" t="s">
        <v>55</v>
      </c>
      <c r="D4" s="26" t="s">
        <v>56</v>
      </c>
      <c r="E4" t="s">
        <v>57</v>
      </c>
      <c r="F4" t="s">
        <v>58</v>
      </c>
      <c r="G4" t="s">
        <v>58</v>
      </c>
      <c r="H4" t="s">
        <v>59</v>
      </c>
      <c r="I4" t="s">
        <v>59</v>
      </c>
      <c r="J4"/>
      <c r="L4">
        <v>1</v>
      </c>
      <c r="M4" s="23">
        <v>1</v>
      </c>
      <c r="N4" s="23"/>
    </row>
    <row r="5" spans="1:17" ht="15" x14ac:dyDescent="0.25">
      <c r="A5" t="s">
        <v>522</v>
      </c>
      <c r="B5" t="s">
        <v>60</v>
      </c>
      <c r="C5" s="26" t="s">
        <v>55</v>
      </c>
      <c r="D5" s="26" t="s">
        <v>56</v>
      </c>
      <c r="E5" t="s">
        <v>57</v>
      </c>
      <c r="F5" t="s">
        <v>58</v>
      </c>
      <c r="G5" t="s">
        <v>58</v>
      </c>
      <c r="H5" t="s">
        <v>59</v>
      </c>
      <c r="I5" t="s">
        <v>59</v>
      </c>
      <c r="J5"/>
      <c r="L5">
        <v>1</v>
      </c>
      <c r="M5" s="23">
        <v>1</v>
      </c>
      <c r="N5" s="29">
        <v>1</v>
      </c>
    </row>
    <row r="6" spans="1:17" ht="15" x14ac:dyDescent="0.25">
      <c r="A6">
        <v>1101</v>
      </c>
      <c r="B6" t="s">
        <v>61</v>
      </c>
      <c r="C6" s="26" t="s">
        <v>55</v>
      </c>
      <c r="D6" s="26" t="s">
        <v>56</v>
      </c>
      <c r="E6" t="s">
        <v>57</v>
      </c>
      <c r="F6" t="s">
        <v>58</v>
      </c>
      <c r="G6" t="s">
        <v>58</v>
      </c>
      <c r="H6" t="s">
        <v>59</v>
      </c>
      <c r="I6" t="s">
        <v>59</v>
      </c>
      <c r="J6"/>
      <c r="L6">
        <v>1</v>
      </c>
      <c r="M6" s="23">
        <v>1</v>
      </c>
      <c r="N6" s="29">
        <v>1</v>
      </c>
      <c r="O6" s="23">
        <v>1</v>
      </c>
    </row>
    <row r="7" spans="1:17" ht="15" x14ac:dyDescent="0.25">
      <c r="A7">
        <v>110101</v>
      </c>
      <c r="B7" t="s">
        <v>62</v>
      </c>
      <c r="C7" s="26" t="s">
        <v>55</v>
      </c>
      <c r="D7" s="26" t="s">
        <v>56</v>
      </c>
      <c r="E7" t="s">
        <v>57</v>
      </c>
      <c r="F7" t="s">
        <v>59</v>
      </c>
      <c r="G7" t="s">
        <v>58</v>
      </c>
      <c r="H7" t="s">
        <v>59</v>
      </c>
      <c r="I7" t="s">
        <v>59</v>
      </c>
      <c r="J7"/>
      <c r="L7">
        <v>1</v>
      </c>
      <c r="M7" s="23">
        <v>1</v>
      </c>
      <c r="N7" s="29">
        <v>1</v>
      </c>
      <c r="O7" s="23">
        <v>1</v>
      </c>
      <c r="P7" s="23">
        <v>1</v>
      </c>
    </row>
    <row r="8" spans="1:17" ht="15" x14ac:dyDescent="0.25">
      <c r="A8">
        <v>110101001</v>
      </c>
      <c r="B8" t="s">
        <v>63</v>
      </c>
      <c r="C8" s="26" t="s">
        <v>55</v>
      </c>
      <c r="D8" s="26" t="s">
        <v>56</v>
      </c>
      <c r="E8" t="s">
        <v>57</v>
      </c>
      <c r="F8" t="s">
        <v>59</v>
      </c>
      <c r="G8" t="s">
        <v>58</v>
      </c>
      <c r="H8" t="s">
        <v>59</v>
      </c>
      <c r="I8" t="s">
        <v>59</v>
      </c>
      <c r="J8"/>
      <c r="L8">
        <v>1</v>
      </c>
      <c r="M8" s="23">
        <v>1</v>
      </c>
      <c r="N8" s="29">
        <v>1</v>
      </c>
      <c r="O8" s="23">
        <v>1</v>
      </c>
      <c r="P8" s="23">
        <v>2</v>
      </c>
    </row>
    <row r="9" spans="1:17" ht="15" x14ac:dyDescent="0.25">
      <c r="A9">
        <v>110101002</v>
      </c>
      <c r="B9" t="s">
        <v>64</v>
      </c>
      <c r="C9" s="26" t="s">
        <v>55</v>
      </c>
      <c r="D9" s="26" t="s">
        <v>56</v>
      </c>
      <c r="E9" t="s">
        <v>57</v>
      </c>
      <c r="F9" t="s">
        <v>59</v>
      </c>
      <c r="G9" t="s">
        <v>58</v>
      </c>
      <c r="H9" t="s">
        <v>59</v>
      </c>
      <c r="I9" t="s">
        <v>59</v>
      </c>
      <c r="J9"/>
      <c r="L9">
        <v>1</v>
      </c>
      <c r="M9" s="23">
        <v>1</v>
      </c>
      <c r="N9" s="29">
        <v>1</v>
      </c>
      <c r="O9" s="23">
        <v>1</v>
      </c>
      <c r="P9" s="23">
        <v>10</v>
      </c>
    </row>
    <row r="10" spans="1:17" ht="15" x14ac:dyDescent="0.25">
      <c r="A10">
        <v>110101010</v>
      </c>
      <c r="B10" t="s">
        <v>65</v>
      </c>
      <c r="C10" s="26" t="s">
        <v>55</v>
      </c>
      <c r="D10" s="26" t="s">
        <v>56</v>
      </c>
      <c r="E10" t="s">
        <v>57</v>
      </c>
      <c r="F10" t="s">
        <v>59</v>
      </c>
      <c r="G10" t="s">
        <v>58</v>
      </c>
      <c r="H10" t="s">
        <v>59</v>
      </c>
      <c r="I10" t="s">
        <v>59</v>
      </c>
      <c r="J10"/>
      <c r="L10">
        <v>1</v>
      </c>
      <c r="M10" s="23">
        <v>1</v>
      </c>
      <c r="N10" s="29">
        <v>1</v>
      </c>
      <c r="O10" s="23">
        <v>5</v>
      </c>
    </row>
    <row r="11" spans="1:17" ht="15" x14ac:dyDescent="0.25">
      <c r="A11">
        <v>110105</v>
      </c>
      <c r="B11" t="s">
        <v>66</v>
      </c>
      <c r="C11" s="26" t="s">
        <v>55</v>
      </c>
      <c r="D11" s="26" t="s">
        <v>56</v>
      </c>
      <c r="E11" t="s">
        <v>57</v>
      </c>
      <c r="F11" t="s">
        <v>58</v>
      </c>
      <c r="G11" t="s">
        <v>58</v>
      </c>
      <c r="H11" t="s">
        <v>59</v>
      </c>
      <c r="I11" t="s">
        <v>59</v>
      </c>
      <c r="J11"/>
      <c r="L11">
        <v>1</v>
      </c>
      <c r="M11" s="23">
        <v>1</v>
      </c>
      <c r="N11" s="29">
        <v>1</v>
      </c>
      <c r="O11" s="23">
        <v>5</v>
      </c>
      <c r="P11" s="23">
        <v>110</v>
      </c>
    </row>
    <row r="12" spans="1:17" ht="15" x14ac:dyDescent="0.25">
      <c r="A12">
        <v>110105110</v>
      </c>
      <c r="B12" t="s">
        <v>67</v>
      </c>
      <c r="C12" s="26" t="s">
        <v>55</v>
      </c>
      <c r="D12" s="26" t="s">
        <v>56</v>
      </c>
      <c r="E12" t="s">
        <v>57</v>
      </c>
      <c r="F12" t="s">
        <v>59</v>
      </c>
      <c r="G12" t="s">
        <v>58</v>
      </c>
      <c r="H12" t="s">
        <v>59</v>
      </c>
      <c r="I12" t="s">
        <v>59</v>
      </c>
      <c r="J12"/>
      <c r="L12">
        <v>1</v>
      </c>
      <c r="M12" s="23">
        <v>1</v>
      </c>
      <c r="N12" s="29">
        <v>1</v>
      </c>
      <c r="O12" s="23">
        <v>5</v>
      </c>
      <c r="P12" s="23">
        <v>111</v>
      </c>
    </row>
    <row r="13" spans="1:17" ht="15" x14ac:dyDescent="0.25">
      <c r="A13">
        <v>110105111</v>
      </c>
      <c r="B13" t="s">
        <v>68</v>
      </c>
      <c r="C13" s="26" t="s">
        <v>55</v>
      </c>
      <c r="D13" s="26" t="s">
        <v>56</v>
      </c>
      <c r="E13" t="s">
        <v>69</v>
      </c>
      <c r="F13" t="s">
        <v>59</v>
      </c>
      <c r="G13" t="s">
        <v>58</v>
      </c>
      <c r="H13" t="s">
        <v>59</v>
      </c>
      <c r="I13" t="s">
        <v>59</v>
      </c>
      <c r="J13"/>
      <c r="L13">
        <v>1</v>
      </c>
      <c r="M13" s="23">
        <v>1</v>
      </c>
      <c r="N13" s="29">
        <v>1</v>
      </c>
      <c r="O13" s="23">
        <v>5</v>
      </c>
      <c r="P13" s="23">
        <v>121</v>
      </c>
    </row>
    <row r="14" spans="1:17" ht="15" x14ac:dyDescent="0.25">
      <c r="A14">
        <v>110105121</v>
      </c>
      <c r="B14" t="s">
        <v>70</v>
      </c>
      <c r="C14" s="26" t="s">
        <v>55</v>
      </c>
      <c r="D14" s="26" t="s">
        <v>56</v>
      </c>
      <c r="E14" t="s">
        <v>57</v>
      </c>
      <c r="F14" t="s">
        <v>59</v>
      </c>
      <c r="G14" t="s">
        <v>58</v>
      </c>
      <c r="H14" t="s">
        <v>59</v>
      </c>
      <c r="I14" t="s">
        <v>59</v>
      </c>
      <c r="J14"/>
      <c r="L14">
        <v>1</v>
      </c>
      <c r="M14" s="23">
        <v>1</v>
      </c>
      <c r="N14" s="29">
        <v>1</v>
      </c>
      <c r="O14" s="23">
        <v>5</v>
      </c>
      <c r="P14" s="23">
        <v>148</v>
      </c>
    </row>
    <row r="15" spans="1:17" ht="15" x14ac:dyDescent="0.25">
      <c r="A15">
        <v>110105148</v>
      </c>
      <c r="B15" t="s">
        <v>71</v>
      </c>
      <c r="C15" s="26" t="s">
        <v>55</v>
      </c>
      <c r="D15" s="26" t="s">
        <v>56</v>
      </c>
      <c r="E15" t="s">
        <v>57</v>
      </c>
      <c r="F15" t="s">
        <v>59</v>
      </c>
      <c r="G15" t="s">
        <v>58</v>
      </c>
      <c r="H15" t="s">
        <v>59</v>
      </c>
      <c r="I15" t="s">
        <v>59</v>
      </c>
      <c r="J15"/>
      <c r="L15">
        <v>1</v>
      </c>
      <c r="M15" s="23">
        <v>1</v>
      </c>
      <c r="N15" s="29">
        <v>2</v>
      </c>
    </row>
    <row r="16" spans="1:17" ht="15" x14ac:dyDescent="0.25">
      <c r="A16">
        <v>1102</v>
      </c>
      <c r="B16" t="s">
        <v>72</v>
      </c>
      <c r="C16" s="26" t="s">
        <v>55</v>
      </c>
      <c r="D16" s="26" t="s">
        <v>56</v>
      </c>
      <c r="E16" t="s">
        <v>57</v>
      </c>
      <c r="F16" t="s">
        <v>58</v>
      </c>
      <c r="G16" t="s">
        <v>58</v>
      </c>
      <c r="H16" t="s">
        <v>59</v>
      </c>
      <c r="I16" t="s">
        <v>59</v>
      </c>
      <c r="J16"/>
      <c r="L16">
        <v>1</v>
      </c>
      <c r="M16" s="23">
        <v>1</v>
      </c>
      <c r="N16" s="29">
        <v>2</v>
      </c>
      <c r="O16" s="23">
        <v>1</v>
      </c>
    </row>
    <row r="17" spans="1:16" ht="15" x14ac:dyDescent="0.25">
      <c r="A17">
        <v>110201</v>
      </c>
      <c r="B17" t="s">
        <v>73</v>
      </c>
      <c r="C17" s="26" t="s">
        <v>55</v>
      </c>
      <c r="D17" s="26" t="s">
        <v>56</v>
      </c>
      <c r="E17" t="s">
        <v>57</v>
      </c>
      <c r="F17" t="s">
        <v>58</v>
      </c>
      <c r="G17" t="s">
        <v>58</v>
      </c>
      <c r="H17" t="s">
        <v>59</v>
      </c>
      <c r="I17" t="s">
        <v>59</v>
      </c>
      <c r="J17"/>
      <c r="L17">
        <v>1</v>
      </c>
      <c r="M17" s="23">
        <v>1</v>
      </c>
      <c r="N17" s="29">
        <v>2</v>
      </c>
      <c r="O17" s="23">
        <v>1</v>
      </c>
      <c r="P17" s="23">
        <v>10</v>
      </c>
    </row>
    <row r="18" spans="1:16" ht="15" x14ac:dyDescent="0.25">
      <c r="A18">
        <v>110201010</v>
      </c>
      <c r="B18" t="s">
        <v>72</v>
      </c>
      <c r="C18" s="26" t="s">
        <v>55</v>
      </c>
      <c r="D18" s="26" t="s">
        <v>56</v>
      </c>
      <c r="E18" t="s">
        <v>57</v>
      </c>
      <c r="F18" t="s">
        <v>59</v>
      </c>
      <c r="G18" t="s">
        <v>58</v>
      </c>
      <c r="H18" t="s">
        <v>59</v>
      </c>
      <c r="I18" t="s">
        <v>59</v>
      </c>
      <c r="J18"/>
      <c r="L18">
        <v>1</v>
      </c>
      <c r="M18" s="23">
        <v>1</v>
      </c>
      <c r="N18" s="29">
        <v>2</v>
      </c>
      <c r="O18" s="23">
        <v>2</v>
      </c>
    </row>
    <row r="19" spans="1:16" ht="15" x14ac:dyDescent="0.25">
      <c r="A19">
        <v>110202</v>
      </c>
      <c r="B19" t="s">
        <v>74</v>
      </c>
      <c r="C19" s="26" t="s">
        <v>55</v>
      </c>
      <c r="D19" s="26" t="s">
        <v>56</v>
      </c>
      <c r="E19" t="s">
        <v>57</v>
      </c>
      <c r="F19" t="s">
        <v>58</v>
      </c>
      <c r="G19" t="s">
        <v>58</v>
      </c>
      <c r="H19" t="s">
        <v>59</v>
      </c>
      <c r="I19" t="s">
        <v>59</v>
      </c>
      <c r="J19"/>
      <c r="L19">
        <v>1</v>
      </c>
      <c r="M19" s="23">
        <v>1</v>
      </c>
      <c r="N19" s="29">
        <v>2</v>
      </c>
      <c r="O19" s="23">
        <v>2</v>
      </c>
      <c r="P19" s="23">
        <v>1</v>
      </c>
    </row>
    <row r="20" spans="1:16" ht="15" x14ac:dyDescent="0.25">
      <c r="A20">
        <v>110202001</v>
      </c>
      <c r="B20" t="s">
        <v>75</v>
      </c>
      <c r="C20" s="26" t="s">
        <v>55</v>
      </c>
      <c r="D20" s="26" t="s">
        <v>56</v>
      </c>
      <c r="E20" t="s">
        <v>57</v>
      </c>
      <c r="F20" t="s">
        <v>59</v>
      </c>
      <c r="G20" t="s">
        <v>58</v>
      </c>
      <c r="H20" t="s">
        <v>59</v>
      </c>
      <c r="I20" t="s">
        <v>59</v>
      </c>
      <c r="J20"/>
      <c r="L20">
        <v>1</v>
      </c>
      <c r="M20" s="23">
        <v>1</v>
      </c>
      <c r="N20" s="29">
        <v>2</v>
      </c>
      <c r="O20" s="23">
        <v>2</v>
      </c>
      <c r="P20" s="23">
        <v>9</v>
      </c>
    </row>
    <row r="21" spans="1:16" ht="15" x14ac:dyDescent="0.25">
      <c r="A21">
        <v>110202009</v>
      </c>
      <c r="B21" t="s">
        <v>76</v>
      </c>
      <c r="C21" s="26" t="s">
        <v>55</v>
      </c>
      <c r="D21" s="26" t="s">
        <v>56</v>
      </c>
      <c r="E21" t="s">
        <v>57</v>
      </c>
      <c r="F21" t="s">
        <v>59</v>
      </c>
      <c r="G21" t="s">
        <v>58</v>
      </c>
      <c r="H21" t="s">
        <v>59</v>
      </c>
      <c r="I21" t="s">
        <v>59</v>
      </c>
      <c r="J21"/>
      <c r="L21">
        <v>1</v>
      </c>
      <c r="M21" s="23">
        <v>1</v>
      </c>
      <c r="N21" s="29">
        <v>2</v>
      </c>
      <c r="O21" s="23">
        <v>3</v>
      </c>
      <c r="P21" s="23">
        <v>10</v>
      </c>
    </row>
    <row r="22" spans="1:16" ht="15" x14ac:dyDescent="0.25">
      <c r="A22">
        <v>110203010</v>
      </c>
      <c r="B22" t="s">
        <v>77</v>
      </c>
      <c r="C22" s="26" t="s">
        <v>55</v>
      </c>
      <c r="D22" s="26" t="s">
        <v>56</v>
      </c>
      <c r="E22" t="s">
        <v>69</v>
      </c>
      <c r="F22" t="s">
        <v>59</v>
      </c>
      <c r="G22" t="s">
        <v>58</v>
      </c>
      <c r="H22" t="s">
        <v>59</v>
      </c>
      <c r="I22" t="s">
        <v>59</v>
      </c>
      <c r="J22"/>
      <c r="L22">
        <v>1</v>
      </c>
      <c r="M22" s="23">
        <v>1</v>
      </c>
      <c r="N22" s="29">
        <v>2</v>
      </c>
      <c r="O22" s="23">
        <v>3</v>
      </c>
      <c r="P22" s="23">
        <v>12</v>
      </c>
    </row>
    <row r="23" spans="1:16" ht="15" x14ac:dyDescent="0.25">
      <c r="A23">
        <v>110203012</v>
      </c>
      <c r="B23" t="s">
        <v>78</v>
      </c>
      <c r="C23" s="26" t="s">
        <v>55</v>
      </c>
      <c r="D23" s="26" t="s">
        <v>56</v>
      </c>
      <c r="E23" t="s">
        <v>69</v>
      </c>
      <c r="F23" t="s">
        <v>59</v>
      </c>
      <c r="G23" t="s">
        <v>58</v>
      </c>
      <c r="H23" t="s">
        <v>59</v>
      </c>
      <c r="I23" t="s">
        <v>59</v>
      </c>
      <c r="J23"/>
      <c r="L23">
        <v>1</v>
      </c>
      <c r="M23" s="23">
        <v>1</v>
      </c>
      <c r="N23" s="29">
        <v>2</v>
      </c>
      <c r="O23" s="23">
        <v>3</v>
      </c>
      <c r="P23" s="23">
        <v>14</v>
      </c>
    </row>
    <row r="24" spans="1:16" ht="15" x14ac:dyDescent="0.25">
      <c r="A24">
        <v>110203014</v>
      </c>
      <c r="B24" t="s">
        <v>79</v>
      </c>
      <c r="C24" s="26" t="s">
        <v>55</v>
      </c>
      <c r="D24" s="26" t="s">
        <v>56</v>
      </c>
      <c r="E24" t="s">
        <v>57</v>
      </c>
      <c r="F24" t="s">
        <v>59</v>
      </c>
      <c r="G24" t="s">
        <v>58</v>
      </c>
      <c r="H24" t="s">
        <v>59</v>
      </c>
      <c r="I24" t="s">
        <v>59</v>
      </c>
      <c r="J24"/>
      <c r="L24">
        <v>1</v>
      </c>
      <c r="M24" s="23">
        <v>1</v>
      </c>
      <c r="N24" s="29">
        <v>3</v>
      </c>
    </row>
    <row r="25" spans="1:16" ht="15" x14ac:dyDescent="0.25">
      <c r="A25">
        <v>1103</v>
      </c>
      <c r="B25" t="s">
        <v>80</v>
      </c>
      <c r="C25" s="26" t="s">
        <v>55</v>
      </c>
      <c r="D25" s="26" t="s">
        <v>56</v>
      </c>
      <c r="E25" t="s">
        <v>57</v>
      </c>
      <c r="F25" t="s">
        <v>58</v>
      </c>
      <c r="G25" t="s">
        <v>58</v>
      </c>
      <c r="H25" t="s">
        <v>59</v>
      </c>
      <c r="I25" t="s">
        <v>59</v>
      </c>
      <c r="J25"/>
      <c r="L25">
        <v>1</v>
      </c>
      <c r="M25" s="23">
        <v>1</v>
      </c>
      <c r="N25" s="29">
        <v>3</v>
      </c>
      <c r="O25" s="23">
        <v>1</v>
      </c>
    </row>
    <row r="26" spans="1:16" ht="15" x14ac:dyDescent="0.25">
      <c r="A26">
        <v>110301</v>
      </c>
      <c r="B26" t="s">
        <v>80</v>
      </c>
      <c r="C26" s="26" t="s">
        <v>55</v>
      </c>
      <c r="D26" s="26" t="s">
        <v>56</v>
      </c>
      <c r="E26" t="s">
        <v>57</v>
      </c>
      <c r="F26" t="s">
        <v>58</v>
      </c>
      <c r="G26" t="s">
        <v>58</v>
      </c>
      <c r="H26" t="s">
        <v>59</v>
      </c>
      <c r="I26" t="s">
        <v>59</v>
      </c>
      <c r="J26"/>
      <c r="L26">
        <v>1</v>
      </c>
      <c r="M26" s="23">
        <v>1</v>
      </c>
      <c r="N26" s="29">
        <v>3</v>
      </c>
      <c r="O26" s="23">
        <v>1</v>
      </c>
      <c r="P26" s="23">
        <v>1</v>
      </c>
    </row>
    <row r="27" spans="1:16" ht="15" x14ac:dyDescent="0.25">
      <c r="A27">
        <v>110301001</v>
      </c>
      <c r="B27" t="s">
        <v>81</v>
      </c>
      <c r="C27" s="26" t="s">
        <v>55</v>
      </c>
      <c r="D27" s="26" t="s">
        <v>56</v>
      </c>
      <c r="E27" t="s">
        <v>57</v>
      </c>
      <c r="F27" t="s">
        <v>59</v>
      </c>
      <c r="G27" t="s">
        <v>58</v>
      </c>
      <c r="H27" t="s">
        <v>59</v>
      </c>
      <c r="I27" t="s">
        <v>59</v>
      </c>
      <c r="J27"/>
      <c r="L27">
        <v>1</v>
      </c>
      <c r="M27" s="23">
        <v>1</v>
      </c>
      <c r="N27" s="29">
        <v>3</v>
      </c>
      <c r="O27" s="23">
        <v>1</v>
      </c>
      <c r="P27" s="23">
        <v>2</v>
      </c>
    </row>
    <row r="28" spans="1:16" ht="15" x14ac:dyDescent="0.25">
      <c r="A28">
        <v>110301002</v>
      </c>
      <c r="B28" t="s">
        <v>82</v>
      </c>
      <c r="C28" s="26" t="s">
        <v>55</v>
      </c>
      <c r="D28" s="26" t="s">
        <v>56</v>
      </c>
      <c r="E28" t="s">
        <v>57</v>
      </c>
      <c r="F28" t="s">
        <v>59</v>
      </c>
      <c r="G28" t="s">
        <v>58</v>
      </c>
      <c r="H28" t="s">
        <v>59</v>
      </c>
      <c r="I28" t="s">
        <v>59</v>
      </c>
      <c r="J28"/>
      <c r="L28">
        <v>1</v>
      </c>
      <c r="M28" s="23">
        <v>1</v>
      </c>
      <c r="N28" s="29">
        <v>3</v>
      </c>
      <c r="O28" s="23">
        <v>1</v>
      </c>
      <c r="P28" s="23">
        <v>10</v>
      </c>
    </row>
    <row r="29" spans="1:16" ht="15" x14ac:dyDescent="0.25">
      <c r="A29">
        <v>110301010</v>
      </c>
      <c r="B29" t="s">
        <v>83</v>
      </c>
      <c r="C29" s="26" t="s">
        <v>55</v>
      </c>
      <c r="D29" s="26" t="s">
        <v>56</v>
      </c>
      <c r="E29" t="s">
        <v>57</v>
      </c>
      <c r="F29" t="s">
        <v>59</v>
      </c>
      <c r="G29" t="s">
        <v>58</v>
      </c>
      <c r="H29" t="s">
        <v>59</v>
      </c>
      <c r="I29" t="s">
        <v>59</v>
      </c>
      <c r="J29"/>
      <c r="L29">
        <v>1</v>
      </c>
      <c r="M29" s="23">
        <v>1</v>
      </c>
      <c r="N29" s="29">
        <v>3</v>
      </c>
      <c r="O29" s="23">
        <v>1</v>
      </c>
      <c r="P29" s="23">
        <v>20</v>
      </c>
    </row>
    <row r="30" spans="1:16" ht="15" x14ac:dyDescent="0.25">
      <c r="A30">
        <v>110301020</v>
      </c>
      <c r="B30" t="s">
        <v>84</v>
      </c>
      <c r="C30" s="26" t="s">
        <v>55</v>
      </c>
      <c r="D30" s="26" t="s">
        <v>56</v>
      </c>
      <c r="E30" t="s">
        <v>69</v>
      </c>
      <c r="F30" t="s">
        <v>59</v>
      </c>
      <c r="G30" t="s">
        <v>58</v>
      </c>
      <c r="H30" t="s">
        <v>59</v>
      </c>
      <c r="I30" t="s">
        <v>59</v>
      </c>
      <c r="J30"/>
      <c r="L30">
        <v>1</v>
      </c>
      <c r="M30" s="23">
        <v>1</v>
      </c>
      <c r="N30" s="29">
        <v>3</v>
      </c>
      <c r="O30" s="23">
        <v>1</v>
      </c>
      <c r="P30" s="23">
        <v>25</v>
      </c>
    </row>
    <row r="31" spans="1:16" ht="15" x14ac:dyDescent="0.25">
      <c r="A31">
        <v>110301025</v>
      </c>
      <c r="B31" t="s">
        <v>85</v>
      </c>
      <c r="C31" s="26" t="s">
        <v>55</v>
      </c>
      <c r="D31" s="26" t="s">
        <v>56</v>
      </c>
      <c r="E31" t="s">
        <v>57</v>
      </c>
      <c r="F31" t="s">
        <v>59</v>
      </c>
      <c r="G31" t="s">
        <v>58</v>
      </c>
      <c r="H31" t="s">
        <v>59</v>
      </c>
      <c r="I31" t="s">
        <v>59</v>
      </c>
      <c r="J31"/>
      <c r="L31">
        <v>1</v>
      </c>
      <c r="M31" s="23">
        <v>1</v>
      </c>
      <c r="N31" s="29">
        <v>3</v>
      </c>
      <c r="O31" s="23">
        <v>1</v>
      </c>
      <c r="P31" s="23">
        <v>30</v>
      </c>
    </row>
    <row r="32" spans="1:16" ht="15" x14ac:dyDescent="0.25">
      <c r="A32">
        <v>110301030</v>
      </c>
      <c r="B32" t="s">
        <v>86</v>
      </c>
      <c r="C32" s="26" t="s">
        <v>55</v>
      </c>
      <c r="D32" s="26" t="s">
        <v>56</v>
      </c>
      <c r="E32" t="s">
        <v>57</v>
      </c>
      <c r="F32" t="s">
        <v>59</v>
      </c>
      <c r="G32" t="s">
        <v>58</v>
      </c>
      <c r="H32" t="s">
        <v>59</v>
      </c>
      <c r="I32" t="s">
        <v>59</v>
      </c>
      <c r="J32"/>
      <c r="L32">
        <v>1</v>
      </c>
      <c r="M32" s="23">
        <v>1</v>
      </c>
      <c r="N32" s="29">
        <v>3</v>
      </c>
      <c r="O32" s="23">
        <v>1</v>
      </c>
      <c r="P32" s="23">
        <v>70</v>
      </c>
    </row>
    <row r="33" spans="1:16" ht="15" x14ac:dyDescent="0.25">
      <c r="A33">
        <v>110301070</v>
      </c>
      <c r="B33" t="s">
        <v>87</v>
      </c>
      <c r="C33" s="26" t="s">
        <v>55</v>
      </c>
      <c r="D33" s="26" t="s">
        <v>56</v>
      </c>
      <c r="E33" t="s">
        <v>57</v>
      </c>
      <c r="F33" t="s">
        <v>59</v>
      </c>
      <c r="G33" t="s">
        <v>58</v>
      </c>
      <c r="H33" t="s">
        <v>59</v>
      </c>
      <c r="I33" t="s">
        <v>59</v>
      </c>
      <c r="J33"/>
      <c r="L33">
        <v>1</v>
      </c>
      <c r="M33" s="23">
        <v>1</v>
      </c>
      <c r="N33" s="29">
        <v>3</v>
      </c>
      <c r="O33" s="23">
        <v>5</v>
      </c>
    </row>
    <row r="34" spans="1:16" ht="15" x14ac:dyDescent="0.25">
      <c r="A34">
        <v>110305</v>
      </c>
      <c r="B34" t="s">
        <v>88</v>
      </c>
      <c r="C34" s="26" t="s">
        <v>55</v>
      </c>
      <c r="D34" s="26" t="s">
        <v>56</v>
      </c>
      <c r="E34" t="s">
        <v>57</v>
      </c>
      <c r="F34" t="s">
        <v>58</v>
      </c>
      <c r="G34" t="s">
        <v>58</v>
      </c>
      <c r="H34" t="s">
        <v>59</v>
      </c>
      <c r="I34" t="s">
        <v>59</v>
      </c>
      <c r="J34"/>
      <c r="L34">
        <v>1</v>
      </c>
      <c r="M34" s="23">
        <v>1</v>
      </c>
      <c r="N34" s="29">
        <v>3</v>
      </c>
      <c r="O34" s="23">
        <v>5</v>
      </c>
      <c r="P34" s="23">
        <v>1</v>
      </c>
    </row>
    <row r="35" spans="1:16" ht="15" x14ac:dyDescent="0.25">
      <c r="A35">
        <v>110305001</v>
      </c>
      <c r="B35" t="s">
        <v>89</v>
      </c>
      <c r="C35" s="26" t="s">
        <v>55</v>
      </c>
      <c r="D35" s="26" t="s">
        <v>56</v>
      </c>
      <c r="E35" t="s">
        <v>57</v>
      </c>
      <c r="F35" t="s">
        <v>59</v>
      </c>
      <c r="G35" t="s">
        <v>58</v>
      </c>
      <c r="H35" t="s">
        <v>59</v>
      </c>
      <c r="I35" t="s">
        <v>59</v>
      </c>
      <c r="J35"/>
      <c r="L35">
        <v>1</v>
      </c>
      <c r="M35" s="23">
        <v>1</v>
      </c>
      <c r="N35" s="29">
        <v>3</v>
      </c>
      <c r="O35" s="23">
        <v>5</v>
      </c>
      <c r="P35" s="23">
        <v>10</v>
      </c>
    </row>
    <row r="36" spans="1:16" ht="15" x14ac:dyDescent="0.25">
      <c r="A36">
        <v>110305010</v>
      </c>
      <c r="B36" t="s">
        <v>90</v>
      </c>
      <c r="C36" s="26" t="s">
        <v>55</v>
      </c>
      <c r="D36" s="26" t="s">
        <v>56</v>
      </c>
      <c r="E36" t="s">
        <v>57</v>
      </c>
      <c r="F36" t="s">
        <v>59</v>
      </c>
      <c r="G36" t="s">
        <v>58</v>
      </c>
      <c r="H36" t="s">
        <v>59</v>
      </c>
      <c r="I36" t="s">
        <v>59</v>
      </c>
      <c r="J36"/>
      <c r="L36">
        <v>1</v>
      </c>
      <c r="M36" s="23">
        <v>1</v>
      </c>
      <c r="N36" s="29">
        <v>3</v>
      </c>
      <c r="O36" s="23">
        <v>5</v>
      </c>
      <c r="P36" s="23">
        <v>20</v>
      </c>
    </row>
    <row r="37" spans="1:16" ht="15" x14ac:dyDescent="0.25">
      <c r="A37">
        <v>110305020</v>
      </c>
      <c r="B37" t="s">
        <v>91</v>
      </c>
      <c r="C37" s="26" t="s">
        <v>55</v>
      </c>
      <c r="D37" s="26" t="s">
        <v>56</v>
      </c>
      <c r="E37" t="s">
        <v>57</v>
      </c>
      <c r="F37" t="s">
        <v>59</v>
      </c>
      <c r="G37" t="s">
        <v>58</v>
      </c>
      <c r="H37" t="s">
        <v>59</v>
      </c>
      <c r="I37" t="s">
        <v>59</v>
      </c>
      <c r="J37"/>
      <c r="L37">
        <v>1</v>
      </c>
      <c r="M37" s="23">
        <v>1</v>
      </c>
      <c r="N37" s="29">
        <v>3</v>
      </c>
      <c r="O37" s="23">
        <v>5</v>
      </c>
      <c r="P37" s="23">
        <v>30</v>
      </c>
    </row>
    <row r="38" spans="1:16" ht="15" x14ac:dyDescent="0.25">
      <c r="A38">
        <v>110305030</v>
      </c>
      <c r="B38" t="s">
        <v>92</v>
      </c>
      <c r="C38" s="26" t="s">
        <v>55</v>
      </c>
      <c r="D38" s="26" t="s">
        <v>56</v>
      </c>
      <c r="E38" t="s">
        <v>57</v>
      </c>
      <c r="F38" t="s">
        <v>59</v>
      </c>
      <c r="G38" t="s">
        <v>58</v>
      </c>
      <c r="H38" t="s">
        <v>59</v>
      </c>
      <c r="I38" t="s">
        <v>59</v>
      </c>
      <c r="J38"/>
      <c r="L38">
        <v>1</v>
      </c>
      <c r="M38" s="23">
        <v>1</v>
      </c>
      <c r="N38" s="29">
        <v>3</v>
      </c>
      <c r="O38" s="23">
        <v>5</v>
      </c>
      <c r="P38" s="23">
        <v>40</v>
      </c>
    </row>
    <row r="39" spans="1:16" ht="15" x14ac:dyDescent="0.25">
      <c r="A39">
        <v>110305040</v>
      </c>
      <c r="B39" t="s">
        <v>93</v>
      </c>
      <c r="C39" s="26" t="s">
        <v>55</v>
      </c>
      <c r="D39" s="26" t="s">
        <v>56</v>
      </c>
      <c r="E39" t="s">
        <v>57</v>
      </c>
      <c r="F39" t="s">
        <v>59</v>
      </c>
      <c r="G39" t="s">
        <v>58</v>
      </c>
      <c r="H39" t="s">
        <v>59</v>
      </c>
      <c r="I39" t="s">
        <v>59</v>
      </c>
      <c r="J39"/>
      <c r="L39">
        <v>1</v>
      </c>
      <c r="M39" s="23">
        <v>1</v>
      </c>
      <c r="N39" s="29">
        <v>4</v>
      </c>
    </row>
    <row r="40" spans="1:16" ht="15" x14ac:dyDescent="0.25">
      <c r="A40">
        <v>1104</v>
      </c>
      <c r="B40" t="s">
        <v>94</v>
      </c>
      <c r="C40" s="26" t="s">
        <v>55</v>
      </c>
      <c r="D40" s="26" t="s">
        <v>56</v>
      </c>
      <c r="E40" t="s">
        <v>57</v>
      </c>
      <c r="F40" t="s">
        <v>58</v>
      </c>
      <c r="G40" t="s">
        <v>58</v>
      </c>
      <c r="H40" t="s">
        <v>59</v>
      </c>
      <c r="I40" t="s">
        <v>59</v>
      </c>
      <c r="J40"/>
      <c r="L40">
        <v>1</v>
      </c>
      <c r="M40" s="23">
        <v>1</v>
      </c>
      <c r="N40" s="29">
        <v>4</v>
      </c>
      <c r="O40" s="23">
        <v>1</v>
      </c>
    </row>
    <row r="41" spans="1:16" ht="15" x14ac:dyDescent="0.25">
      <c r="A41">
        <v>110401</v>
      </c>
      <c r="B41" t="s">
        <v>94</v>
      </c>
      <c r="C41" s="26" t="s">
        <v>55</v>
      </c>
      <c r="D41" s="26" t="s">
        <v>56</v>
      </c>
      <c r="E41" t="s">
        <v>57</v>
      </c>
      <c r="F41" t="s">
        <v>58</v>
      </c>
      <c r="G41" t="s">
        <v>58</v>
      </c>
      <c r="H41" t="s">
        <v>59</v>
      </c>
      <c r="I41" t="s">
        <v>59</v>
      </c>
      <c r="J41"/>
      <c r="L41">
        <v>1</v>
      </c>
      <c r="M41" s="23">
        <v>1</v>
      </c>
      <c r="N41" s="29">
        <v>4</v>
      </c>
      <c r="O41" s="23">
        <v>1</v>
      </c>
      <c r="P41" s="23">
        <v>1</v>
      </c>
    </row>
    <row r="42" spans="1:16" ht="15" x14ac:dyDescent="0.25">
      <c r="A42">
        <v>110401001</v>
      </c>
      <c r="B42" t="s">
        <v>95</v>
      </c>
      <c r="C42" s="26" t="s">
        <v>55</v>
      </c>
      <c r="D42" s="26" t="s">
        <v>56</v>
      </c>
      <c r="E42" t="s">
        <v>57</v>
      </c>
      <c r="F42" t="s">
        <v>59</v>
      </c>
      <c r="G42" t="s">
        <v>58</v>
      </c>
      <c r="H42" t="s">
        <v>59</v>
      </c>
      <c r="I42" t="s">
        <v>59</v>
      </c>
      <c r="J42"/>
      <c r="L42">
        <v>1</v>
      </c>
      <c r="M42" s="23">
        <v>1</v>
      </c>
      <c r="N42" s="29">
        <v>4</v>
      </c>
      <c r="O42" s="23">
        <v>1</v>
      </c>
      <c r="P42" s="23">
        <v>2</v>
      </c>
    </row>
    <row r="43" spans="1:16" ht="15" x14ac:dyDescent="0.25">
      <c r="A43">
        <v>110401002</v>
      </c>
      <c r="B43" t="s">
        <v>96</v>
      </c>
      <c r="C43" s="26" t="s">
        <v>55</v>
      </c>
      <c r="D43" s="26" t="s">
        <v>56</v>
      </c>
      <c r="E43" t="s">
        <v>57</v>
      </c>
      <c r="F43" t="s">
        <v>59</v>
      </c>
      <c r="G43" t="s">
        <v>58</v>
      </c>
      <c r="H43" t="s">
        <v>59</v>
      </c>
      <c r="I43" t="s">
        <v>59</v>
      </c>
      <c r="J43"/>
      <c r="L43">
        <v>1</v>
      </c>
      <c r="M43" s="23">
        <v>1</v>
      </c>
      <c r="N43" s="29">
        <v>4</v>
      </c>
      <c r="O43" s="23">
        <v>1</v>
      </c>
      <c r="P43" s="23">
        <v>4</v>
      </c>
    </row>
    <row r="44" spans="1:16" ht="15" x14ac:dyDescent="0.25">
      <c r="A44">
        <v>110401004</v>
      </c>
      <c r="B44" t="s">
        <v>97</v>
      </c>
      <c r="C44" s="26" t="s">
        <v>55</v>
      </c>
      <c r="D44" s="26" t="s">
        <v>56</v>
      </c>
      <c r="E44" t="s">
        <v>57</v>
      </c>
      <c r="F44" t="s">
        <v>59</v>
      </c>
      <c r="G44" t="s">
        <v>58</v>
      </c>
      <c r="H44" t="s">
        <v>59</v>
      </c>
      <c r="I44" t="s">
        <v>59</v>
      </c>
      <c r="J44"/>
      <c r="L44">
        <v>1</v>
      </c>
      <c r="M44" s="23">
        <v>1</v>
      </c>
      <c r="N44" s="29">
        <v>4</v>
      </c>
      <c r="O44" s="23">
        <v>1</v>
      </c>
      <c r="P44" s="23">
        <v>5</v>
      </c>
    </row>
    <row r="45" spans="1:16" ht="15" x14ac:dyDescent="0.25">
      <c r="A45">
        <v>110401005</v>
      </c>
      <c r="B45" t="s">
        <v>98</v>
      </c>
      <c r="C45" s="26" t="s">
        <v>55</v>
      </c>
      <c r="D45" s="26" t="s">
        <v>56</v>
      </c>
      <c r="E45" t="s">
        <v>57</v>
      </c>
      <c r="F45" t="s">
        <v>59</v>
      </c>
      <c r="G45" t="s">
        <v>58</v>
      </c>
      <c r="H45" t="s">
        <v>59</v>
      </c>
      <c r="I45" t="s">
        <v>59</v>
      </c>
      <c r="J45"/>
      <c r="L45">
        <v>1</v>
      </c>
      <c r="M45" s="23">
        <v>1</v>
      </c>
      <c r="N45" s="29">
        <v>4</v>
      </c>
      <c r="O45" s="23">
        <v>1</v>
      </c>
      <c r="P45" s="23">
        <v>10</v>
      </c>
    </row>
    <row r="46" spans="1:16" ht="15" x14ac:dyDescent="0.25">
      <c r="A46">
        <v>110401010</v>
      </c>
      <c r="B46" t="s">
        <v>99</v>
      </c>
      <c r="C46" s="26" t="s">
        <v>55</v>
      </c>
      <c r="D46" s="26" t="s">
        <v>56</v>
      </c>
      <c r="E46" t="s">
        <v>57</v>
      </c>
      <c r="F46" t="s">
        <v>59</v>
      </c>
      <c r="G46" t="s">
        <v>58</v>
      </c>
      <c r="H46" t="s">
        <v>59</v>
      </c>
      <c r="I46" t="s">
        <v>59</v>
      </c>
      <c r="J46"/>
      <c r="L46">
        <v>1</v>
      </c>
      <c r="M46" s="23">
        <v>1</v>
      </c>
      <c r="N46" s="29">
        <v>4</v>
      </c>
      <c r="O46" s="23">
        <v>1</v>
      </c>
      <c r="P46" s="23">
        <v>20</v>
      </c>
    </row>
    <row r="47" spans="1:16" ht="15" x14ac:dyDescent="0.25">
      <c r="A47">
        <v>110401020</v>
      </c>
      <c r="B47" t="s">
        <v>100</v>
      </c>
      <c r="C47" s="26" t="s">
        <v>55</v>
      </c>
      <c r="D47" s="26" t="s">
        <v>56</v>
      </c>
      <c r="E47" t="s">
        <v>57</v>
      </c>
      <c r="F47" t="s">
        <v>59</v>
      </c>
      <c r="G47" t="s">
        <v>58</v>
      </c>
      <c r="H47" t="s">
        <v>59</v>
      </c>
      <c r="I47" t="s">
        <v>59</v>
      </c>
      <c r="J47"/>
      <c r="L47">
        <v>1</v>
      </c>
      <c r="M47" s="23">
        <v>1</v>
      </c>
      <c r="N47" s="29">
        <v>4</v>
      </c>
      <c r="O47" s="23">
        <v>1</v>
      </c>
      <c r="P47" s="23">
        <v>30</v>
      </c>
    </row>
    <row r="48" spans="1:16" ht="15" x14ac:dyDescent="0.25">
      <c r="A48">
        <v>110401030</v>
      </c>
      <c r="B48" t="s">
        <v>101</v>
      </c>
      <c r="C48" s="26" t="s">
        <v>55</v>
      </c>
      <c r="D48" s="26" t="s">
        <v>56</v>
      </c>
      <c r="E48" t="s">
        <v>57</v>
      </c>
      <c r="F48" t="s">
        <v>59</v>
      </c>
      <c r="G48" t="s">
        <v>58</v>
      </c>
      <c r="H48" t="s">
        <v>59</v>
      </c>
      <c r="I48" t="s">
        <v>59</v>
      </c>
      <c r="J48"/>
      <c r="L48">
        <v>1</v>
      </c>
      <c r="M48" s="23">
        <v>1</v>
      </c>
      <c r="N48" s="29">
        <v>4</v>
      </c>
      <c r="O48" s="23">
        <v>1</v>
      </c>
      <c r="P48" s="23">
        <v>40</v>
      </c>
    </row>
    <row r="49" spans="1:16" ht="15" x14ac:dyDescent="0.25">
      <c r="A49">
        <v>110401040</v>
      </c>
      <c r="B49" t="s">
        <v>102</v>
      </c>
      <c r="C49" s="26" t="s">
        <v>55</v>
      </c>
      <c r="D49" s="26" t="s">
        <v>56</v>
      </c>
      <c r="E49" t="s">
        <v>57</v>
      </c>
      <c r="F49" t="s">
        <v>59</v>
      </c>
      <c r="G49" t="s">
        <v>58</v>
      </c>
      <c r="H49" t="s">
        <v>59</v>
      </c>
      <c r="I49" t="s">
        <v>59</v>
      </c>
      <c r="J49"/>
      <c r="L49">
        <v>1</v>
      </c>
      <c r="M49" s="23">
        <v>1</v>
      </c>
      <c r="N49" s="29">
        <v>4</v>
      </c>
      <c r="O49" s="23">
        <v>1</v>
      </c>
      <c r="P49" s="23">
        <v>50</v>
      </c>
    </row>
    <row r="50" spans="1:16" ht="15" x14ac:dyDescent="0.25">
      <c r="A50">
        <v>110401050</v>
      </c>
      <c r="B50" t="s">
        <v>103</v>
      </c>
      <c r="C50" s="26" t="s">
        <v>55</v>
      </c>
      <c r="D50" s="26" t="s">
        <v>56</v>
      </c>
      <c r="E50" t="s">
        <v>57</v>
      </c>
      <c r="F50" t="s">
        <v>59</v>
      </c>
      <c r="G50" t="s">
        <v>58</v>
      </c>
      <c r="H50" t="s">
        <v>59</v>
      </c>
      <c r="I50" t="s">
        <v>59</v>
      </c>
      <c r="J50"/>
      <c r="L50">
        <v>1</v>
      </c>
      <c r="M50" s="23">
        <v>1</v>
      </c>
      <c r="N50" s="29">
        <v>4</v>
      </c>
      <c r="O50" s="23">
        <v>1</v>
      </c>
      <c r="P50" s="23">
        <v>55</v>
      </c>
    </row>
    <row r="51" spans="1:16" ht="15" x14ac:dyDescent="0.25">
      <c r="A51">
        <v>110401055</v>
      </c>
      <c r="B51" t="s">
        <v>104</v>
      </c>
      <c r="C51" s="26" t="s">
        <v>55</v>
      </c>
      <c r="D51" s="26" t="s">
        <v>56</v>
      </c>
      <c r="E51" t="s">
        <v>57</v>
      </c>
      <c r="F51" t="s">
        <v>59</v>
      </c>
      <c r="G51" t="s">
        <v>58</v>
      </c>
      <c r="H51" t="s">
        <v>59</v>
      </c>
      <c r="I51" t="s">
        <v>59</v>
      </c>
      <c r="J51"/>
      <c r="L51">
        <v>1</v>
      </c>
      <c r="M51" s="23">
        <v>1</v>
      </c>
      <c r="N51" s="29">
        <v>4</v>
      </c>
      <c r="O51" s="23">
        <v>1</v>
      </c>
      <c r="P51" s="23">
        <v>70</v>
      </c>
    </row>
    <row r="52" spans="1:16" ht="15" x14ac:dyDescent="0.25">
      <c r="A52">
        <v>110401070</v>
      </c>
      <c r="B52" t="s">
        <v>105</v>
      </c>
      <c r="C52" s="26" t="s">
        <v>55</v>
      </c>
      <c r="D52" s="26" t="s">
        <v>56</v>
      </c>
      <c r="E52" t="s">
        <v>57</v>
      </c>
      <c r="F52" t="s">
        <v>59</v>
      </c>
      <c r="G52" t="s">
        <v>58</v>
      </c>
      <c r="H52" t="s">
        <v>59</v>
      </c>
      <c r="I52" t="s">
        <v>59</v>
      </c>
      <c r="J52"/>
      <c r="L52">
        <v>1</v>
      </c>
      <c r="M52" s="23">
        <v>1</v>
      </c>
      <c r="N52" s="29">
        <v>4</v>
      </c>
      <c r="O52" s="23">
        <v>1</v>
      </c>
      <c r="P52" s="23">
        <v>81</v>
      </c>
    </row>
    <row r="53" spans="1:16" ht="15" x14ac:dyDescent="0.25">
      <c r="A53">
        <v>110401081</v>
      </c>
      <c r="B53" t="s">
        <v>106</v>
      </c>
      <c r="C53" s="26" t="s">
        <v>55</v>
      </c>
      <c r="D53" s="26" t="s">
        <v>56</v>
      </c>
      <c r="E53" t="s">
        <v>57</v>
      </c>
      <c r="F53" t="s">
        <v>59</v>
      </c>
      <c r="G53" t="s">
        <v>58</v>
      </c>
      <c r="H53" t="s">
        <v>59</v>
      </c>
      <c r="I53" t="s">
        <v>59</v>
      </c>
      <c r="J53"/>
      <c r="L53">
        <v>1</v>
      </c>
      <c r="M53" s="23">
        <v>1</v>
      </c>
      <c r="N53" s="29">
        <v>4</v>
      </c>
      <c r="O53" s="23">
        <v>1</v>
      </c>
      <c r="P53" s="23">
        <v>82</v>
      </c>
    </row>
    <row r="54" spans="1:16" ht="15" x14ac:dyDescent="0.25">
      <c r="A54">
        <v>110401082</v>
      </c>
      <c r="B54" t="s">
        <v>107</v>
      </c>
      <c r="C54" s="26" t="s">
        <v>55</v>
      </c>
      <c r="D54" s="26" t="s">
        <v>56</v>
      </c>
      <c r="E54" t="s">
        <v>57</v>
      </c>
      <c r="F54" t="s">
        <v>59</v>
      </c>
      <c r="G54" t="s">
        <v>58</v>
      </c>
      <c r="H54" t="s">
        <v>59</v>
      </c>
      <c r="I54" t="s">
        <v>59</v>
      </c>
      <c r="J54"/>
      <c r="L54">
        <v>1</v>
      </c>
      <c r="M54" s="23">
        <v>1</v>
      </c>
      <c r="N54" s="29">
        <v>4</v>
      </c>
      <c r="O54" s="23">
        <v>1</v>
      </c>
      <c r="P54" s="23">
        <v>85</v>
      </c>
    </row>
    <row r="55" spans="1:16" ht="15" x14ac:dyDescent="0.25">
      <c r="A55">
        <v>110401085</v>
      </c>
      <c r="B55" t="s">
        <v>108</v>
      </c>
      <c r="C55" s="26" t="s">
        <v>55</v>
      </c>
      <c r="D55" s="26" t="s">
        <v>56</v>
      </c>
      <c r="E55" t="s">
        <v>57</v>
      </c>
      <c r="F55" t="s">
        <v>59</v>
      </c>
      <c r="G55" t="s">
        <v>58</v>
      </c>
      <c r="H55" t="s">
        <v>59</v>
      </c>
      <c r="I55" t="s">
        <v>59</v>
      </c>
      <c r="J55"/>
      <c r="L55">
        <v>1</v>
      </c>
      <c r="M55" s="23">
        <v>1</v>
      </c>
      <c r="N55" s="29">
        <v>4</v>
      </c>
      <c r="O55" s="23">
        <v>1</v>
      </c>
      <c r="P55" s="23">
        <v>90</v>
      </c>
    </row>
    <row r="56" spans="1:16" ht="15" x14ac:dyDescent="0.25">
      <c r="A56">
        <v>110401090</v>
      </c>
      <c r="B56" t="s">
        <v>109</v>
      </c>
      <c r="C56" s="26" t="s">
        <v>55</v>
      </c>
      <c r="D56" s="26" t="s">
        <v>56</v>
      </c>
      <c r="E56" t="s">
        <v>57</v>
      </c>
      <c r="F56" t="s">
        <v>59</v>
      </c>
      <c r="G56" t="s">
        <v>58</v>
      </c>
      <c r="H56" t="s">
        <v>59</v>
      </c>
      <c r="I56" t="s">
        <v>59</v>
      </c>
      <c r="J56"/>
      <c r="L56">
        <v>1</v>
      </c>
      <c r="M56" s="23">
        <v>1</v>
      </c>
      <c r="N56" s="29">
        <v>4</v>
      </c>
      <c r="O56" s="23">
        <v>1</v>
      </c>
      <c r="P56" s="23">
        <v>91</v>
      </c>
    </row>
    <row r="57" spans="1:16" ht="15" x14ac:dyDescent="0.25">
      <c r="A57">
        <v>110401091</v>
      </c>
      <c r="B57" t="s">
        <v>110</v>
      </c>
      <c r="C57" s="26" t="s">
        <v>55</v>
      </c>
      <c r="D57" s="26" t="s">
        <v>56</v>
      </c>
      <c r="E57" t="s">
        <v>57</v>
      </c>
      <c r="F57" t="s">
        <v>59</v>
      </c>
      <c r="G57" t="s">
        <v>58</v>
      </c>
      <c r="H57" t="s">
        <v>59</v>
      </c>
      <c r="I57" t="s">
        <v>59</v>
      </c>
      <c r="J57"/>
      <c r="L57">
        <v>1</v>
      </c>
      <c r="M57" s="23">
        <v>1</v>
      </c>
      <c r="N57" s="29">
        <v>4</v>
      </c>
      <c r="O57" s="23">
        <v>1</v>
      </c>
      <c r="P57" s="23">
        <v>100</v>
      </c>
    </row>
    <row r="58" spans="1:16" ht="15" x14ac:dyDescent="0.25">
      <c r="A58">
        <v>110401100</v>
      </c>
      <c r="B58" t="s">
        <v>111</v>
      </c>
      <c r="C58" s="26" t="s">
        <v>55</v>
      </c>
      <c r="D58" s="26" t="s">
        <v>56</v>
      </c>
      <c r="E58" t="s">
        <v>57</v>
      </c>
      <c r="F58" t="s">
        <v>59</v>
      </c>
      <c r="G58" t="s">
        <v>58</v>
      </c>
      <c r="H58" t="s">
        <v>59</v>
      </c>
      <c r="I58" t="s">
        <v>59</v>
      </c>
      <c r="J58"/>
      <c r="L58">
        <v>1</v>
      </c>
      <c r="M58" s="23">
        <v>1</v>
      </c>
      <c r="N58" s="29">
        <v>4</v>
      </c>
      <c r="O58" s="23">
        <v>1</v>
      </c>
      <c r="P58" s="23">
        <v>120</v>
      </c>
    </row>
    <row r="59" spans="1:16" ht="15" x14ac:dyDescent="0.25">
      <c r="A59">
        <v>110401120</v>
      </c>
      <c r="B59" t="s">
        <v>112</v>
      </c>
      <c r="C59" s="26" t="s">
        <v>55</v>
      </c>
      <c r="D59" s="26" t="s">
        <v>56</v>
      </c>
      <c r="E59" t="s">
        <v>57</v>
      </c>
      <c r="F59" t="s">
        <v>59</v>
      </c>
      <c r="G59" t="s">
        <v>58</v>
      </c>
      <c r="H59" t="s">
        <v>59</v>
      </c>
      <c r="I59" t="s">
        <v>59</v>
      </c>
      <c r="J59"/>
      <c r="L59">
        <v>1</v>
      </c>
      <c r="M59" s="23">
        <v>1</v>
      </c>
      <c r="N59" s="29">
        <v>4</v>
      </c>
      <c r="O59" s="23">
        <v>1</v>
      </c>
      <c r="P59" s="23">
        <v>130</v>
      </c>
    </row>
    <row r="60" spans="1:16" ht="15" x14ac:dyDescent="0.25">
      <c r="A60">
        <v>110401130</v>
      </c>
      <c r="B60" t="s">
        <v>110</v>
      </c>
      <c r="C60" s="26" t="s">
        <v>55</v>
      </c>
      <c r="D60" s="26" t="s">
        <v>56</v>
      </c>
      <c r="E60" t="s">
        <v>57</v>
      </c>
      <c r="F60" t="s">
        <v>59</v>
      </c>
      <c r="G60" t="s">
        <v>58</v>
      </c>
      <c r="H60" t="s">
        <v>59</v>
      </c>
      <c r="I60" t="s">
        <v>59</v>
      </c>
      <c r="J60"/>
      <c r="L60">
        <v>1</v>
      </c>
      <c r="M60" s="23">
        <v>1</v>
      </c>
      <c r="N60" s="29">
        <v>4</v>
      </c>
      <c r="O60" s="23">
        <v>1</v>
      </c>
      <c r="P60" s="23">
        <v>131</v>
      </c>
    </row>
    <row r="61" spans="1:16" ht="15" x14ac:dyDescent="0.25">
      <c r="A61">
        <v>110401131</v>
      </c>
      <c r="B61" t="s">
        <v>113</v>
      </c>
      <c r="C61" s="26" t="s">
        <v>55</v>
      </c>
      <c r="D61" s="26" t="s">
        <v>56</v>
      </c>
      <c r="E61" t="s">
        <v>57</v>
      </c>
      <c r="F61" t="s">
        <v>59</v>
      </c>
      <c r="G61" t="s">
        <v>58</v>
      </c>
      <c r="H61" t="s">
        <v>59</v>
      </c>
      <c r="I61" t="s">
        <v>59</v>
      </c>
      <c r="J61"/>
      <c r="L61">
        <v>1</v>
      </c>
      <c r="M61" s="23">
        <v>1</v>
      </c>
      <c r="N61" s="29">
        <v>4</v>
      </c>
      <c r="O61" s="23">
        <v>5</v>
      </c>
    </row>
    <row r="62" spans="1:16" ht="15" x14ac:dyDescent="0.25">
      <c r="A62">
        <v>110405</v>
      </c>
      <c r="B62" t="s">
        <v>114</v>
      </c>
      <c r="C62" s="26" t="s">
        <v>55</v>
      </c>
      <c r="D62" s="26" t="s">
        <v>56</v>
      </c>
      <c r="E62" t="s">
        <v>57</v>
      </c>
      <c r="F62" t="s">
        <v>58</v>
      </c>
      <c r="G62" t="s">
        <v>58</v>
      </c>
      <c r="H62" t="s">
        <v>59</v>
      </c>
      <c r="I62" t="s">
        <v>59</v>
      </c>
      <c r="J62"/>
      <c r="L62">
        <v>1</v>
      </c>
      <c r="M62" s="23">
        <v>1</v>
      </c>
      <c r="N62" s="29">
        <v>4</v>
      </c>
      <c r="O62" s="23">
        <v>5</v>
      </c>
      <c r="P62" s="23">
        <v>1</v>
      </c>
    </row>
    <row r="63" spans="1:16" ht="15" x14ac:dyDescent="0.25">
      <c r="A63">
        <v>110405001</v>
      </c>
      <c r="B63" t="s">
        <v>115</v>
      </c>
      <c r="C63" s="26" t="s">
        <v>55</v>
      </c>
      <c r="D63" s="26" t="s">
        <v>56</v>
      </c>
      <c r="E63" t="s">
        <v>57</v>
      </c>
      <c r="F63" t="s">
        <v>59</v>
      </c>
      <c r="G63" t="s">
        <v>58</v>
      </c>
      <c r="H63" t="s">
        <v>59</v>
      </c>
      <c r="I63" t="s">
        <v>59</v>
      </c>
      <c r="J63"/>
      <c r="L63">
        <v>1</v>
      </c>
      <c r="M63" s="23">
        <v>1</v>
      </c>
      <c r="N63" s="29">
        <v>4</v>
      </c>
      <c r="O63" s="23">
        <v>5</v>
      </c>
      <c r="P63" s="23">
        <v>10</v>
      </c>
    </row>
    <row r="64" spans="1:16" ht="15" x14ac:dyDescent="0.25">
      <c r="A64">
        <v>110405010</v>
      </c>
      <c r="B64" t="s">
        <v>116</v>
      </c>
      <c r="C64" s="26" t="s">
        <v>55</v>
      </c>
      <c r="D64" s="26" t="s">
        <v>56</v>
      </c>
      <c r="E64" t="s">
        <v>57</v>
      </c>
      <c r="F64" t="s">
        <v>59</v>
      </c>
      <c r="G64" t="s">
        <v>58</v>
      </c>
      <c r="H64" t="s">
        <v>59</v>
      </c>
      <c r="I64" t="s">
        <v>59</v>
      </c>
      <c r="J64"/>
      <c r="L64">
        <v>1</v>
      </c>
      <c r="M64" s="23">
        <v>1</v>
      </c>
      <c r="N64" s="29">
        <v>4</v>
      </c>
      <c r="O64" s="23">
        <v>5</v>
      </c>
      <c r="P64" s="23">
        <v>15</v>
      </c>
    </row>
    <row r="65" spans="1:16" ht="15" x14ac:dyDescent="0.25">
      <c r="A65">
        <v>110405015</v>
      </c>
      <c r="B65" t="s">
        <v>117</v>
      </c>
      <c r="C65" s="26" t="s">
        <v>55</v>
      </c>
      <c r="D65" s="26" t="s">
        <v>56</v>
      </c>
      <c r="E65" t="s">
        <v>57</v>
      </c>
      <c r="F65" t="s">
        <v>59</v>
      </c>
      <c r="G65" t="s">
        <v>58</v>
      </c>
      <c r="H65" t="s">
        <v>59</v>
      </c>
      <c r="I65" t="s">
        <v>59</v>
      </c>
      <c r="J65"/>
      <c r="L65">
        <v>1</v>
      </c>
      <c r="M65" s="23">
        <v>1</v>
      </c>
      <c r="N65" s="29">
        <v>4</v>
      </c>
      <c r="O65" s="23">
        <v>5</v>
      </c>
      <c r="P65" s="23">
        <v>17</v>
      </c>
    </row>
    <row r="66" spans="1:16" ht="15" x14ac:dyDescent="0.25">
      <c r="A66">
        <v>110405017</v>
      </c>
      <c r="B66" t="s">
        <v>118</v>
      </c>
      <c r="C66" s="26" t="s">
        <v>55</v>
      </c>
      <c r="D66" s="26" t="s">
        <v>56</v>
      </c>
      <c r="E66" t="s">
        <v>57</v>
      </c>
      <c r="F66" t="s">
        <v>59</v>
      </c>
      <c r="G66" t="s">
        <v>58</v>
      </c>
      <c r="H66" t="s">
        <v>59</v>
      </c>
      <c r="I66" t="s">
        <v>59</v>
      </c>
      <c r="J66"/>
      <c r="L66">
        <v>1</v>
      </c>
      <c r="M66" s="23">
        <v>1</v>
      </c>
      <c r="N66" s="29">
        <v>4</v>
      </c>
      <c r="O66" s="23">
        <v>5</v>
      </c>
      <c r="P66" s="23">
        <v>20</v>
      </c>
    </row>
    <row r="67" spans="1:16" ht="15" x14ac:dyDescent="0.25">
      <c r="A67">
        <v>110405020</v>
      </c>
      <c r="B67" t="s">
        <v>119</v>
      </c>
      <c r="C67" s="26" t="s">
        <v>55</v>
      </c>
      <c r="D67" s="26" t="s">
        <v>56</v>
      </c>
      <c r="E67" t="s">
        <v>57</v>
      </c>
      <c r="F67" t="s">
        <v>59</v>
      </c>
      <c r="G67" t="s">
        <v>58</v>
      </c>
      <c r="H67" t="s">
        <v>59</v>
      </c>
      <c r="I67" t="s">
        <v>59</v>
      </c>
      <c r="J67"/>
      <c r="L67">
        <v>1</v>
      </c>
      <c r="M67" s="23">
        <v>1</v>
      </c>
      <c r="N67" s="29">
        <v>4</v>
      </c>
      <c r="O67" s="23">
        <v>5</v>
      </c>
      <c r="P67" s="23">
        <v>25</v>
      </c>
    </row>
    <row r="68" spans="1:16" ht="15" x14ac:dyDescent="0.25">
      <c r="A68">
        <v>110405025</v>
      </c>
      <c r="B68" t="s">
        <v>120</v>
      </c>
      <c r="C68" s="26" t="s">
        <v>55</v>
      </c>
      <c r="D68" s="26" t="s">
        <v>56</v>
      </c>
      <c r="E68" t="s">
        <v>57</v>
      </c>
      <c r="F68" t="s">
        <v>59</v>
      </c>
      <c r="G68" t="s">
        <v>58</v>
      </c>
      <c r="H68" t="s">
        <v>59</v>
      </c>
      <c r="I68" t="s">
        <v>59</v>
      </c>
      <c r="J68"/>
      <c r="L68">
        <v>1</v>
      </c>
      <c r="M68" s="23">
        <v>1</v>
      </c>
      <c r="N68" s="29">
        <v>4</v>
      </c>
      <c r="O68" s="23">
        <v>5</v>
      </c>
      <c r="P68" s="23">
        <v>30</v>
      </c>
    </row>
    <row r="69" spans="1:16" ht="15" x14ac:dyDescent="0.25">
      <c r="A69">
        <v>110405030</v>
      </c>
      <c r="B69" t="s">
        <v>121</v>
      </c>
      <c r="C69" s="26" t="s">
        <v>55</v>
      </c>
      <c r="D69" s="26" t="s">
        <v>56</v>
      </c>
      <c r="E69" t="s">
        <v>57</v>
      </c>
      <c r="F69" t="s">
        <v>59</v>
      </c>
      <c r="G69" t="s">
        <v>58</v>
      </c>
      <c r="H69" t="s">
        <v>59</v>
      </c>
      <c r="I69" t="s">
        <v>59</v>
      </c>
      <c r="J69"/>
      <c r="L69">
        <v>1</v>
      </c>
      <c r="M69" s="23">
        <v>1</v>
      </c>
      <c r="N69" s="29">
        <v>4</v>
      </c>
      <c r="O69" s="23">
        <v>5</v>
      </c>
      <c r="P69" s="23">
        <v>40</v>
      </c>
    </row>
    <row r="70" spans="1:16" ht="15" x14ac:dyDescent="0.25">
      <c r="A70">
        <v>110405040</v>
      </c>
      <c r="B70" t="s">
        <v>122</v>
      </c>
      <c r="C70" s="26" t="s">
        <v>55</v>
      </c>
      <c r="D70" s="26" t="s">
        <v>56</v>
      </c>
      <c r="E70" t="s">
        <v>57</v>
      </c>
      <c r="F70" t="s">
        <v>59</v>
      </c>
      <c r="G70" t="s">
        <v>58</v>
      </c>
      <c r="H70" t="s">
        <v>59</v>
      </c>
      <c r="I70" t="s">
        <v>59</v>
      </c>
      <c r="J70"/>
      <c r="L70">
        <v>1</v>
      </c>
      <c r="M70" s="23">
        <v>1</v>
      </c>
      <c r="N70" s="29">
        <v>4</v>
      </c>
      <c r="O70" s="23">
        <v>5</v>
      </c>
      <c r="P70" s="23">
        <v>45</v>
      </c>
    </row>
    <row r="71" spans="1:16" ht="15" x14ac:dyDescent="0.25">
      <c r="A71">
        <v>110405045</v>
      </c>
      <c r="B71" t="s">
        <v>123</v>
      </c>
      <c r="C71" s="26" t="s">
        <v>55</v>
      </c>
      <c r="D71" s="26" t="s">
        <v>56</v>
      </c>
      <c r="E71" t="s">
        <v>57</v>
      </c>
      <c r="F71" t="s">
        <v>59</v>
      </c>
      <c r="G71" t="s">
        <v>58</v>
      </c>
      <c r="H71" t="s">
        <v>59</v>
      </c>
      <c r="I71" t="s">
        <v>59</v>
      </c>
      <c r="J71"/>
      <c r="L71">
        <v>1</v>
      </c>
      <c r="M71" s="23">
        <v>1</v>
      </c>
      <c r="N71" s="29">
        <v>4</v>
      </c>
      <c r="O71" s="23">
        <v>5</v>
      </c>
      <c r="P71" s="23">
        <v>50</v>
      </c>
    </row>
    <row r="72" spans="1:16" ht="15" x14ac:dyDescent="0.25">
      <c r="A72">
        <v>110405050</v>
      </c>
      <c r="B72" t="s">
        <v>124</v>
      </c>
      <c r="C72" s="26" t="s">
        <v>55</v>
      </c>
      <c r="D72" s="26" t="s">
        <v>56</v>
      </c>
      <c r="E72" t="s">
        <v>57</v>
      </c>
      <c r="F72" t="s">
        <v>59</v>
      </c>
      <c r="G72" t="s">
        <v>58</v>
      </c>
      <c r="H72" t="s">
        <v>59</v>
      </c>
      <c r="I72" t="s">
        <v>59</v>
      </c>
      <c r="J72"/>
      <c r="L72">
        <v>1</v>
      </c>
      <c r="M72" s="23">
        <v>1</v>
      </c>
      <c r="N72" s="29">
        <v>4</v>
      </c>
      <c r="O72" s="23">
        <v>5</v>
      </c>
      <c r="P72" s="23">
        <v>51</v>
      </c>
    </row>
    <row r="73" spans="1:16" ht="15" x14ac:dyDescent="0.25">
      <c r="A73">
        <v>110405051</v>
      </c>
      <c r="B73" t="s">
        <v>125</v>
      </c>
      <c r="C73" s="26" t="s">
        <v>55</v>
      </c>
      <c r="D73" s="26" t="s">
        <v>56</v>
      </c>
      <c r="E73" t="s">
        <v>57</v>
      </c>
      <c r="F73" t="s">
        <v>59</v>
      </c>
      <c r="G73" t="s">
        <v>58</v>
      </c>
      <c r="H73" t="s">
        <v>59</v>
      </c>
      <c r="I73" t="s">
        <v>59</v>
      </c>
      <c r="J73"/>
      <c r="L73">
        <v>1</v>
      </c>
      <c r="M73" s="23">
        <v>1</v>
      </c>
      <c r="N73" s="29">
        <v>4</v>
      </c>
      <c r="O73" s="23">
        <v>5</v>
      </c>
      <c r="P73" s="23">
        <v>70</v>
      </c>
    </row>
    <row r="74" spans="1:16" ht="15" x14ac:dyDescent="0.25">
      <c r="A74">
        <v>110405070</v>
      </c>
      <c r="B74" t="s">
        <v>126</v>
      </c>
      <c r="C74" s="26" t="s">
        <v>55</v>
      </c>
      <c r="D74" s="26" t="s">
        <v>56</v>
      </c>
      <c r="E74" t="s">
        <v>57</v>
      </c>
      <c r="F74" t="s">
        <v>59</v>
      </c>
      <c r="G74" t="s">
        <v>58</v>
      </c>
      <c r="H74" t="s">
        <v>59</v>
      </c>
      <c r="I74" t="s">
        <v>59</v>
      </c>
      <c r="J74"/>
      <c r="L74">
        <v>1</v>
      </c>
      <c r="M74" s="23">
        <v>1</v>
      </c>
      <c r="N74" s="29">
        <v>4</v>
      </c>
      <c r="O74" s="23">
        <v>5</v>
      </c>
      <c r="P74" s="23">
        <v>80</v>
      </c>
    </row>
    <row r="75" spans="1:16" ht="15" x14ac:dyDescent="0.25">
      <c r="A75">
        <v>110405080</v>
      </c>
      <c r="B75" t="s">
        <v>127</v>
      </c>
      <c r="C75" s="26" t="s">
        <v>55</v>
      </c>
      <c r="D75" s="26" t="s">
        <v>56</v>
      </c>
      <c r="E75" t="s">
        <v>57</v>
      </c>
      <c r="F75" t="s">
        <v>59</v>
      </c>
      <c r="G75" t="s">
        <v>58</v>
      </c>
      <c r="H75" t="s">
        <v>59</v>
      </c>
      <c r="I75" t="s">
        <v>59</v>
      </c>
      <c r="J75"/>
      <c r="L75">
        <v>1</v>
      </c>
      <c r="M75" s="23">
        <v>1</v>
      </c>
      <c r="N75" s="29">
        <v>4</v>
      </c>
      <c r="O75" s="23">
        <v>15</v>
      </c>
    </row>
    <row r="76" spans="1:16" ht="15" x14ac:dyDescent="0.25">
      <c r="A76">
        <v>110415</v>
      </c>
      <c r="B76" t="s">
        <v>128</v>
      </c>
      <c r="C76" s="26" t="s">
        <v>55</v>
      </c>
      <c r="D76" s="26" t="s">
        <v>56</v>
      </c>
      <c r="E76" t="s">
        <v>57</v>
      </c>
      <c r="F76" t="s">
        <v>58</v>
      </c>
      <c r="G76" t="s">
        <v>58</v>
      </c>
      <c r="H76" t="s">
        <v>59</v>
      </c>
      <c r="I76" t="s">
        <v>59</v>
      </c>
      <c r="J76"/>
      <c r="L76">
        <v>1</v>
      </c>
      <c r="M76" s="23">
        <v>1</v>
      </c>
      <c r="N76" s="29">
        <v>4</v>
      </c>
      <c r="O76" s="23">
        <v>15</v>
      </c>
      <c r="P76" s="23">
        <v>1</v>
      </c>
    </row>
    <row r="77" spans="1:16" ht="15" x14ac:dyDescent="0.25">
      <c r="A77">
        <v>110415001</v>
      </c>
      <c r="B77" t="s">
        <v>129</v>
      </c>
      <c r="C77" s="26" t="s">
        <v>55</v>
      </c>
      <c r="D77" s="26" t="s">
        <v>56</v>
      </c>
      <c r="E77" t="s">
        <v>57</v>
      </c>
      <c r="F77" t="s">
        <v>59</v>
      </c>
      <c r="G77" t="s">
        <v>58</v>
      </c>
      <c r="H77" t="s">
        <v>59</v>
      </c>
      <c r="I77" t="s">
        <v>59</v>
      </c>
      <c r="J77"/>
      <c r="L77">
        <v>1</v>
      </c>
      <c r="M77" s="23">
        <v>1</v>
      </c>
      <c r="N77" s="29">
        <v>4</v>
      </c>
      <c r="O77" s="23">
        <v>15</v>
      </c>
      <c r="P77" s="23">
        <v>30</v>
      </c>
    </row>
    <row r="78" spans="1:16" ht="15" x14ac:dyDescent="0.25">
      <c r="A78">
        <v>110415030</v>
      </c>
      <c r="B78" t="s">
        <v>130</v>
      </c>
      <c r="C78" s="26" t="s">
        <v>55</v>
      </c>
      <c r="D78" s="26" t="s">
        <v>56</v>
      </c>
      <c r="E78" t="s">
        <v>57</v>
      </c>
      <c r="F78" t="s">
        <v>59</v>
      </c>
      <c r="G78" t="s">
        <v>58</v>
      </c>
      <c r="H78" t="s">
        <v>59</v>
      </c>
      <c r="I78" t="s">
        <v>59</v>
      </c>
      <c r="J78"/>
      <c r="L78">
        <v>1</v>
      </c>
      <c r="M78" s="23">
        <v>1</v>
      </c>
      <c r="N78" s="29">
        <v>4</v>
      </c>
      <c r="O78" s="23">
        <v>15</v>
      </c>
      <c r="P78" s="23">
        <v>31</v>
      </c>
    </row>
    <row r="79" spans="1:16" ht="15" x14ac:dyDescent="0.25">
      <c r="A79">
        <v>110415031</v>
      </c>
      <c r="B79" t="s">
        <v>131</v>
      </c>
      <c r="C79" s="26" t="s">
        <v>55</v>
      </c>
      <c r="D79" s="26" t="s">
        <v>56</v>
      </c>
      <c r="E79" t="s">
        <v>57</v>
      </c>
      <c r="F79" t="s">
        <v>58</v>
      </c>
      <c r="G79" t="s">
        <v>58</v>
      </c>
      <c r="H79" t="s">
        <v>58</v>
      </c>
      <c r="I79" t="s">
        <v>59</v>
      </c>
      <c r="J79"/>
      <c r="L79">
        <v>1</v>
      </c>
      <c r="M79" s="23">
        <v>1</v>
      </c>
      <c r="N79" s="29">
        <v>4</v>
      </c>
      <c r="O79" s="23">
        <v>15</v>
      </c>
      <c r="P79" s="23">
        <v>40</v>
      </c>
    </row>
    <row r="80" spans="1:16" ht="15" x14ac:dyDescent="0.25">
      <c r="A80">
        <v>110415040</v>
      </c>
      <c r="B80" t="s">
        <v>132</v>
      </c>
      <c r="C80" s="26" t="s">
        <v>55</v>
      </c>
      <c r="D80" s="26" t="s">
        <v>56</v>
      </c>
      <c r="E80" t="s">
        <v>57</v>
      </c>
      <c r="F80" t="s">
        <v>59</v>
      </c>
      <c r="G80" t="s">
        <v>58</v>
      </c>
      <c r="H80" t="s">
        <v>59</v>
      </c>
      <c r="I80" t="s">
        <v>59</v>
      </c>
      <c r="J80"/>
      <c r="L80">
        <v>1</v>
      </c>
      <c r="M80" s="23">
        <v>1</v>
      </c>
      <c r="N80" s="29">
        <v>4</v>
      </c>
      <c r="O80" s="23">
        <v>15</v>
      </c>
      <c r="P80" s="23">
        <v>50</v>
      </c>
    </row>
    <row r="81" spans="1:16" ht="15" x14ac:dyDescent="0.25">
      <c r="A81">
        <v>110415050</v>
      </c>
      <c r="B81" t="s">
        <v>133</v>
      </c>
      <c r="C81" s="26" t="s">
        <v>55</v>
      </c>
      <c r="D81" s="26" t="s">
        <v>56</v>
      </c>
      <c r="E81" t="s">
        <v>57</v>
      </c>
      <c r="F81" t="s">
        <v>59</v>
      </c>
      <c r="G81" t="s">
        <v>58</v>
      </c>
      <c r="H81" t="s">
        <v>59</v>
      </c>
      <c r="I81" t="s">
        <v>59</v>
      </c>
      <c r="J81"/>
      <c r="L81">
        <v>1</v>
      </c>
      <c r="M81" s="23">
        <v>1</v>
      </c>
      <c r="N81" s="29">
        <v>4</v>
      </c>
      <c r="O81" s="23">
        <v>15</v>
      </c>
      <c r="P81" s="23">
        <v>60</v>
      </c>
    </row>
    <row r="82" spans="1:16" ht="15" x14ac:dyDescent="0.25">
      <c r="A82">
        <v>110415060</v>
      </c>
      <c r="B82" t="s">
        <v>134</v>
      </c>
      <c r="C82" s="26" t="s">
        <v>55</v>
      </c>
      <c r="D82" s="26" t="s">
        <v>56</v>
      </c>
      <c r="E82" t="s">
        <v>57</v>
      </c>
      <c r="F82" t="s">
        <v>59</v>
      </c>
      <c r="G82" t="s">
        <v>58</v>
      </c>
      <c r="H82" t="s">
        <v>59</v>
      </c>
      <c r="I82" t="s">
        <v>59</v>
      </c>
      <c r="J82"/>
      <c r="L82">
        <v>1</v>
      </c>
      <c r="M82" s="23">
        <v>1</v>
      </c>
      <c r="N82" s="29">
        <v>4</v>
      </c>
      <c r="O82" s="23">
        <v>15</v>
      </c>
      <c r="P82" s="23">
        <v>70</v>
      </c>
    </row>
    <row r="83" spans="1:16" ht="15" x14ac:dyDescent="0.25">
      <c r="A83">
        <v>110415070</v>
      </c>
      <c r="B83" t="s">
        <v>135</v>
      </c>
      <c r="C83" s="26" t="s">
        <v>55</v>
      </c>
      <c r="D83" s="26" t="s">
        <v>56</v>
      </c>
      <c r="E83" t="s">
        <v>57</v>
      </c>
      <c r="F83" t="s">
        <v>59</v>
      </c>
      <c r="G83" t="s">
        <v>58</v>
      </c>
      <c r="H83" t="s">
        <v>59</v>
      </c>
      <c r="I83" t="s">
        <v>59</v>
      </c>
      <c r="J83"/>
      <c r="L83">
        <v>1</v>
      </c>
      <c r="M83" s="23">
        <v>1</v>
      </c>
      <c r="N83" s="29">
        <v>4</v>
      </c>
      <c r="O83" s="23">
        <v>15</v>
      </c>
      <c r="P83" s="23">
        <v>76</v>
      </c>
    </row>
    <row r="84" spans="1:16" ht="15" x14ac:dyDescent="0.25">
      <c r="A84">
        <v>110415076</v>
      </c>
      <c r="B84" t="s">
        <v>136</v>
      </c>
      <c r="C84" s="26" t="s">
        <v>55</v>
      </c>
      <c r="D84" s="26" t="s">
        <v>56</v>
      </c>
      <c r="E84" t="s">
        <v>57</v>
      </c>
      <c r="F84" t="s">
        <v>59</v>
      </c>
      <c r="G84" t="s">
        <v>58</v>
      </c>
      <c r="H84" t="s">
        <v>59</v>
      </c>
      <c r="I84" t="s">
        <v>59</v>
      </c>
      <c r="J84"/>
      <c r="L84">
        <v>1</v>
      </c>
      <c r="M84" s="23">
        <v>1</v>
      </c>
      <c r="N84" s="29">
        <v>4</v>
      </c>
      <c r="O84" s="23">
        <v>15</v>
      </c>
      <c r="P84" s="23">
        <v>80</v>
      </c>
    </row>
    <row r="85" spans="1:16" ht="15" x14ac:dyDescent="0.25">
      <c r="A85">
        <v>110415080</v>
      </c>
      <c r="B85" t="s">
        <v>137</v>
      </c>
      <c r="C85" s="26" t="s">
        <v>55</v>
      </c>
      <c r="D85" s="26" t="s">
        <v>56</v>
      </c>
      <c r="E85" t="s">
        <v>57</v>
      </c>
      <c r="F85" t="s">
        <v>59</v>
      </c>
      <c r="G85" t="s">
        <v>58</v>
      </c>
      <c r="H85" t="s">
        <v>59</v>
      </c>
      <c r="I85" t="s">
        <v>59</v>
      </c>
      <c r="J85"/>
      <c r="L85">
        <v>1</v>
      </c>
      <c r="M85" s="23">
        <v>1</v>
      </c>
      <c r="N85" s="29">
        <v>4</v>
      </c>
      <c r="O85" s="23">
        <v>18</v>
      </c>
    </row>
    <row r="86" spans="1:16" ht="15" x14ac:dyDescent="0.25">
      <c r="A86">
        <v>110418</v>
      </c>
      <c r="B86" t="s">
        <v>138</v>
      </c>
      <c r="C86" s="26" t="s">
        <v>55</v>
      </c>
      <c r="D86" s="26" t="s">
        <v>56</v>
      </c>
      <c r="E86" t="s">
        <v>57</v>
      </c>
      <c r="F86" t="s">
        <v>58</v>
      </c>
      <c r="G86" t="s">
        <v>58</v>
      </c>
      <c r="H86" t="s">
        <v>59</v>
      </c>
      <c r="I86" t="s">
        <v>59</v>
      </c>
      <c r="J86"/>
      <c r="L86">
        <v>1</v>
      </c>
      <c r="M86" s="23">
        <v>1</v>
      </c>
      <c r="N86" s="29">
        <v>4</v>
      </c>
      <c r="O86" s="23">
        <v>18</v>
      </c>
      <c r="P86" s="23">
        <v>16</v>
      </c>
    </row>
    <row r="87" spans="1:16" ht="15" x14ac:dyDescent="0.25">
      <c r="A87">
        <v>110418016</v>
      </c>
      <c r="B87" t="s">
        <v>139</v>
      </c>
      <c r="C87" s="26" t="s">
        <v>55</v>
      </c>
      <c r="D87" s="26" t="s">
        <v>56</v>
      </c>
      <c r="E87" t="s">
        <v>57</v>
      </c>
      <c r="F87" t="s">
        <v>59</v>
      </c>
      <c r="G87" t="s">
        <v>58</v>
      </c>
      <c r="H87" t="s">
        <v>59</v>
      </c>
      <c r="I87" t="s">
        <v>59</v>
      </c>
      <c r="J87"/>
      <c r="L87">
        <v>1</v>
      </c>
      <c r="M87" s="23">
        <v>1</v>
      </c>
      <c r="N87" s="29">
        <v>4</v>
      </c>
      <c r="O87" s="23">
        <v>18</v>
      </c>
      <c r="P87" s="23">
        <v>17</v>
      </c>
    </row>
    <row r="88" spans="1:16" ht="15" x14ac:dyDescent="0.25">
      <c r="A88">
        <v>110418017</v>
      </c>
      <c r="B88" t="s">
        <v>140</v>
      </c>
      <c r="C88" s="26" t="s">
        <v>55</v>
      </c>
      <c r="D88" s="26" t="s">
        <v>56</v>
      </c>
      <c r="E88" t="s">
        <v>57</v>
      </c>
      <c r="F88" t="s">
        <v>59</v>
      </c>
      <c r="G88" t="s">
        <v>58</v>
      </c>
      <c r="H88" t="s">
        <v>59</v>
      </c>
      <c r="I88" t="s">
        <v>59</v>
      </c>
      <c r="J88"/>
      <c r="L88">
        <v>1</v>
      </c>
      <c r="M88" s="23">
        <v>1</v>
      </c>
      <c r="N88" s="29">
        <v>4</v>
      </c>
      <c r="O88" s="23">
        <v>18</v>
      </c>
      <c r="P88" s="23">
        <v>20</v>
      </c>
    </row>
    <row r="89" spans="1:16" ht="15" x14ac:dyDescent="0.25">
      <c r="A89">
        <v>110418020</v>
      </c>
      <c r="B89" t="s">
        <v>141</v>
      </c>
      <c r="C89" s="26" t="s">
        <v>55</v>
      </c>
      <c r="D89" s="26" t="s">
        <v>56</v>
      </c>
      <c r="E89" t="s">
        <v>57</v>
      </c>
      <c r="F89" t="s">
        <v>59</v>
      </c>
      <c r="G89" t="s">
        <v>58</v>
      </c>
      <c r="H89" t="s">
        <v>59</v>
      </c>
      <c r="I89" t="s">
        <v>59</v>
      </c>
      <c r="J89"/>
      <c r="L89">
        <v>1</v>
      </c>
      <c r="M89" s="23">
        <v>1</v>
      </c>
      <c r="N89" s="29">
        <v>4</v>
      </c>
      <c r="O89" s="23">
        <v>18</v>
      </c>
      <c r="P89" s="23">
        <v>25</v>
      </c>
    </row>
    <row r="90" spans="1:16" ht="15" x14ac:dyDescent="0.25">
      <c r="A90">
        <v>110418025</v>
      </c>
      <c r="B90" t="s">
        <v>142</v>
      </c>
      <c r="C90" s="26" t="s">
        <v>55</v>
      </c>
      <c r="D90" s="26" t="s">
        <v>56</v>
      </c>
      <c r="E90" t="s">
        <v>57</v>
      </c>
      <c r="F90" t="s">
        <v>59</v>
      </c>
      <c r="G90" t="s">
        <v>58</v>
      </c>
      <c r="H90" t="s">
        <v>59</v>
      </c>
      <c r="I90" t="s">
        <v>59</v>
      </c>
      <c r="J90"/>
      <c r="L90">
        <v>1</v>
      </c>
      <c r="M90" s="23">
        <v>1</v>
      </c>
      <c r="N90" s="29">
        <v>4</v>
      </c>
      <c r="O90" s="23">
        <v>18</v>
      </c>
      <c r="P90" s="23">
        <v>26</v>
      </c>
    </row>
    <row r="91" spans="1:16" ht="15" x14ac:dyDescent="0.25">
      <c r="A91">
        <v>110418026</v>
      </c>
      <c r="B91" t="s">
        <v>143</v>
      </c>
      <c r="C91" s="26" t="s">
        <v>55</v>
      </c>
      <c r="D91" s="26" t="s">
        <v>56</v>
      </c>
      <c r="E91" t="s">
        <v>57</v>
      </c>
      <c r="F91" t="s">
        <v>59</v>
      </c>
      <c r="G91" t="s">
        <v>58</v>
      </c>
      <c r="H91" t="s">
        <v>59</v>
      </c>
      <c r="I91" t="s">
        <v>59</v>
      </c>
      <c r="J91"/>
      <c r="L91">
        <v>1</v>
      </c>
      <c r="M91" s="23">
        <v>1</v>
      </c>
      <c r="N91" s="29">
        <v>4</v>
      </c>
      <c r="O91" s="23">
        <v>20</v>
      </c>
    </row>
    <row r="92" spans="1:16" ht="15" x14ac:dyDescent="0.25">
      <c r="A92">
        <v>110420</v>
      </c>
      <c r="B92" t="s">
        <v>144</v>
      </c>
      <c r="C92" s="26" t="s">
        <v>55</v>
      </c>
      <c r="D92" s="26" t="s">
        <v>56</v>
      </c>
      <c r="E92" t="s">
        <v>57</v>
      </c>
      <c r="F92" t="s">
        <v>58</v>
      </c>
      <c r="G92" t="s">
        <v>58</v>
      </c>
      <c r="H92" t="s">
        <v>59</v>
      </c>
      <c r="I92" t="s">
        <v>59</v>
      </c>
      <c r="J92"/>
      <c r="L92">
        <v>1</v>
      </c>
      <c r="M92" s="23">
        <v>1</v>
      </c>
      <c r="N92" s="29">
        <v>4</v>
      </c>
      <c r="O92" s="23">
        <v>20</v>
      </c>
      <c r="P92" s="23">
        <v>2</v>
      </c>
    </row>
    <row r="93" spans="1:16" ht="15" x14ac:dyDescent="0.25">
      <c r="A93">
        <v>110420002</v>
      </c>
      <c r="B93" t="s">
        <v>145</v>
      </c>
      <c r="C93" s="26" t="s">
        <v>55</v>
      </c>
      <c r="D93" s="26" t="s">
        <v>56</v>
      </c>
      <c r="E93" t="s">
        <v>57</v>
      </c>
      <c r="F93" t="s">
        <v>59</v>
      </c>
      <c r="G93" t="s">
        <v>58</v>
      </c>
      <c r="H93" t="s">
        <v>59</v>
      </c>
      <c r="I93" t="s">
        <v>59</v>
      </c>
      <c r="J93"/>
      <c r="L93">
        <v>1</v>
      </c>
      <c r="M93" s="23">
        <v>1</v>
      </c>
      <c r="N93" s="29">
        <v>4</v>
      </c>
      <c r="O93" s="23">
        <v>20</v>
      </c>
      <c r="P93" s="23">
        <v>10</v>
      </c>
    </row>
    <row r="94" spans="1:16" ht="15" x14ac:dyDescent="0.25">
      <c r="A94">
        <v>110420010</v>
      </c>
      <c r="B94" t="s">
        <v>146</v>
      </c>
      <c r="C94" s="26" t="s">
        <v>55</v>
      </c>
      <c r="D94" s="26" t="s">
        <v>56</v>
      </c>
      <c r="E94" t="s">
        <v>57</v>
      </c>
      <c r="F94" t="s">
        <v>59</v>
      </c>
      <c r="G94" t="s">
        <v>58</v>
      </c>
      <c r="H94" t="s">
        <v>59</v>
      </c>
      <c r="I94" t="s">
        <v>59</v>
      </c>
      <c r="J94"/>
      <c r="L94">
        <v>1</v>
      </c>
      <c r="M94" s="23">
        <v>1</v>
      </c>
      <c r="N94" s="29">
        <v>4</v>
      </c>
      <c r="O94" s="23">
        <v>20</v>
      </c>
      <c r="P94" s="23">
        <v>50</v>
      </c>
    </row>
    <row r="95" spans="1:16" ht="15" x14ac:dyDescent="0.25">
      <c r="A95">
        <v>110420050</v>
      </c>
      <c r="B95" t="s">
        <v>147</v>
      </c>
      <c r="C95" s="26" t="s">
        <v>55</v>
      </c>
      <c r="D95" s="26" t="s">
        <v>56</v>
      </c>
      <c r="E95" t="s">
        <v>57</v>
      </c>
      <c r="F95" t="s">
        <v>59</v>
      </c>
      <c r="G95" t="s">
        <v>58</v>
      </c>
      <c r="H95" t="s">
        <v>59</v>
      </c>
      <c r="I95" t="s">
        <v>59</v>
      </c>
      <c r="J95"/>
      <c r="L95">
        <v>1</v>
      </c>
      <c r="M95" s="23">
        <v>1</v>
      </c>
      <c r="N95" s="29">
        <v>4</v>
      </c>
      <c r="O95" s="23">
        <v>20</v>
      </c>
      <c r="P95" s="23">
        <v>55</v>
      </c>
    </row>
    <row r="96" spans="1:16" ht="15" x14ac:dyDescent="0.25">
      <c r="A96">
        <v>110420055</v>
      </c>
      <c r="B96" t="s">
        <v>148</v>
      </c>
      <c r="C96" s="26" t="s">
        <v>55</v>
      </c>
      <c r="D96" s="26" t="s">
        <v>56</v>
      </c>
      <c r="E96" t="s">
        <v>57</v>
      </c>
      <c r="F96" t="s">
        <v>59</v>
      </c>
      <c r="G96" t="s">
        <v>58</v>
      </c>
      <c r="H96" t="s">
        <v>59</v>
      </c>
      <c r="I96" t="s">
        <v>59</v>
      </c>
      <c r="J96"/>
      <c r="L96">
        <v>1</v>
      </c>
      <c r="M96" s="23">
        <v>1</v>
      </c>
      <c r="N96" s="29">
        <v>5</v>
      </c>
    </row>
    <row r="97" spans="1:16" ht="15" x14ac:dyDescent="0.25">
      <c r="A97">
        <v>1105</v>
      </c>
      <c r="B97" t="s">
        <v>149</v>
      </c>
      <c r="C97" s="26" t="s">
        <v>55</v>
      </c>
      <c r="D97" s="26" t="s">
        <v>56</v>
      </c>
      <c r="E97" t="s">
        <v>57</v>
      </c>
      <c r="F97" t="s">
        <v>58</v>
      </c>
      <c r="G97" t="s">
        <v>58</v>
      </c>
      <c r="H97" t="s">
        <v>59</v>
      </c>
      <c r="I97" t="s">
        <v>59</v>
      </c>
      <c r="J97"/>
      <c r="L97">
        <v>1</v>
      </c>
      <c r="M97" s="23">
        <v>1</v>
      </c>
      <c r="N97" s="29">
        <v>5</v>
      </c>
      <c r="O97" s="23">
        <v>1</v>
      </c>
    </row>
    <row r="98" spans="1:16" ht="15" x14ac:dyDescent="0.25">
      <c r="A98">
        <v>110501</v>
      </c>
      <c r="B98" t="s">
        <v>150</v>
      </c>
      <c r="C98" s="26" t="s">
        <v>55</v>
      </c>
      <c r="D98" s="26" t="s">
        <v>56</v>
      </c>
      <c r="E98" t="s">
        <v>57</v>
      </c>
      <c r="F98" t="s">
        <v>58</v>
      </c>
      <c r="G98" t="s">
        <v>58</v>
      </c>
      <c r="H98" t="s">
        <v>59</v>
      </c>
      <c r="I98" t="s">
        <v>59</v>
      </c>
      <c r="J98"/>
      <c r="L98">
        <v>1</v>
      </c>
      <c r="M98" s="23">
        <v>1</v>
      </c>
      <c r="N98" s="29">
        <v>5</v>
      </c>
      <c r="O98" s="23">
        <v>5</v>
      </c>
    </row>
    <row r="99" spans="1:16" ht="15" x14ac:dyDescent="0.25">
      <c r="A99">
        <v>110505</v>
      </c>
      <c r="B99" t="s">
        <v>151</v>
      </c>
      <c r="C99" s="26" t="s">
        <v>55</v>
      </c>
      <c r="D99" s="26" t="s">
        <v>56</v>
      </c>
      <c r="E99" t="s">
        <v>69</v>
      </c>
      <c r="F99" t="s">
        <v>58</v>
      </c>
      <c r="G99" t="s">
        <v>58</v>
      </c>
      <c r="H99" t="s">
        <v>59</v>
      </c>
      <c r="I99" t="s">
        <v>59</v>
      </c>
      <c r="J99"/>
      <c r="L99">
        <v>1</v>
      </c>
      <c r="M99" s="23">
        <v>1</v>
      </c>
      <c r="N99" s="29">
        <v>5</v>
      </c>
      <c r="O99" s="23">
        <v>5</v>
      </c>
      <c r="P99" s="23">
        <v>20</v>
      </c>
    </row>
    <row r="100" spans="1:16" ht="15" x14ac:dyDescent="0.25">
      <c r="A100">
        <v>110505020</v>
      </c>
      <c r="B100" t="s">
        <v>152</v>
      </c>
      <c r="C100" s="26" t="s">
        <v>55</v>
      </c>
      <c r="D100" s="26" t="s">
        <v>56</v>
      </c>
      <c r="E100" t="s">
        <v>57</v>
      </c>
      <c r="F100" t="s">
        <v>59</v>
      </c>
      <c r="G100" t="s">
        <v>58</v>
      </c>
      <c r="H100" t="s">
        <v>59</v>
      </c>
      <c r="I100" t="s">
        <v>59</v>
      </c>
      <c r="J100"/>
      <c r="L100">
        <v>1</v>
      </c>
      <c r="M100" s="23">
        <v>1</v>
      </c>
      <c r="N100" s="29">
        <v>5</v>
      </c>
      <c r="O100" s="23">
        <v>5</v>
      </c>
      <c r="P100" s="23">
        <v>30</v>
      </c>
    </row>
    <row r="101" spans="1:16" ht="15" x14ac:dyDescent="0.25">
      <c r="A101">
        <v>110505030</v>
      </c>
      <c r="B101" t="s">
        <v>153</v>
      </c>
      <c r="C101" s="26" t="s">
        <v>55</v>
      </c>
      <c r="D101" s="26" t="s">
        <v>56</v>
      </c>
      <c r="E101" t="s">
        <v>57</v>
      </c>
      <c r="F101" t="s">
        <v>59</v>
      </c>
      <c r="G101" t="s">
        <v>58</v>
      </c>
      <c r="H101" t="s">
        <v>59</v>
      </c>
      <c r="I101" t="s">
        <v>59</v>
      </c>
      <c r="J101"/>
      <c r="L101">
        <v>1</v>
      </c>
      <c r="M101" s="23">
        <v>1</v>
      </c>
      <c r="N101" s="29">
        <v>5</v>
      </c>
      <c r="O101" s="23">
        <v>5</v>
      </c>
      <c r="P101" s="23">
        <v>50</v>
      </c>
    </row>
    <row r="102" spans="1:16" ht="15" x14ac:dyDescent="0.25">
      <c r="A102">
        <v>110505050</v>
      </c>
      <c r="B102" t="s">
        <v>154</v>
      </c>
      <c r="C102" s="26" t="s">
        <v>55</v>
      </c>
      <c r="D102" s="26" t="s">
        <v>56</v>
      </c>
      <c r="E102" t="s">
        <v>57</v>
      </c>
      <c r="F102" t="s">
        <v>59</v>
      </c>
      <c r="G102" t="s">
        <v>58</v>
      </c>
      <c r="H102" t="s">
        <v>59</v>
      </c>
      <c r="I102" t="s">
        <v>59</v>
      </c>
      <c r="J102"/>
      <c r="L102">
        <v>1</v>
      </c>
      <c r="M102" s="23">
        <v>1</v>
      </c>
      <c r="N102" s="29">
        <v>5</v>
      </c>
      <c r="O102" s="23">
        <v>5</v>
      </c>
      <c r="P102" s="23">
        <v>80</v>
      </c>
    </row>
    <row r="103" spans="1:16" ht="15" x14ac:dyDescent="0.25">
      <c r="A103">
        <v>110505080</v>
      </c>
      <c r="B103" t="s">
        <v>155</v>
      </c>
      <c r="C103" s="26" t="s">
        <v>55</v>
      </c>
      <c r="D103" s="26" t="s">
        <v>56</v>
      </c>
      <c r="E103" t="s">
        <v>57</v>
      </c>
      <c r="F103" t="s">
        <v>59</v>
      </c>
      <c r="G103" t="s">
        <v>58</v>
      </c>
      <c r="H103" t="s">
        <v>59</v>
      </c>
      <c r="I103" t="s">
        <v>59</v>
      </c>
      <c r="J103"/>
      <c r="L103">
        <v>1</v>
      </c>
      <c r="M103" s="23">
        <v>1</v>
      </c>
      <c r="N103" s="29">
        <v>5</v>
      </c>
      <c r="O103" s="23">
        <v>5</v>
      </c>
      <c r="P103" s="23">
        <v>85</v>
      </c>
    </row>
    <row r="104" spans="1:16" ht="15" x14ac:dyDescent="0.25">
      <c r="A104">
        <v>110505085</v>
      </c>
      <c r="B104" t="s">
        <v>156</v>
      </c>
      <c r="C104" s="26" t="s">
        <v>55</v>
      </c>
      <c r="D104" s="26" t="s">
        <v>56</v>
      </c>
      <c r="E104" t="s">
        <v>57</v>
      </c>
      <c r="F104" t="s">
        <v>59</v>
      </c>
      <c r="G104" t="s">
        <v>58</v>
      </c>
      <c r="H104" t="s">
        <v>59</v>
      </c>
      <c r="I104" t="s">
        <v>59</v>
      </c>
      <c r="J104"/>
      <c r="L104">
        <v>1</v>
      </c>
      <c r="M104" s="23">
        <v>1</v>
      </c>
      <c r="N104" s="29">
        <v>5</v>
      </c>
      <c r="O104" s="23">
        <v>5</v>
      </c>
      <c r="P104" s="23">
        <v>90</v>
      </c>
    </row>
    <row r="105" spans="1:16" ht="15" x14ac:dyDescent="0.25">
      <c r="A105">
        <v>110505090</v>
      </c>
      <c r="B105" t="s">
        <v>157</v>
      </c>
      <c r="C105" s="26" t="s">
        <v>55</v>
      </c>
      <c r="D105" s="26" t="s">
        <v>56</v>
      </c>
      <c r="E105" t="s">
        <v>57</v>
      </c>
      <c r="F105" t="s">
        <v>59</v>
      </c>
      <c r="G105" t="s">
        <v>58</v>
      </c>
      <c r="H105" t="s">
        <v>59</v>
      </c>
      <c r="I105" t="s">
        <v>59</v>
      </c>
      <c r="J105"/>
      <c r="L105">
        <v>1</v>
      </c>
      <c r="M105" s="23">
        <v>1</v>
      </c>
      <c r="N105" s="29">
        <v>5</v>
      </c>
      <c r="O105" s="23">
        <v>5</v>
      </c>
      <c r="P105" s="23">
        <v>100</v>
      </c>
    </row>
    <row r="106" spans="1:16" ht="15" x14ac:dyDescent="0.25">
      <c r="A106">
        <v>110505100</v>
      </c>
      <c r="B106" t="s">
        <v>158</v>
      </c>
      <c r="C106" s="26" t="s">
        <v>55</v>
      </c>
      <c r="D106" s="26" t="s">
        <v>56</v>
      </c>
      <c r="E106" t="s">
        <v>57</v>
      </c>
      <c r="F106" t="s">
        <v>59</v>
      </c>
      <c r="G106" t="s">
        <v>58</v>
      </c>
      <c r="H106" t="s">
        <v>59</v>
      </c>
      <c r="I106" t="s">
        <v>59</v>
      </c>
      <c r="J106"/>
      <c r="L106">
        <v>1</v>
      </c>
      <c r="M106" s="23">
        <v>1</v>
      </c>
      <c r="N106" s="29">
        <v>5</v>
      </c>
      <c r="O106" s="23">
        <v>5</v>
      </c>
      <c r="P106" s="23">
        <v>300</v>
      </c>
    </row>
    <row r="107" spans="1:16" ht="15" x14ac:dyDescent="0.25">
      <c r="A107">
        <v>110505300</v>
      </c>
      <c r="B107" t="s">
        <v>159</v>
      </c>
      <c r="C107" s="26" t="s">
        <v>55</v>
      </c>
      <c r="D107" s="26" t="s">
        <v>56</v>
      </c>
      <c r="E107" t="s">
        <v>57</v>
      </c>
      <c r="F107" t="s">
        <v>59</v>
      </c>
      <c r="G107" t="s">
        <v>58</v>
      </c>
      <c r="H107" t="s">
        <v>59</v>
      </c>
      <c r="I107" t="s">
        <v>59</v>
      </c>
      <c r="J107"/>
      <c r="L107">
        <v>1</v>
      </c>
      <c r="M107" s="23">
        <v>1</v>
      </c>
      <c r="N107" s="29">
        <v>5</v>
      </c>
      <c r="O107" s="23">
        <v>15</v>
      </c>
    </row>
    <row r="108" spans="1:16" ht="15" x14ac:dyDescent="0.25">
      <c r="A108">
        <v>110515</v>
      </c>
      <c r="B108" t="s">
        <v>160</v>
      </c>
      <c r="C108" s="26" t="s">
        <v>55</v>
      </c>
      <c r="D108" s="26" t="s">
        <v>56</v>
      </c>
      <c r="E108" t="s">
        <v>57</v>
      </c>
      <c r="F108" t="s">
        <v>58</v>
      </c>
      <c r="G108" t="s">
        <v>58</v>
      </c>
      <c r="H108" t="s">
        <v>59</v>
      </c>
      <c r="I108" t="s">
        <v>59</v>
      </c>
      <c r="J108"/>
      <c r="L108">
        <v>1</v>
      </c>
      <c r="M108" s="23">
        <v>1</v>
      </c>
      <c r="N108" s="29">
        <v>5</v>
      </c>
      <c r="O108" s="23">
        <v>15</v>
      </c>
      <c r="P108" s="23">
        <v>20</v>
      </c>
    </row>
    <row r="109" spans="1:16" ht="15" x14ac:dyDescent="0.25">
      <c r="A109">
        <v>110515020</v>
      </c>
      <c r="B109" t="s">
        <v>161</v>
      </c>
      <c r="C109" s="26" t="s">
        <v>55</v>
      </c>
      <c r="D109" s="26" t="s">
        <v>56</v>
      </c>
      <c r="E109" t="s">
        <v>57</v>
      </c>
      <c r="F109" t="s">
        <v>59</v>
      </c>
      <c r="G109" t="s">
        <v>58</v>
      </c>
      <c r="H109" t="s">
        <v>59</v>
      </c>
      <c r="I109" t="s">
        <v>59</v>
      </c>
      <c r="J109"/>
      <c r="L109">
        <v>1</v>
      </c>
      <c r="M109" s="23">
        <v>1</v>
      </c>
      <c r="N109" s="29">
        <v>5</v>
      </c>
      <c r="O109" s="23">
        <v>15</v>
      </c>
      <c r="P109" s="23">
        <v>30</v>
      </c>
    </row>
    <row r="110" spans="1:16" ht="15" x14ac:dyDescent="0.25">
      <c r="A110">
        <v>110515030</v>
      </c>
      <c r="B110" t="s">
        <v>162</v>
      </c>
      <c r="C110" s="26" t="s">
        <v>55</v>
      </c>
      <c r="D110" s="26" t="s">
        <v>56</v>
      </c>
      <c r="E110" t="s">
        <v>57</v>
      </c>
      <c r="F110" t="s">
        <v>59</v>
      </c>
      <c r="G110" t="s">
        <v>58</v>
      </c>
      <c r="H110" t="s">
        <v>59</v>
      </c>
      <c r="I110" t="s">
        <v>59</v>
      </c>
      <c r="J110"/>
      <c r="L110">
        <v>1</v>
      </c>
      <c r="M110" s="23">
        <v>1</v>
      </c>
      <c r="N110" s="29">
        <v>5</v>
      </c>
      <c r="O110" s="23">
        <v>15</v>
      </c>
      <c r="P110" s="23">
        <v>40</v>
      </c>
    </row>
    <row r="111" spans="1:16" ht="15" x14ac:dyDescent="0.25">
      <c r="A111">
        <v>110515040</v>
      </c>
      <c r="B111" t="s">
        <v>163</v>
      </c>
      <c r="C111" s="26" t="s">
        <v>55</v>
      </c>
      <c r="D111" s="26" t="s">
        <v>56</v>
      </c>
      <c r="E111" t="s">
        <v>57</v>
      </c>
      <c r="F111" t="s">
        <v>59</v>
      </c>
      <c r="G111" t="s">
        <v>58</v>
      </c>
      <c r="H111" t="s">
        <v>59</v>
      </c>
      <c r="I111" t="s">
        <v>59</v>
      </c>
      <c r="J111"/>
      <c r="L111">
        <v>1</v>
      </c>
      <c r="M111" s="23">
        <v>1</v>
      </c>
      <c r="N111" s="29">
        <v>5</v>
      </c>
      <c r="O111" s="23">
        <v>25</v>
      </c>
    </row>
    <row r="112" spans="1:16" ht="15" x14ac:dyDescent="0.25">
      <c r="A112">
        <v>110525</v>
      </c>
      <c r="B112" t="s">
        <v>164</v>
      </c>
      <c r="C112" s="26" t="s">
        <v>55</v>
      </c>
      <c r="D112" s="26" t="s">
        <v>56</v>
      </c>
      <c r="E112" t="s">
        <v>57</v>
      </c>
      <c r="F112" t="s">
        <v>58</v>
      </c>
      <c r="G112" t="s">
        <v>58</v>
      </c>
      <c r="H112" t="s">
        <v>59</v>
      </c>
      <c r="I112" t="s">
        <v>59</v>
      </c>
      <c r="J112"/>
      <c r="L112">
        <v>1</v>
      </c>
      <c r="M112" s="23">
        <v>1</v>
      </c>
      <c r="N112" s="29">
        <v>5</v>
      </c>
      <c r="O112" s="23">
        <v>25</v>
      </c>
      <c r="P112" s="23">
        <v>1</v>
      </c>
    </row>
    <row r="113" spans="1:16" ht="15" x14ac:dyDescent="0.25">
      <c r="A113">
        <v>110525001</v>
      </c>
      <c r="B113" t="s">
        <v>165</v>
      </c>
      <c r="C113" s="26" t="s">
        <v>55</v>
      </c>
      <c r="D113" s="26" t="s">
        <v>56</v>
      </c>
      <c r="E113" t="s">
        <v>57</v>
      </c>
      <c r="F113" t="s">
        <v>59</v>
      </c>
      <c r="G113" t="s">
        <v>58</v>
      </c>
      <c r="H113" t="s">
        <v>59</v>
      </c>
      <c r="I113" t="s">
        <v>59</v>
      </c>
      <c r="J113"/>
      <c r="L113">
        <v>1</v>
      </c>
      <c r="M113" s="23">
        <v>1</v>
      </c>
      <c r="N113" s="29">
        <v>5</v>
      </c>
      <c r="O113" s="23">
        <v>25</v>
      </c>
      <c r="P113" s="23">
        <v>10</v>
      </c>
    </row>
    <row r="114" spans="1:16" ht="15" x14ac:dyDescent="0.25">
      <c r="A114">
        <v>110525010</v>
      </c>
      <c r="B114" t="s">
        <v>166</v>
      </c>
      <c r="C114" s="26" t="s">
        <v>55</v>
      </c>
      <c r="D114" s="26" t="s">
        <v>56</v>
      </c>
      <c r="E114" t="s">
        <v>57</v>
      </c>
      <c r="F114" t="s">
        <v>59</v>
      </c>
      <c r="G114" t="s">
        <v>58</v>
      </c>
      <c r="H114" t="s">
        <v>59</v>
      </c>
      <c r="I114" t="s">
        <v>59</v>
      </c>
      <c r="J114"/>
      <c r="L114">
        <v>1</v>
      </c>
      <c r="M114" s="23">
        <v>2</v>
      </c>
    </row>
    <row r="115" spans="1:16" ht="15" x14ac:dyDescent="0.25">
      <c r="A115">
        <v>12</v>
      </c>
      <c r="B115" t="s">
        <v>167</v>
      </c>
      <c r="C115" s="26" t="s">
        <v>55</v>
      </c>
      <c r="D115" s="26" t="s">
        <v>56</v>
      </c>
      <c r="E115" t="s">
        <v>57</v>
      </c>
      <c r="F115" t="s">
        <v>58</v>
      </c>
      <c r="G115" t="s">
        <v>58</v>
      </c>
      <c r="H115" t="s">
        <v>59</v>
      </c>
      <c r="I115" t="s">
        <v>59</v>
      </c>
      <c r="J115"/>
      <c r="L115">
        <v>1</v>
      </c>
      <c r="M115" s="23">
        <v>2</v>
      </c>
      <c r="N115" s="29">
        <v>1</v>
      </c>
    </row>
    <row r="116" spans="1:16" ht="15" x14ac:dyDescent="0.25">
      <c r="A116">
        <v>1201</v>
      </c>
      <c r="B116" t="s">
        <v>72</v>
      </c>
      <c r="C116" s="26" t="s">
        <v>55</v>
      </c>
      <c r="D116" s="26" t="s">
        <v>56</v>
      </c>
      <c r="E116" t="s">
        <v>57</v>
      </c>
      <c r="F116" t="s">
        <v>58</v>
      </c>
      <c r="G116" t="s">
        <v>58</v>
      </c>
      <c r="H116" t="s">
        <v>59</v>
      </c>
      <c r="I116" t="s">
        <v>59</v>
      </c>
      <c r="J116"/>
      <c r="L116">
        <v>1</v>
      </c>
      <c r="M116" s="23">
        <v>2</v>
      </c>
      <c r="N116" s="29">
        <v>2</v>
      </c>
    </row>
    <row r="117" spans="1:16" ht="15" x14ac:dyDescent="0.25">
      <c r="A117">
        <v>1202</v>
      </c>
      <c r="B117" t="s">
        <v>80</v>
      </c>
      <c r="C117" s="26" t="s">
        <v>55</v>
      </c>
      <c r="D117" s="26" t="s">
        <v>56</v>
      </c>
      <c r="E117" t="s">
        <v>57</v>
      </c>
      <c r="F117" t="s">
        <v>58</v>
      </c>
      <c r="G117" t="s">
        <v>58</v>
      </c>
      <c r="H117" t="s">
        <v>59</v>
      </c>
      <c r="I117" t="s">
        <v>59</v>
      </c>
      <c r="J117"/>
      <c r="L117">
        <v>1</v>
      </c>
      <c r="M117" s="23">
        <v>2</v>
      </c>
      <c r="N117" s="29">
        <v>4</v>
      </c>
    </row>
    <row r="118" spans="1:16" ht="15" x14ac:dyDescent="0.25">
      <c r="A118">
        <v>1204</v>
      </c>
      <c r="B118" t="s">
        <v>168</v>
      </c>
      <c r="C118" s="26" t="s">
        <v>55</v>
      </c>
      <c r="D118" s="26" t="s">
        <v>56</v>
      </c>
      <c r="E118" t="s">
        <v>57</v>
      </c>
      <c r="F118" t="s">
        <v>58</v>
      </c>
      <c r="G118" t="s">
        <v>58</v>
      </c>
      <c r="H118" t="s">
        <v>59</v>
      </c>
      <c r="I118" t="s">
        <v>59</v>
      </c>
      <c r="J118"/>
      <c r="L118">
        <v>1</v>
      </c>
      <c r="M118" s="23">
        <v>2</v>
      </c>
      <c r="N118" s="29">
        <v>4</v>
      </c>
      <c r="O118" s="23">
        <v>1</v>
      </c>
    </row>
    <row r="119" spans="1:16" ht="15" x14ac:dyDescent="0.25">
      <c r="A119">
        <v>120401</v>
      </c>
      <c r="B119" t="s">
        <v>169</v>
      </c>
      <c r="C119" s="26" t="s">
        <v>55</v>
      </c>
      <c r="D119" s="26" t="s">
        <v>56</v>
      </c>
      <c r="E119" t="s">
        <v>57</v>
      </c>
      <c r="F119" t="s">
        <v>58</v>
      </c>
      <c r="G119" t="s">
        <v>58</v>
      </c>
      <c r="H119" t="s">
        <v>59</v>
      </c>
      <c r="I119" t="s">
        <v>59</v>
      </c>
      <c r="J119"/>
      <c r="L119">
        <v>1</v>
      </c>
      <c r="M119" s="23">
        <v>2</v>
      </c>
      <c r="N119" s="29">
        <v>4</v>
      </c>
      <c r="O119" s="23">
        <v>1</v>
      </c>
      <c r="P119" s="23">
        <v>1</v>
      </c>
    </row>
    <row r="120" spans="1:16" ht="15" x14ac:dyDescent="0.25">
      <c r="A120">
        <v>120401001</v>
      </c>
      <c r="B120" t="s">
        <v>170</v>
      </c>
      <c r="C120" s="26" t="s">
        <v>55</v>
      </c>
      <c r="D120" s="26" t="s">
        <v>56</v>
      </c>
      <c r="E120" t="s">
        <v>57</v>
      </c>
      <c r="F120" t="s">
        <v>59</v>
      </c>
      <c r="G120" t="s">
        <v>58</v>
      </c>
      <c r="H120" t="s">
        <v>59</v>
      </c>
      <c r="I120" t="s">
        <v>59</v>
      </c>
      <c r="J120"/>
      <c r="L120">
        <v>1</v>
      </c>
      <c r="M120" s="23">
        <v>2</v>
      </c>
      <c r="N120" s="29">
        <v>4</v>
      </c>
      <c r="O120" s="23">
        <v>1</v>
      </c>
      <c r="P120" s="23">
        <v>2</v>
      </c>
    </row>
    <row r="121" spans="1:16" ht="15" x14ac:dyDescent="0.25">
      <c r="A121">
        <v>120401002</v>
      </c>
      <c r="B121" t="s">
        <v>171</v>
      </c>
      <c r="C121" s="26" t="s">
        <v>55</v>
      </c>
      <c r="D121" s="26" t="s">
        <v>56</v>
      </c>
      <c r="E121" t="s">
        <v>57</v>
      </c>
      <c r="F121" t="s">
        <v>59</v>
      </c>
      <c r="G121" t="s">
        <v>58</v>
      </c>
      <c r="H121" t="s">
        <v>59</v>
      </c>
      <c r="I121" t="s">
        <v>59</v>
      </c>
      <c r="J121"/>
      <c r="L121">
        <v>1</v>
      </c>
      <c r="M121" s="23">
        <v>2</v>
      </c>
      <c r="N121" s="29">
        <v>4</v>
      </c>
      <c r="O121" s="23">
        <v>1</v>
      </c>
      <c r="P121" s="23">
        <v>4</v>
      </c>
    </row>
    <row r="122" spans="1:16" ht="15" x14ac:dyDescent="0.25">
      <c r="A122">
        <v>120401004</v>
      </c>
      <c r="B122" t="s">
        <v>169</v>
      </c>
      <c r="C122" s="26" t="s">
        <v>55</v>
      </c>
      <c r="D122" s="26" t="s">
        <v>56</v>
      </c>
      <c r="E122" t="s">
        <v>57</v>
      </c>
      <c r="F122" t="s">
        <v>59</v>
      </c>
      <c r="G122" t="s">
        <v>58</v>
      </c>
      <c r="H122" t="s">
        <v>59</v>
      </c>
      <c r="I122" t="s">
        <v>59</v>
      </c>
      <c r="J122"/>
      <c r="L122">
        <v>1</v>
      </c>
      <c r="M122" s="23">
        <v>2</v>
      </c>
      <c r="N122" s="29">
        <v>4</v>
      </c>
      <c r="O122" s="23">
        <v>1</v>
      </c>
      <c r="P122" s="23">
        <v>12</v>
      </c>
    </row>
    <row r="123" spans="1:16" ht="15" x14ac:dyDescent="0.25">
      <c r="A123">
        <v>120401012</v>
      </c>
      <c r="B123" t="s">
        <v>172</v>
      </c>
      <c r="C123" s="26" t="s">
        <v>55</v>
      </c>
      <c r="D123" s="26" t="s">
        <v>56</v>
      </c>
      <c r="E123" t="s">
        <v>57</v>
      </c>
      <c r="F123" t="s">
        <v>59</v>
      </c>
      <c r="G123" t="s">
        <v>58</v>
      </c>
      <c r="H123" t="s">
        <v>59</v>
      </c>
      <c r="I123" t="s">
        <v>59</v>
      </c>
      <c r="J123"/>
      <c r="L123">
        <v>1</v>
      </c>
      <c r="M123" s="23">
        <v>2</v>
      </c>
      <c r="N123" s="29">
        <v>4</v>
      </c>
      <c r="O123" s="23">
        <v>5</v>
      </c>
    </row>
    <row r="124" spans="1:16" ht="15" x14ac:dyDescent="0.25">
      <c r="A124">
        <v>120405</v>
      </c>
      <c r="B124" t="s">
        <v>173</v>
      </c>
      <c r="C124" s="26" t="s">
        <v>55</v>
      </c>
      <c r="D124" s="26" t="s">
        <v>56</v>
      </c>
      <c r="E124" t="s">
        <v>57</v>
      </c>
      <c r="F124" t="s">
        <v>58</v>
      </c>
      <c r="G124" t="s">
        <v>58</v>
      </c>
      <c r="H124" t="s">
        <v>59</v>
      </c>
      <c r="I124" t="s">
        <v>59</v>
      </c>
      <c r="J124"/>
      <c r="L124">
        <v>1</v>
      </c>
      <c r="M124" s="23">
        <v>2</v>
      </c>
      <c r="N124" s="29">
        <v>4</v>
      </c>
      <c r="O124" s="23">
        <v>5</v>
      </c>
      <c r="P124" s="23">
        <v>1</v>
      </c>
    </row>
    <row r="125" spans="1:16" ht="15" x14ac:dyDescent="0.25">
      <c r="A125">
        <v>120405001</v>
      </c>
      <c r="B125" t="s">
        <v>173</v>
      </c>
      <c r="C125" s="26" t="s">
        <v>55</v>
      </c>
      <c r="D125" s="26" t="s">
        <v>56</v>
      </c>
      <c r="E125" t="s">
        <v>57</v>
      </c>
      <c r="F125" t="s">
        <v>59</v>
      </c>
      <c r="G125" t="s">
        <v>58</v>
      </c>
      <c r="H125" t="s">
        <v>59</v>
      </c>
      <c r="I125" t="s">
        <v>59</v>
      </c>
      <c r="J125"/>
      <c r="L125">
        <v>1</v>
      </c>
      <c r="M125" s="23">
        <v>2</v>
      </c>
      <c r="N125" s="29">
        <v>4</v>
      </c>
      <c r="O125" s="23">
        <v>5</v>
      </c>
      <c r="P125" s="23">
        <v>2</v>
      </c>
    </row>
    <row r="126" spans="1:16" ht="15" x14ac:dyDescent="0.25">
      <c r="A126">
        <v>120405002</v>
      </c>
      <c r="B126" t="s">
        <v>174</v>
      </c>
      <c r="C126" s="26" t="s">
        <v>55</v>
      </c>
      <c r="D126" s="26" t="s">
        <v>56</v>
      </c>
      <c r="E126" t="s">
        <v>57</v>
      </c>
      <c r="F126" t="s">
        <v>59</v>
      </c>
      <c r="G126" t="s">
        <v>58</v>
      </c>
      <c r="H126" t="s">
        <v>59</v>
      </c>
      <c r="I126" t="s">
        <v>59</v>
      </c>
      <c r="J126"/>
      <c r="L126">
        <v>1</v>
      </c>
      <c r="M126" s="23">
        <v>2</v>
      </c>
      <c r="N126" s="29">
        <v>4</v>
      </c>
      <c r="O126" s="23">
        <v>5</v>
      </c>
      <c r="P126" s="23">
        <v>5</v>
      </c>
    </row>
    <row r="127" spans="1:16" ht="15" x14ac:dyDescent="0.25">
      <c r="A127">
        <v>120405005</v>
      </c>
      <c r="B127" t="s">
        <v>175</v>
      </c>
      <c r="C127" s="26" t="s">
        <v>55</v>
      </c>
      <c r="D127" s="26" t="s">
        <v>56</v>
      </c>
      <c r="E127" t="s">
        <v>57</v>
      </c>
      <c r="F127" t="s">
        <v>59</v>
      </c>
      <c r="G127" t="s">
        <v>58</v>
      </c>
      <c r="H127" t="s">
        <v>59</v>
      </c>
      <c r="I127" t="s">
        <v>59</v>
      </c>
      <c r="J127"/>
      <c r="L127">
        <v>1</v>
      </c>
      <c r="M127" s="23">
        <v>2</v>
      </c>
      <c r="N127" s="29">
        <v>4</v>
      </c>
      <c r="O127" s="23">
        <v>5</v>
      </c>
      <c r="P127" s="23">
        <v>6</v>
      </c>
    </row>
    <row r="128" spans="1:16" ht="15" x14ac:dyDescent="0.25">
      <c r="A128">
        <v>120405006</v>
      </c>
      <c r="B128" t="s">
        <v>176</v>
      </c>
      <c r="C128" s="26" t="s">
        <v>55</v>
      </c>
      <c r="D128" s="26" t="s">
        <v>56</v>
      </c>
      <c r="E128" t="s">
        <v>57</v>
      </c>
      <c r="F128" t="s">
        <v>59</v>
      </c>
      <c r="G128" t="s">
        <v>58</v>
      </c>
      <c r="H128" t="s">
        <v>59</v>
      </c>
      <c r="I128" t="s">
        <v>59</v>
      </c>
      <c r="J128"/>
      <c r="L128">
        <v>1</v>
      </c>
      <c r="M128" s="23">
        <v>2</v>
      </c>
      <c r="N128" s="29">
        <v>4</v>
      </c>
      <c r="O128" s="23">
        <v>5</v>
      </c>
      <c r="P128" s="23">
        <v>7</v>
      </c>
    </row>
    <row r="129" spans="1:16" ht="15" x14ac:dyDescent="0.25">
      <c r="A129">
        <v>120405007</v>
      </c>
      <c r="B129" t="s">
        <v>177</v>
      </c>
      <c r="C129" s="26" t="s">
        <v>55</v>
      </c>
      <c r="D129" s="26" t="s">
        <v>56</v>
      </c>
      <c r="E129" t="s">
        <v>57</v>
      </c>
      <c r="F129" t="s">
        <v>59</v>
      </c>
      <c r="G129" t="s">
        <v>58</v>
      </c>
      <c r="H129" t="s">
        <v>59</v>
      </c>
      <c r="I129" t="s">
        <v>59</v>
      </c>
      <c r="J129"/>
      <c r="L129">
        <v>1</v>
      </c>
      <c r="M129" s="23">
        <v>2</v>
      </c>
      <c r="N129" s="29">
        <v>4</v>
      </c>
      <c r="O129" s="23">
        <v>5</v>
      </c>
      <c r="P129" s="23">
        <v>10</v>
      </c>
    </row>
    <row r="130" spans="1:16" ht="15" x14ac:dyDescent="0.25">
      <c r="A130">
        <v>120405010</v>
      </c>
      <c r="B130" t="s">
        <v>178</v>
      </c>
      <c r="C130" s="26" t="s">
        <v>55</v>
      </c>
      <c r="D130" s="26" t="s">
        <v>56</v>
      </c>
      <c r="E130" t="s">
        <v>57</v>
      </c>
      <c r="F130" t="s">
        <v>59</v>
      </c>
      <c r="G130" t="s">
        <v>58</v>
      </c>
      <c r="H130" t="s">
        <v>59</v>
      </c>
      <c r="I130" t="s">
        <v>59</v>
      </c>
      <c r="J130"/>
      <c r="L130">
        <v>1</v>
      </c>
      <c r="M130" s="23">
        <v>2</v>
      </c>
      <c r="N130" s="29">
        <v>4</v>
      </c>
      <c r="O130" s="23">
        <v>5</v>
      </c>
      <c r="P130" s="23">
        <v>12</v>
      </c>
    </row>
    <row r="131" spans="1:16" ht="15" x14ac:dyDescent="0.25">
      <c r="A131">
        <v>120405012</v>
      </c>
      <c r="B131" t="s">
        <v>179</v>
      </c>
      <c r="C131" s="26" t="s">
        <v>55</v>
      </c>
      <c r="D131" s="26" t="s">
        <v>56</v>
      </c>
      <c r="E131" t="s">
        <v>57</v>
      </c>
      <c r="F131" t="s">
        <v>59</v>
      </c>
      <c r="G131" t="s">
        <v>58</v>
      </c>
      <c r="H131" t="s">
        <v>59</v>
      </c>
      <c r="I131" t="s">
        <v>59</v>
      </c>
      <c r="J131"/>
      <c r="L131">
        <v>1</v>
      </c>
      <c r="M131" s="23">
        <v>2</v>
      </c>
      <c r="N131" s="29">
        <v>4</v>
      </c>
      <c r="O131" s="23">
        <v>5</v>
      </c>
      <c r="P131" s="23">
        <v>20</v>
      </c>
    </row>
    <row r="132" spans="1:16" ht="15" x14ac:dyDescent="0.25">
      <c r="A132">
        <v>120405020</v>
      </c>
      <c r="B132" t="s">
        <v>180</v>
      </c>
      <c r="C132" s="26" t="s">
        <v>55</v>
      </c>
      <c r="D132" s="26" t="s">
        <v>56</v>
      </c>
      <c r="E132" t="s">
        <v>57</v>
      </c>
      <c r="F132" t="s">
        <v>59</v>
      </c>
      <c r="G132" t="s">
        <v>58</v>
      </c>
      <c r="H132" t="s">
        <v>59</v>
      </c>
      <c r="I132" t="s">
        <v>59</v>
      </c>
      <c r="J132"/>
      <c r="L132">
        <v>1</v>
      </c>
      <c r="M132" s="23">
        <v>2</v>
      </c>
      <c r="N132" s="29">
        <v>4</v>
      </c>
      <c r="O132" s="23">
        <v>5</v>
      </c>
      <c r="P132" s="23">
        <v>22</v>
      </c>
    </row>
    <row r="133" spans="1:16" ht="15" x14ac:dyDescent="0.25">
      <c r="A133">
        <v>120405022</v>
      </c>
      <c r="B133" t="s">
        <v>181</v>
      </c>
      <c r="C133" s="26" t="s">
        <v>55</v>
      </c>
      <c r="D133" s="26" t="s">
        <v>56</v>
      </c>
      <c r="E133" t="s">
        <v>57</v>
      </c>
      <c r="F133" t="s">
        <v>59</v>
      </c>
      <c r="G133" t="s">
        <v>58</v>
      </c>
      <c r="H133" t="s">
        <v>59</v>
      </c>
      <c r="I133" t="s">
        <v>59</v>
      </c>
      <c r="J133"/>
      <c r="L133">
        <v>1</v>
      </c>
      <c r="M133" s="23">
        <v>2</v>
      </c>
      <c r="N133" s="29">
        <v>4</v>
      </c>
      <c r="O133" s="23">
        <v>5</v>
      </c>
      <c r="P133" s="23">
        <v>23</v>
      </c>
    </row>
    <row r="134" spans="1:16" ht="15" x14ac:dyDescent="0.25">
      <c r="A134">
        <v>120405023</v>
      </c>
      <c r="B134" t="s">
        <v>182</v>
      </c>
      <c r="C134" s="26" t="s">
        <v>55</v>
      </c>
      <c r="D134" s="26" t="s">
        <v>56</v>
      </c>
      <c r="E134" t="s">
        <v>57</v>
      </c>
      <c r="F134" t="s">
        <v>59</v>
      </c>
      <c r="G134" t="s">
        <v>58</v>
      </c>
      <c r="H134" t="s">
        <v>59</v>
      </c>
      <c r="I134" t="s">
        <v>59</v>
      </c>
      <c r="J134"/>
      <c r="L134">
        <v>1</v>
      </c>
      <c r="M134" s="23">
        <v>2</v>
      </c>
      <c r="N134" s="29">
        <v>4</v>
      </c>
      <c r="O134" s="23">
        <v>5</v>
      </c>
      <c r="P134" s="23">
        <v>30</v>
      </c>
    </row>
    <row r="135" spans="1:16" ht="15" x14ac:dyDescent="0.25">
      <c r="A135">
        <v>120405030</v>
      </c>
      <c r="B135" t="s">
        <v>183</v>
      </c>
      <c r="C135" s="26" t="s">
        <v>55</v>
      </c>
      <c r="D135" s="26" t="s">
        <v>56</v>
      </c>
      <c r="E135" t="s">
        <v>57</v>
      </c>
      <c r="F135" t="s">
        <v>59</v>
      </c>
      <c r="G135" t="s">
        <v>58</v>
      </c>
      <c r="H135" t="s">
        <v>59</v>
      </c>
      <c r="I135" t="s">
        <v>59</v>
      </c>
      <c r="J135"/>
      <c r="L135">
        <v>1</v>
      </c>
      <c r="M135" s="23">
        <v>2</v>
      </c>
      <c r="N135" s="29">
        <v>4</v>
      </c>
      <c r="O135" s="23">
        <v>5</v>
      </c>
      <c r="P135" s="23">
        <v>32</v>
      </c>
    </row>
    <row r="136" spans="1:16" ht="15" x14ac:dyDescent="0.25">
      <c r="A136">
        <v>120405032</v>
      </c>
      <c r="B136" t="s">
        <v>184</v>
      </c>
      <c r="C136" s="26" t="s">
        <v>55</v>
      </c>
      <c r="D136" s="26" t="s">
        <v>56</v>
      </c>
      <c r="E136" t="s">
        <v>57</v>
      </c>
      <c r="F136" t="s">
        <v>59</v>
      </c>
      <c r="G136" t="s">
        <v>58</v>
      </c>
      <c r="H136" t="s">
        <v>59</v>
      </c>
      <c r="I136" t="s">
        <v>59</v>
      </c>
      <c r="J136"/>
      <c r="L136">
        <v>1</v>
      </c>
      <c r="M136" s="23">
        <v>2</v>
      </c>
      <c r="N136" s="29">
        <v>4</v>
      </c>
      <c r="O136" s="23">
        <v>5</v>
      </c>
      <c r="P136" s="23">
        <v>33</v>
      </c>
    </row>
    <row r="137" spans="1:16" ht="15" x14ac:dyDescent="0.25">
      <c r="A137">
        <v>120405033</v>
      </c>
      <c r="B137" t="s">
        <v>185</v>
      </c>
      <c r="C137" s="26" t="s">
        <v>55</v>
      </c>
      <c r="D137" s="26" t="s">
        <v>56</v>
      </c>
      <c r="E137" t="s">
        <v>57</v>
      </c>
      <c r="F137" t="s">
        <v>59</v>
      </c>
      <c r="G137" t="s">
        <v>58</v>
      </c>
      <c r="H137" t="s">
        <v>59</v>
      </c>
      <c r="I137" t="s">
        <v>59</v>
      </c>
      <c r="J137"/>
      <c r="L137">
        <v>1</v>
      </c>
      <c r="M137" s="23">
        <v>2</v>
      </c>
      <c r="N137" s="29">
        <v>4</v>
      </c>
      <c r="O137" s="23">
        <v>5</v>
      </c>
      <c r="P137" s="23">
        <v>40</v>
      </c>
    </row>
    <row r="138" spans="1:16" ht="15" x14ac:dyDescent="0.25">
      <c r="A138">
        <v>120405040</v>
      </c>
      <c r="B138" t="s">
        <v>186</v>
      </c>
      <c r="C138" s="26" t="s">
        <v>55</v>
      </c>
      <c r="D138" s="26" t="s">
        <v>56</v>
      </c>
      <c r="E138" t="s">
        <v>57</v>
      </c>
      <c r="F138" t="s">
        <v>59</v>
      </c>
      <c r="G138" t="s">
        <v>58</v>
      </c>
      <c r="H138" t="s">
        <v>59</v>
      </c>
      <c r="I138" t="s">
        <v>59</v>
      </c>
      <c r="J138"/>
      <c r="L138">
        <v>1</v>
      </c>
      <c r="M138" s="23">
        <v>2</v>
      </c>
      <c r="N138" s="29">
        <v>4</v>
      </c>
      <c r="O138" s="23">
        <v>5</v>
      </c>
      <c r="P138" s="23">
        <v>42</v>
      </c>
    </row>
    <row r="139" spans="1:16" ht="15" x14ac:dyDescent="0.25">
      <c r="A139">
        <v>120405042</v>
      </c>
      <c r="B139" t="s">
        <v>187</v>
      </c>
      <c r="C139" s="26" t="s">
        <v>55</v>
      </c>
      <c r="D139" s="26" t="s">
        <v>56</v>
      </c>
      <c r="E139" t="s">
        <v>57</v>
      </c>
      <c r="F139" t="s">
        <v>59</v>
      </c>
      <c r="G139" t="s">
        <v>58</v>
      </c>
      <c r="H139" t="s">
        <v>59</v>
      </c>
      <c r="I139" t="s">
        <v>59</v>
      </c>
      <c r="J139"/>
      <c r="L139">
        <v>1</v>
      </c>
      <c r="M139" s="23">
        <v>2</v>
      </c>
      <c r="N139" s="29">
        <v>4</v>
      </c>
      <c r="O139" s="23">
        <v>10</v>
      </c>
    </row>
    <row r="140" spans="1:16" ht="15" x14ac:dyDescent="0.25">
      <c r="A140">
        <v>120410</v>
      </c>
      <c r="B140" t="s">
        <v>188</v>
      </c>
      <c r="C140" s="26" t="s">
        <v>55</v>
      </c>
      <c r="D140" s="26" t="s">
        <v>56</v>
      </c>
      <c r="E140" t="s">
        <v>57</v>
      </c>
      <c r="F140" t="s">
        <v>58</v>
      </c>
      <c r="G140" t="s">
        <v>58</v>
      </c>
      <c r="H140" t="s">
        <v>59</v>
      </c>
      <c r="I140" t="s">
        <v>59</v>
      </c>
      <c r="J140"/>
      <c r="L140">
        <v>1</v>
      </c>
      <c r="M140" s="23">
        <v>2</v>
      </c>
      <c r="N140" s="29">
        <v>4</v>
      </c>
      <c r="O140" s="23">
        <v>10</v>
      </c>
      <c r="P140" s="23">
        <v>1</v>
      </c>
    </row>
    <row r="141" spans="1:16" ht="15" x14ac:dyDescent="0.25">
      <c r="A141">
        <v>120410001</v>
      </c>
      <c r="B141" t="s">
        <v>189</v>
      </c>
      <c r="C141" s="26" t="s">
        <v>55</v>
      </c>
      <c r="D141" s="26" t="s">
        <v>56</v>
      </c>
      <c r="E141" t="s">
        <v>57</v>
      </c>
      <c r="F141" t="s">
        <v>59</v>
      </c>
      <c r="G141" t="s">
        <v>58</v>
      </c>
      <c r="H141" t="s">
        <v>59</v>
      </c>
      <c r="I141" t="s">
        <v>59</v>
      </c>
      <c r="J141"/>
      <c r="L141">
        <v>1</v>
      </c>
      <c r="M141" s="23">
        <v>2</v>
      </c>
      <c r="N141" s="29">
        <v>4</v>
      </c>
      <c r="O141" s="23">
        <v>10</v>
      </c>
      <c r="P141" s="23">
        <v>2</v>
      </c>
    </row>
    <row r="142" spans="1:16" ht="15" x14ac:dyDescent="0.25">
      <c r="A142">
        <v>120410002</v>
      </c>
      <c r="B142" t="s">
        <v>190</v>
      </c>
      <c r="C142" s="26" t="s">
        <v>55</v>
      </c>
      <c r="D142" s="26" t="s">
        <v>56</v>
      </c>
      <c r="E142" t="s">
        <v>57</v>
      </c>
      <c r="F142" t="s">
        <v>59</v>
      </c>
      <c r="G142" t="s">
        <v>58</v>
      </c>
      <c r="H142" t="s">
        <v>59</v>
      </c>
      <c r="I142" t="s">
        <v>59</v>
      </c>
      <c r="J142"/>
      <c r="L142">
        <v>1</v>
      </c>
      <c r="M142" s="23">
        <v>2</v>
      </c>
      <c r="N142" s="29">
        <v>4</v>
      </c>
      <c r="O142" s="23">
        <v>10</v>
      </c>
      <c r="P142" s="23">
        <v>5</v>
      </c>
    </row>
    <row r="143" spans="1:16" ht="15" x14ac:dyDescent="0.25">
      <c r="A143">
        <v>120410005</v>
      </c>
      <c r="B143" t="s">
        <v>191</v>
      </c>
      <c r="C143" s="26" t="s">
        <v>55</v>
      </c>
      <c r="D143" s="26" t="s">
        <v>56</v>
      </c>
      <c r="E143" t="s">
        <v>57</v>
      </c>
      <c r="F143" t="s">
        <v>59</v>
      </c>
      <c r="G143" t="s">
        <v>58</v>
      </c>
      <c r="H143" t="s">
        <v>59</v>
      </c>
      <c r="I143" t="s">
        <v>59</v>
      </c>
      <c r="J143"/>
      <c r="L143">
        <v>1</v>
      </c>
      <c r="M143" s="23">
        <v>2</v>
      </c>
      <c r="N143" s="29">
        <v>4</v>
      </c>
      <c r="O143" s="23">
        <v>10</v>
      </c>
      <c r="P143" s="23">
        <v>10</v>
      </c>
    </row>
    <row r="144" spans="1:16" ht="15" x14ac:dyDescent="0.25">
      <c r="A144">
        <v>120410010</v>
      </c>
      <c r="B144" t="s">
        <v>192</v>
      </c>
      <c r="C144" s="26" t="s">
        <v>55</v>
      </c>
      <c r="D144" s="26" t="s">
        <v>56</v>
      </c>
      <c r="E144" t="s">
        <v>57</v>
      </c>
      <c r="F144" t="s">
        <v>59</v>
      </c>
      <c r="G144" t="s">
        <v>58</v>
      </c>
      <c r="H144" t="s">
        <v>59</v>
      </c>
      <c r="I144" t="s">
        <v>59</v>
      </c>
      <c r="J144"/>
      <c r="L144">
        <v>1</v>
      </c>
      <c r="M144" s="23">
        <v>2</v>
      </c>
      <c r="N144" s="29">
        <v>4</v>
      </c>
      <c r="O144" s="23">
        <v>10</v>
      </c>
      <c r="P144" s="23">
        <v>12</v>
      </c>
    </row>
    <row r="145" spans="1:16" ht="15" x14ac:dyDescent="0.25">
      <c r="A145">
        <v>120410012</v>
      </c>
      <c r="B145" t="s">
        <v>193</v>
      </c>
      <c r="C145" s="26" t="s">
        <v>55</v>
      </c>
      <c r="D145" s="26" t="s">
        <v>56</v>
      </c>
      <c r="E145" t="s">
        <v>57</v>
      </c>
      <c r="F145" t="s">
        <v>59</v>
      </c>
      <c r="G145" t="s">
        <v>58</v>
      </c>
      <c r="H145" t="s">
        <v>59</v>
      </c>
      <c r="I145" t="s">
        <v>59</v>
      </c>
      <c r="J145"/>
      <c r="L145">
        <v>1</v>
      </c>
      <c r="M145" s="23">
        <v>2</v>
      </c>
      <c r="N145" s="29">
        <v>4</v>
      </c>
      <c r="O145" s="23">
        <v>15</v>
      </c>
    </row>
    <row r="146" spans="1:16" ht="15" x14ac:dyDescent="0.25">
      <c r="A146">
        <v>120415</v>
      </c>
      <c r="B146" t="s">
        <v>194</v>
      </c>
      <c r="C146" s="26" t="s">
        <v>55</v>
      </c>
      <c r="D146" s="26" t="s">
        <v>56</v>
      </c>
      <c r="E146" t="s">
        <v>57</v>
      </c>
      <c r="F146" t="s">
        <v>58</v>
      </c>
      <c r="G146" t="s">
        <v>58</v>
      </c>
      <c r="H146" t="s">
        <v>59</v>
      </c>
      <c r="I146" t="s">
        <v>59</v>
      </c>
      <c r="J146"/>
      <c r="L146">
        <v>1</v>
      </c>
      <c r="M146" s="23">
        <v>2</v>
      </c>
      <c r="N146" s="29">
        <v>4</v>
      </c>
      <c r="O146" s="23">
        <v>15</v>
      </c>
      <c r="P146" s="23">
        <v>1</v>
      </c>
    </row>
    <row r="147" spans="1:16" ht="15" x14ac:dyDescent="0.25">
      <c r="A147">
        <v>120415001</v>
      </c>
      <c r="B147" t="s">
        <v>165</v>
      </c>
      <c r="C147" s="26" t="s">
        <v>55</v>
      </c>
      <c r="D147" s="26" t="s">
        <v>56</v>
      </c>
      <c r="E147" t="s">
        <v>57</v>
      </c>
      <c r="F147" t="s">
        <v>59</v>
      </c>
      <c r="G147" t="s">
        <v>58</v>
      </c>
      <c r="H147" t="s">
        <v>59</v>
      </c>
      <c r="I147" t="s">
        <v>59</v>
      </c>
      <c r="J147"/>
      <c r="L147">
        <v>1</v>
      </c>
      <c r="M147" s="23">
        <v>2</v>
      </c>
      <c r="N147" s="29">
        <v>4</v>
      </c>
      <c r="O147" s="23">
        <v>15</v>
      </c>
      <c r="P147" s="23">
        <v>2</v>
      </c>
    </row>
    <row r="148" spans="1:16" ht="15" x14ac:dyDescent="0.25">
      <c r="A148">
        <v>120415002</v>
      </c>
      <c r="B148" t="s">
        <v>195</v>
      </c>
      <c r="C148" s="26" t="s">
        <v>55</v>
      </c>
      <c r="D148" s="26" t="s">
        <v>56</v>
      </c>
      <c r="E148" t="s">
        <v>57</v>
      </c>
      <c r="F148" t="s">
        <v>59</v>
      </c>
      <c r="G148" t="s">
        <v>58</v>
      </c>
      <c r="H148" t="s">
        <v>59</v>
      </c>
      <c r="I148" t="s">
        <v>59</v>
      </c>
      <c r="J148"/>
      <c r="L148">
        <v>1</v>
      </c>
      <c r="M148" s="23">
        <v>2</v>
      </c>
      <c r="N148" s="29">
        <v>4</v>
      </c>
      <c r="O148" s="23">
        <v>15</v>
      </c>
      <c r="P148" s="23">
        <v>10</v>
      </c>
    </row>
    <row r="149" spans="1:16" ht="15" x14ac:dyDescent="0.25">
      <c r="A149">
        <v>120415010</v>
      </c>
      <c r="B149" t="s">
        <v>196</v>
      </c>
      <c r="C149" s="26" t="s">
        <v>55</v>
      </c>
      <c r="D149" s="26" t="s">
        <v>56</v>
      </c>
      <c r="E149" t="s">
        <v>57</v>
      </c>
      <c r="F149" t="s">
        <v>59</v>
      </c>
      <c r="G149" t="s">
        <v>58</v>
      </c>
      <c r="H149" t="s">
        <v>59</v>
      </c>
      <c r="I149" t="s">
        <v>59</v>
      </c>
      <c r="J149"/>
      <c r="L149">
        <v>1</v>
      </c>
      <c r="M149" s="23">
        <v>2</v>
      </c>
      <c r="N149" s="29">
        <v>4</v>
      </c>
      <c r="O149" s="23">
        <v>15</v>
      </c>
      <c r="P149" s="23">
        <v>12</v>
      </c>
    </row>
    <row r="150" spans="1:16" ht="15" x14ac:dyDescent="0.25">
      <c r="A150">
        <v>120415012</v>
      </c>
      <c r="B150" t="s">
        <v>197</v>
      </c>
      <c r="C150" s="26" t="s">
        <v>55</v>
      </c>
      <c r="D150" s="26" t="s">
        <v>56</v>
      </c>
      <c r="E150" t="s">
        <v>57</v>
      </c>
      <c r="F150" t="s">
        <v>59</v>
      </c>
      <c r="G150" t="s">
        <v>58</v>
      </c>
      <c r="H150" t="s">
        <v>59</v>
      </c>
      <c r="I150" t="s">
        <v>59</v>
      </c>
      <c r="J150"/>
      <c r="L150">
        <v>1</v>
      </c>
      <c r="M150" s="23">
        <v>2</v>
      </c>
      <c r="N150" s="29">
        <v>4</v>
      </c>
      <c r="O150" s="23">
        <v>20</v>
      </c>
    </row>
    <row r="151" spans="1:16" ht="15" x14ac:dyDescent="0.25">
      <c r="A151">
        <v>120420</v>
      </c>
      <c r="B151" t="s">
        <v>198</v>
      </c>
      <c r="C151" s="26" t="s">
        <v>55</v>
      </c>
      <c r="D151" s="26" t="s">
        <v>56</v>
      </c>
      <c r="E151" t="s">
        <v>57</v>
      </c>
      <c r="F151" t="s">
        <v>58</v>
      </c>
      <c r="G151" t="s">
        <v>58</v>
      </c>
      <c r="H151" t="s">
        <v>59</v>
      </c>
      <c r="I151" t="s">
        <v>59</v>
      </c>
      <c r="J151"/>
      <c r="L151">
        <v>1</v>
      </c>
      <c r="M151" s="23">
        <v>2</v>
      </c>
      <c r="N151" s="29">
        <v>4</v>
      </c>
      <c r="O151" s="23">
        <v>20</v>
      </c>
      <c r="P151" s="23">
        <v>1</v>
      </c>
    </row>
    <row r="152" spans="1:16" ht="15" x14ac:dyDescent="0.25">
      <c r="A152">
        <v>120420001</v>
      </c>
      <c r="B152" t="s">
        <v>199</v>
      </c>
      <c r="C152" s="26" t="s">
        <v>55</v>
      </c>
      <c r="D152" s="26" t="s">
        <v>56</v>
      </c>
      <c r="E152" t="s">
        <v>57</v>
      </c>
      <c r="F152" t="s">
        <v>59</v>
      </c>
      <c r="G152" t="s">
        <v>58</v>
      </c>
      <c r="H152" t="s">
        <v>59</v>
      </c>
      <c r="I152" t="s">
        <v>59</v>
      </c>
      <c r="J152"/>
      <c r="L152">
        <v>1</v>
      </c>
      <c r="M152" s="23">
        <v>2</v>
      </c>
      <c r="N152" s="29">
        <v>4</v>
      </c>
      <c r="O152" s="23">
        <v>20</v>
      </c>
      <c r="P152" s="23">
        <v>2</v>
      </c>
    </row>
    <row r="153" spans="1:16" ht="15" x14ac:dyDescent="0.25">
      <c r="A153">
        <v>120420002</v>
      </c>
      <c r="B153" t="s">
        <v>200</v>
      </c>
      <c r="C153" s="26" t="s">
        <v>55</v>
      </c>
      <c r="D153" s="26" t="s">
        <v>56</v>
      </c>
      <c r="E153" t="s">
        <v>57</v>
      </c>
      <c r="F153" t="s">
        <v>59</v>
      </c>
      <c r="G153" t="s">
        <v>58</v>
      </c>
      <c r="H153" t="s">
        <v>59</v>
      </c>
      <c r="I153" t="s">
        <v>59</v>
      </c>
      <c r="J153"/>
      <c r="L153">
        <v>1</v>
      </c>
      <c r="M153" s="23">
        <v>2</v>
      </c>
      <c r="N153" s="29">
        <v>4</v>
      </c>
      <c r="O153" s="23">
        <v>20</v>
      </c>
      <c r="P153" s="23">
        <v>3</v>
      </c>
    </row>
    <row r="154" spans="1:16" ht="15" x14ac:dyDescent="0.25">
      <c r="A154">
        <v>120420003</v>
      </c>
      <c r="B154" t="s">
        <v>201</v>
      </c>
      <c r="C154" s="26" t="s">
        <v>55</v>
      </c>
      <c r="D154" s="26" t="s">
        <v>56</v>
      </c>
      <c r="E154" t="s">
        <v>57</v>
      </c>
      <c r="F154" t="s">
        <v>59</v>
      </c>
      <c r="G154" t="s">
        <v>58</v>
      </c>
      <c r="H154" t="s">
        <v>59</v>
      </c>
      <c r="I154" t="s">
        <v>59</v>
      </c>
      <c r="J154"/>
      <c r="L154">
        <v>1</v>
      </c>
      <c r="M154" s="23">
        <v>2</v>
      </c>
      <c r="N154" s="29">
        <v>4</v>
      </c>
      <c r="O154" s="23">
        <v>20</v>
      </c>
      <c r="P154" s="23">
        <v>4</v>
      </c>
    </row>
    <row r="155" spans="1:16" ht="15" x14ac:dyDescent="0.25">
      <c r="A155">
        <v>120420004</v>
      </c>
      <c r="B155" t="s">
        <v>202</v>
      </c>
      <c r="C155" s="26" t="s">
        <v>55</v>
      </c>
      <c r="D155" s="26" t="s">
        <v>56</v>
      </c>
      <c r="E155" t="s">
        <v>57</v>
      </c>
      <c r="F155" t="s">
        <v>59</v>
      </c>
      <c r="G155" t="s">
        <v>58</v>
      </c>
      <c r="H155" t="s">
        <v>59</v>
      </c>
      <c r="I155" t="s">
        <v>59</v>
      </c>
      <c r="J155"/>
      <c r="L155">
        <v>1</v>
      </c>
      <c r="M155" s="23">
        <v>2</v>
      </c>
      <c r="N155" s="29">
        <v>4</v>
      </c>
      <c r="O155" s="23">
        <v>20</v>
      </c>
      <c r="P155" s="23">
        <v>10</v>
      </c>
    </row>
    <row r="156" spans="1:16" ht="15" x14ac:dyDescent="0.25">
      <c r="A156">
        <v>120420010</v>
      </c>
      <c r="B156" t="s">
        <v>203</v>
      </c>
      <c r="C156" s="26" t="s">
        <v>55</v>
      </c>
      <c r="D156" s="26" t="s">
        <v>56</v>
      </c>
      <c r="E156" t="s">
        <v>57</v>
      </c>
      <c r="F156" t="s">
        <v>59</v>
      </c>
      <c r="G156" t="s">
        <v>58</v>
      </c>
      <c r="H156" t="s">
        <v>59</v>
      </c>
      <c r="I156" t="s">
        <v>59</v>
      </c>
      <c r="J156"/>
      <c r="L156">
        <v>1</v>
      </c>
      <c r="M156" s="23">
        <v>2</v>
      </c>
      <c r="N156" s="29">
        <v>4</v>
      </c>
      <c r="O156" s="23">
        <v>20</v>
      </c>
      <c r="P156" s="23">
        <v>12</v>
      </c>
    </row>
    <row r="157" spans="1:16" ht="15" x14ac:dyDescent="0.25">
      <c r="A157">
        <v>120420012</v>
      </c>
      <c r="B157" t="s">
        <v>204</v>
      </c>
      <c r="C157" s="26" t="s">
        <v>55</v>
      </c>
      <c r="D157" s="26" t="s">
        <v>56</v>
      </c>
      <c r="E157" t="s">
        <v>57</v>
      </c>
      <c r="F157" t="s">
        <v>59</v>
      </c>
      <c r="G157" t="s">
        <v>58</v>
      </c>
      <c r="H157" t="s">
        <v>59</v>
      </c>
      <c r="I157" t="s">
        <v>59</v>
      </c>
      <c r="J157"/>
      <c r="L157">
        <v>1</v>
      </c>
      <c r="M157" s="23">
        <v>2</v>
      </c>
      <c r="N157" s="29">
        <v>4</v>
      </c>
      <c r="O157" s="23">
        <v>25</v>
      </c>
    </row>
    <row r="158" spans="1:16" ht="15" x14ac:dyDescent="0.25">
      <c r="A158">
        <v>120425</v>
      </c>
      <c r="B158" t="s">
        <v>205</v>
      </c>
      <c r="C158" s="26" t="s">
        <v>55</v>
      </c>
      <c r="D158" s="26" t="s">
        <v>56</v>
      </c>
      <c r="E158" t="s">
        <v>57</v>
      </c>
      <c r="F158" t="s">
        <v>58</v>
      </c>
      <c r="G158" t="s">
        <v>58</v>
      </c>
      <c r="H158" t="s">
        <v>59</v>
      </c>
      <c r="I158" t="s">
        <v>59</v>
      </c>
      <c r="J158"/>
      <c r="L158">
        <v>1</v>
      </c>
      <c r="M158" s="23">
        <v>2</v>
      </c>
      <c r="N158" s="29">
        <v>4</v>
      </c>
      <c r="O158" s="23">
        <v>25</v>
      </c>
      <c r="P158" s="23">
        <v>1</v>
      </c>
    </row>
    <row r="159" spans="1:16" ht="15" x14ac:dyDescent="0.25">
      <c r="A159">
        <v>120425001</v>
      </c>
      <c r="B159" t="s">
        <v>206</v>
      </c>
      <c r="C159" s="26" t="s">
        <v>55</v>
      </c>
      <c r="D159" s="26" t="s">
        <v>56</v>
      </c>
      <c r="E159" t="s">
        <v>57</v>
      </c>
      <c r="F159" t="s">
        <v>59</v>
      </c>
      <c r="G159" t="s">
        <v>58</v>
      </c>
      <c r="H159" t="s">
        <v>59</v>
      </c>
      <c r="I159" t="s">
        <v>59</v>
      </c>
      <c r="J159"/>
      <c r="L159">
        <v>1</v>
      </c>
      <c r="M159" s="23">
        <v>2</v>
      </c>
      <c r="N159" s="29">
        <v>4</v>
      </c>
      <c r="O159" s="23">
        <v>25</v>
      </c>
      <c r="P159" s="23">
        <v>2</v>
      </c>
    </row>
    <row r="160" spans="1:16" ht="15" x14ac:dyDescent="0.25">
      <c r="A160">
        <v>120425002</v>
      </c>
      <c r="B160" t="s">
        <v>207</v>
      </c>
      <c r="C160" s="26" t="s">
        <v>55</v>
      </c>
      <c r="D160" s="26" t="s">
        <v>56</v>
      </c>
      <c r="E160" t="s">
        <v>57</v>
      </c>
      <c r="F160" t="s">
        <v>59</v>
      </c>
      <c r="G160" t="s">
        <v>58</v>
      </c>
      <c r="H160" t="s">
        <v>59</v>
      </c>
      <c r="I160" t="s">
        <v>59</v>
      </c>
      <c r="J160"/>
      <c r="L160">
        <v>1</v>
      </c>
      <c r="M160" s="23">
        <v>2</v>
      </c>
      <c r="N160" s="29">
        <v>4</v>
      </c>
      <c r="O160" s="23">
        <v>25</v>
      </c>
      <c r="P160" s="23">
        <v>3</v>
      </c>
    </row>
    <row r="161" spans="1:16" ht="15" x14ac:dyDescent="0.25">
      <c r="A161">
        <v>120425003</v>
      </c>
      <c r="B161" t="s">
        <v>208</v>
      </c>
      <c r="C161" s="26" t="s">
        <v>55</v>
      </c>
      <c r="D161" s="26" t="s">
        <v>56</v>
      </c>
      <c r="E161" t="s">
        <v>57</v>
      </c>
      <c r="F161" t="s">
        <v>59</v>
      </c>
      <c r="G161" t="s">
        <v>58</v>
      </c>
      <c r="H161" t="s">
        <v>59</v>
      </c>
      <c r="I161" t="s">
        <v>59</v>
      </c>
      <c r="J161"/>
      <c r="L161">
        <v>1</v>
      </c>
      <c r="M161" s="23">
        <v>2</v>
      </c>
      <c r="N161" s="29">
        <v>4</v>
      </c>
      <c r="O161" s="23">
        <v>25</v>
      </c>
      <c r="P161" s="23">
        <v>10</v>
      </c>
    </row>
    <row r="162" spans="1:16" ht="15" x14ac:dyDescent="0.25">
      <c r="A162">
        <v>120425010</v>
      </c>
      <c r="B162" t="s">
        <v>209</v>
      </c>
      <c r="C162" s="26" t="s">
        <v>55</v>
      </c>
      <c r="D162" s="26" t="s">
        <v>56</v>
      </c>
      <c r="E162" t="s">
        <v>57</v>
      </c>
      <c r="F162" t="s">
        <v>59</v>
      </c>
      <c r="G162" t="s">
        <v>58</v>
      </c>
      <c r="H162" t="s">
        <v>59</v>
      </c>
      <c r="I162" t="s">
        <v>59</v>
      </c>
      <c r="J162"/>
      <c r="L162">
        <v>1</v>
      </c>
      <c r="M162" s="23">
        <v>2</v>
      </c>
      <c r="N162" s="29">
        <v>4</v>
      </c>
      <c r="O162" s="23">
        <v>25</v>
      </c>
      <c r="P162" s="23">
        <v>12</v>
      </c>
    </row>
    <row r="163" spans="1:16" ht="15" x14ac:dyDescent="0.25">
      <c r="A163">
        <v>120425012</v>
      </c>
      <c r="B163" t="s">
        <v>210</v>
      </c>
      <c r="C163" s="26" t="s">
        <v>55</v>
      </c>
      <c r="D163" s="26" t="s">
        <v>56</v>
      </c>
      <c r="E163" t="s">
        <v>57</v>
      </c>
      <c r="F163" t="s">
        <v>59</v>
      </c>
      <c r="G163" t="s">
        <v>58</v>
      </c>
      <c r="H163" t="s">
        <v>59</v>
      </c>
      <c r="I163" t="s">
        <v>59</v>
      </c>
      <c r="J163"/>
      <c r="L163">
        <v>1</v>
      </c>
      <c r="M163" s="23">
        <v>2</v>
      </c>
      <c r="N163" s="29">
        <v>4</v>
      </c>
      <c r="O163" s="23">
        <v>25</v>
      </c>
      <c r="P163" s="23">
        <v>13</v>
      </c>
    </row>
    <row r="164" spans="1:16" ht="15" x14ac:dyDescent="0.25">
      <c r="A164">
        <v>120425013</v>
      </c>
      <c r="B164" t="s">
        <v>211</v>
      </c>
      <c r="C164" s="26" t="s">
        <v>55</v>
      </c>
      <c r="D164" s="26" t="s">
        <v>56</v>
      </c>
      <c r="E164" t="s">
        <v>57</v>
      </c>
      <c r="F164" t="s">
        <v>59</v>
      </c>
      <c r="G164" t="s">
        <v>58</v>
      </c>
      <c r="H164" t="s">
        <v>59</v>
      </c>
      <c r="I164" t="s">
        <v>59</v>
      </c>
      <c r="J164"/>
      <c r="L164">
        <v>1</v>
      </c>
      <c r="M164" s="23">
        <v>2</v>
      </c>
      <c r="N164" s="29">
        <v>4</v>
      </c>
      <c r="O164" s="23">
        <v>25</v>
      </c>
      <c r="P164" s="23">
        <v>14</v>
      </c>
    </row>
    <row r="165" spans="1:16" ht="15" x14ac:dyDescent="0.25">
      <c r="A165">
        <v>120425014</v>
      </c>
      <c r="B165" t="s">
        <v>212</v>
      </c>
      <c r="C165" s="26" t="s">
        <v>55</v>
      </c>
      <c r="D165" s="26" t="s">
        <v>56</v>
      </c>
      <c r="E165" t="s">
        <v>57</v>
      </c>
      <c r="F165" t="s">
        <v>59</v>
      </c>
      <c r="G165" t="s">
        <v>58</v>
      </c>
      <c r="H165" t="s">
        <v>59</v>
      </c>
      <c r="I165" t="s">
        <v>59</v>
      </c>
      <c r="J165"/>
      <c r="L165">
        <v>1</v>
      </c>
      <c r="M165" s="23">
        <v>2</v>
      </c>
      <c r="N165" s="29">
        <v>4</v>
      </c>
      <c r="O165" s="23">
        <v>25</v>
      </c>
      <c r="P165" s="23">
        <v>15</v>
      </c>
    </row>
    <row r="166" spans="1:16" ht="15" x14ac:dyDescent="0.25">
      <c r="A166">
        <v>120425015</v>
      </c>
      <c r="B166" t="s">
        <v>213</v>
      </c>
      <c r="C166" s="26" t="s">
        <v>55</v>
      </c>
      <c r="D166" s="26" t="s">
        <v>56</v>
      </c>
      <c r="E166" t="s">
        <v>57</v>
      </c>
      <c r="F166" t="s">
        <v>59</v>
      </c>
      <c r="G166" t="s">
        <v>58</v>
      </c>
      <c r="H166" t="s">
        <v>59</v>
      </c>
      <c r="I166" t="s">
        <v>59</v>
      </c>
      <c r="J166"/>
      <c r="L166">
        <v>1</v>
      </c>
      <c r="M166" s="23">
        <v>2</v>
      </c>
      <c r="N166" s="29">
        <v>4</v>
      </c>
      <c r="O166" s="23">
        <v>25</v>
      </c>
      <c r="P166" s="23">
        <v>16</v>
      </c>
    </row>
    <row r="167" spans="1:16" ht="15" x14ac:dyDescent="0.25">
      <c r="A167">
        <v>120425016</v>
      </c>
      <c r="B167" t="s">
        <v>214</v>
      </c>
      <c r="C167" s="26" t="s">
        <v>55</v>
      </c>
      <c r="D167" s="26" t="s">
        <v>56</v>
      </c>
      <c r="E167" t="s">
        <v>57</v>
      </c>
      <c r="F167" t="s">
        <v>59</v>
      </c>
      <c r="G167" t="s">
        <v>58</v>
      </c>
      <c r="H167" t="s">
        <v>59</v>
      </c>
      <c r="I167" t="s">
        <v>59</v>
      </c>
      <c r="J167"/>
      <c r="L167">
        <v>1</v>
      </c>
      <c r="M167" s="23">
        <v>2</v>
      </c>
      <c r="N167" s="29">
        <v>4</v>
      </c>
      <c r="O167" s="23">
        <v>25</v>
      </c>
      <c r="P167" s="23">
        <v>17</v>
      </c>
    </row>
    <row r="168" spans="1:16" ht="15" x14ac:dyDescent="0.25">
      <c r="A168">
        <v>120425017</v>
      </c>
      <c r="B168" t="s">
        <v>215</v>
      </c>
      <c r="C168" s="26" t="s">
        <v>55</v>
      </c>
      <c r="D168" s="26" t="s">
        <v>56</v>
      </c>
      <c r="E168" t="s">
        <v>57</v>
      </c>
      <c r="F168" t="s">
        <v>59</v>
      </c>
      <c r="G168" t="s">
        <v>58</v>
      </c>
      <c r="H168" t="s">
        <v>59</v>
      </c>
      <c r="I168" t="s">
        <v>59</v>
      </c>
      <c r="J168"/>
      <c r="L168">
        <v>1</v>
      </c>
      <c r="M168" s="23">
        <v>2</v>
      </c>
      <c r="N168" s="29">
        <v>4</v>
      </c>
      <c r="O168" s="23">
        <v>25</v>
      </c>
      <c r="P168" s="23">
        <v>18</v>
      </c>
    </row>
    <row r="169" spans="1:16" ht="15" x14ac:dyDescent="0.25">
      <c r="A169">
        <v>120425018</v>
      </c>
      <c r="B169" t="s">
        <v>216</v>
      </c>
      <c r="C169" s="26" t="s">
        <v>55</v>
      </c>
      <c r="D169" s="26" t="s">
        <v>56</v>
      </c>
      <c r="E169" t="s">
        <v>57</v>
      </c>
      <c r="F169" t="s">
        <v>59</v>
      </c>
      <c r="G169" t="s">
        <v>58</v>
      </c>
      <c r="H169" t="s">
        <v>59</v>
      </c>
      <c r="I169" t="s">
        <v>59</v>
      </c>
      <c r="J169"/>
      <c r="L169">
        <v>1</v>
      </c>
      <c r="M169" s="23">
        <v>2</v>
      </c>
      <c r="N169" s="29">
        <v>4</v>
      </c>
      <c r="O169" s="23">
        <v>25</v>
      </c>
      <c r="P169" s="23">
        <v>19</v>
      </c>
    </row>
    <row r="170" spans="1:16" ht="15" x14ac:dyDescent="0.25">
      <c r="A170">
        <v>120425019</v>
      </c>
      <c r="B170" t="s">
        <v>217</v>
      </c>
      <c r="C170" s="26" t="s">
        <v>55</v>
      </c>
      <c r="D170" s="26" t="s">
        <v>56</v>
      </c>
      <c r="E170" t="s">
        <v>57</v>
      </c>
      <c r="F170" t="s">
        <v>59</v>
      </c>
      <c r="G170" t="s">
        <v>58</v>
      </c>
      <c r="H170" t="s">
        <v>59</v>
      </c>
      <c r="I170" t="s">
        <v>59</v>
      </c>
      <c r="J170"/>
      <c r="L170">
        <v>1</v>
      </c>
      <c r="M170" s="23">
        <v>2</v>
      </c>
      <c r="N170" s="29">
        <v>4</v>
      </c>
      <c r="O170" s="23">
        <v>27</v>
      </c>
    </row>
    <row r="171" spans="1:16" ht="15" x14ac:dyDescent="0.25">
      <c r="A171">
        <v>120427</v>
      </c>
      <c r="B171" t="s">
        <v>218</v>
      </c>
      <c r="C171" s="26" t="s">
        <v>55</v>
      </c>
      <c r="D171" s="26" t="s">
        <v>56</v>
      </c>
      <c r="E171" t="s">
        <v>57</v>
      </c>
      <c r="F171" t="s">
        <v>58</v>
      </c>
      <c r="G171" t="s">
        <v>58</v>
      </c>
      <c r="H171" t="s">
        <v>59</v>
      </c>
      <c r="I171" t="s">
        <v>59</v>
      </c>
      <c r="J171"/>
      <c r="L171">
        <v>1</v>
      </c>
      <c r="M171" s="23">
        <v>2</v>
      </c>
      <c r="N171" s="29">
        <v>4</v>
      </c>
      <c r="O171" s="23">
        <v>27</v>
      </c>
      <c r="P171" s="23">
        <v>1</v>
      </c>
    </row>
    <row r="172" spans="1:16" ht="15" x14ac:dyDescent="0.25">
      <c r="A172">
        <v>120427001</v>
      </c>
      <c r="B172" t="s">
        <v>219</v>
      </c>
      <c r="C172" s="26" t="s">
        <v>55</v>
      </c>
      <c r="D172" s="26" t="s">
        <v>56</v>
      </c>
      <c r="E172" t="s">
        <v>57</v>
      </c>
      <c r="F172" t="s">
        <v>59</v>
      </c>
      <c r="G172" t="s">
        <v>58</v>
      </c>
      <c r="H172" t="s">
        <v>59</v>
      </c>
      <c r="I172" t="s">
        <v>59</v>
      </c>
      <c r="J172"/>
      <c r="L172">
        <v>1</v>
      </c>
      <c r="M172" s="23">
        <v>2</v>
      </c>
      <c r="N172" s="29">
        <v>4</v>
      </c>
      <c r="O172" s="23">
        <v>27</v>
      </c>
      <c r="P172" s="23">
        <v>2</v>
      </c>
    </row>
    <row r="173" spans="1:16" ht="15" x14ac:dyDescent="0.25">
      <c r="A173">
        <v>120427002</v>
      </c>
      <c r="B173" t="s">
        <v>220</v>
      </c>
      <c r="C173" s="26" t="s">
        <v>55</v>
      </c>
      <c r="D173" s="26" t="s">
        <v>56</v>
      </c>
      <c r="E173" t="s">
        <v>57</v>
      </c>
      <c r="F173" t="s">
        <v>59</v>
      </c>
      <c r="G173" t="s">
        <v>58</v>
      </c>
      <c r="H173" t="s">
        <v>59</v>
      </c>
      <c r="I173" t="s">
        <v>59</v>
      </c>
      <c r="J173"/>
      <c r="L173">
        <v>1</v>
      </c>
      <c r="M173" s="23">
        <v>2</v>
      </c>
      <c r="N173" s="29">
        <v>4</v>
      </c>
      <c r="O173" s="23">
        <v>27</v>
      </c>
      <c r="P173" s="23">
        <v>3</v>
      </c>
    </row>
    <row r="174" spans="1:16" ht="15" x14ac:dyDescent="0.25">
      <c r="A174">
        <v>120427003</v>
      </c>
      <c r="B174" t="s">
        <v>221</v>
      </c>
      <c r="C174" s="26" t="s">
        <v>55</v>
      </c>
      <c r="D174" s="26" t="s">
        <v>56</v>
      </c>
      <c r="E174" t="s">
        <v>57</v>
      </c>
      <c r="F174" t="s">
        <v>59</v>
      </c>
      <c r="G174" t="s">
        <v>58</v>
      </c>
      <c r="H174" t="s">
        <v>59</v>
      </c>
      <c r="I174" t="s">
        <v>59</v>
      </c>
      <c r="J174"/>
      <c r="L174">
        <v>1</v>
      </c>
      <c r="M174" s="23">
        <v>2</v>
      </c>
      <c r="N174" s="29">
        <v>4</v>
      </c>
      <c r="O174" s="23">
        <v>27</v>
      </c>
      <c r="P174" s="23">
        <v>4</v>
      </c>
    </row>
    <row r="175" spans="1:16" ht="15" x14ac:dyDescent="0.25">
      <c r="A175">
        <v>120427004</v>
      </c>
      <c r="B175" t="s">
        <v>222</v>
      </c>
      <c r="C175" s="26" t="s">
        <v>55</v>
      </c>
      <c r="D175" s="26" t="s">
        <v>56</v>
      </c>
      <c r="E175" t="s">
        <v>57</v>
      </c>
      <c r="F175" t="s">
        <v>59</v>
      </c>
      <c r="G175" t="s">
        <v>58</v>
      </c>
      <c r="H175" t="s">
        <v>59</v>
      </c>
      <c r="I175" t="s">
        <v>59</v>
      </c>
      <c r="J175"/>
      <c r="L175">
        <v>1</v>
      </c>
      <c r="M175" s="23">
        <v>2</v>
      </c>
      <c r="N175" s="29">
        <v>4</v>
      </c>
      <c r="O175" s="23">
        <v>27</v>
      </c>
      <c r="P175" s="23">
        <v>10</v>
      </c>
    </row>
    <row r="176" spans="1:16" ht="15" x14ac:dyDescent="0.25">
      <c r="A176">
        <v>120427010</v>
      </c>
      <c r="B176" t="s">
        <v>223</v>
      </c>
      <c r="C176" s="26" t="s">
        <v>55</v>
      </c>
      <c r="D176" s="26" t="s">
        <v>56</v>
      </c>
      <c r="E176" t="s">
        <v>57</v>
      </c>
      <c r="F176" t="s">
        <v>59</v>
      </c>
      <c r="G176" t="s">
        <v>58</v>
      </c>
      <c r="H176" t="s">
        <v>59</v>
      </c>
      <c r="I176" t="s">
        <v>59</v>
      </c>
      <c r="J176"/>
      <c r="L176">
        <v>1</v>
      </c>
      <c r="M176" s="23">
        <v>2</v>
      </c>
      <c r="N176" s="29">
        <v>4</v>
      </c>
      <c r="O176" s="23">
        <v>27</v>
      </c>
      <c r="P176" s="23">
        <v>12</v>
      </c>
    </row>
    <row r="177" spans="1:16" ht="15" x14ac:dyDescent="0.25">
      <c r="A177">
        <v>120427012</v>
      </c>
      <c r="B177" t="s">
        <v>224</v>
      </c>
      <c r="C177" s="26" t="s">
        <v>55</v>
      </c>
      <c r="D177" s="26" t="s">
        <v>56</v>
      </c>
      <c r="E177" t="s">
        <v>57</v>
      </c>
      <c r="F177" t="s">
        <v>59</v>
      </c>
      <c r="G177" t="s">
        <v>58</v>
      </c>
      <c r="H177" t="s">
        <v>59</v>
      </c>
      <c r="I177" t="s">
        <v>59</v>
      </c>
      <c r="J177"/>
      <c r="L177">
        <v>1</v>
      </c>
      <c r="M177" s="23">
        <v>2</v>
      </c>
      <c r="N177" s="29">
        <v>4</v>
      </c>
      <c r="O177" s="23">
        <v>27</v>
      </c>
      <c r="P177" s="23">
        <v>13</v>
      </c>
    </row>
    <row r="178" spans="1:16" ht="15" x14ac:dyDescent="0.25">
      <c r="A178">
        <v>120427013</v>
      </c>
      <c r="B178" t="s">
        <v>225</v>
      </c>
      <c r="C178" s="26" t="s">
        <v>55</v>
      </c>
      <c r="D178" s="26" t="s">
        <v>56</v>
      </c>
      <c r="E178" t="s">
        <v>57</v>
      </c>
      <c r="F178" t="s">
        <v>59</v>
      </c>
      <c r="G178" t="s">
        <v>58</v>
      </c>
      <c r="H178" t="s">
        <v>59</v>
      </c>
      <c r="I178" t="s">
        <v>59</v>
      </c>
      <c r="J178"/>
      <c r="L178">
        <v>1</v>
      </c>
      <c r="M178" s="23">
        <v>2</v>
      </c>
      <c r="N178" s="29">
        <v>4</v>
      </c>
      <c r="O178" s="23">
        <v>27</v>
      </c>
      <c r="P178" s="23">
        <v>14</v>
      </c>
    </row>
    <row r="179" spans="1:16" ht="15" x14ac:dyDescent="0.25">
      <c r="A179">
        <v>120427014</v>
      </c>
      <c r="B179" t="s">
        <v>226</v>
      </c>
      <c r="C179" s="26" t="s">
        <v>55</v>
      </c>
      <c r="D179" s="26" t="s">
        <v>56</v>
      </c>
      <c r="E179" t="s">
        <v>57</v>
      </c>
      <c r="F179" t="s">
        <v>59</v>
      </c>
      <c r="G179" t="s">
        <v>58</v>
      </c>
      <c r="H179" t="s">
        <v>59</v>
      </c>
      <c r="I179" t="s">
        <v>59</v>
      </c>
      <c r="J179"/>
      <c r="L179">
        <v>1</v>
      </c>
      <c r="M179" s="23">
        <v>2</v>
      </c>
      <c r="N179" s="29">
        <v>4</v>
      </c>
      <c r="O179" s="23">
        <v>27</v>
      </c>
      <c r="P179" s="23">
        <v>15</v>
      </c>
    </row>
    <row r="180" spans="1:16" ht="15" x14ac:dyDescent="0.25">
      <c r="A180">
        <v>120427015</v>
      </c>
      <c r="B180" t="s">
        <v>227</v>
      </c>
      <c r="C180" s="26" t="s">
        <v>55</v>
      </c>
      <c r="D180" s="26" t="s">
        <v>56</v>
      </c>
      <c r="E180" t="s">
        <v>57</v>
      </c>
      <c r="F180" t="s">
        <v>59</v>
      </c>
      <c r="G180" t="s">
        <v>58</v>
      </c>
      <c r="H180" t="s">
        <v>59</v>
      </c>
      <c r="I180" t="s">
        <v>59</v>
      </c>
      <c r="J180"/>
      <c r="L180">
        <v>1</v>
      </c>
      <c r="M180" s="23">
        <v>2</v>
      </c>
      <c r="N180" s="29">
        <v>4</v>
      </c>
      <c r="O180" s="23">
        <v>35</v>
      </c>
    </row>
    <row r="181" spans="1:16" ht="15" x14ac:dyDescent="0.25">
      <c r="A181">
        <v>120435</v>
      </c>
      <c r="B181" t="s">
        <v>228</v>
      </c>
      <c r="C181" s="26" t="s">
        <v>55</v>
      </c>
      <c r="D181" s="26" t="s">
        <v>56</v>
      </c>
      <c r="E181" t="s">
        <v>57</v>
      </c>
      <c r="F181" t="s">
        <v>58</v>
      </c>
      <c r="G181" t="s">
        <v>58</v>
      </c>
      <c r="H181" t="s">
        <v>59</v>
      </c>
      <c r="I181" t="s">
        <v>59</v>
      </c>
      <c r="J181"/>
      <c r="L181">
        <v>1</v>
      </c>
      <c r="M181" s="23">
        <v>2</v>
      </c>
      <c r="N181" s="29">
        <v>4</v>
      </c>
      <c r="O181" s="23">
        <v>35</v>
      </c>
      <c r="P181" s="23">
        <v>1</v>
      </c>
    </row>
    <row r="182" spans="1:16" ht="15" x14ac:dyDescent="0.25">
      <c r="A182">
        <v>120435001</v>
      </c>
      <c r="B182" t="s">
        <v>228</v>
      </c>
      <c r="C182" s="26" t="s">
        <v>55</v>
      </c>
      <c r="D182" s="26" t="s">
        <v>56</v>
      </c>
      <c r="E182" t="s">
        <v>57</v>
      </c>
      <c r="F182" t="s">
        <v>59</v>
      </c>
      <c r="G182" t="s">
        <v>58</v>
      </c>
      <c r="H182" t="s">
        <v>59</v>
      </c>
      <c r="I182" t="s">
        <v>59</v>
      </c>
      <c r="J182"/>
      <c r="L182">
        <v>1</v>
      </c>
      <c r="M182" s="23">
        <v>2</v>
      </c>
      <c r="N182" s="29">
        <v>4</v>
      </c>
      <c r="O182" s="23">
        <v>35</v>
      </c>
      <c r="P182" s="23">
        <v>2</v>
      </c>
    </row>
    <row r="183" spans="1:16" ht="15" x14ac:dyDescent="0.25">
      <c r="A183">
        <v>120435002</v>
      </c>
      <c r="B183" t="s">
        <v>229</v>
      </c>
      <c r="C183" s="26" t="s">
        <v>55</v>
      </c>
      <c r="D183" s="26" t="s">
        <v>56</v>
      </c>
      <c r="E183" t="s">
        <v>57</v>
      </c>
      <c r="F183" t="s">
        <v>59</v>
      </c>
      <c r="G183" t="s">
        <v>58</v>
      </c>
      <c r="H183" t="s">
        <v>59</v>
      </c>
      <c r="I183" t="s">
        <v>59</v>
      </c>
      <c r="J183"/>
      <c r="L183">
        <v>1</v>
      </c>
      <c r="M183" s="23">
        <v>2</v>
      </c>
      <c r="N183" s="29">
        <v>4</v>
      </c>
      <c r="O183" s="23">
        <v>35</v>
      </c>
      <c r="P183" s="23">
        <v>10</v>
      </c>
    </row>
    <row r="184" spans="1:16" ht="15" x14ac:dyDescent="0.25">
      <c r="A184">
        <v>120435010</v>
      </c>
      <c r="B184" t="s">
        <v>230</v>
      </c>
      <c r="C184" s="26" t="s">
        <v>55</v>
      </c>
      <c r="D184" s="26" t="s">
        <v>56</v>
      </c>
      <c r="E184" t="s">
        <v>57</v>
      </c>
      <c r="F184" t="s">
        <v>59</v>
      </c>
      <c r="G184" t="s">
        <v>58</v>
      </c>
      <c r="H184" t="s">
        <v>59</v>
      </c>
      <c r="I184" t="s">
        <v>59</v>
      </c>
      <c r="J184"/>
      <c r="L184">
        <v>1</v>
      </c>
      <c r="M184" s="23">
        <v>2</v>
      </c>
      <c r="N184" s="29">
        <v>4</v>
      </c>
      <c r="O184" s="23">
        <v>35</v>
      </c>
      <c r="P184" s="23">
        <v>12</v>
      </c>
    </row>
    <row r="185" spans="1:16" ht="15" x14ac:dyDescent="0.25">
      <c r="A185">
        <v>120435012</v>
      </c>
      <c r="B185" t="s">
        <v>231</v>
      </c>
      <c r="C185" s="26" t="s">
        <v>55</v>
      </c>
      <c r="D185" s="26" t="s">
        <v>56</v>
      </c>
      <c r="E185" t="s">
        <v>57</v>
      </c>
      <c r="F185" t="s">
        <v>59</v>
      </c>
      <c r="G185" t="s">
        <v>58</v>
      </c>
      <c r="H185" t="s">
        <v>59</v>
      </c>
      <c r="I185" t="s">
        <v>59</v>
      </c>
      <c r="J185"/>
      <c r="L185">
        <v>1</v>
      </c>
      <c r="M185" s="23">
        <v>2</v>
      </c>
      <c r="N185" s="29">
        <v>5</v>
      </c>
    </row>
    <row r="186" spans="1:16" ht="15" x14ac:dyDescent="0.25">
      <c r="A186">
        <v>1205</v>
      </c>
      <c r="B186" t="s">
        <v>232</v>
      </c>
      <c r="C186" s="26" t="s">
        <v>55</v>
      </c>
      <c r="D186" s="26" t="s">
        <v>56</v>
      </c>
      <c r="E186" t="s">
        <v>57</v>
      </c>
      <c r="F186" t="s">
        <v>58</v>
      </c>
      <c r="G186" t="s">
        <v>58</v>
      </c>
      <c r="H186" t="s">
        <v>59</v>
      </c>
      <c r="I186" t="s">
        <v>59</v>
      </c>
      <c r="J186"/>
      <c r="L186">
        <v>1</v>
      </c>
      <c r="M186" s="23">
        <v>2</v>
      </c>
      <c r="N186" s="29">
        <v>5</v>
      </c>
      <c r="O186" s="23">
        <v>1</v>
      </c>
    </row>
    <row r="187" spans="1:16" ht="15" x14ac:dyDescent="0.25">
      <c r="A187">
        <v>120501</v>
      </c>
      <c r="B187" t="s">
        <v>233</v>
      </c>
      <c r="C187" s="26" t="s">
        <v>55</v>
      </c>
      <c r="D187" s="26" t="s">
        <v>56</v>
      </c>
      <c r="E187" t="s">
        <v>57</v>
      </c>
      <c r="F187" t="s">
        <v>58</v>
      </c>
      <c r="G187" t="s">
        <v>58</v>
      </c>
      <c r="H187" t="s">
        <v>59</v>
      </c>
      <c r="I187" t="s">
        <v>59</v>
      </c>
      <c r="J187"/>
      <c r="L187">
        <v>1</v>
      </c>
      <c r="M187" s="23">
        <v>2</v>
      </c>
      <c r="N187" s="29">
        <v>5</v>
      </c>
      <c r="O187" s="23">
        <v>1</v>
      </c>
      <c r="P187" s="23">
        <v>1</v>
      </c>
    </row>
    <row r="188" spans="1:16" ht="15" x14ac:dyDescent="0.25">
      <c r="A188">
        <v>120501001</v>
      </c>
      <c r="B188" t="s">
        <v>234</v>
      </c>
      <c r="C188" s="26" t="s">
        <v>55</v>
      </c>
      <c r="D188" s="26" t="s">
        <v>56</v>
      </c>
      <c r="E188" t="s">
        <v>57</v>
      </c>
      <c r="F188" t="s">
        <v>59</v>
      </c>
      <c r="G188" t="s">
        <v>58</v>
      </c>
      <c r="H188" t="s">
        <v>59</v>
      </c>
      <c r="I188" t="s">
        <v>59</v>
      </c>
      <c r="J188"/>
      <c r="L188">
        <v>1</v>
      </c>
      <c r="M188" s="23">
        <v>2</v>
      </c>
      <c r="N188" s="29">
        <v>5</v>
      </c>
      <c r="O188" s="23">
        <v>5</v>
      </c>
    </row>
    <row r="189" spans="1:16" ht="15" x14ac:dyDescent="0.25">
      <c r="A189">
        <v>120505</v>
      </c>
      <c r="B189" t="s">
        <v>235</v>
      </c>
      <c r="C189" s="26" t="s">
        <v>55</v>
      </c>
      <c r="D189" s="26" t="s">
        <v>56</v>
      </c>
      <c r="E189" t="s">
        <v>57</v>
      </c>
      <c r="F189" t="s">
        <v>58</v>
      </c>
      <c r="G189" t="s">
        <v>58</v>
      </c>
      <c r="H189" t="s">
        <v>59</v>
      </c>
      <c r="I189" t="s">
        <v>59</v>
      </c>
      <c r="J189"/>
      <c r="L189">
        <v>1</v>
      </c>
      <c r="M189" s="23">
        <v>2</v>
      </c>
      <c r="N189" s="29">
        <v>5</v>
      </c>
      <c r="O189" s="23">
        <v>5</v>
      </c>
      <c r="P189" s="23">
        <v>1</v>
      </c>
    </row>
    <row r="190" spans="1:16" ht="15" x14ac:dyDescent="0.25">
      <c r="A190">
        <v>120505001</v>
      </c>
      <c r="B190" t="s">
        <v>236</v>
      </c>
      <c r="C190" s="26" t="s">
        <v>55</v>
      </c>
      <c r="D190" s="26" t="s">
        <v>56</v>
      </c>
      <c r="E190" t="s">
        <v>57</v>
      </c>
      <c r="F190" t="s">
        <v>59</v>
      </c>
      <c r="G190" t="s">
        <v>58</v>
      </c>
      <c r="H190" t="s">
        <v>59</v>
      </c>
      <c r="I190" t="s">
        <v>59</v>
      </c>
      <c r="J190"/>
      <c r="L190">
        <v>1</v>
      </c>
      <c r="M190" s="23">
        <v>2</v>
      </c>
      <c r="N190" s="29">
        <v>5</v>
      </c>
      <c r="O190" s="23">
        <v>5</v>
      </c>
      <c r="P190" s="23">
        <v>2</v>
      </c>
    </row>
    <row r="191" spans="1:16" ht="15" x14ac:dyDescent="0.25">
      <c r="A191">
        <v>120505002</v>
      </c>
      <c r="B191" t="s">
        <v>237</v>
      </c>
      <c r="C191" s="26" t="s">
        <v>55</v>
      </c>
      <c r="D191" s="26" t="s">
        <v>56</v>
      </c>
      <c r="E191" t="s">
        <v>57</v>
      </c>
      <c r="F191" t="s">
        <v>59</v>
      </c>
      <c r="G191" t="s">
        <v>58</v>
      </c>
      <c r="H191" t="s">
        <v>59</v>
      </c>
      <c r="I191" t="s">
        <v>59</v>
      </c>
      <c r="J191"/>
      <c r="L191">
        <v>1</v>
      </c>
      <c r="M191" s="23">
        <v>2</v>
      </c>
      <c r="N191" s="29">
        <v>5</v>
      </c>
      <c r="O191" s="23">
        <v>5</v>
      </c>
      <c r="P191" s="23">
        <v>10</v>
      </c>
    </row>
    <row r="192" spans="1:16" ht="15" x14ac:dyDescent="0.25">
      <c r="A192">
        <v>120505010</v>
      </c>
      <c r="B192" t="s">
        <v>238</v>
      </c>
      <c r="C192" s="26" t="s">
        <v>55</v>
      </c>
      <c r="D192" s="26" t="s">
        <v>56</v>
      </c>
      <c r="E192" t="s">
        <v>57</v>
      </c>
      <c r="F192" t="s">
        <v>59</v>
      </c>
      <c r="G192" t="s">
        <v>58</v>
      </c>
      <c r="H192" t="s">
        <v>59</v>
      </c>
      <c r="I192" t="s">
        <v>59</v>
      </c>
      <c r="J192"/>
      <c r="L192">
        <v>1</v>
      </c>
      <c r="M192" s="23">
        <v>2</v>
      </c>
      <c r="N192" s="29">
        <v>5</v>
      </c>
      <c r="O192" s="23">
        <v>5</v>
      </c>
      <c r="P192" s="23">
        <v>12</v>
      </c>
    </row>
    <row r="193" spans="1:16" ht="15" x14ac:dyDescent="0.25">
      <c r="A193">
        <v>120505012</v>
      </c>
      <c r="B193" t="s">
        <v>239</v>
      </c>
      <c r="C193" s="26" t="s">
        <v>55</v>
      </c>
      <c r="D193" s="26" t="s">
        <v>56</v>
      </c>
      <c r="E193" t="s">
        <v>57</v>
      </c>
      <c r="F193" t="s">
        <v>59</v>
      </c>
      <c r="G193" t="s">
        <v>58</v>
      </c>
      <c r="H193" t="s">
        <v>59</v>
      </c>
      <c r="I193" t="s">
        <v>59</v>
      </c>
      <c r="J193"/>
      <c r="L193">
        <v>1</v>
      </c>
      <c r="M193" s="23">
        <v>2</v>
      </c>
      <c r="N193" s="29">
        <v>6</v>
      </c>
    </row>
    <row r="194" spans="1:16" ht="15" x14ac:dyDescent="0.25">
      <c r="A194">
        <v>1206</v>
      </c>
      <c r="B194" t="s">
        <v>234</v>
      </c>
      <c r="C194" s="26" t="s">
        <v>55</v>
      </c>
      <c r="D194" s="26" t="s">
        <v>56</v>
      </c>
      <c r="E194" t="s">
        <v>57</v>
      </c>
      <c r="F194" t="s">
        <v>58</v>
      </c>
      <c r="G194" t="s">
        <v>58</v>
      </c>
      <c r="H194" t="s">
        <v>58</v>
      </c>
      <c r="I194" t="s">
        <v>59</v>
      </c>
      <c r="J194"/>
      <c r="L194">
        <v>1</v>
      </c>
      <c r="M194" s="23">
        <v>2</v>
      </c>
      <c r="N194" s="29">
        <v>6</v>
      </c>
      <c r="O194" s="23">
        <v>1</v>
      </c>
    </row>
    <row r="195" spans="1:16" ht="15" x14ac:dyDescent="0.25">
      <c r="A195">
        <v>120601</v>
      </c>
      <c r="B195" t="s">
        <v>240</v>
      </c>
      <c r="C195" s="26" t="s">
        <v>55</v>
      </c>
      <c r="D195" s="26" t="s">
        <v>56</v>
      </c>
      <c r="E195" t="s">
        <v>57</v>
      </c>
      <c r="F195" t="s">
        <v>59</v>
      </c>
      <c r="G195" t="s">
        <v>58</v>
      </c>
      <c r="H195" t="s">
        <v>58</v>
      </c>
      <c r="I195" t="s">
        <v>59</v>
      </c>
      <c r="J195"/>
      <c r="L195">
        <v>1</v>
      </c>
      <c r="M195" s="23">
        <v>2</v>
      </c>
      <c r="N195" s="29">
        <v>42</v>
      </c>
      <c r="O195" s="23">
        <v>50</v>
      </c>
      <c r="P195" s="23">
        <v>10</v>
      </c>
    </row>
    <row r="196" spans="1:16" ht="15" x14ac:dyDescent="0.25">
      <c r="A196">
        <v>12425010</v>
      </c>
      <c r="B196" t="s">
        <v>241</v>
      </c>
      <c r="C196" s="26" t="s">
        <v>55</v>
      </c>
      <c r="D196" s="26" t="s">
        <v>56</v>
      </c>
      <c r="E196" t="s">
        <v>57</v>
      </c>
      <c r="F196" t="s">
        <v>59</v>
      </c>
      <c r="G196" t="s">
        <v>58</v>
      </c>
      <c r="H196" t="s">
        <v>59</v>
      </c>
      <c r="I196" t="s">
        <v>59</v>
      </c>
      <c r="J196"/>
      <c r="L196">
        <v>2</v>
      </c>
    </row>
    <row r="197" spans="1:16" ht="15" x14ac:dyDescent="0.25">
      <c r="A197">
        <v>2</v>
      </c>
      <c r="B197" t="s">
        <v>242</v>
      </c>
      <c r="C197" s="26" t="s">
        <v>243</v>
      </c>
      <c r="D197" s="26" t="s">
        <v>56</v>
      </c>
      <c r="E197" t="s">
        <v>57</v>
      </c>
      <c r="F197" t="s">
        <v>58</v>
      </c>
      <c r="G197" t="s">
        <v>58</v>
      </c>
      <c r="H197" t="s">
        <v>59</v>
      </c>
      <c r="I197" t="s">
        <v>59</v>
      </c>
      <c r="J197"/>
      <c r="L197">
        <v>2</v>
      </c>
      <c r="M197" s="23">
        <v>1</v>
      </c>
    </row>
    <row r="198" spans="1:16" ht="15" x14ac:dyDescent="0.25">
      <c r="A198">
        <v>21</v>
      </c>
      <c r="B198" t="s">
        <v>244</v>
      </c>
      <c r="C198" s="26" t="s">
        <v>243</v>
      </c>
      <c r="D198" s="26" t="s">
        <v>56</v>
      </c>
      <c r="E198" t="s">
        <v>57</v>
      </c>
      <c r="F198" t="s">
        <v>58</v>
      </c>
      <c r="G198" t="s">
        <v>58</v>
      </c>
      <c r="H198" t="s">
        <v>59</v>
      </c>
      <c r="I198" t="s">
        <v>59</v>
      </c>
      <c r="J198"/>
      <c r="L198">
        <v>2</v>
      </c>
      <c r="M198" s="23">
        <v>1</v>
      </c>
      <c r="N198" s="29">
        <v>1</v>
      </c>
    </row>
    <row r="199" spans="1:16" ht="15" x14ac:dyDescent="0.25">
      <c r="A199">
        <v>2101</v>
      </c>
      <c r="B199" t="s">
        <v>245</v>
      </c>
      <c r="C199" s="26" t="s">
        <v>243</v>
      </c>
      <c r="D199" s="26" t="s">
        <v>56</v>
      </c>
      <c r="E199" t="s">
        <v>57</v>
      </c>
      <c r="F199" t="s">
        <v>58</v>
      </c>
      <c r="G199" t="s">
        <v>58</v>
      </c>
      <c r="H199" t="s">
        <v>59</v>
      </c>
      <c r="I199" t="s">
        <v>59</v>
      </c>
      <c r="J199"/>
      <c r="L199">
        <v>2</v>
      </c>
      <c r="M199" s="23">
        <v>1</v>
      </c>
      <c r="N199" s="29">
        <v>1</v>
      </c>
      <c r="O199" s="23">
        <v>1</v>
      </c>
    </row>
    <row r="200" spans="1:16" ht="15" x14ac:dyDescent="0.25">
      <c r="A200">
        <v>210101</v>
      </c>
      <c r="B200" t="s">
        <v>246</v>
      </c>
      <c r="C200" s="26" t="s">
        <v>243</v>
      </c>
      <c r="D200" s="26" t="s">
        <v>56</v>
      </c>
      <c r="E200" t="s">
        <v>57</v>
      </c>
      <c r="F200" t="s">
        <v>58</v>
      </c>
      <c r="G200" t="s">
        <v>58</v>
      </c>
      <c r="H200" t="s">
        <v>59</v>
      </c>
      <c r="I200" t="s">
        <v>59</v>
      </c>
      <c r="J200"/>
      <c r="L200">
        <v>2</v>
      </c>
      <c r="M200" s="23">
        <v>1</v>
      </c>
      <c r="N200" s="29">
        <v>1</v>
      </c>
      <c r="O200" s="23">
        <v>1</v>
      </c>
      <c r="P200" s="23">
        <v>1</v>
      </c>
    </row>
    <row r="201" spans="1:16" ht="15" x14ac:dyDescent="0.25">
      <c r="A201">
        <v>210101001</v>
      </c>
      <c r="B201" t="s">
        <v>247</v>
      </c>
      <c r="C201" s="26" t="s">
        <v>243</v>
      </c>
      <c r="D201" s="26" t="s">
        <v>56</v>
      </c>
      <c r="E201" t="s">
        <v>57</v>
      </c>
      <c r="F201" t="s">
        <v>59</v>
      </c>
      <c r="G201" t="s">
        <v>58</v>
      </c>
      <c r="H201" t="s">
        <v>59</v>
      </c>
      <c r="I201" t="s">
        <v>59</v>
      </c>
      <c r="J201"/>
      <c r="L201">
        <v>2</v>
      </c>
      <c r="M201" s="23">
        <v>1</v>
      </c>
      <c r="N201" s="29">
        <v>1</v>
      </c>
      <c r="O201" s="23">
        <v>1</v>
      </c>
      <c r="P201" s="23">
        <v>10</v>
      </c>
    </row>
    <row r="202" spans="1:16" ht="15" x14ac:dyDescent="0.25">
      <c r="A202">
        <v>210101010</v>
      </c>
      <c r="B202" t="s">
        <v>248</v>
      </c>
      <c r="C202" s="26" t="s">
        <v>243</v>
      </c>
      <c r="D202" s="26" t="s">
        <v>56</v>
      </c>
      <c r="E202" t="s">
        <v>69</v>
      </c>
      <c r="F202" t="s">
        <v>59</v>
      </c>
      <c r="G202" t="s">
        <v>58</v>
      </c>
      <c r="H202" t="s">
        <v>59</v>
      </c>
      <c r="I202" t="s">
        <v>59</v>
      </c>
      <c r="J202"/>
      <c r="L202">
        <v>2</v>
      </c>
      <c r="M202" s="23">
        <v>1</v>
      </c>
      <c r="N202" s="29">
        <v>1</v>
      </c>
      <c r="O202" s="23">
        <v>1</v>
      </c>
      <c r="P202" s="23">
        <v>20</v>
      </c>
    </row>
    <row r="203" spans="1:16" ht="15" x14ac:dyDescent="0.25">
      <c r="A203">
        <v>210101020</v>
      </c>
      <c r="B203" t="s">
        <v>249</v>
      </c>
      <c r="C203" s="26" t="s">
        <v>243</v>
      </c>
      <c r="D203" s="26" t="s">
        <v>56</v>
      </c>
      <c r="E203" t="s">
        <v>57</v>
      </c>
      <c r="F203" t="s">
        <v>59</v>
      </c>
      <c r="G203" t="s">
        <v>58</v>
      </c>
      <c r="H203" t="s">
        <v>59</v>
      </c>
      <c r="I203" t="s">
        <v>59</v>
      </c>
      <c r="J203"/>
      <c r="L203">
        <v>2</v>
      </c>
      <c r="M203" s="23">
        <v>1</v>
      </c>
      <c r="N203" s="29">
        <v>1</v>
      </c>
      <c r="O203" s="23">
        <v>1</v>
      </c>
      <c r="P203" s="23">
        <v>22</v>
      </c>
    </row>
    <row r="204" spans="1:16" ht="15" x14ac:dyDescent="0.25">
      <c r="A204">
        <v>210101022</v>
      </c>
      <c r="B204" t="s">
        <v>250</v>
      </c>
      <c r="C204" s="26" t="s">
        <v>243</v>
      </c>
      <c r="D204" s="26" t="s">
        <v>56</v>
      </c>
      <c r="E204" t="s">
        <v>57</v>
      </c>
      <c r="F204" t="s">
        <v>59</v>
      </c>
      <c r="G204" t="s">
        <v>58</v>
      </c>
      <c r="H204" t="s">
        <v>59</v>
      </c>
      <c r="I204" t="s">
        <v>59</v>
      </c>
      <c r="J204"/>
      <c r="L204">
        <v>2</v>
      </c>
      <c r="M204" s="23">
        <v>1</v>
      </c>
      <c r="N204" s="29">
        <v>1</v>
      </c>
      <c r="O204" s="23">
        <v>1</v>
      </c>
      <c r="P204" s="23">
        <v>27</v>
      </c>
    </row>
    <row r="205" spans="1:16" ht="15" x14ac:dyDescent="0.25">
      <c r="A205">
        <v>210101027</v>
      </c>
      <c r="B205" t="s">
        <v>251</v>
      </c>
      <c r="C205" s="26" t="s">
        <v>243</v>
      </c>
      <c r="D205" s="26" t="s">
        <v>56</v>
      </c>
      <c r="E205" t="s">
        <v>57</v>
      </c>
      <c r="F205" t="s">
        <v>59</v>
      </c>
      <c r="G205" t="s">
        <v>58</v>
      </c>
      <c r="H205" t="s">
        <v>59</v>
      </c>
      <c r="I205" t="s">
        <v>59</v>
      </c>
      <c r="J205"/>
      <c r="L205">
        <v>2</v>
      </c>
      <c r="M205" s="23">
        <v>1</v>
      </c>
      <c r="N205" s="29">
        <v>1</v>
      </c>
      <c r="O205" s="23">
        <v>1</v>
      </c>
      <c r="P205" s="23">
        <v>30</v>
      </c>
    </row>
    <row r="206" spans="1:16" ht="15" x14ac:dyDescent="0.25">
      <c r="A206">
        <v>210101030</v>
      </c>
      <c r="B206" t="s">
        <v>252</v>
      </c>
      <c r="C206" s="26" t="s">
        <v>243</v>
      </c>
      <c r="D206" s="26" t="s">
        <v>56</v>
      </c>
      <c r="E206" t="s">
        <v>57</v>
      </c>
      <c r="F206" t="s">
        <v>59</v>
      </c>
      <c r="G206" t="s">
        <v>58</v>
      </c>
      <c r="H206" t="s">
        <v>59</v>
      </c>
      <c r="I206" t="s">
        <v>59</v>
      </c>
      <c r="J206"/>
      <c r="L206">
        <v>2</v>
      </c>
      <c r="M206" s="23">
        <v>1</v>
      </c>
      <c r="N206" s="29">
        <v>1</v>
      </c>
      <c r="O206" s="23">
        <v>1</v>
      </c>
      <c r="P206" s="23">
        <v>85</v>
      </c>
    </row>
    <row r="207" spans="1:16" ht="15" x14ac:dyDescent="0.25">
      <c r="A207">
        <v>210101085</v>
      </c>
      <c r="B207" t="s">
        <v>253</v>
      </c>
      <c r="C207" s="26" t="s">
        <v>243</v>
      </c>
      <c r="D207" s="26" t="s">
        <v>56</v>
      </c>
      <c r="E207" t="s">
        <v>57</v>
      </c>
      <c r="F207" t="s">
        <v>59</v>
      </c>
      <c r="G207" t="s">
        <v>58</v>
      </c>
      <c r="H207" t="s">
        <v>59</v>
      </c>
      <c r="I207" t="s">
        <v>59</v>
      </c>
      <c r="J207"/>
      <c r="L207">
        <v>2</v>
      </c>
      <c r="M207" s="23">
        <v>1</v>
      </c>
      <c r="N207" s="29">
        <v>1</v>
      </c>
      <c r="O207" s="23">
        <v>5</v>
      </c>
    </row>
    <row r="208" spans="1:16" ht="15" x14ac:dyDescent="0.25">
      <c r="A208">
        <v>210105</v>
      </c>
      <c r="B208" t="s">
        <v>254</v>
      </c>
      <c r="C208" s="26" t="s">
        <v>243</v>
      </c>
      <c r="D208" s="26" t="s">
        <v>56</v>
      </c>
      <c r="E208" t="s">
        <v>57</v>
      </c>
      <c r="F208" t="s">
        <v>58</v>
      </c>
      <c r="G208" t="s">
        <v>58</v>
      </c>
      <c r="H208" t="s">
        <v>59</v>
      </c>
      <c r="I208" t="s">
        <v>59</v>
      </c>
      <c r="J208"/>
      <c r="L208">
        <v>2</v>
      </c>
      <c r="M208" s="23">
        <v>1</v>
      </c>
      <c r="N208" s="29">
        <v>1</v>
      </c>
      <c r="O208" s="23">
        <v>5</v>
      </c>
      <c r="P208" s="23">
        <v>1</v>
      </c>
    </row>
    <row r="209" spans="1:16" ht="15" x14ac:dyDescent="0.25">
      <c r="A209">
        <v>210105001</v>
      </c>
      <c r="B209" t="s">
        <v>255</v>
      </c>
      <c r="C209" s="26" t="s">
        <v>243</v>
      </c>
      <c r="D209" s="26" t="s">
        <v>56</v>
      </c>
      <c r="E209" t="s">
        <v>57</v>
      </c>
      <c r="F209" t="s">
        <v>59</v>
      </c>
      <c r="G209" t="s">
        <v>58</v>
      </c>
      <c r="H209" t="s">
        <v>59</v>
      </c>
      <c r="I209" t="s">
        <v>59</v>
      </c>
      <c r="J209"/>
      <c r="L209">
        <v>2</v>
      </c>
      <c r="M209" s="23">
        <v>1</v>
      </c>
      <c r="N209" s="29">
        <v>1</v>
      </c>
      <c r="O209" s="23">
        <v>5</v>
      </c>
      <c r="P209" s="23">
        <v>10</v>
      </c>
    </row>
    <row r="210" spans="1:16" ht="15" x14ac:dyDescent="0.25">
      <c r="A210">
        <v>210105010</v>
      </c>
      <c r="B210" t="s">
        <v>256</v>
      </c>
      <c r="C210" s="26" t="s">
        <v>243</v>
      </c>
      <c r="D210" s="26" t="s">
        <v>56</v>
      </c>
      <c r="E210" t="s">
        <v>69</v>
      </c>
      <c r="F210" t="s">
        <v>59</v>
      </c>
      <c r="G210" t="s">
        <v>58</v>
      </c>
      <c r="H210" t="s">
        <v>59</v>
      </c>
      <c r="I210" t="s">
        <v>59</v>
      </c>
      <c r="J210"/>
      <c r="L210">
        <v>2</v>
      </c>
      <c r="M210" s="23">
        <v>1</v>
      </c>
      <c r="N210" s="29">
        <v>1</v>
      </c>
      <c r="O210" s="23">
        <v>5</v>
      </c>
      <c r="P210" s="23">
        <v>60</v>
      </c>
    </row>
    <row r="211" spans="1:16" ht="15" x14ac:dyDescent="0.25">
      <c r="A211">
        <v>210105060</v>
      </c>
      <c r="B211" t="s">
        <v>257</v>
      </c>
      <c r="C211" s="26" t="s">
        <v>243</v>
      </c>
      <c r="D211" s="26" t="s">
        <v>56</v>
      </c>
      <c r="E211" t="s">
        <v>57</v>
      </c>
      <c r="F211" t="s">
        <v>59</v>
      </c>
      <c r="G211" t="s">
        <v>58</v>
      </c>
      <c r="H211" t="s">
        <v>59</v>
      </c>
      <c r="I211" t="s">
        <v>59</v>
      </c>
      <c r="J211"/>
      <c r="L211">
        <v>2</v>
      </c>
      <c r="M211" s="23">
        <v>1</v>
      </c>
      <c r="N211" s="29">
        <v>1</v>
      </c>
      <c r="O211" s="23">
        <v>5</v>
      </c>
      <c r="P211" s="23">
        <v>100</v>
      </c>
    </row>
    <row r="212" spans="1:16" ht="15" x14ac:dyDescent="0.25">
      <c r="A212">
        <v>210105100</v>
      </c>
      <c r="B212" t="s">
        <v>258</v>
      </c>
      <c r="C212" s="26" t="s">
        <v>243</v>
      </c>
      <c r="D212" s="26" t="s">
        <v>56</v>
      </c>
      <c r="E212" t="s">
        <v>57</v>
      </c>
      <c r="F212" t="s">
        <v>59</v>
      </c>
      <c r="G212" t="s">
        <v>58</v>
      </c>
      <c r="H212" t="s">
        <v>59</v>
      </c>
      <c r="I212" t="s">
        <v>59</v>
      </c>
      <c r="J212"/>
      <c r="L212">
        <v>2</v>
      </c>
      <c r="M212" s="23">
        <v>1</v>
      </c>
      <c r="N212" s="29">
        <v>2</v>
      </c>
    </row>
    <row r="213" spans="1:16" ht="15" x14ac:dyDescent="0.25">
      <c r="A213">
        <v>2102</v>
      </c>
      <c r="B213" t="s">
        <v>259</v>
      </c>
      <c r="C213" s="26" t="s">
        <v>243</v>
      </c>
      <c r="D213" s="26" t="s">
        <v>56</v>
      </c>
      <c r="E213" t="s">
        <v>57</v>
      </c>
      <c r="F213" t="s">
        <v>58</v>
      </c>
      <c r="G213" t="s">
        <v>58</v>
      </c>
      <c r="H213" t="s">
        <v>59</v>
      </c>
      <c r="I213" t="s">
        <v>59</v>
      </c>
      <c r="J213"/>
      <c r="L213">
        <v>2</v>
      </c>
      <c r="M213" s="23">
        <v>1</v>
      </c>
      <c r="N213" s="29">
        <v>2</v>
      </c>
      <c r="O213" s="23">
        <v>1</v>
      </c>
    </row>
    <row r="214" spans="1:16" ht="15" x14ac:dyDescent="0.25">
      <c r="A214">
        <v>210201</v>
      </c>
      <c r="B214" t="s">
        <v>260</v>
      </c>
      <c r="C214" s="26" t="s">
        <v>243</v>
      </c>
      <c r="D214" s="26" t="s">
        <v>56</v>
      </c>
      <c r="E214" t="s">
        <v>57</v>
      </c>
      <c r="F214" t="s">
        <v>58</v>
      </c>
      <c r="G214" t="s">
        <v>58</v>
      </c>
      <c r="H214" t="s">
        <v>59</v>
      </c>
      <c r="I214" t="s">
        <v>59</v>
      </c>
      <c r="J214"/>
      <c r="L214">
        <v>2</v>
      </c>
      <c r="M214" s="23">
        <v>1</v>
      </c>
      <c r="N214" s="29">
        <v>2</v>
      </c>
      <c r="O214" s="23">
        <v>5</v>
      </c>
      <c r="P214" s="23">
        <v>30</v>
      </c>
    </row>
    <row r="215" spans="1:16" ht="15" x14ac:dyDescent="0.25">
      <c r="A215">
        <v>210205030</v>
      </c>
      <c r="B215" t="s">
        <v>261</v>
      </c>
      <c r="C215" s="26" t="s">
        <v>243</v>
      </c>
      <c r="D215" s="26" t="s">
        <v>56</v>
      </c>
      <c r="E215" t="s">
        <v>57</v>
      </c>
      <c r="F215" t="s">
        <v>59</v>
      </c>
      <c r="G215" t="s">
        <v>58</v>
      </c>
      <c r="H215" t="s">
        <v>59</v>
      </c>
      <c r="I215" t="s">
        <v>59</v>
      </c>
      <c r="J215"/>
      <c r="L215">
        <v>2</v>
      </c>
      <c r="M215" s="23">
        <v>1</v>
      </c>
      <c r="N215" s="29">
        <v>2</v>
      </c>
      <c r="O215" s="23">
        <v>10</v>
      </c>
    </row>
    <row r="216" spans="1:16" ht="15" x14ac:dyDescent="0.25">
      <c r="A216">
        <v>210210</v>
      </c>
      <c r="B216" t="s">
        <v>262</v>
      </c>
      <c r="C216" s="26" t="s">
        <v>243</v>
      </c>
      <c r="D216" s="26" t="s">
        <v>56</v>
      </c>
      <c r="E216" t="s">
        <v>57</v>
      </c>
      <c r="F216" t="s">
        <v>58</v>
      </c>
      <c r="G216" t="s">
        <v>58</v>
      </c>
      <c r="H216" t="s">
        <v>59</v>
      </c>
      <c r="I216" t="s">
        <v>59</v>
      </c>
      <c r="J216"/>
      <c r="L216">
        <v>2</v>
      </c>
      <c r="M216" s="23">
        <v>1</v>
      </c>
      <c r="N216" s="29">
        <v>2</v>
      </c>
      <c r="O216" s="23">
        <v>10</v>
      </c>
      <c r="P216" s="23">
        <v>1</v>
      </c>
    </row>
    <row r="217" spans="1:16" ht="15" x14ac:dyDescent="0.25">
      <c r="A217">
        <v>210210001</v>
      </c>
      <c r="B217" t="s">
        <v>263</v>
      </c>
      <c r="C217" s="26" t="s">
        <v>243</v>
      </c>
      <c r="D217" s="26" t="s">
        <v>56</v>
      </c>
      <c r="E217" t="s">
        <v>57</v>
      </c>
      <c r="F217" t="s">
        <v>59</v>
      </c>
      <c r="G217" t="s">
        <v>58</v>
      </c>
      <c r="H217" t="s">
        <v>59</v>
      </c>
      <c r="I217" t="s">
        <v>59</v>
      </c>
      <c r="J217"/>
      <c r="L217">
        <v>2</v>
      </c>
      <c r="M217" s="23">
        <v>1</v>
      </c>
      <c r="N217" s="29">
        <v>2</v>
      </c>
      <c r="O217" s="23">
        <v>10</v>
      </c>
      <c r="P217" s="23">
        <v>10</v>
      </c>
    </row>
    <row r="218" spans="1:16" ht="15" x14ac:dyDescent="0.25">
      <c r="A218">
        <v>210210010</v>
      </c>
      <c r="B218" t="s">
        <v>264</v>
      </c>
      <c r="C218" s="26" t="s">
        <v>243</v>
      </c>
      <c r="D218" s="26" t="s">
        <v>56</v>
      </c>
      <c r="E218" t="s">
        <v>57</v>
      </c>
      <c r="F218" t="s">
        <v>59</v>
      </c>
      <c r="G218" t="s">
        <v>58</v>
      </c>
      <c r="H218" t="s">
        <v>59</v>
      </c>
      <c r="I218" t="s">
        <v>59</v>
      </c>
      <c r="J218"/>
      <c r="L218">
        <v>2</v>
      </c>
      <c r="M218" s="23">
        <v>1</v>
      </c>
      <c r="N218" s="29">
        <v>3</v>
      </c>
    </row>
    <row r="219" spans="1:16" ht="15" x14ac:dyDescent="0.25">
      <c r="A219">
        <v>2103</v>
      </c>
      <c r="B219" t="s">
        <v>265</v>
      </c>
      <c r="C219" s="26" t="s">
        <v>243</v>
      </c>
      <c r="D219" s="26" t="s">
        <v>56</v>
      </c>
      <c r="E219" t="s">
        <v>57</v>
      </c>
      <c r="F219" t="s">
        <v>58</v>
      </c>
      <c r="G219" t="s">
        <v>58</v>
      </c>
      <c r="H219" t="s">
        <v>59</v>
      </c>
      <c r="I219" t="s">
        <v>59</v>
      </c>
      <c r="J219"/>
      <c r="L219">
        <v>2</v>
      </c>
      <c r="M219" s="23">
        <v>1</v>
      </c>
      <c r="N219" s="29">
        <v>3</v>
      </c>
      <c r="O219" s="23">
        <v>1</v>
      </c>
    </row>
    <row r="220" spans="1:16" ht="15" x14ac:dyDescent="0.25">
      <c r="A220">
        <v>210301</v>
      </c>
      <c r="B220" t="s">
        <v>266</v>
      </c>
      <c r="C220" s="26" t="s">
        <v>243</v>
      </c>
      <c r="D220" s="26" t="s">
        <v>56</v>
      </c>
      <c r="E220" t="s">
        <v>57</v>
      </c>
      <c r="F220" t="s">
        <v>58</v>
      </c>
      <c r="G220" t="s">
        <v>58</v>
      </c>
      <c r="H220" t="s">
        <v>59</v>
      </c>
      <c r="I220" t="s">
        <v>59</v>
      </c>
      <c r="J220"/>
      <c r="L220">
        <v>2</v>
      </c>
      <c r="M220" s="23">
        <v>1</v>
      </c>
      <c r="N220" s="29">
        <v>3</v>
      </c>
      <c r="O220" s="23">
        <v>1</v>
      </c>
      <c r="P220" s="23">
        <v>5</v>
      </c>
    </row>
    <row r="221" spans="1:16" ht="15" x14ac:dyDescent="0.25">
      <c r="A221">
        <v>210301005</v>
      </c>
      <c r="B221" t="s">
        <v>267</v>
      </c>
      <c r="C221" s="26" t="s">
        <v>243</v>
      </c>
      <c r="D221" s="26" t="s">
        <v>56</v>
      </c>
      <c r="E221" t="s">
        <v>57</v>
      </c>
      <c r="F221" t="s">
        <v>59</v>
      </c>
      <c r="G221" t="s">
        <v>58</v>
      </c>
      <c r="H221" t="s">
        <v>59</v>
      </c>
      <c r="I221" t="s">
        <v>59</v>
      </c>
      <c r="J221"/>
      <c r="L221">
        <v>2</v>
      </c>
      <c r="M221" s="23">
        <v>1</v>
      </c>
      <c r="N221" s="29">
        <v>3</v>
      </c>
      <c r="O221" s="23">
        <v>1</v>
      </c>
      <c r="P221" s="23">
        <v>10</v>
      </c>
    </row>
    <row r="222" spans="1:16" ht="15" x14ac:dyDescent="0.25">
      <c r="A222">
        <v>210301010</v>
      </c>
      <c r="B222" t="s">
        <v>268</v>
      </c>
      <c r="C222" s="26" t="s">
        <v>243</v>
      </c>
      <c r="D222" s="26" t="s">
        <v>56</v>
      </c>
      <c r="E222" t="s">
        <v>57</v>
      </c>
      <c r="F222" t="s">
        <v>59</v>
      </c>
      <c r="G222" t="s">
        <v>58</v>
      </c>
      <c r="H222" t="s">
        <v>59</v>
      </c>
      <c r="I222" t="s">
        <v>59</v>
      </c>
      <c r="J222"/>
      <c r="L222">
        <v>2</v>
      </c>
      <c r="M222" s="23">
        <v>1</v>
      </c>
      <c r="N222" s="29">
        <v>3</v>
      </c>
      <c r="O222" s="23">
        <v>1</v>
      </c>
      <c r="P222" s="23">
        <v>20</v>
      </c>
    </row>
    <row r="223" spans="1:16" ht="15" x14ac:dyDescent="0.25">
      <c r="A223">
        <v>210301020</v>
      </c>
      <c r="B223" t="s">
        <v>269</v>
      </c>
      <c r="C223" s="26" t="s">
        <v>243</v>
      </c>
      <c r="D223" s="26" t="s">
        <v>56</v>
      </c>
      <c r="E223" t="s">
        <v>57</v>
      </c>
      <c r="F223" t="s">
        <v>59</v>
      </c>
      <c r="G223" t="s">
        <v>58</v>
      </c>
      <c r="H223" t="s">
        <v>59</v>
      </c>
      <c r="I223" t="s">
        <v>59</v>
      </c>
      <c r="J223"/>
      <c r="L223">
        <v>2</v>
      </c>
      <c r="M223" s="23">
        <v>1</v>
      </c>
      <c r="N223" s="29">
        <v>3</v>
      </c>
      <c r="O223" s="23">
        <v>1</v>
      </c>
      <c r="P223" s="23">
        <v>30</v>
      </c>
    </row>
    <row r="224" spans="1:16" ht="15" x14ac:dyDescent="0.25">
      <c r="A224">
        <v>210301030</v>
      </c>
      <c r="B224" t="s">
        <v>270</v>
      </c>
      <c r="C224" s="26" t="s">
        <v>243</v>
      </c>
      <c r="D224" s="26" t="s">
        <v>56</v>
      </c>
      <c r="E224" t="s">
        <v>57</v>
      </c>
      <c r="F224" t="s">
        <v>59</v>
      </c>
      <c r="G224" t="s">
        <v>58</v>
      </c>
      <c r="H224" t="s">
        <v>59</v>
      </c>
      <c r="I224" t="s">
        <v>59</v>
      </c>
      <c r="J224"/>
      <c r="L224">
        <v>2</v>
      </c>
      <c r="M224" s="23">
        <v>1</v>
      </c>
      <c r="N224" s="29">
        <v>3</v>
      </c>
      <c r="O224" s="23">
        <v>1</v>
      </c>
      <c r="P224" s="23">
        <v>40</v>
      </c>
    </row>
    <row r="225" spans="1:16" ht="15" x14ac:dyDescent="0.25">
      <c r="A225">
        <v>210301040</v>
      </c>
      <c r="B225" t="s">
        <v>271</v>
      </c>
      <c r="C225" s="26" t="s">
        <v>243</v>
      </c>
      <c r="D225" s="26" t="s">
        <v>56</v>
      </c>
      <c r="E225" t="s">
        <v>57</v>
      </c>
      <c r="F225" t="s">
        <v>59</v>
      </c>
      <c r="G225" t="s">
        <v>58</v>
      </c>
      <c r="H225" t="s">
        <v>59</v>
      </c>
      <c r="I225" t="s">
        <v>59</v>
      </c>
      <c r="J225"/>
      <c r="L225">
        <v>2</v>
      </c>
      <c r="M225" s="23">
        <v>1</v>
      </c>
      <c r="N225" s="29">
        <v>3</v>
      </c>
      <c r="O225" s="23">
        <v>1</v>
      </c>
      <c r="P225" s="23">
        <v>50</v>
      </c>
    </row>
    <row r="226" spans="1:16" ht="15" x14ac:dyDescent="0.25">
      <c r="A226">
        <v>210301050</v>
      </c>
      <c r="B226" t="s">
        <v>272</v>
      </c>
      <c r="C226" s="26" t="s">
        <v>243</v>
      </c>
      <c r="D226" s="26" t="s">
        <v>56</v>
      </c>
      <c r="E226" t="s">
        <v>57</v>
      </c>
      <c r="F226" t="s">
        <v>59</v>
      </c>
      <c r="G226" t="s">
        <v>58</v>
      </c>
      <c r="H226" t="s">
        <v>59</v>
      </c>
      <c r="I226" t="s">
        <v>59</v>
      </c>
      <c r="J226"/>
      <c r="L226">
        <v>2</v>
      </c>
      <c r="M226" s="23">
        <v>1</v>
      </c>
      <c r="N226" s="29">
        <v>3</v>
      </c>
      <c r="O226" s="23">
        <v>5</v>
      </c>
    </row>
    <row r="227" spans="1:16" ht="15" x14ac:dyDescent="0.25">
      <c r="A227">
        <v>210305</v>
      </c>
      <c r="B227" t="s">
        <v>273</v>
      </c>
      <c r="C227" s="26" t="s">
        <v>243</v>
      </c>
      <c r="D227" s="26" t="s">
        <v>56</v>
      </c>
      <c r="E227" t="s">
        <v>57</v>
      </c>
      <c r="F227" t="s">
        <v>58</v>
      </c>
      <c r="G227" t="s">
        <v>58</v>
      </c>
      <c r="H227" t="s">
        <v>59</v>
      </c>
      <c r="I227" t="s">
        <v>59</v>
      </c>
      <c r="J227"/>
      <c r="L227">
        <v>2</v>
      </c>
      <c r="M227" s="23">
        <v>1</v>
      </c>
      <c r="N227" s="29">
        <v>3</v>
      </c>
      <c r="O227" s="23">
        <v>5</v>
      </c>
      <c r="P227" s="23">
        <v>1</v>
      </c>
    </row>
    <row r="228" spans="1:16" ht="15" x14ac:dyDescent="0.25">
      <c r="A228">
        <v>210305001</v>
      </c>
      <c r="B228" t="s">
        <v>274</v>
      </c>
      <c r="C228" s="26" t="s">
        <v>243</v>
      </c>
      <c r="D228" s="26" t="s">
        <v>56</v>
      </c>
      <c r="E228" t="s">
        <v>57</v>
      </c>
      <c r="F228" t="s">
        <v>59</v>
      </c>
      <c r="G228" t="s">
        <v>58</v>
      </c>
      <c r="H228" t="s">
        <v>59</v>
      </c>
      <c r="I228" t="s">
        <v>59</v>
      </c>
      <c r="J228"/>
      <c r="L228">
        <v>2</v>
      </c>
      <c r="M228" s="23">
        <v>1</v>
      </c>
      <c r="N228" s="29">
        <v>3</v>
      </c>
      <c r="O228" s="23">
        <v>5</v>
      </c>
      <c r="P228" s="23">
        <v>20</v>
      </c>
    </row>
    <row r="229" spans="1:16" ht="15" x14ac:dyDescent="0.25">
      <c r="A229">
        <v>210305020</v>
      </c>
      <c r="B229" t="s">
        <v>275</v>
      </c>
      <c r="C229" s="26" t="s">
        <v>243</v>
      </c>
      <c r="D229" s="26" t="s">
        <v>56</v>
      </c>
      <c r="E229" t="s">
        <v>57</v>
      </c>
      <c r="F229" t="s">
        <v>59</v>
      </c>
      <c r="G229" t="s">
        <v>58</v>
      </c>
      <c r="H229" t="s">
        <v>59</v>
      </c>
      <c r="I229" t="s">
        <v>59</v>
      </c>
      <c r="J229"/>
      <c r="L229">
        <v>2</v>
      </c>
      <c r="M229" s="23">
        <v>1</v>
      </c>
      <c r="N229" s="29">
        <v>3</v>
      </c>
      <c r="O229" s="23">
        <v>5</v>
      </c>
      <c r="P229" s="23">
        <v>38</v>
      </c>
    </row>
    <row r="230" spans="1:16" ht="15" x14ac:dyDescent="0.25">
      <c r="A230">
        <v>210305038</v>
      </c>
      <c r="B230" t="s">
        <v>276</v>
      </c>
      <c r="C230" s="26" t="s">
        <v>243</v>
      </c>
      <c r="D230" s="26" t="s">
        <v>56</v>
      </c>
      <c r="E230" t="s">
        <v>57</v>
      </c>
      <c r="F230" t="s">
        <v>59</v>
      </c>
      <c r="G230" t="s">
        <v>58</v>
      </c>
      <c r="H230" t="s">
        <v>59</v>
      </c>
      <c r="I230" t="s">
        <v>59</v>
      </c>
      <c r="J230"/>
      <c r="L230">
        <v>2</v>
      </c>
      <c r="M230" s="23">
        <v>1</v>
      </c>
      <c r="N230" s="29">
        <v>3</v>
      </c>
      <c r="O230" s="23">
        <v>5</v>
      </c>
      <c r="P230" s="23">
        <v>40</v>
      </c>
    </row>
    <row r="231" spans="1:16" ht="15" x14ac:dyDescent="0.25">
      <c r="A231">
        <v>210305040</v>
      </c>
      <c r="B231" t="s">
        <v>277</v>
      </c>
      <c r="C231" s="26" t="s">
        <v>243</v>
      </c>
      <c r="D231" s="26" t="s">
        <v>56</v>
      </c>
      <c r="E231" t="s">
        <v>57</v>
      </c>
      <c r="F231" t="s">
        <v>59</v>
      </c>
      <c r="G231" t="s">
        <v>58</v>
      </c>
      <c r="H231" t="s">
        <v>59</v>
      </c>
      <c r="I231" t="s">
        <v>59</v>
      </c>
      <c r="J231"/>
      <c r="L231">
        <v>2</v>
      </c>
      <c r="M231" s="23">
        <v>1</v>
      </c>
      <c r="N231" s="29">
        <v>3</v>
      </c>
      <c r="O231" s="23">
        <v>5</v>
      </c>
      <c r="P231" s="23">
        <v>50</v>
      </c>
    </row>
    <row r="232" spans="1:16" ht="15" x14ac:dyDescent="0.25">
      <c r="A232">
        <v>210305050</v>
      </c>
      <c r="B232" t="s">
        <v>278</v>
      </c>
      <c r="C232" s="26" t="s">
        <v>243</v>
      </c>
      <c r="D232" s="26" t="s">
        <v>56</v>
      </c>
      <c r="E232" t="s">
        <v>57</v>
      </c>
      <c r="F232" t="s">
        <v>59</v>
      </c>
      <c r="G232" t="s">
        <v>58</v>
      </c>
      <c r="H232" t="s">
        <v>59</v>
      </c>
      <c r="I232" t="s">
        <v>59</v>
      </c>
      <c r="J232"/>
      <c r="L232">
        <v>2</v>
      </c>
      <c r="M232" s="23">
        <v>1</v>
      </c>
      <c r="N232" s="29">
        <v>3</v>
      </c>
      <c r="O232" s="23">
        <v>10</v>
      </c>
      <c r="P232" s="23">
        <v>50</v>
      </c>
    </row>
    <row r="233" spans="1:16" ht="15" x14ac:dyDescent="0.25">
      <c r="A233">
        <v>210310050</v>
      </c>
      <c r="B233" t="s">
        <v>279</v>
      </c>
      <c r="C233" s="26" t="s">
        <v>243</v>
      </c>
      <c r="D233" s="26" t="s">
        <v>56</v>
      </c>
      <c r="E233" t="s">
        <v>57</v>
      </c>
      <c r="F233" t="s">
        <v>59</v>
      </c>
      <c r="G233" t="s">
        <v>58</v>
      </c>
      <c r="H233" t="s">
        <v>59</v>
      </c>
      <c r="I233" t="s">
        <v>59</v>
      </c>
      <c r="J233"/>
      <c r="L233">
        <v>2</v>
      </c>
      <c r="M233" s="23">
        <v>1</v>
      </c>
      <c r="N233" s="29">
        <v>3</v>
      </c>
      <c r="O233" s="23">
        <v>15</v>
      </c>
    </row>
    <row r="234" spans="1:16" ht="15" x14ac:dyDescent="0.25">
      <c r="A234">
        <v>210315</v>
      </c>
      <c r="B234" t="s">
        <v>280</v>
      </c>
      <c r="C234" s="26" t="s">
        <v>243</v>
      </c>
      <c r="D234" s="26" t="s">
        <v>56</v>
      </c>
      <c r="E234" t="s">
        <v>57</v>
      </c>
      <c r="F234" t="s">
        <v>58</v>
      </c>
      <c r="G234" t="s">
        <v>58</v>
      </c>
      <c r="H234" t="s">
        <v>59</v>
      </c>
      <c r="I234" t="s">
        <v>59</v>
      </c>
      <c r="J234"/>
      <c r="L234">
        <v>2</v>
      </c>
      <c r="M234" s="23">
        <v>1</v>
      </c>
      <c r="N234" s="29">
        <v>3</v>
      </c>
      <c r="O234" s="23">
        <v>15</v>
      </c>
      <c r="P234" s="23">
        <v>1</v>
      </c>
    </row>
    <row r="235" spans="1:16" ht="15" x14ac:dyDescent="0.25">
      <c r="A235">
        <v>210315001</v>
      </c>
      <c r="B235" t="s">
        <v>281</v>
      </c>
      <c r="C235" s="26" t="s">
        <v>243</v>
      </c>
      <c r="D235" s="26" t="s">
        <v>56</v>
      </c>
      <c r="E235" t="s">
        <v>57</v>
      </c>
      <c r="F235" t="s">
        <v>59</v>
      </c>
      <c r="G235" t="s">
        <v>58</v>
      </c>
      <c r="H235" t="s">
        <v>59</v>
      </c>
      <c r="I235" t="s">
        <v>59</v>
      </c>
      <c r="J235"/>
      <c r="L235">
        <v>2</v>
      </c>
      <c r="M235" s="23">
        <v>1</v>
      </c>
      <c r="N235" s="29">
        <v>3</v>
      </c>
      <c r="O235" s="23">
        <v>15</v>
      </c>
      <c r="P235" s="23">
        <v>2</v>
      </c>
    </row>
    <row r="236" spans="1:16" ht="15" x14ac:dyDescent="0.25">
      <c r="A236">
        <v>210315002</v>
      </c>
      <c r="B236" t="s">
        <v>282</v>
      </c>
      <c r="C236" s="26" t="s">
        <v>243</v>
      </c>
      <c r="D236" s="26" t="s">
        <v>56</v>
      </c>
      <c r="E236" t="s">
        <v>57</v>
      </c>
      <c r="F236" t="s">
        <v>58</v>
      </c>
      <c r="G236" t="s">
        <v>58</v>
      </c>
      <c r="H236" t="s">
        <v>58</v>
      </c>
      <c r="I236" t="s">
        <v>59</v>
      </c>
      <c r="J236"/>
      <c r="L236">
        <v>2</v>
      </c>
      <c r="M236" s="23">
        <v>1</v>
      </c>
      <c r="N236" s="29">
        <v>3</v>
      </c>
      <c r="O236" s="23">
        <v>15</v>
      </c>
      <c r="P236" s="23">
        <v>51</v>
      </c>
    </row>
    <row r="237" spans="1:16" ht="15" x14ac:dyDescent="0.25">
      <c r="A237">
        <v>210315051</v>
      </c>
      <c r="B237" t="s">
        <v>283</v>
      </c>
      <c r="C237" s="26" t="s">
        <v>243</v>
      </c>
      <c r="D237" s="26" t="s">
        <v>56</v>
      </c>
      <c r="E237" t="s">
        <v>57</v>
      </c>
      <c r="F237" t="s">
        <v>59</v>
      </c>
      <c r="G237" t="s">
        <v>58</v>
      </c>
      <c r="H237" t="s">
        <v>59</v>
      </c>
      <c r="I237" t="s">
        <v>59</v>
      </c>
      <c r="J237"/>
      <c r="L237">
        <v>2</v>
      </c>
      <c r="M237" s="23">
        <v>1</v>
      </c>
      <c r="N237" s="29">
        <v>3</v>
      </c>
      <c r="O237" s="23">
        <v>15</v>
      </c>
      <c r="P237" s="23">
        <v>52</v>
      </c>
    </row>
    <row r="238" spans="1:16" ht="15" x14ac:dyDescent="0.25">
      <c r="A238">
        <v>210315052</v>
      </c>
      <c r="B238" t="s">
        <v>284</v>
      </c>
      <c r="C238" s="26" t="s">
        <v>243</v>
      </c>
      <c r="D238" s="26" t="s">
        <v>56</v>
      </c>
      <c r="E238" t="s">
        <v>57</v>
      </c>
      <c r="F238" t="s">
        <v>59</v>
      </c>
      <c r="G238" t="s">
        <v>58</v>
      </c>
      <c r="H238" t="s">
        <v>59</v>
      </c>
      <c r="I238" t="s">
        <v>59</v>
      </c>
      <c r="J238"/>
      <c r="L238">
        <v>2</v>
      </c>
      <c r="M238" s="23">
        <v>1</v>
      </c>
      <c r="N238" s="29">
        <v>3</v>
      </c>
      <c r="O238" s="23">
        <v>15</v>
      </c>
      <c r="P238" s="23">
        <v>54</v>
      </c>
    </row>
    <row r="239" spans="1:16" ht="15" x14ac:dyDescent="0.25">
      <c r="A239">
        <v>210315054</v>
      </c>
      <c r="B239" t="s">
        <v>285</v>
      </c>
      <c r="C239" s="26" t="s">
        <v>243</v>
      </c>
      <c r="D239" s="26" t="s">
        <v>56</v>
      </c>
      <c r="E239" t="s">
        <v>57</v>
      </c>
      <c r="F239" t="s">
        <v>58</v>
      </c>
      <c r="G239" t="s">
        <v>58</v>
      </c>
      <c r="H239" t="s">
        <v>58</v>
      </c>
      <c r="I239" t="s">
        <v>59</v>
      </c>
      <c r="J239"/>
      <c r="L239">
        <v>2</v>
      </c>
      <c r="M239" s="23">
        <v>1</v>
      </c>
      <c r="N239" s="29">
        <v>3</v>
      </c>
      <c r="O239" s="23">
        <v>15</v>
      </c>
      <c r="P239" s="23">
        <v>57</v>
      </c>
    </row>
    <row r="240" spans="1:16" ht="15" x14ac:dyDescent="0.25">
      <c r="A240">
        <v>210315057</v>
      </c>
      <c r="B240" t="s">
        <v>286</v>
      </c>
      <c r="C240" s="26" t="s">
        <v>243</v>
      </c>
      <c r="D240" s="26" t="s">
        <v>56</v>
      </c>
      <c r="E240" t="s">
        <v>57</v>
      </c>
      <c r="F240" t="s">
        <v>58</v>
      </c>
      <c r="G240" t="s">
        <v>58</v>
      </c>
      <c r="H240" t="s">
        <v>58</v>
      </c>
      <c r="I240" t="s">
        <v>59</v>
      </c>
      <c r="J240"/>
      <c r="L240">
        <v>2</v>
      </c>
      <c r="M240" s="23">
        <v>1</v>
      </c>
      <c r="N240" s="29">
        <v>3</v>
      </c>
      <c r="O240" s="23">
        <v>15</v>
      </c>
      <c r="P240" s="23">
        <v>59</v>
      </c>
    </row>
    <row r="241" spans="1:16" ht="15" x14ac:dyDescent="0.25">
      <c r="A241">
        <v>210315059</v>
      </c>
      <c r="B241" t="s">
        <v>287</v>
      </c>
      <c r="C241" s="26" t="s">
        <v>243</v>
      </c>
      <c r="D241" s="26" t="s">
        <v>56</v>
      </c>
      <c r="E241" t="s">
        <v>57</v>
      </c>
      <c r="F241" t="s">
        <v>59</v>
      </c>
      <c r="G241" t="s">
        <v>58</v>
      </c>
      <c r="H241" t="s">
        <v>59</v>
      </c>
      <c r="I241" t="s">
        <v>59</v>
      </c>
      <c r="J241"/>
      <c r="L241">
        <v>2</v>
      </c>
      <c r="M241" s="23">
        <v>1</v>
      </c>
      <c r="N241" s="29">
        <v>3</v>
      </c>
      <c r="O241" s="23">
        <v>20</v>
      </c>
    </row>
    <row r="242" spans="1:16" ht="15" x14ac:dyDescent="0.25">
      <c r="A242">
        <v>210320</v>
      </c>
      <c r="B242" t="s">
        <v>254</v>
      </c>
      <c r="C242" s="26" t="s">
        <v>243</v>
      </c>
      <c r="D242" s="26" t="s">
        <v>56</v>
      </c>
      <c r="E242" t="s">
        <v>57</v>
      </c>
      <c r="F242" t="s">
        <v>58</v>
      </c>
      <c r="G242" t="s">
        <v>58</v>
      </c>
      <c r="H242" t="s">
        <v>59</v>
      </c>
      <c r="I242" t="s">
        <v>59</v>
      </c>
      <c r="J242"/>
      <c r="L242">
        <v>2</v>
      </c>
      <c r="M242" s="23">
        <v>1</v>
      </c>
      <c r="N242" s="29">
        <v>3</v>
      </c>
      <c r="O242" s="23">
        <v>20</v>
      </c>
      <c r="P242" s="23">
        <v>1</v>
      </c>
    </row>
    <row r="243" spans="1:16" ht="15" x14ac:dyDescent="0.25">
      <c r="A243">
        <v>210320001</v>
      </c>
      <c r="B243" t="s">
        <v>288</v>
      </c>
      <c r="C243" s="26" t="s">
        <v>243</v>
      </c>
      <c r="D243" s="26" t="s">
        <v>56</v>
      </c>
      <c r="E243" t="s">
        <v>57</v>
      </c>
      <c r="F243" t="s">
        <v>59</v>
      </c>
      <c r="G243" t="s">
        <v>58</v>
      </c>
      <c r="H243" t="s">
        <v>59</v>
      </c>
      <c r="I243" t="s">
        <v>59</v>
      </c>
      <c r="J243"/>
      <c r="L243">
        <v>2</v>
      </c>
      <c r="M243" s="23">
        <v>1</v>
      </c>
      <c r="N243" s="29">
        <v>3</v>
      </c>
      <c r="O243" s="23">
        <v>20</v>
      </c>
      <c r="P243" s="23">
        <v>30</v>
      </c>
    </row>
    <row r="244" spans="1:16" ht="15" x14ac:dyDescent="0.25">
      <c r="A244">
        <v>210320030</v>
      </c>
      <c r="B244" t="s">
        <v>289</v>
      </c>
      <c r="C244" s="26" t="s">
        <v>243</v>
      </c>
      <c r="D244" s="26" t="s">
        <v>56</v>
      </c>
      <c r="E244" t="s">
        <v>57</v>
      </c>
      <c r="F244" t="s">
        <v>59</v>
      </c>
      <c r="G244" t="s">
        <v>58</v>
      </c>
      <c r="H244" t="s">
        <v>59</v>
      </c>
      <c r="I244" t="s">
        <v>59</v>
      </c>
      <c r="J244"/>
      <c r="L244">
        <v>2</v>
      </c>
      <c r="M244" s="23">
        <v>1</v>
      </c>
      <c r="N244" s="29">
        <v>3</v>
      </c>
      <c r="O244" s="23">
        <v>20</v>
      </c>
      <c r="P244" s="23">
        <v>50</v>
      </c>
    </row>
    <row r="245" spans="1:16" ht="15" x14ac:dyDescent="0.25">
      <c r="A245">
        <v>210320050</v>
      </c>
      <c r="B245" t="s">
        <v>290</v>
      </c>
      <c r="C245" s="26" t="s">
        <v>243</v>
      </c>
      <c r="D245" s="26" t="s">
        <v>56</v>
      </c>
      <c r="E245" t="s">
        <v>57</v>
      </c>
      <c r="F245" t="s">
        <v>59</v>
      </c>
      <c r="G245" t="s">
        <v>58</v>
      </c>
      <c r="H245" t="s">
        <v>59</v>
      </c>
      <c r="I245" t="s">
        <v>59</v>
      </c>
      <c r="J245"/>
      <c r="L245">
        <v>2</v>
      </c>
      <c r="M245" s="23">
        <v>1</v>
      </c>
      <c r="N245" s="29">
        <v>4</v>
      </c>
    </row>
    <row r="246" spans="1:16" ht="15" x14ac:dyDescent="0.25">
      <c r="A246">
        <v>2104</v>
      </c>
      <c r="B246" t="s">
        <v>291</v>
      </c>
      <c r="C246" s="26" t="s">
        <v>243</v>
      </c>
      <c r="D246" s="26" t="s">
        <v>56</v>
      </c>
      <c r="E246" t="s">
        <v>57</v>
      </c>
      <c r="F246" t="s">
        <v>58</v>
      </c>
      <c r="G246" t="s">
        <v>58</v>
      </c>
      <c r="H246" t="s">
        <v>59</v>
      </c>
      <c r="I246" t="s">
        <v>59</v>
      </c>
      <c r="J246"/>
      <c r="L246">
        <v>2</v>
      </c>
      <c r="M246" s="23">
        <v>1</v>
      </c>
      <c r="N246" s="29">
        <v>4</v>
      </c>
      <c r="O246" s="23">
        <v>1</v>
      </c>
    </row>
    <row r="247" spans="1:16" ht="15" x14ac:dyDescent="0.25">
      <c r="A247">
        <v>210401</v>
      </c>
      <c r="B247" t="s">
        <v>292</v>
      </c>
      <c r="C247" s="26" t="s">
        <v>243</v>
      </c>
      <c r="D247" s="26" t="s">
        <v>56</v>
      </c>
      <c r="E247" t="s">
        <v>57</v>
      </c>
      <c r="F247" t="s">
        <v>58</v>
      </c>
      <c r="G247" t="s">
        <v>58</v>
      </c>
      <c r="H247" t="s">
        <v>59</v>
      </c>
      <c r="I247" t="s">
        <v>59</v>
      </c>
      <c r="J247"/>
      <c r="L247">
        <v>2</v>
      </c>
      <c r="M247" s="23">
        <v>1</v>
      </c>
      <c r="N247" s="29">
        <v>4</v>
      </c>
      <c r="O247" s="23">
        <v>1</v>
      </c>
      <c r="P247" s="23">
        <v>1</v>
      </c>
    </row>
    <row r="248" spans="1:16" ht="15" x14ac:dyDescent="0.25">
      <c r="A248">
        <v>210401001</v>
      </c>
      <c r="B248" t="s">
        <v>293</v>
      </c>
      <c r="C248" s="26" t="s">
        <v>243</v>
      </c>
      <c r="D248" s="26" t="s">
        <v>56</v>
      </c>
      <c r="E248" t="s">
        <v>57</v>
      </c>
      <c r="F248" t="s">
        <v>59</v>
      </c>
      <c r="G248" t="s">
        <v>58</v>
      </c>
      <c r="H248" t="s">
        <v>59</v>
      </c>
      <c r="I248" t="s">
        <v>59</v>
      </c>
      <c r="J248"/>
      <c r="L248">
        <v>2</v>
      </c>
      <c r="M248" s="23">
        <v>1</v>
      </c>
      <c r="N248" s="29">
        <v>4</v>
      </c>
      <c r="O248" s="23">
        <v>1</v>
      </c>
      <c r="P248" s="23">
        <v>2</v>
      </c>
    </row>
    <row r="249" spans="1:16" ht="15" x14ac:dyDescent="0.25">
      <c r="A249">
        <v>210401002</v>
      </c>
      <c r="B249" t="s">
        <v>294</v>
      </c>
      <c r="C249" s="26" t="s">
        <v>243</v>
      </c>
      <c r="D249" s="26" t="s">
        <v>56</v>
      </c>
      <c r="E249" t="s">
        <v>57</v>
      </c>
      <c r="F249" t="s">
        <v>59</v>
      </c>
      <c r="G249" t="s">
        <v>58</v>
      </c>
      <c r="H249" t="s">
        <v>59</v>
      </c>
      <c r="I249" t="s">
        <v>59</v>
      </c>
      <c r="J249"/>
      <c r="L249">
        <v>2</v>
      </c>
      <c r="M249" s="23">
        <v>1</v>
      </c>
      <c r="N249" s="29">
        <v>4</v>
      </c>
      <c r="O249" s="23">
        <v>1</v>
      </c>
      <c r="P249" s="23">
        <v>3</v>
      </c>
    </row>
    <row r="250" spans="1:16" ht="15" x14ac:dyDescent="0.25">
      <c r="A250">
        <v>210401003</v>
      </c>
      <c r="B250" t="s">
        <v>295</v>
      </c>
      <c r="C250" s="26" t="s">
        <v>243</v>
      </c>
      <c r="D250" s="26" t="s">
        <v>56</v>
      </c>
      <c r="E250" t="s">
        <v>57</v>
      </c>
      <c r="F250" t="s">
        <v>59</v>
      </c>
      <c r="G250" t="s">
        <v>58</v>
      </c>
      <c r="H250" t="s">
        <v>59</v>
      </c>
      <c r="I250" t="s">
        <v>59</v>
      </c>
      <c r="J250"/>
      <c r="L250">
        <v>2</v>
      </c>
      <c r="M250" s="23">
        <v>1</v>
      </c>
      <c r="N250" s="29">
        <v>4</v>
      </c>
      <c r="O250" s="23">
        <v>1</v>
      </c>
      <c r="P250" s="23">
        <v>10</v>
      </c>
    </row>
    <row r="251" spans="1:16" ht="15" x14ac:dyDescent="0.25">
      <c r="A251">
        <v>210401010</v>
      </c>
      <c r="B251" t="s">
        <v>296</v>
      </c>
      <c r="C251" s="26" t="s">
        <v>243</v>
      </c>
      <c r="D251" s="26" t="s">
        <v>56</v>
      </c>
      <c r="E251" t="s">
        <v>57</v>
      </c>
      <c r="F251" t="s">
        <v>59</v>
      </c>
      <c r="G251" t="s">
        <v>58</v>
      </c>
      <c r="H251" t="s">
        <v>59</v>
      </c>
      <c r="I251" t="s">
        <v>59</v>
      </c>
      <c r="J251"/>
      <c r="L251">
        <v>2</v>
      </c>
      <c r="M251" s="23">
        <v>1</v>
      </c>
      <c r="N251" s="29">
        <v>4</v>
      </c>
      <c r="O251" s="23">
        <v>1</v>
      </c>
      <c r="P251" s="23">
        <v>20</v>
      </c>
    </row>
    <row r="252" spans="1:16" ht="15" x14ac:dyDescent="0.25">
      <c r="A252">
        <v>210401020</v>
      </c>
      <c r="B252" t="s">
        <v>297</v>
      </c>
      <c r="C252" s="26" t="s">
        <v>243</v>
      </c>
      <c r="D252" s="26" t="s">
        <v>56</v>
      </c>
      <c r="E252" t="s">
        <v>57</v>
      </c>
      <c r="F252" t="s">
        <v>59</v>
      </c>
      <c r="G252" t="s">
        <v>58</v>
      </c>
      <c r="H252" t="s">
        <v>59</v>
      </c>
      <c r="I252" t="s">
        <v>59</v>
      </c>
      <c r="J252"/>
      <c r="L252">
        <v>2</v>
      </c>
      <c r="M252" s="23">
        <v>1</v>
      </c>
      <c r="N252" s="29">
        <v>4</v>
      </c>
      <c r="O252" s="23">
        <v>1</v>
      </c>
      <c r="P252" s="23">
        <v>40</v>
      </c>
    </row>
    <row r="253" spans="1:16" ht="15" x14ac:dyDescent="0.25">
      <c r="A253">
        <v>210401040</v>
      </c>
      <c r="B253" t="s">
        <v>298</v>
      </c>
      <c r="C253" s="26" t="s">
        <v>243</v>
      </c>
      <c r="D253" s="26" t="s">
        <v>56</v>
      </c>
      <c r="E253" t="s">
        <v>57</v>
      </c>
      <c r="F253" t="s">
        <v>59</v>
      </c>
      <c r="G253" t="s">
        <v>58</v>
      </c>
      <c r="H253" t="s">
        <v>59</v>
      </c>
      <c r="I253" t="s">
        <v>59</v>
      </c>
      <c r="J253"/>
      <c r="L253">
        <v>2</v>
      </c>
      <c r="M253" s="23">
        <v>1</v>
      </c>
      <c r="N253" s="29">
        <v>4</v>
      </c>
      <c r="O253" s="23">
        <v>1</v>
      </c>
      <c r="P253" s="23">
        <v>50</v>
      </c>
    </row>
    <row r="254" spans="1:16" ht="15" x14ac:dyDescent="0.25">
      <c r="A254">
        <v>210401050</v>
      </c>
      <c r="B254" t="s">
        <v>299</v>
      </c>
      <c r="C254" s="26" t="s">
        <v>243</v>
      </c>
      <c r="D254" s="26" t="s">
        <v>56</v>
      </c>
      <c r="E254" t="s">
        <v>57</v>
      </c>
      <c r="F254" t="s">
        <v>59</v>
      </c>
      <c r="G254" t="s">
        <v>58</v>
      </c>
      <c r="H254" t="s">
        <v>59</v>
      </c>
      <c r="I254" t="s">
        <v>59</v>
      </c>
      <c r="J254"/>
      <c r="L254">
        <v>2</v>
      </c>
      <c r="M254" s="23">
        <v>1</v>
      </c>
      <c r="N254" s="29">
        <v>4</v>
      </c>
      <c r="O254" s="23">
        <v>1</v>
      </c>
      <c r="P254" s="23">
        <v>60</v>
      </c>
    </row>
    <row r="255" spans="1:16" ht="15" x14ac:dyDescent="0.25">
      <c r="A255">
        <v>210401060</v>
      </c>
      <c r="B255" t="s">
        <v>300</v>
      </c>
      <c r="C255" s="26" t="s">
        <v>243</v>
      </c>
      <c r="D255" s="26" t="s">
        <v>56</v>
      </c>
      <c r="E255" t="s">
        <v>57</v>
      </c>
      <c r="F255" t="s">
        <v>59</v>
      </c>
      <c r="G255" t="s">
        <v>58</v>
      </c>
      <c r="H255" t="s">
        <v>59</v>
      </c>
      <c r="I255" t="s">
        <v>59</v>
      </c>
      <c r="J255"/>
      <c r="L255">
        <v>2</v>
      </c>
      <c r="M255" s="23">
        <v>1</v>
      </c>
      <c r="N255" s="29">
        <v>4</v>
      </c>
      <c r="O255" s="23">
        <v>10</v>
      </c>
    </row>
    <row r="256" spans="1:16" ht="15" x14ac:dyDescent="0.25">
      <c r="A256">
        <v>210410</v>
      </c>
      <c r="B256" t="s">
        <v>301</v>
      </c>
      <c r="C256" s="26" t="s">
        <v>243</v>
      </c>
      <c r="D256" s="26" t="s">
        <v>56</v>
      </c>
      <c r="E256" t="s">
        <v>57</v>
      </c>
      <c r="F256" t="s">
        <v>58</v>
      </c>
      <c r="G256" t="s">
        <v>58</v>
      </c>
      <c r="H256" t="s">
        <v>59</v>
      </c>
      <c r="I256" t="s">
        <v>59</v>
      </c>
      <c r="J256"/>
      <c r="L256">
        <v>2</v>
      </c>
      <c r="M256" s="23">
        <v>1</v>
      </c>
      <c r="N256" s="29">
        <v>4</v>
      </c>
      <c r="O256" s="23">
        <v>10</v>
      </c>
      <c r="P256" s="23">
        <v>1</v>
      </c>
    </row>
    <row r="257" spans="1:16" ht="15" x14ac:dyDescent="0.25">
      <c r="A257">
        <v>210410001</v>
      </c>
      <c r="B257" t="s">
        <v>302</v>
      </c>
      <c r="C257" s="26" t="s">
        <v>243</v>
      </c>
      <c r="D257" s="26" t="s">
        <v>56</v>
      </c>
      <c r="E257" t="s">
        <v>57</v>
      </c>
      <c r="F257" t="s">
        <v>59</v>
      </c>
      <c r="G257" t="s">
        <v>58</v>
      </c>
      <c r="H257" t="s">
        <v>59</v>
      </c>
      <c r="I257" t="s">
        <v>59</v>
      </c>
      <c r="J257"/>
      <c r="L257">
        <v>2</v>
      </c>
      <c r="M257" s="23">
        <v>1</v>
      </c>
      <c r="N257" s="29">
        <v>4</v>
      </c>
      <c r="O257" s="23">
        <v>10</v>
      </c>
      <c r="P257" s="23">
        <v>10</v>
      </c>
    </row>
    <row r="258" spans="1:16" ht="15" x14ac:dyDescent="0.25">
      <c r="A258">
        <v>210410010</v>
      </c>
      <c r="B258" t="s">
        <v>303</v>
      </c>
      <c r="C258" s="26" t="s">
        <v>243</v>
      </c>
      <c r="D258" s="26" t="s">
        <v>56</v>
      </c>
      <c r="E258" t="s">
        <v>57</v>
      </c>
      <c r="F258" t="s">
        <v>59</v>
      </c>
      <c r="G258" t="s">
        <v>58</v>
      </c>
      <c r="H258" t="s">
        <v>59</v>
      </c>
      <c r="I258" t="s">
        <v>59</v>
      </c>
      <c r="J258"/>
      <c r="L258">
        <v>2</v>
      </c>
      <c r="M258" s="23">
        <v>1</v>
      </c>
      <c r="N258" s="29">
        <v>4</v>
      </c>
      <c r="O258" s="23">
        <v>10</v>
      </c>
      <c r="P258" s="23">
        <v>15</v>
      </c>
    </row>
    <row r="259" spans="1:16" ht="15" x14ac:dyDescent="0.25">
      <c r="A259">
        <v>210410015</v>
      </c>
      <c r="B259" t="s">
        <v>304</v>
      </c>
      <c r="C259" s="26" t="s">
        <v>243</v>
      </c>
      <c r="D259" s="26" t="s">
        <v>56</v>
      </c>
      <c r="E259" t="s">
        <v>57</v>
      </c>
      <c r="F259" t="s">
        <v>59</v>
      </c>
      <c r="G259" t="s">
        <v>58</v>
      </c>
      <c r="H259" t="s">
        <v>59</v>
      </c>
      <c r="I259" t="s">
        <v>59</v>
      </c>
      <c r="J259"/>
      <c r="L259">
        <v>2</v>
      </c>
      <c r="M259" s="23">
        <v>1</v>
      </c>
      <c r="N259" s="29">
        <v>4</v>
      </c>
      <c r="O259" s="23">
        <v>10</v>
      </c>
      <c r="P259" s="23">
        <v>20</v>
      </c>
    </row>
    <row r="260" spans="1:16" ht="15" x14ac:dyDescent="0.25">
      <c r="A260">
        <v>210410020</v>
      </c>
      <c r="B260" t="s">
        <v>305</v>
      </c>
      <c r="C260" s="26" t="s">
        <v>243</v>
      </c>
      <c r="D260" s="26" t="s">
        <v>56</v>
      </c>
      <c r="E260" t="s">
        <v>57</v>
      </c>
      <c r="F260" t="s">
        <v>59</v>
      </c>
      <c r="G260" t="s">
        <v>58</v>
      </c>
      <c r="H260" t="s">
        <v>59</v>
      </c>
      <c r="I260" t="s">
        <v>59</v>
      </c>
      <c r="J260"/>
      <c r="L260">
        <v>2</v>
      </c>
      <c r="M260" s="23">
        <v>1</v>
      </c>
      <c r="N260" s="29">
        <v>4</v>
      </c>
      <c r="O260" s="23">
        <v>10</v>
      </c>
      <c r="P260" s="23">
        <v>60</v>
      </c>
    </row>
    <row r="261" spans="1:16" ht="15" x14ac:dyDescent="0.25">
      <c r="A261">
        <v>210410060</v>
      </c>
      <c r="B261" t="s">
        <v>306</v>
      </c>
      <c r="C261" s="26" t="s">
        <v>243</v>
      </c>
      <c r="D261" s="26" t="s">
        <v>56</v>
      </c>
      <c r="E261" t="s">
        <v>57</v>
      </c>
      <c r="F261" t="s">
        <v>59</v>
      </c>
      <c r="G261" t="s">
        <v>58</v>
      </c>
      <c r="H261" t="s">
        <v>59</v>
      </c>
      <c r="I261" t="s">
        <v>59</v>
      </c>
      <c r="J261"/>
      <c r="L261">
        <v>2</v>
      </c>
      <c r="M261" s="23">
        <v>1</v>
      </c>
      <c r="N261" s="29">
        <v>4</v>
      </c>
      <c r="O261" s="23">
        <v>10</v>
      </c>
      <c r="P261" s="23">
        <v>100</v>
      </c>
    </row>
    <row r="262" spans="1:16" ht="15" x14ac:dyDescent="0.25">
      <c r="A262">
        <v>210410100</v>
      </c>
      <c r="B262" t="s">
        <v>307</v>
      </c>
      <c r="C262" s="26" t="s">
        <v>243</v>
      </c>
      <c r="D262" s="26" t="s">
        <v>56</v>
      </c>
      <c r="E262" t="s">
        <v>57</v>
      </c>
      <c r="F262" t="s">
        <v>59</v>
      </c>
      <c r="G262" t="s">
        <v>58</v>
      </c>
      <c r="H262" t="s">
        <v>59</v>
      </c>
      <c r="I262" t="s">
        <v>59</v>
      </c>
      <c r="J262"/>
      <c r="L262">
        <v>2</v>
      </c>
      <c r="M262" s="23">
        <v>1</v>
      </c>
      <c r="N262" s="29">
        <v>4</v>
      </c>
      <c r="O262" s="23">
        <v>15</v>
      </c>
    </row>
    <row r="263" spans="1:16" ht="15" x14ac:dyDescent="0.25">
      <c r="A263">
        <v>210415</v>
      </c>
      <c r="B263" t="s">
        <v>308</v>
      </c>
      <c r="C263" s="26" t="s">
        <v>243</v>
      </c>
      <c r="D263" s="26" t="s">
        <v>56</v>
      </c>
      <c r="E263" t="s">
        <v>57</v>
      </c>
      <c r="F263" t="s">
        <v>58</v>
      </c>
      <c r="G263" t="s">
        <v>58</v>
      </c>
      <c r="H263" t="s">
        <v>59</v>
      </c>
      <c r="I263" t="s">
        <v>59</v>
      </c>
      <c r="J263"/>
      <c r="L263">
        <v>2</v>
      </c>
      <c r="M263" s="23">
        <v>1</v>
      </c>
      <c r="N263" s="29">
        <v>4</v>
      </c>
      <c r="O263" s="23">
        <v>15</v>
      </c>
      <c r="P263" s="23">
        <v>1</v>
      </c>
    </row>
    <row r="264" spans="1:16" ht="15" x14ac:dyDescent="0.25">
      <c r="A264">
        <v>210415001</v>
      </c>
      <c r="B264" t="s">
        <v>309</v>
      </c>
      <c r="C264" s="26" t="s">
        <v>243</v>
      </c>
      <c r="D264" s="26" t="s">
        <v>56</v>
      </c>
      <c r="E264" t="s">
        <v>57</v>
      </c>
      <c r="F264" t="s">
        <v>59</v>
      </c>
      <c r="G264" t="s">
        <v>58</v>
      </c>
      <c r="H264" t="s">
        <v>59</v>
      </c>
      <c r="I264" t="s">
        <v>59</v>
      </c>
      <c r="J264"/>
      <c r="L264">
        <v>2</v>
      </c>
      <c r="M264" s="23">
        <v>1</v>
      </c>
      <c r="N264" s="29">
        <v>4</v>
      </c>
      <c r="O264" s="23">
        <v>15</v>
      </c>
      <c r="P264" s="23">
        <v>30</v>
      </c>
    </row>
    <row r="265" spans="1:16" ht="15" x14ac:dyDescent="0.25">
      <c r="A265">
        <v>210415030</v>
      </c>
      <c r="B265" t="s">
        <v>310</v>
      </c>
      <c r="C265" s="26" t="s">
        <v>243</v>
      </c>
      <c r="D265" s="26" t="s">
        <v>56</v>
      </c>
      <c r="E265" t="s">
        <v>57</v>
      </c>
      <c r="F265" t="s">
        <v>59</v>
      </c>
      <c r="G265" t="s">
        <v>58</v>
      </c>
      <c r="H265" t="s">
        <v>59</v>
      </c>
      <c r="I265" t="s">
        <v>59</v>
      </c>
      <c r="J265"/>
      <c r="L265">
        <v>2</v>
      </c>
      <c r="M265" s="23">
        <v>1</v>
      </c>
      <c r="N265" s="29">
        <v>4</v>
      </c>
      <c r="O265" s="23">
        <v>20</v>
      </c>
    </row>
    <row r="266" spans="1:16" ht="15" x14ac:dyDescent="0.25">
      <c r="A266">
        <v>210420</v>
      </c>
      <c r="B266" t="s">
        <v>254</v>
      </c>
      <c r="C266" s="26" t="s">
        <v>243</v>
      </c>
      <c r="D266" s="26" t="s">
        <v>56</v>
      </c>
      <c r="E266" t="s">
        <v>57</v>
      </c>
      <c r="F266" t="s">
        <v>58</v>
      </c>
      <c r="G266" t="s">
        <v>58</v>
      </c>
      <c r="H266" t="s">
        <v>59</v>
      </c>
      <c r="I266" t="s">
        <v>59</v>
      </c>
      <c r="J266"/>
      <c r="L266">
        <v>2</v>
      </c>
      <c r="M266" s="23">
        <v>1</v>
      </c>
      <c r="N266" s="29">
        <v>4</v>
      </c>
      <c r="O266" s="23">
        <v>20</v>
      </c>
      <c r="P266" s="23">
        <v>50</v>
      </c>
    </row>
    <row r="267" spans="1:16" ht="15" x14ac:dyDescent="0.25">
      <c r="A267">
        <v>210420050</v>
      </c>
      <c r="B267" t="s">
        <v>311</v>
      </c>
      <c r="C267" s="26" t="s">
        <v>243</v>
      </c>
      <c r="D267" s="26" t="s">
        <v>56</v>
      </c>
      <c r="E267" t="s">
        <v>57</v>
      </c>
      <c r="F267" t="s">
        <v>59</v>
      </c>
      <c r="G267" t="s">
        <v>58</v>
      </c>
      <c r="H267" t="s">
        <v>59</v>
      </c>
      <c r="I267" t="s">
        <v>59</v>
      </c>
      <c r="J267"/>
      <c r="L267">
        <v>2</v>
      </c>
      <c r="M267" s="23">
        <v>1</v>
      </c>
      <c r="N267" s="29">
        <v>4</v>
      </c>
      <c r="O267" s="23">
        <v>20</v>
      </c>
      <c r="P267" s="23">
        <v>80</v>
      </c>
    </row>
    <row r="268" spans="1:16" ht="15" x14ac:dyDescent="0.25">
      <c r="A268">
        <v>210420080</v>
      </c>
      <c r="B268" t="s">
        <v>312</v>
      </c>
      <c r="C268" s="26" t="s">
        <v>243</v>
      </c>
      <c r="D268" s="26" t="s">
        <v>56</v>
      </c>
      <c r="E268" t="s">
        <v>57</v>
      </c>
      <c r="F268" t="s">
        <v>59</v>
      </c>
      <c r="G268" t="s">
        <v>58</v>
      </c>
      <c r="H268" t="s">
        <v>59</v>
      </c>
      <c r="I268" t="s">
        <v>59</v>
      </c>
      <c r="J268"/>
      <c r="L268">
        <v>2</v>
      </c>
      <c r="M268" s="23">
        <v>1</v>
      </c>
      <c r="N268" s="29">
        <v>4</v>
      </c>
      <c r="O268" s="23">
        <v>20</v>
      </c>
      <c r="P268" s="23">
        <v>90</v>
      </c>
    </row>
    <row r="269" spans="1:16" ht="15" x14ac:dyDescent="0.25">
      <c r="A269">
        <v>210420090</v>
      </c>
      <c r="B269" t="s">
        <v>313</v>
      </c>
      <c r="C269" s="26" t="s">
        <v>243</v>
      </c>
      <c r="D269" s="26" t="s">
        <v>56</v>
      </c>
      <c r="E269" t="s">
        <v>57</v>
      </c>
      <c r="F269" t="s">
        <v>59</v>
      </c>
      <c r="G269" t="s">
        <v>58</v>
      </c>
      <c r="H269" t="s">
        <v>59</v>
      </c>
      <c r="I269" t="s">
        <v>59</v>
      </c>
      <c r="J269"/>
      <c r="L269">
        <v>2</v>
      </c>
      <c r="M269" s="23">
        <v>1</v>
      </c>
      <c r="N269" s="29">
        <v>4</v>
      </c>
      <c r="O269" s="23">
        <v>20</v>
      </c>
      <c r="P269" s="23">
        <v>95</v>
      </c>
    </row>
    <row r="270" spans="1:16" ht="15" x14ac:dyDescent="0.25">
      <c r="A270">
        <v>210420095</v>
      </c>
      <c r="B270" t="s">
        <v>314</v>
      </c>
      <c r="C270" s="26" t="s">
        <v>243</v>
      </c>
      <c r="D270" s="26" t="s">
        <v>56</v>
      </c>
      <c r="E270" t="s">
        <v>57</v>
      </c>
      <c r="F270" t="s">
        <v>59</v>
      </c>
      <c r="G270" t="s">
        <v>58</v>
      </c>
      <c r="H270" t="s">
        <v>59</v>
      </c>
      <c r="I270" t="s">
        <v>59</v>
      </c>
      <c r="J270"/>
      <c r="L270">
        <v>2</v>
      </c>
      <c r="M270" s="23">
        <v>1</v>
      </c>
      <c r="N270" s="29">
        <v>5</v>
      </c>
    </row>
    <row r="271" spans="1:16" ht="15" x14ac:dyDescent="0.25">
      <c r="A271">
        <v>2105</v>
      </c>
      <c r="B271" t="s">
        <v>315</v>
      </c>
      <c r="C271" s="26" t="s">
        <v>243</v>
      </c>
      <c r="D271" s="26" t="s">
        <v>56</v>
      </c>
      <c r="E271" t="s">
        <v>57</v>
      </c>
      <c r="F271" t="s">
        <v>58</v>
      </c>
      <c r="G271" t="s">
        <v>58</v>
      </c>
      <c r="H271" t="s">
        <v>59</v>
      </c>
      <c r="I271" t="s">
        <v>59</v>
      </c>
      <c r="J271"/>
      <c r="L271">
        <v>2</v>
      </c>
      <c r="M271" s="23">
        <v>1</v>
      </c>
      <c r="N271" s="29">
        <v>5</v>
      </c>
      <c r="O271" s="23">
        <v>1</v>
      </c>
    </row>
    <row r="272" spans="1:16" ht="15" x14ac:dyDescent="0.25">
      <c r="A272">
        <v>210501</v>
      </c>
      <c r="B272" t="s">
        <v>316</v>
      </c>
      <c r="C272" s="26" t="s">
        <v>243</v>
      </c>
      <c r="D272" s="26" t="s">
        <v>56</v>
      </c>
      <c r="E272" t="s">
        <v>57</v>
      </c>
      <c r="F272" t="s">
        <v>58</v>
      </c>
      <c r="G272" t="s">
        <v>58</v>
      </c>
      <c r="H272" t="s">
        <v>59</v>
      </c>
      <c r="I272" t="s">
        <v>59</v>
      </c>
      <c r="J272"/>
      <c r="L272">
        <v>2</v>
      </c>
      <c r="M272" s="23">
        <v>1</v>
      </c>
      <c r="N272" s="29">
        <v>5</v>
      </c>
      <c r="O272" s="23">
        <v>1</v>
      </c>
      <c r="P272" s="23">
        <v>1</v>
      </c>
    </row>
    <row r="273" spans="1:16" ht="15" x14ac:dyDescent="0.25">
      <c r="A273">
        <v>210501001</v>
      </c>
      <c r="B273" t="s">
        <v>317</v>
      </c>
      <c r="C273" s="26" t="s">
        <v>243</v>
      </c>
      <c r="D273" s="26" t="s">
        <v>56</v>
      </c>
      <c r="E273" t="s">
        <v>57</v>
      </c>
      <c r="F273" t="s">
        <v>59</v>
      </c>
      <c r="G273" t="s">
        <v>58</v>
      </c>
      <c r="H273" t="s">
        <v>59</v>
      </c>
      <c r="I273" t="s">
        <v>59</v>
      </c>
      <c r="J273"/>
      <c r="L273">
        <v>2</v>
      </c>
      <c r="M273" s="23">
        <v>1</v>
      </c>
      <c r="N273" s="29">
        <v>5</v>
      </c>
      <c r="O273" s="23">
        <v>1</v>
      </c>
      <c r="P273" s="23">
        <v>10</v>
      </c>
    </row>
    <row r="274" spans="1:16" ht="15" x14ac:dyDescent="0.25">
      <c r="A274">
        <v>210501010</v>
      </c>
      <c r="B274" t="s">
        <v>318</v>
      </c>
      <c r="C274" s="26" t="s">
        <v>243</v>
      </c>
      <c r="D274" s="26" t="s">
        <v>56</v>
      </c>
      <c r="E274" t="s">
        <v>57</v>
      </c>
      <c r="F274" t="s">
        <v>59</v>
      </c>
      <c r="G274" t="s">
        <v>58</v>
      </c>
      <c r="H274" t="s">
        <v>59</v>
      </c>
      <c r="I274" t="s">
        <v>59</v>
      </c>
      <c r="J274"/>
      <c r="L274">
        <v>2</v>
      </c>
      <c r="M274" s="23">
        <v>1</v>
      </c>
      <c r="N274" s="29">
        <v>5</v>
      </c>
      <c r="O274" s="23">
        <v>1</v>
      </c>
      <c r="P274" s="23">
        <v>11</v>
      </c>
    </row>
    <row r="275" spans="1:16" ht="15" x14ac:dyDescent="0.25">
      <c r="A275">
        <v>210501011</v>
      </c>
      <c r="B275" t="s">
        <v>319</v>
      </c>
      <c r="C275" s="26" t="s">
        <v>243</v>
      </c>
      <c r="D275" s="26" t="s">
        <v>56</v>
      </c>
      <c r="E275" t="s">
        <v>57</v>
      </c>
      <c r="F275" t="s">
        <v>59</v>
      </c>
      <c r="G275" t="s">
        <v>58</v>
      </c>
      <c r="H275" t="s">
        <v>59</v>
      </c>
      <c r="I275" t="s">
        <v>59</v>
      </c>
      <c r="J275"/>
      <c r="L275">
        <v>2</v>
      </c>
      <c r="M275" s="23">
        <v>1</v>
      </c>
      <c r="N275" s="29">
        <v>5</v>
      </c>
      <c r="O275" s="23">
        <v>1</v>
      </c>
      <c r="P275" s="23">
        <v>20</v>
      </c>
    </row>
    <row r="276" spans="1:16" ht="15" x14ac:dyDescent="0.25">
      <c r="A276">
        <v>210501020</v>
      </c>
      <c r="B276" t="s">
        <v>320</v>
      </c>
      <c r="C276" s="26" t="s">
        <v>243</v>
      </c>
      <c r="D276" s="26" t="s">
        <v>56</v>
      </c>
      <c r="E276" t="s">
        <v>57</v>
      </c>
      <c r="F276" t="s">
        <v>59</v>
      </c>
      <c r="G276" t="s">
        <v>58</v>
      </c>
      <c r="H276" t="s">
        <v>59</v>
      </c>
      <c r="I276" t="s">
        <v>59</v>
      </c>
      <c r="J276"/>
      <c r="L276">
        <v>2</v>
      </c>
      <c r="M276" s="23">
        <v>1</v>
      </c>
      <c r="N276" s="29">
        <v>5</v>
      </c>
      <c r="O276" s="23">
        <v>5</v>
      </c>
    </row>
    <row r="277" spans="1:16" ht="15" x14ac:dyDescent="0.25">
      <c r="A277">
        <v>210505</v>
      </c>
      <c r="B277" t="s">
        <v>321</v>
      </c>
      <c r="C277" s="26" t="s">
        <v>243</v>
      </c>
      <c r="D277" s="26" t="s">
        <v>56</v>
      </c>
      <c r="E277" t="s">
        <v>57</v>
      </c>
      <c r="F277" t="s">
        <v>58</v>
      </c>
      <c r="G277" t="s">
        <v>58</v>
      </c>
      <c r="H277" t="s">
        <v>59</v>
      </c>
      <c r="I277" t="s">
        <v>59</v>
      </c>
      <c r="J277"/>
      <c r="L277">
        <v>2</v>
      </c>
      <c r="M277" s="23">
        <v>1</v>
      </c>
      <c r="N277" s="29">
        <v>5</v>
      </c>
      <c r="O277" s="23">
        <v>5</v>
      </c>
      <c r="P277" s="23">
        <v>1</v>
      </c>
    </row>
    <row r="278" spans="1:16" ht="15" x14ac:dyDescent="0.25">
      <c r="A278">
        <v>210505001</v>
      </c>
      <c r="B278" t="s">
        <v>322</v>
      </c>
      <c r="C278" s="26" t="s">
        <v>243</v>
      </c>
      <c r="D278" s="26" t="s">
        <v>56</v>
      </c>
      <c r="E278" t="s">
        <v>57</v>
      </c>
      <c r="F278" t="s">
        <v>59</v>
      </c>
      <c r="G278" t="s">
        <v>58</v>
      </c>
      <c r="H278" t="s">
        <v>59</v>
      </c>
      <c r="I278" t="s">
        <v>59</v>
      </c>
      <c r="J278"/>
      <c r="L278">
        <v>2</v>
      </c>
      <c r="M278" s="23">
        <v>1</v>
      </c>
      <c r="N278" s="29">
        <v>5</v>
      </c>
      <c r="O278" s="23">
        <v>5</v>
      </c>
      <c r="P278" s="23">
        <v>10</v>
      </c>
    </row>
    <row r="279" spans="1:16" ht="15" x14ac:dyDescent="0.25">
      <c r="A279">
        <v>210505010</v>
      </c>
      <c r="B279" t="s">
        <v>323</v>
      </c>
      <c r="C279" s="26" t="s">
        <v>243</v>
      </c>
      <c r="D279" s="26" t="s">
        <v>56</v>
      </c>
      <c r="E279" t="s">
        <v>57</v>
      </c>
      <c r="F279" t="s">
        <v>59</v>
      </c>
      <c r="G279" t="s">
        <v>58</v>
      </c>
      <c r="H279" t="s">
        <v>59</v>
      </c>
      <c r="I279" t="s">
        <v>59</v>
      </c>
      <c r="J279"/>
      <c r="L279">
        <v>2</v>
      </c>
      <c r="M279" s="23">
        <v>1</v>
      </c>
      <c r="N279" s="29">
        <v>5</v>
      </c>
      <c r="O279" s="23">
        <v>5</v>
      </c>
      <c r="P279" s="23">
        <v>20</v>
      </c>
    </row>
    <row r="280" spans="1:16" ht="15" x14ac:dyDescent="0.25">
      <c r="A280">
        <v>210505020</v>
      </c>
      <c r="B280" t="s">
        <v>324</v>
      </c>
      <c r="C280" s="26" t="s">
        <v>243</v>
      </c>
      <c r="D280" s="26" t="s">
        <v>56</v>
      </c>
      <c r="E280" t="s">
        <v>57</v>
      </c>
      <c r="F280" t="s">
        <v>59</v>
      </c>
      <c r="G280" t="s">
        <v>58</v>
      </c>
      <c r="H280" t="s">
        <v>59</v>
      </c>
      <c r="I280" t="s">
        <v>59</v>
      </c>
      <c r="J280"/>
      <c r="L280">
        <v>2</v>
      </c>
      <c r="M280" s="23">
        <v>1</v>
      </c>
      <c r="N280" s="29">
        <v>5</v>
      </c>
      <c r="O280" s="23">
        <v>5</v>
      </c>
      <c r="P280" s="23">
        <v>30</v>
      </c>
    </row>
    <row r="281" spans="1:16" ht="15" x14ac:dyDescent="0.25">
      <c r="A281">
        <v>210505030</v>
      </c>
      <c r="B281" t="s">
        <v>325</v>
      </c>
      <c r="C281" s="26" t="s">
        <v>243</v>
      </c>
      <c r="D281" s="26" t="s">
        <v>56</v>
      </c>
      <c r="E281" t="s">
        <v>57</v>
      </c>
      <c r="F281" t="s">
        <v>59</v>
      </c>
      <c r="G281" t="s">
        <v>58</v>
      </c>
      <c r="H281" t="s">
        <v>59</v>
      </c>
      <c r="I281" t="s">
        <v>59</v>
      </c>
      <c r="J281"/>
      <c r="L281">
        <v>2</v>
      </c>
      <c r="M281" s="23">
        <v>1</v>
      </c>
      <c r="N281" s="29">
        <v>5</v>
      </c>
      <c r="O281" s="23">
        <v>5</v>
      </c>
      <c r="P281" s="23">
        <v>35</v>
      </c>
    </row>
    <row r="282" spans="1:16" ht="15" x14ac:dyDescent="0.25">
      <c r="A282">
        <v>210505035</v>
      </c>
      <c r="B282" t="s">
        <v>326</v>
      </c>
      <c r="C282" s="26" t="s">
        <v>243</v>
      </c>
      <c r="D282" s="26" t="s">
        <v>56</v>
      </c>
      <c r="E282" t="s">
        <v>57</v>
      </c>
      <c r="F282" t="s">
        <v>59</v>
      </c>
      <c r="G282" t="s">
        <v>58</v>
      </c>
      <c r="H282" t="s">
        <v>59</v>
      </c>
      <c r="I282" t="s">
        <v>59</v>
      </c>
      <c r="J282"/>
      <c r="L282">
        <v>2</v>
      </c>
      <c r="M282" s="23">
        <v>1</v>
      </c>
      <c r="N282" s="29">
        <v>5</v>
      </c>
      <c r="O282" s="23">
        <v>5</v>
      </c>
      <c r="P282" s="23">
        <v>40</v>
      </c>
    </row>
    <row r="283" spans="1:16" ht="15" x14ac:dyDescent="0.25">
      <c r="A283">
        <v>210505040</v>
      </c>
      <c r="B283" t="s">
        <v>327</v>
      </c>
      <c r="C283" s="26" t="s">
        <v>243</v>
      </c>
      <c r="D283" s="26" t="s">
        <v>56</v>
      </c>
      <c r="E283" t="s">
        <v>57</v>
      </c>
      <c r="F283" t="s">
        <v>59</v>
      </c>
      <c r="G283" t="s">
        <v>58</v>
      </c>
      <c r="H283" t="s">
        <v>59</v>
      </c>
      <c r="I283" t="s">
        <v>59</v>
      </c>
      <c r="J283"/>
      <c r="L283">
        <v>2</v>
      </c>
      <c r="M283" s="23">
        <v>1</v>
      </c>
      <c r="N283" s="29">
        <v>5</v>
      </c>
      <c r="O283" s="23">
        <v>5</v>
      </c>
      <c r="P283" s="23">
        <v>50</v>
      </c>
    </row>
    <row r="284" spans="1:16" ht="15" x14ac:dyDescent="0.25">
      <c r="A284">
        <v>210505050</v>
      </c>
      <c r="B284" t="s">
        <v>328</v>
      </c>
      <c r="C284" s="26" t="s">
        <v>243</v>
      </c>
      <c r="D284" s="26" t="s">
        <v>56</v>
      </c>
      <c r="E284" t="s">
        <v>57</v>
      </c>
      <c r="F284" t="s">
        <v>59</v>
      </c>
      <c r="G284" t="s">
        <v>58</v>
      </c>
      <c r="H284" t="s">
        <v>59</v>
      </c>
      <c r="I284" t="s">
        <v>59</v>
      </c>
      <c r="J284"/>
      <c r="L284">
        <v>2</v>
      </c>
      <c r="M284" s="23">
        <v>2</v>
      </c>
    </row>
    <row r="285" spans="1:16" ht="15" x14ac:dyDescent="0.25">
      <c r="A285">
        <v>22</v>
      </c>
      <c r="B285" t="s">
        <v>329</v>
      </c>
      <c r="C285" s="26" t="s">
        <v>243</v>
      </c>
      <c r="D285" s="26" t="s">
        <v>56</v>
      </c>
      <c r="E285" t="s">
        <v>57</v>
      </c>
      <c r="F285" t="s">
        <v>58</v>
      </c>
      <c r="G285" t="s">
        <v>58</v>
      </c>
      <c r="H285" t="s">
        <v>59</v>
      </c>
      <c r="I285" t="s">
        <v>59</v>
      </c>
      <c r="J285"/>
      <c r="L285">
        <v>2</v>
      </c>
      <c r="M285" s="23">
        <v>2</v>
      </c>
      <c r="N285" s="29">
        <v>2</v>
      </c>
    </row>
    <row r="286" spans="1:16" ht="15" x14ac:dyDescent="0.25">
      <c r="A286">
        <v>2202</v>
      </c>
      <c r="B286" t="s">
        <v>259</v>
      </c>
      <c r="C286" s="26" t="s">
        <v>243</v>
      </c>
      <c r="D286" s="26" t="s">
        <v>56</v>
      </c>
      <c r="E286" t="s">
        <v>57</v>
      </c>
      <c r="F286" t="s">
        <v>58</v>
      </c>
      <c r="G286" t="s">
        <v>58</v>
      </c>
      <c r="H286" t="s">
        <v>59</v>
      </c>
      <c r="I286" t="s">
        <v>59</v>
      </c>
      <c r="J286"/>
      <c r="L286">
        <v>2</v>
      </c>
      <c r="M286" s="23">
        <v>2</v>
      </c>
      <c r="N286" s="29">
        <v>2</v>
      </c>
      <c r="O286" s="23">
        <v>10</v>
      </c>
    </row>
    <row r="287" spans="1:16" ht="15" x14ac:dyDescent="0.25">
      <c r="A287">
        <v>220210</v>
      </c>
      <c r="B287" t="s">
        <v>330</v>
      </c>
      <c r="C287" s="26" t="s">
        <v>243</v>
      </c>
      <c r="D287" s="26" t="s">
        <v>56</v>
      </c>
      <c r="E287" t="s">
        <v>57</v>
      </c>
      <c r="F287" t="s">
        <v>58</v>
      </c>
      <c r="G287" t="s">
        <v>58</v>
      </c>
      <c r="H287" t="s">
        <v>59</v>
      </c>
      <c r="I287" t="s">
        <v>59</v>
      </c>
      <c r="J287"/>
      <c r="L287">
        <v>2</v>
      </c>
      <c r="M287" s="23">
        <v>2</v>
      </c>
      <c r="N287" s="29">
        <v>2</v>
      </c>
      <c r="O287" s="23">
        <v>10</v>
      </c>
      <c r="P287" s="23">
        <v>20</v>
      </c>
    </row>
    <row r="288" spans="1:16" ht="15" x14ac:dyDescent="0.25">
      <c r="A288">
        <v>220210020</v>
      </c>
      <c r="B288" t="s">
        <v>331</v>
      </c>
      <c r="C288" s="26" t="s">
        <v>243</v>
      </c>
      <c r="D288" s="26" t="s">
        <v>56</v>
      </c>
      <c r="E288" t="s">
        <v>57</v>
      </c>
      <c r="F288" t="s">
        <v>59</v>
      </c>
      <c r="G288" t="s">
        <v>58</v>
      </c>
      <c r="H288" t="s">
        <v>59</v>
      </c>
      <c r="I288" t="s">
        <v>59</v>
      </c>
      <c r="J288"/>
      <c r="L288">
        <v>2</v>
      </c>
      <c r="M288" s="23">
        <v>2</v>
      </c>
      <c r="N288" s="29">
        <v>2</v>
      </c>
      <c r="O288" s="23">
        <v>10</v>
      </c>
      <c r="P288" s="23">
        <v>30</v>
      </c>
    </row>
    <row r="289" spans="1:16" ht="15" x14ac:dyDescent="0.25">
      <c r="A289">
        <v>220210030</v>
      </c>
      <c r="B289" t="s">
        <v>332</v>
      </c>
      <c r="C289" s="26" t="s">
        <v>243</v>
      </c>
      <c r="D289" s="26" t="s">
        <v>56</v>
      </c>
      <c r="E289" t="s">
        <v>69</v>
      </c>
      <c r="F289" t="s">
        <v>59</v>
      </c>
      <c r="G289" t="s">
        <v>58</v>
      </c>
      <c r="H289" t="s">
        <v>59</v>
      </c>
      <c r="I289" t="s">
        <v>59</v>
      </c>
      <c r="J289"/>
      <c r="L289">
        <v>2</v>
      </c>
      <c r="M289" s="23">
        <v>2</v>
      </c>
      <c r="N289" s="29">
        <v>4</v>
      </c>
    </row>
    <row r="290" spans="1:16" ht="15" x14ac:dyDescent="0.25">
      <c r="A290">
        <v>2204</v>
      </c>
      <c r="B290" t="s">
        <v>291</v>
      </c>
      <c r="C290" s="26" t="s">
        <v>243</v>
      </c>
      <c r="D290" s="26" t="s">
        <v>56</v>
      </c>
      <c r="E290" t="s">
        <v>57</v>
      </c>
      <c r="F290" t="s">
        <v>58</v>
      </c>
      <c r="G290" t="s">
        <v>58</v>
      </c>
      <c r="H290" t="s">
        <v>59</v>
      </c>
      <c r="I290" t="s">
        <v>59</v>
      </c>
      <c r="J290"/>
      <c r="L290">
        <v>2</v>
      </c>
      <c r="M290" s="23">
        <v>2</v>
      </c>
      <c r="N290" s="29">
        <v>4</v>
      </c>
      <c r="O290" s="23">
        <v>10</v>
      </c>
      <c r="P290" s="23">
        <v>10</v>
      </c>
    </row>
    <row r="291" spans="1:16" ht="15" x14ac:dyDescent="0.25">
      <c r="A291">
        <v>220410010</v>
      </c>
      <c r="B291" t="s">
        <v>333</v>
      </c>
      <c r="C291" s="26" t="s">
        <v>243</v>
      </c>
      <c r="D291" s="26" t="s">
        <v>56</v>
      </c>
      <c r="E291" t="s">
        <v>57</v>
      </c>
      <c r="F291" t="s">
        <v>59</v>
      </c>
      <c r="G291" t="s">
        <v>58</v>
      </c>
      <c r="H291" t="s">
        <v>59</v>
      </c>
      <c r="I291" t="s">
        <v>59</v>
      </c>
      <c r="J291"/>
      <c r="L291">
        <v>3</v>
      </c>
    </row>
    <row r="292" spans="1:16" ht="15" x14ac:dyDescent="0.25">
      <c r="A292">
        <v>3</v>
      </c>
      <c r="B292" t="s">
        <v>334</v>
      </c>
      <c r="C292" s="26" t="s">
        <v>335</v>
      </c>
      <c r="D292" s="26" t="s">
        <v>56</v>
      </c>
      <c r="E292" t="s">
        <v>57</v>
      </c>
      <c r="F292" t="s">
        <v>58</v>
      </c>
      <c r="G292" t="s">
        <v>58</v>
      </c>
      <c r="H292" t="s">
        <v>59</v>
      </c>
      <c r="I292" t="s">
        <v>59</v>
      </c>
      <c r="J292"/>
      <c r="L292">
        <v>3</v>
      </c>
      <c r="M292" s="23">
        <v>1</v>
      </c>
    </row>
    <row r="293" spans="1:16" ht="15" x14ac:dyDescent="0.25">
      <c r="A293">
        <v>31</v>
      </c>
      <c r="B293" t="s">
        <v>336</v>
      </c>
      <c r="C293" s="26" t="s">
        <v>335</v>
      </c>
      <c r="D293" s="26" t="s">
        <v>56</v>
      </c>
      <c r="E293" t="s">
        <v>57</v>
      </c>
      <c r="F293" t="s">
        <v>58</v>
      </c>
      <c r="G293" t="s">
        <v>58</v>
      </c>
      <c r="H293" t="s">
        <v>59</v>
      </c>
      <c r="I293" t="s">
        <v>59</v>
      </c>
      <c r="J293"/>
      <c r="L293">
        <v>3</v>
      </c>
      <c r="M293" s="23">
        <v>1</v>
      </c>
      <c r="N293" s="29">
        <v>1</v>
      </c>
    </row>
    <row r="294" spans="1:16" ht="15" x14ac:dyDescent="0.25">
      <c r="A294">
        <v>3101</v>
      </c>
      <c r="B294" t="s">
        <v>336</v>
      </c>
      <c r="C294" s="26" t="s">
        <v>335</v>
      </c>
      <c r="D294" s="26" t="s">
        <v>56</v>
      </c>
      <c r="E294" t="s">
        <v>57</v>
      </c>
      <c r="F294" t="s">
        <v>59</v>
      </c>
      <c r="G294" t="s">
        <v>58</v>
      </c>
      <c r="H294" t="s">
        <v>59</v>
      </c>
      <c r="I294" t="s">
        <v>59</v>
      </c>
      <c r="J294"/>
      <c r="L294">
        <v>3</v>
      </c>
      <c r="M294" s="23">
        <v>1</v>
      </c>
      <c r="N294" s="29">
        <v>5</v>
      </c>
    </row>
    <row r="295" spans="1:16" ht="15" x14ac:dyDescent="0.25">
      <c r="A295">
        <v>3105</v>
      </c>
      <c r="B295" t="s">
        <v>76</v>
      </c>
      <c r="C295" s="26" t="s">
        <v>335</v>
      </c>
      <c r="D295" s="26" t="s">
        <v>56</v>
      </c>
      <c r="E295" t="s">
        <v>57</v>
      </c>
      <c r="F295" t="s">
        <v>59</v>
      </c>
      <c r="G295" t="s">
        <v>58</v>
      </c>
      <c r="H295" t="s">
        <v>59</v>
      </c>
      <c r="I295" t="s">
        <v>59</v>
      </c>
      <c r="J295"/>
      <c r="L295">
        <v>3</v>
      </c>
      <c r="M295" s="23">
        <v>1</v>
      </c>
      <c r="N295" s="29">
        <v>10</v>
      </c>
    </row>
    <row r="296" spans="1:16" ht="15" x14ac:dyDescent="0.25">
      <c r="A296">
        <v>3110</v>
      </c>
      <c r="B296" t="s">
        <v>337</v>
      </c>
      <c r="C296" s="26" t="s">
        <v>335</v>
      </c>
      <c r="D296" s="26" t="s">
        <v>56</v>
      </c>
      <c r="E296" t="s">
        <v>57</v>
      </c>
      <c r="F296" t="s">
        <v>59</v>
      </c>
      <c r="G296" t="s">
        <v>58</v>
      </c>
      <c r="H296" t="s">
        <v>59</v>
      </c>
      <c r="I296" t="s">
        <v>59</v>
      </c>
      <c r="J296"/>
      <c r="L296">
        <v>3</v>
      </c>
      <c r="M296" s="23">
        <v>1</v>
      </c>
      <c r="N296" s="29">
        <v>15</v>
      </c>
    </row>
    <row r="297" spans="1:16" ht="15" x14ac:dyDescent="0.25">
      <c r="A297">
        <v>3115</v>
      </c>
      <c r="B297" t="s">
        <v>338</v>
      </c>
      <c r="C297" s="26" t="s">
        <v>335</v>
      </c>
      <c r="D297" s="26" t="s">
        <v>56</v>
      </c>
      <c r="E297" t="s">
        <v>57</v>
      </c>
      <c r="F297" t="s">
        <v>59</v>
      </c>
      <c r="G297" t="s">
        <v>58</v>
      </c>
      <c r="H297" t="s">
        <v>59</v>
      </c>
      <c r="I297" t="s">
        <v>59</v>
      </c>
      <c r="J297"/>
      <c r="L297">
        <v>3</v>
      </c>
      <c r="M297" s="23">
        <v>1</v>
      </c>
      <c r="N297" s="29">
        <v>20</v>
      </c>
    </row>
    <row r="298" spans="1:16" ht="15" x14ac:dyDescent="0.25">
      <c r="A298">
        <v>3120</v>
      </c>
      <c r="B298" t="s">
        <v>339</v>
      </c>
      <c r="C298" s="26" t="s">
        <v>335</v>
      </c>
      <c r="D298" s="26" t="s">
        <v>56</v>
      </c>
      <c r="E298" t="s">
        <v>57</v>
      </c>
      <c r="F298" t="s">
        <v>59</v>
      </c>
      <c r="G298" t="s">
        <v>58</v>
      </c>
      <c r="H298" t="s">
        <v>59</v>
      </c>
      <c r="I298" t="s">
        <v>59</v>
      </c>
      <c r="J298"/>
      <c r="L298">
        <v>3</v>
      </c>
      <c r="M298" s="23">
        <v>1</v>
      </c>
      <c r="N298" s="29">
        <v>25</v>
      </c>
    </row>
    <row r="299" spans="1:16" ht="15" x14ac:dyDescent="0.25">
      <c r="A299">
        <v>3125</v>
      </c>
      <c r="B299" t="s">
        <v>340</v>
      </c>
      <c r="C299" s="26" t="s">
        <v>335</v>
      </c>
      <c r="D299" s="26" t="s">
        <v>56</v>
      </c>
      <c r="E299" t="s">
        <v>57</v>
      </c>
      <c r="F299" t="s">
        <v>59</v>
      </c>
      <c r="G299" t="s">
        <v>58</v>
      </c>
      <c r="H299" t="s">
        <v>59</v>
      </c>
      <c r="I299" t="s">
        <v>59</v>
      </c>
      <c r="J299"/>
      <c r="L299">
        <v>3</v>
      </c>
      <c r="M299" s="23">
        <v>1</v>
      </c>
      <c r="N299" s="29">
        <v>30</v>
      </c>
    </row>
    <row r="300" spans="1:16" ht="15" x14ac:dyDescent="0.25">
      <c r="A300">
        <v>3130</v>
      </c>
      <c r="B300" t="s">
        <v>341</v>
      </c>
      <c r="C300" s="26" t="s">
        <v>335</v>
      </c>
      <c r="D300" s="26" t="s">
        <v>56</v>
      </c>
      <c r="E300" t="s">
        <v>57</v>
      </c>
      <c r="F300" t="s">
        <v>59</v>
      </c>
      <c r="G300" t="s">
        <v>58</v>
      </c>
      <c r="H300" t="s">
        <v>59</v>
      </c>
      <c r="I300" t="s">
        <v>59</v>
      </c>
      <c r="J300"/>
      <c r="L300">
        <v>3</v>
      </c>
      <c r="M300" s="23">
        <v>2</v>
      </c>
    </row>
    <row r="301" spans="1:16" ht="15" x14ac:dyDescent="0.25">
      <c r="A301">
        <v>32</v>
      </c>
      <c r="B301" t="s">
        <v>342</v>
      </c>
      <c r="C301" s="26" t="s">
        <v>335</v>
      </c>
      <c r="D301" s="26" t="s">
        <v>56</v>
      </c>
      <c r="E301" t="s">
        <v>57</v>
      </c>
      <c r="F301" t="s">
        <v>58</v>
      </c>
      <c r="G301" t="s">
        <v>58</v>
      </c>
      <c r="H301" t="s">
        <v>59</v>
      </c>
      <c r="I301" t="s">
        <v>59</v>
      </c>
      <c r="J301"/>
      <c r="L301">
        <v>3</v>
      </c>
      <c r="M301" s="23">
        <v>2</v>
      </c>
      <c r="N301" s="29">
        <v>1</v>
      </c>
    </row>
    <row r="302" spans="1:16" ht="15" x14ac:dyDescent="0.25">
      <c r="A302">
        <v>3201</v>
      </c>
      <c r="B302" t="s">
        <v>343</v>
      </c>
      <c r="C302" s="26" t="s">
        <v>335</v>
      </c>
      <c r="D302" s="26" t="s">
        <v>56</v>
      </c>
      <c r="E302" t="s">
        <v>57</v>
      </c>
      <c r="F302" t="s">
        <v>59</v>
      </c>
      <c r="G302" t="s">
        <v>58</v>
      </c>
      <c r="H302" t="s">
        <v>59</v>
      </c>
      <c r="I302" t="s">
        <v>59</v>
      </c>
      <c r="J302"/>
      <c r="L302">
        <v>3</v>
      </c>
      <c r="M302" s="23">
        <v>2</v>
      </c>
      <c r="N302" s="29">
        <v>2</v>
      </c>
    </row>
    <row r="303" spans="1:16" ht="15" x14ac:dyDescent="0.25">
      <c r="A303">
        <v>3202</v>
      </c>
      <c r="B303" t="s">
        <v>344</v>
      </c>
      <c r="C303" s="26" t="s">
        <v>335</v>
      </c>
      <c r="D303" s="26" t="s">
        <v>56</v>
      </c>
      <c r="E303" t="s">
        <v>57</v>
      </c>
      <c r="F303" t="s">
        <v>59</v>
      </c>
      <c r="G303" t="s">
        <v>58</v>
      </c>
      <c r="H303" t="s">
        <v>59</v>
      </c>
      <c r="I303" t="s">
        <v>59</v>
      </c>
      <c r="J303"/>
      <c r="L303">
        <v>3</v>
      </c>
      <c r="M303" s="23">
        <v>2</v>
      </c>
      <c r="N303" s="29">
        <v>5</v>
      </c>
    </row>
    <row r="304" spans="1:16" ht="15" x14ac:dyDescent="0.25">
      <c r="A304">
        <v>3205</v>
      </c>
      <c r="B304" t="s">
        <v>345</v>
      </c>
      <c r="C304" s="26" t="s">
        <v>335</v>
      </c>
      <c r="D304" s="26" t="s">
        <v>56</v>
      </c>
      <c r="E304" t="s">
        <v>57</v>
      </c>
      <c r="F304" t="s">
        <v>59</v>
      </c>
      <c r="G304" t="s">
        <v>58</v>
      </c>
      <c r="H304" t="s">
        <v>59</v>
      </c>
      <c r="I304" t="s">
        <v>59</v>
      </c>
      <c r="J304"/>
      <c r="L304">
        <v>3</v>
      </c>
      <c r="M304" s="23">
        <v>3</v>
      </c>
    </row>
    <row r="305" spans="1:15" ht="15" x14ac:dyDescent="0.25">
      <c r="A305">
        <v>33</v>
      </c>
      <c r="B305" t="s">
        <v>346</v>
      </c>
      <c r="C305" s="26" t="s">
        <v>335</v>
      </c>
      <c r="D305" s="26" t="s">
        <v>56</v>
      </c>
      <c r="E305" t="s">
        <v>57</v>
      </c>
      <c r="F305" t="s">
        <v>58</v>
      </c>
      <c r="G305" t="s">
        <v>58</v>
      </c>
      <c r="H305" t="s">
        <v>59</v>
      </c>
      <c r="I305" t="s">
        <v>59</v>
      </c>
      <c r="J305"/>
      <c r="L305">
        <v>3</v>
      </c>
      <c r="M305" s="23">
        <v>3</v>
      </c>
      <c r="N305" s="29">
        <v>1</v>
      </c>
    </row>
    <row r="306" spans="1:15" ht="15" x14ac:dyDescent="0.25">
      <c r="A306">
        <v>3301</v>
      </c>
      <c r="B306" t="s">
        <v>347</v>
      </c>
      <c r="C306" s="26" t="s">
        <v>335</v>
      </c>
      <c r="D306" s="26" t="s">
        <v>56</v>
      </c>
      <c r="E306" t="s">
        <v>57</v>
      </c>
      <c r="F306" t="s">
        <v>59</v>
      </c>
      <c r="G306" t="s">
        <v>58</v>
      </c>
      <c r="H306" t="s">
        <v>59</v>
      </c>
      <c r="I306" t="s">
        <v>59</v>
      </c>
      <c r="J306"/>
      <c r="L306">
        <v>3</v>
      </c>
      <c r="M306" s="23">
        <v>3</v>
      </c>
      <c r="N306" s="29">
        <v>3</v>
      </c>
    </row>
    <row r="307" spans="1:15" ht="15" x14ac:dyDescent="0.25">
      <c r="A307">
        <v>3303</v>
      </c>
      <c r="B307" t="s">
        <v>348</v>
      </c>
      <c r="C307" s="26" t="s">
        <v>335</v>
      </c>
      <c r="D307" s="26" t="s">
        <v>56</v>
      </c>
      <c r="E307" t="s">
        <v>57</v>
      </c>
      <c r="F307" t="s">
        <v>59</v>
      </c>
      <c r="G307" t="s">
        <v>58</v>
      </c>
      <c r="H307" t="s">
        <v>59</v>
      </c>
      <c r="I307" t="s">
        <v>59</v>
      </c>
      <c r="J307"/>
      <c r="L307">
        <v>3</v>
      </c>
      <c r="M307" s="23">
        <v>3</v>
      </c>
      <c r="N307" s="29">
        <v>5</v>
      </c>
    </row>
    <row r="308" spans="1:15" ht="15" x14ac:dyDescent="0.25">
      <c r="A308">
        <v>3305</v>
      </c>
      <c r="B308" t="s">
        <v>349</v>
      </c>
      <c r="C308" s="26" t="s">
        <v>335</v>
      </c>
      <c r="D308" s="26" t="s">
        <v>56</v>
      </c>
      <c r="E308" t="s">
        <v>57</v>
      </c>
      <c r="F308" t="s">
        <v>59</v>
      </c>
      <c r="G308" t="s">
        <v>58</v>
      </c>
      <c r="H308" t="s">
        <v>59</v>
      </c>
      <c r="I308" t="s">
        <v>59</v>
      </c>
      <c r="J308"/>
      <c r="L308">
        <v>4</v>
      </c>
    </row>
    <row r="309" spans="1:15" ht="15" x14ac:dyDescent="0.25">
      <c r="A309">
        <v>4</v>
      </c>
      <c r="B309" t="s">
        <v>350</v>
      </c>
      <c r="C309" s="26" t="s">
        <v>351</v>
      </c>
      <c r="D309" s="26" t="s">
        <v>352</v>
      </c>
      <c r="E309" t="s">
        <v>57</v>
      </c>
      <c r="F309" t="s">
        <v>58</v>
      </c>
      <c r="G309" t="s">
        <v>59</v>
      </c>
      <c r="H309" t="s">
        <v>59</v>
      </c>
      <c r="I309" t="s">
        <v>59</v>
      </c>
      <c r="J309"/>
      <c r="L309">
        <v>4</v>
      </c>
      <c r="M309" s="23">
        <v>1</v>
      </c>
    </row>
    <row r="310" spans="1:15" ht="15" x14ac:dyDescent="0.25">
      <c r="A310">
        <v>41</v>
      </c>
      <c r="B310" t="s">
        <v>353</v>
      </c>
      <c r="C310" s="26" t="s">
        <v>351</v>
      </c>
      <c r="D310" s="26" t="s">
        <v>352</v>
      </c>
      <c r="E310" t="s">
        <v>57</v>
      </c>
      <c r="F310" t="s">
        <v>58</v>
      </c>
      <c r="G310" t="s">
        <v>59</v>
      </c>
      <c r="H310" t="s">
        <v>59</v>
      </c>
      <c r="I310" t="s">
        <v>59</v>
      </c>
      <c r="J310"/>
      <c r="L310">
        <v>4</v>
      </c>
      <c r="M310" s="23">
        <v>1</v>
      </c>
      <c r="N310" s="29">
        <v>1</v>
      </c>
    </row>
    <row r="311" spans="1:15" ht="15" x14ac:dyDescent="0.25">
      <c r="A311">
        <v>4101</v>
      </c>
      <c r="B311" t="s">
        <v>354</v>
      </c>
      <c r="C311" s="26" t="s">
        <v>351</v>
      </c>
      <c r="D311" s="26" t="s">
        <v>352</v>
      </c>
      <c r="E311" t="s">
        <v>57</v>
      </c>
      <c r="F311" t="s">
        <v>58</v>
      </c>
      <c r="G311" t="s">
        <v>59</v>
      </c>
      <c r="H311" t="s">
        <v>59</v>
      </c>
      <c r="I311" t="s">
        <v>59</v>
      </c>
      <c r="J311"/>
      <c r="L311">
        <v>4</v>
      </c>
      <c r="M311" s="23">
        <v>1</v>
      </c>
      <c r="N311" s="29">
        <v>10</v>
      </c>
    </row>
    <row r="312" spans="1:15" ht="15" x14ac:dyDescent="0.25">
      <c r="A312">
        <v>4110</v>
      </c>
      <c r="B312" t="s">
        <v>355</v>
      </c>
      <c r="C312" s="26" t="s">
        <v>351</v>
      </c>
      <c r="D312" s="26" t="s">
        <v>352</v>
      </c>
      <c r="E312" t="s">
        <v>57</v>
      </c>
      <c r="F312" t="s">
        <v>59</v>
      </c>
      <c r="G312" t="s">
        <v>59</v>
      </c>
      <c r="H312" t="s">
        <v>59</v>
      </c>
      <c r="I312" t="s">
        <v>59</v>
      </c>
      <c r="J312"/>
      <c r="L312">
        <v>4</v>
      </c>
      <c r="M312" s="23">
        <v>1</v>
      </c>
      <c r="N312" s="29">
        <v>10</v>
      </c>
      <c r="O312" s="23">
        <v>1</v>
      </c>
    </row>
    <row r="313" spans="1:15" ht="15" x14ac:dyDescent="0.25">
      <c r="A313">
        <v>411001</v>
      </c>
      <c r="B313" t="s">
        <v>356</v>
      </c>
      <c r="C313" s="26" t="s">
        <v>351</v>
      </c>
      <c r="D313" s="26" t="s">
        <v>352</v>
      </c>
      <c r="E313" t="s">
        <v>57</v>
      </c>
      <c r="F313" t="s">
        <v>59</v>
      </c>
      <c r="G313" t="s">
        <v>59</v>
      </c>
      <c r="H313" t="s">
        <v>58</v>
      </c>
      <c r="I313" t="s">
        <v>59</v>
      </c>
      <c r="J313"/>
      <c r="L313">
        <v>4</v>
      </c>
      <c r="M313" s="23">
        <v>1</v>
      </c>
      <c r="N313" s="29">
        <v>10</v>
      </c>
      <c r="O313" s="23">
        <v>5</v>
      </c>
    </row>
    <row r="314" spans="1:15" ht="15" x14ac:dyDescent="0.25">
      <c r="A314">
        <v>411005</v>
      </c>
      <c r="B314" t="s">
        <v>357</v>
      </c>
      <c r="C314" s="26" t="s">
        <v>351</v>
      </c>
      <c r="D314" s="26" t="s">
        <v>352</v>
      </c>
      <c r="E314" t="s">
        <v>57</v>
      </c>
      <c r="F314" t="s">
        <v>59</v>
      </c>
      <c r="G314" t="s">
        <v>59</v>
      </c>
      <c r="H314" t="s">
        <v>58</v>
      </c>
      <c r="I314" t="s">
        <v>59</v>
      </c>
      <c r="J314"/>
      <c r="L314">
        <v>4</v>
      </c>
      <c r="M314" s="23">
        <v>1</v>
      </c>
      <c r="N314" s="29">
        <v>10</v>
      </c>
      <c r="O314" s="23">
        <v>10</v>
      </c>
    </row>
    <row r="315" spans="1:15" ht="15" x14ac:dyDescent="0.25">
      <c r="A315">
        <v>411010</v>
      </c>
      <c r="B315" t="s">
        <v>358</v>
      </c>
      <c r="C315" s="26" t="s">
        <v>351</v>
      </c>
      <c r="D315" s="26" t="s">
        <v>352</v>
      </c>
      <c r="E315" t="s">
        <v>57</v>
      </c>
      <c r="F315" t="s">
        <v>59</v>
      </c>
      <c r="G315" t="s">
        <v>59</v>
      </c>
      <c r="H315" t="s">
        <v>58</v>
      </c>
      <c r="I315" t="s">
        <v>59</v>
      </c>
      <c r="J315"/>
      <c r="L315">
        <v>4</v>
      </c>
      <c r="M315" s="23">
        <v>2</v>
      </c>
    </row>
    <row r="316" spans="1:15" ht="15" x14ac:dyDescent="0.25">
      <c r="A316">
        <v>42</v>
      </c>
      <c r="B316" t="s">
        <v>359</v>
      </c>
      <c r="C316" s="26" t="s">
        <v>351</v>
      </c>
      <c r="D316" s="26" t="s">
        <v>352</v>
      </c>
      <c r="E316" t="s">
        <v>57</v>
      </c>
      <c r="F316" t="s">
        <v>58</v>
      </c>
      <c r="G316" t="s">
        <v>59</v>
      </c>
      <c r="H316" t="s">
        <v>59</v>
      </c>
      <c r="I316" t="s">
        <v>59</v>
      </c>
      <c r="J316"/>
      <c r="L316">
        <v>4</v>
      </c>
      <c r="M316" s="23">
        <v>3</v>
      </c>
    </row>
    <row r="317" spans="1:15" ht="15" x14ac:dyDescent="0.25">
      <c r="A317">
        <v>43</v>
      </c>
      <c r="B317" t="s">
        <v>360</v>
      </c>
      <c r="C317" s="26" t="s">
        <v>351</v>
      </c>
      <c r="D317" s="26" t="s">
        <v>352</v>
      </c>
      <c r="E317" t="s">
        <v>57</v>
      </c>
      <c r="F317" t="s">
        <v>58</v>
      </c>
      <c r="G317" t="s">
        <v>59</v>
      </c>
      <c r="H317" t="s">
        <v>59</v>
      </c>
      <c r="I317" t="s">
        <v>59</v>
      </c>
      <c r="J317"/>
      <c r="L317">
        <v>4</v>
      </c>
      <c r="M317" s="23">
        <v>3</v>
      </c>
      <c r="N317" s="29">
        <v>1</v>
      </c>
    </row>
    <row r="318" spans="1:15" ht="15" x14ac:dyDescent="0.25">
      <c r="A318">
        <v>4301</v>
      </c>
      <c r="B318" t="s">
        <v>361</v>
      </c>
      <c r="C318" s="26" t="s">
        <v>351</v>
      </c>
      <c r="D318" s="26" t="s">
        <v>352</v>
      </c>
      <c r="E318" t="s">
        <v>57</v>
      </c>
      <c r="F318" t="s">
        <v>58</v>
      </c>
      <c r="G318" t="s">
        <v>58</v>
      </c>
      <c r="H318" t="s">
        <v>59</v>
      </c>
      <c r="I318" t="s">
        <v>59</v>
      </c>
      <c r="J318"/>
      <c r="L318">
        <v>4</v>
      </c>
      <c r="M318" s="23">
        <v>3</v>
      </c>
      <c r="N318" s="29">
        <v>1</v>
      </c>
      <c r="O318" s="23">
        <v>1</v>
      </c>
    </row>
    <row r="319" spans="1:15" ht="15" x14ac:dyDescent="0.25">
      <c r="A319">
        <v>430101</v>
      </c>
      <c r="B319" t="s">
        <v>362</v>
      </c>
      <c r="C319" s="26" t="s">
        <v>351</v>
      </c>
      <c r="D319" s="26" t="s">
        <v>352</v>
      </c>
      <c r="E319" t="s">
        <v>57</v>
      </c>
      <c r="F319" t="s">
        <v>59</v>
      </c>
      <c r="G319" t="s">
        <v>59</v>
      </c>
      <c r="H319" t="s">
        <v>58</v>
      </c>
      <c r="I319" t="s">
        <v>59</v>
      </c>
      <c r="J319"/>
      <c r="L319">
        <v>4</v>
      </c>
      <c r="M319" s="23">
        <v>3</v>
      </c>
      <c r="N319" s="29">
        <v>1</v>
      </c>
      <c r="O319" s="23">
        <v>2</v>
      </c>
    </row>
    <row r="320" spans="1:15" ht="15" x14ac:dyDescent="0.25">
      <c r="A320">
        <v>430102</v>
      </c>
      <c r="B320" t="s">
        <v>363</v>
      </c>
      <c r="C320" s="26" t="s">
        <v>351</v>
      </c>
      <c r="D320" s="26" t="s">
        <v>352</v>
      </c>
      <c r="E320" t="s">
        <v>57</v>
      </c>
      <c r="F320" t="s">
        <v>59</v>
      </c>
      <c r="G320" t="s">
        <v>59</v>
      </c>
      <c r="H320" t="s">
        <v>58</v>
      </c>
      <c r="I320" t="s">
        <v>59</v>
      </c>
      <c r="J320"/>
      <c r="L320">
        <v>4</v>
      </c>
      <c r="M320" s="23">
        <v>3</v>
      </c>
      <c r="N320" s="29">
        <v>1</v>
      </c>
      <c r="O320" s="23">
        <v>5</v>
      </c>
    </row>
    <row r="321" spans="1:15" ht="15" x14ac:dyDescent="0.25">
      <c r="A321">
        <v>430105</v>
      </c>
      <c r="B321" t="s">
        <v>364</v>
      </c>
      <c r="C321" s="26" t="s">
        <v>351</v>
      </c>
      <c r="D321" s="26" t="s">
        <v>352</v>
      </c>
      <c r="E321" t="s">
        <v>57</v>
      </c>
      <c r="F321" t="s">
        <v>59</v>
      </c>
      <c r="G321" t="s">
        <v>59</v>
      </c>
      <c r="H321" t="s">
        <v>58</v>
      </c>
      <c r="I321" t="s">
        <v>59</v>
      </c>
      <c r="J321"/>
      <c r="L321">
        <v>4</v>
      </c>
      <c r="M321" s="23">
        <v>3</v>
      </c>
      <c r="N321" s="29">
        <v>1</v>
      </c>
      <c r="O321" s="23">
        <v>10</v>
      </c>
    </row>
    <row r="322" spans="1:15" ht="15" x14ac:dyDescent="0.25">
      <c r="A322">
        <v>430110</v>
      </c>
      <c r="B322" t="s">
        <v>365</v>
      </c>
      <c r="C322" s="26" t="s">
        <v>351</v>
      </c>
      <c r="D322" s="26" t="s">
        <v>352</v>
      </c>
      <c r="E322" t="s">
        <v>57</v>
      </c>
      <c r="F322" t="s">
        <v>59</v>
      </c>
      <c r="G322" t="s">
        <v>59</v>
      </c>
      <c r="H322" t="s">
        <v>58</v>
      </c>
      <c r="I322" t="s">
        <v>59</v>
      </c>
      <c r="J322"/>
      <c r="L322">
        <v>4</v>
      </c>
      <c r="M322" s="23">
        <v>3</v>
      </c>
      <c r="N322" s="29">
        <v>1</v>
      </c>
      <c r="O322" s="23">
        <v>15</v>
      </c>
    </row>
    <row r="323" spans="1:15" ht="15" x14ac:dyDescent="0.25">
      <c r="A323">
        <v>430115</v>
      </c>
      <c r="B323" t="s">
        <v>366</v>
      </c>
      <c r="C323" s="26" t="s">
        <v>351</v>
      </c>
      <c r="D323" s="26" t="s">
        <v>352</v>
      </c>
      <c r="E323" t="s">
        <v>57</v>
      </c>
      <c r="F323" t="s">
        <v>59</v>
      </c>
      <c r="G323" t="s">
        <v>59</v>
      </c>
      <c r="H323" t="s">
        <v>58</v>
      </c>
      <c r="I323" t="s">
        <v>59</v>
      </c>
      <c r="J323"/>
      <c r="L323">
        <v>4</v>
      </c>
      <c r="M323" s="23">
        <v>3</v>
      </c>
      <c r="N323" s="29">
        <v>1</v>
      </c>
      <c r="O323" s="23">
        <v>18</v>
      </c>
    </row>
    <row r="324" spans="1:15" ht="15" x14ac:dyDescent="0.25">
      <c r="A324">
        <v>430118</v>
      </c>
      <c r="B324" t="s">
        <v>367</v>
      </c>
      <c r="C324" s="26" t="s">
        <v>351</v>
      </c>
      <c r="D324" s="26" t="s">
        <v>352</v>
      </c>
      <c r="E324" t="s">
        <v>57</v>
      </c>
      <c r="F324" t="s">
        <v>59</v>
      </c>
      <c r="G324" t="s">
        <v>59</v>
      </c>
      <c r="H324" t="s">
        <v>58</v>
      </c>
      <c r="I324" t="s">
        <v>59</v>
      </c>
      <c r="J324"/>
      <c r="L324">
        <v>4</v>
      </c>
      <c r="M324" s="23">
        <v>4</v>
      </c>
    </row>
    <row r="325" spans="1:15" ht="15" x14ac:dyDescent="0.25">
      <c r="A325">
        <v>44</v>
      </c>
      <c r="B325" t="s">
        <v>368</v>
      </c>
      <c r="C325" s="26" t="s">
        <v>351</v>
      </c>
      <c r="D325" s="26" t="s">
        <v>352</v>
      </c>
      <c r="E325" t="s">
        <v>57</v>
      </c>
      <c r="F325" t="s">
        <v>58</v>
      </c>
      <c r="G325" t="s">
        <v>58</v>
      </c>
      <c r="H325" t="s">
        <v>59</v>
      </c>
      <c r="I325" t="s">
        <v>59</v>
      </c>
      <c r="J325"/>
      <c r="L325">
        <v>4</v>
      </c>
      <c r="M325" s="23">
        <v>4</v>
      </c>
      <c r="N325" s="29">
        <v>1</v>
      </c>
    </row>
    <row r="326" spans="1:15" ht="15" x14ac:dyDescent="0.25">
      <c r="A326">
        <v>4401</v>
      </c>
      <c r="B326" t="s">
        <v>369</v>
      </c>
      <c r="C326" s="26" t="s">
        <v>351</v>
      </c>
      <c r="D326" s="26" t="s">
        <v>352</v>
      </c>
      <c r="E326" t="s">
        <v>57</v>
      </c>
      <c r="F326" t="s">
        <v>58</v>
      </c>
      <c r="G326" t="s">
        <v>58</v>
      </c>
      <c r="H326" t="s">
        <v>59</v>
      </c>
      <c r="I326" t="s">
        <v>59</v>
      </c>
      <c r="J326"/>
      <c r="L326">
        <v>4</v>
      </c>
      <c r="M326" s="23">
        <v>4</v>
      </c>
      <c r="N326" s="29">
        <v>1</v>
      </c>
      <c r="O326" s="23">
        <v>1</v>
      </c>
    </row>
    <row r="327" spans="1:15" ht="15" x14ac:dyDescent="0.25">
      <c r="A327">
        <v>440101</v>
      </c>
      <c r="B327" t="s">
        <v>370</v>
      </c>
      <c r="C327" s="26" t="s">
        <v>351</v>
      </c>
      <c r="D327" s="26" t="s">
        <v>352</v>
      </c>
      <c r="E327" t="s">
        <v>57</v>
      </c>
      <c r="F327" t="s">
        <v>59</v>
      </c>
      <c r="G327" t="s">
        <v>59</v>
      </c>
      <c r="H327" t="s">
        <v>58</v>
      </c>
      <c r="I327" t="s">
        <v>59</v>
      </c>
      <c r="J327"/>
      <c r="L327">
        <v>4</v>
      </c>
      <c r="M327" s="23">
        <v>4</v>
      </c>
      <c r="N327" s="29">
        <v>1</v>
      </c>
      <c r="O327" s="23">
        <v>2</v>
      </c>
    </row>
    <row r="328" spans="1:15" ht="15" x14ac:dyDescent="0.25">
      <c r="A328">
        <v>440102</v>
      </c>
      <c r="B328" t="s">
        <v>360</v>
      </c>
      <c r="C328" s="26" t="s">
        <v>351</v>
      </c>
      <c r="D328" s="26" t="s">
        <v>352</v>
      </c>
      <c r="E328" t="s">
        <v>57</v>
      </c>
      <c r="F328" t="s">
        <v>59</v>
      </c>
      <c r="G328" t="s">
        <v>59</v>
      </c>
      <c r="H328" t="s">
        <v>58</v>
      </c>
      <c r="I328" t="s">
        <v>59</v>
      </c>
      <c r="J328"/>
      <c r="L328">
        <v>4</v>
      </c>
      <c r="M328" s="23">
        <v>5</v>
      </c>
    </row>
    <row r="329" spans="1:15" ht="15" x14ac:dyDescent="0.25">
      <c r="A329">
        <v>45</v>
      </c>
      <c r="B329" t="s">
        <v>371</v>
      </c>
      <c r="C329" s="26" t="s">
        <v>351</v>
      </c>
      <c r="D329" s="26" t="s">
        <v>352</v>
      </c>
      <c r="E329" t="s">
        <v>57</v>
      </c>
      <c r="F329" t="s">
        <v>58</v>
      </c>
      <c r="G329" t="s">
        <v>58</v>
      </c>
      <c r="H329" t="s">
        <v>59</v>
      </c>
      <c r="I329" t="s">
        <v>59</v>
      </c>
      <c r="J329"/>
      <c r="L329">
        <v>4</v>
      </c>
      <c r="M329" s="23">
        <v>5</v>
      </c>
      <c r="N329" s="29">
        <v>1</v>
      </c>
    </row>
    <row r="330" spans="1:15" ht="15" x14ac:dyDescent="0.25">
      <c r="A330">
        <v>4501</v>
      </c>
      <c r="B330" t="s">
        <v>372</v>
      </c>
      <c r="C330" s="26" t="s">
        <v>351</v>
      </c>
      <c r="D330" s="26" t="s">
        <v>352</v>
      </c>
      <c r="E330" t="s">
        <v>57</v>
      </c>
      <c r="F330" t="s">
        <v>59</v>
      </c>
      <c r="G330" t="s">
        <v>58</v>
      </c>
      <c r="H330" t="s">
        <v>59</v>
      </c>
      <c r="I330" t="s">
        <v>59</v>
      </c>
      <c r="J330"/>
      <c r="L330">
        <v>4</v>
      </c>
      <c r="M330" s="23">
        <v>5</v>
      </c>
      <c r="N330" s="29">
        <v>1</v>
      </c>
      <c r="O330" s="23">
        <v>1</v>
      </c>
    </row>
    <row r="331" spans="1:15" ht="15" x14ac:dyDescent="0.25">
      <c r="A331">
        <v>450101</v>
      </c>
      <c r="B331" t="s">
        <v>373</v>
      </c>
      <c r="C331" s="26" t="s">
        <v>351</v>
      </c>
      <c r="D331" s="26" t="s">
        <v>352</v>
      </c>
      <c r="E331" t="s">
        <v>57</v>
      </c>
      <c r="F331" t="s">
        <v>59</v>
      </c>
      <c r="G331" t="s">
        <v>59</v>
      </c>
      <c r="H331" t="s">
        <v>58</v>
      </c>
      <c r="I331" t="s">
        <v>59</v>
      </c>
      <c r="J331"/>
      <c r="L331">
        <v>5</v>
      </c>
    </row>
    <row r="332" spans="1:15" ht="15" x14ac:dyDescent="0.25">
      <c r="A332">
        <v>5</v>
      </c>
      <c r="B332" t="s">
        <v>374</v>
      </c>
      <c r="C332" s="26" t="s">
        <v>375</v>
      </c>
      <c r="D332" s="26" t="s">
        <v>352</v>
      </c>
      <c r="E332" t="s">
        <v>57</v>
      </c>
      <c r="F332" t="s">
        <v>58</v>
      </c>
      <c r="G332" t="s">
        <v>58</v>
      </c>
      <c r="H332" t="s">
        <v>58</v>
      </c>
      <c r="I332" t="s">
        <v>59</v>
      </c>
      <c r="J332"/>
      <c r="L332">
        <v>5</v>
      </c>
      <c r="M332" s="23">
        <v>1</v>
      </c>
      <c r="N332" s="29">
        <v>10</v>
      </c>
    </row>
    <row r="333" spans="1:15" ht="15" x14ac:dyDescent="0.25">
      <c r="A333">
        <v>5110</v>
      </c>
      <c r="B333" t="s">
        <v>376</v>
      </c>
      <c r="C333" s="26" t="s">
        <v>375</v>
      </c>
      <c r="D333" s="26" t="s">
        <v>352</v>
      </c>
      <c r="E333" t="s">
        <v>57</v>
      </c>
      <c r="F333" t="s">
        <v>58</v>
      </c>
      <c r="G333" t="s">
        <v>59</v>
      </c>
      <c r="H333" t="s">
        <v>59</v>
      </c>
      <c r="I333" t="s">
        <v>59</v>
      </c>
      <c r="J333"/>
      <c r="L333">
        <v>5</v>
      </c>
      <c r="M333" s="23">
        <v>1</v>
      </c>
      <c r="N333" s="29">
        <v>10</v>
      </c>
      <c r="O333" s="23">
        <v>1</v>
      </c>
    </row>
    <row r="334" spans="1:15" ht="15" x14ac:dyDescent="0.25">
      <c r="A334">
        <v>511001</v>
      </c>
      <c r="B334" t="s">
        <v>377</v>
      </c>
      <c r="C334" s="26" t="s">
        <v>375</v>
      </c>
      <c r="D334" s="26" t="s">
        <v>352</v>
      </c>
      <c r="E334" t="s">
        <v>57</v>
      </c>
      <c r="F334" t="s">
        <v>59</v>
      </c>
      <c r="G334" t="s">
        <v>59</v>
      </c>
      <c r="H334" t="s">
        <v>58</v>
      </c>
      <c r="I334" t="s">
        <v>59</v>
      </c>
      <c r="J334"/>
      <c r="L334">
        <v>5</v>
      </c>
      <c r="M334" s="23">
        <v>1</v>
      </c>
      <c r="N334" s="29">
        <v>10</v>
      </c>
      <c r="O334" s="23">
        <v>5</v>
      </c>
    </row>
    <row r="335" spans="1:15" ht="15" x14ac:dyDescent="0.25">
      <c r="A335">
        <v>511005</v>
      </c>
      <c r="B335" t="s">
        <v>357</v>
      </c>
      <c r="C335" s="26" t="s">
        <v>375</v>
      </c>
      <c r="D335" s="26" t="s">
        <v>352</v>
      </c>
      <c r="E335" t="s">
        <v>57</v>
      </c>
      <c r="F335" t="s">
        <v>59</v>
      </c>
      <c r="G335" t="s">
        <v>59</v>
      </c>
      <c r="H335" t="s">
        <v>58</v>
      </c>
      <c r="I335" t="s">
        <v>59</v>
      </c>
      <c r="J335"/>
      <c r="L335">
        <v>5</v>
      </c>
      <c r="M335" s="23">
        <v>1</v>
      </c>
      <c r="N335" s="29">
        <v>10</v>
      </c>
      <c r="O335" s="23">
        <v>10</v>
      </c>
    </row>
    <row r="336" spans="1:15" ht="15" x14ac:dyDescent="0.25">
      <c r="A336">
        <v>511010</v>
      </c>
      <c r="B336" t="s">
        <v>378</v>
      </c>
      <c r="C336" s="26" t="s">
        <v>375</v>
      </c>
      <c r="D336" s="26" t="s">
        <v>352</v>
      </c>
      <c r="E336" t="s">
        <v>57</v>
      </c>
      <c r="F336" t="s">
        <v>59</v>
      </c>
      <c r="G336" t="s">
        <v>59</v>
      </c>
      <c r="H336" t="s">
        <v>58</v>
      </c>
      <c r="I336" t="s">
        <v>59</v>
      </c>
      <c r="J336"/>
      <c r="L336">
        <v>5</v>
      </c>
      <c r="M336" s="23">
        <v>1</v>
      </c>
      <c r="N336" s="29">
        <v>10</v>
      </c>
      <c r="O336" s="23">
        <v>15</v>
      </c>
    </row>
    <row r="337" spans="1:16" ht="15" x14ac:dyDescent="0.25">
      <c r="A337">
        <v>511015</v>
      </c>
      <c r="B337" t="s">
        <v>358</v>
      </c>
      <c r="C337" s="26" t="s">
        <v>375</v>
      </c>
      <c r="D337" s="26" t="s">
        <v>352</v>
      </c>
      <c r="E337" t="s">
        <v>57</v>
      </c>
      <c r="F337" t="s">
        <v>59</v>
      </c>
      <c r="G337" t="s">
        <v>59</v>
      </c>
      <c r="H337" t="s">
        <v>58</v>
      </c>
      <c r="I337" t="s">
        <v>59</v>
      </c>
      <c r="J337"/>
      <c r="L337">
        <v>5</v>
      </c>
      <c r="M337" s="23">
        <v>1</v>
      </c>
      <c r="N337" s="29">
        <v>15</v>
      </c>
    </row>
    <row r="338" spans="1:16" ht="15" x14ac:dyDescent="0.25">
      <c r="A338">
        <v>5115</v>
      </c>
      <c r="B338" t="s">
        <v>379</v>
      </c>
      <c r="C338" s="26" t="s">
        <v>375</v>
      </c>
      <c r="D338" s="26" t="s">
        <v>352</v>
      </c>
      <c r="E338" t="s">
        <v>57</v>
      </c>
      <c r="F338" t="s">
        <v>58</v>
      </c>
      <c r="G338" t="s">
        <v>59</v>
      </c>
      <c r="H338" t="s">
        <v>59</v>
      </c>
      <c r="I338" t="s">
        <v>59</v>
      </c>
      <c r="J338"/>
      <c r="L338">
        <v>5</v>
      </c>
      <c r="M338" s="23">
        <v>1</v>
      </c>
      <c r="N338" s="29">
        <v>15</v>
      </c>
      <c r="O338" s="23">
        <v>0</v>
      </c>
      <c r="P338" s="23">
        <v>1</v>
      </c>
    </row>
    <row r="339" spans="1:16" ht="15" x14ac:dyDescent="0.25">
      <c r="A339">
        <v>5115001</v>
      </c>
      <c r="B339" t="s">
        <v>380</v>
      </c>
      <c r="C339" s="26" t="s">
        <v>375</v>
      </c>
      <c r="D339" s="26" t="s">
        <v>352</v>
      </c>
      <c r="E339" t="s">
        <v>57</v>
      </c>
      <c r="F339" t="s">
        <v>59</v>
      </c>
      <c r="G339" t="s">
        <v>59</v>
      </c>
      <c r="H339" t="s">
        <v>58</v>
      </c>
      <c r="I339" t="s">
        <v>59</v>
      </c>
      <c r="J339"/>
      <c r="L339">
        <v>5</v>
      </c>
      <c r="M339" s="23">
        <v>1</v>
      </c>
      <c r="N339" s="29">
        <v>15</v>
      </c>
      <c r="O339" s="23">
        <v>0</v>
      </c>
      <c r="P339" s="23">
        <v>2</v>
      </c>
    </row>
    <row r="340" spans="1:16" ht="15" x14ac:dyDescent="0.25">
      <c r="A340">
        <v>5115002</v>
      </c>
      <c r="B340" t="s">
        <v>381</v>
      </c>
      <c r="C340" s="26" t="s">
        <v>375</v>
      </c>
      <c r="D340" s="26" t="s">
        <v>352</v>
      </c>
      <c r="E340" t="s">
        <v>57</v>
      </c>
      <c r="F340" t="s">
        <v>59</v>
      </c>
      <c r="G340" t="s">
        <v>59</v>
      </c>
      <c r="H340" t="s">
        <v>58</v>
      </c>
      <c r="I340" t="s">
        <v>59</v>
      </c>
      <c r="J340"/>
      <c r="L340">
        <v>5</v>
      </c>
      <c r="M340" s="23">
        <v>1</v>
      </c>
      <c r="N340" s="29">
        <v>15</v>
      </c>
      <c r="O340" s="23">
        <v>0</v>
      </c>
      <c r="P340" s="23">
        <v>3</v>
      </c>
    </row>
    <row r="341" spans="1:16" ht="15" x14ac:dyDescent="0.25">
      <c r="A341">
        <v>5115003</v>
      </c>
      <c r="B341" t="s">
        <v>382</v>
      </c>
      <c r="C341" s="26" t="s">
        <v>375</v>
      </c>
      <c r="D341" s="26" t="s">
        <v>352</v>
      </c>
      <c r="E341" t="s">
        <v>57</v>
      </c>
      <c r="F341" t="s">
        <v>59</v>
      </c>
      <c r="G341" t="s">
        <v>59</v>
      </c>
      <c r="H341" t="s">
        <v>58</v>
      </c>
      <c r="I341" t="s">
        <v>59</v>
      </c>
      <c r="J341"/>
      <c r="L341">
        <v>5</v>
      </c>
      <c r="M341" s="23">
        <v>2</v>
      </c>
    </row>
    <row r="342" spans="1:16" ht="15" x14ac:dyDescent="0.25">
      <c r="A342">
        <v>52</v>
      </c>
      <c r="B342" t="s">
        <v>383</v>
      </c>
      <c r="C342" s="26" t="s">
        <v>375</v>
      </c>
      <c r="D342" s="26" t="s">
        <v>352</v>
      </c>
      <c r="E342" t="s">
        <v>57</v>
      </c>
      <c r="F342" t="s">
        <v>58</v>
      </c>
      <c r="G342" t="s">
        <v>58</v>
      </c>
      <c r="H342" t="s">
        <v>59</v>
      </c>
      <c r="I342" t="s">
        <v>59</v>
      </c>
      <c r="J342"/>
      <c r="L342">
        <v>5</v>
      </c>
      <c r="M342" s="23">
        <v>2</v>
      </c>
      <c r="N342" s="29">
        <v>1</v>
      </c>
    </row>
    <row r="343" spans="1:16" ht="15" x14ac:dyDescent="0.25">
      <c r="A343">
        <v>5201</v>
      </c>
      <c r="B343" t="s">
        <v>384</v>
      </c>
      <c r="C343" s="26" t="s">
        <v>375</v>
      </c>
      <c r="D343" s="26" t="s">
        <v>352</v>
      </c>
      <c r="E343" t="s">
        <v>57</v>
      </c>
      <c r="F343" t="s">
        <v>58</v>
      </c>
      <c r="G343" t="s">
        <v>59</v>
      </c>
      <c r="H343" t="s">
        <v>59</v>
      </c>
      <c r="I343" t="s">
        <v>59</v>
      </c>
      <c r="J343"/>
      <c r="L343">
        <v>5</v>
      </c>
      <c r="M343" s="23">
        <v>2</v>
      </c>
      <c r="N343" s="29">
        <v>1</v>
      </c>
      <c r="O343" s="23">
        <v>1</v>
      </c>
    </row>
    <row r="344" spans="1:16" ht="15" x14ac:dyDescent="0.25">
      <c r="A344">
        <v>520101</v>
      </c>
      <c r="B344" t="s">
        <v>385</v>
      </c>
      <c r="C344" s="26" t="s">
        <v>375</v>
      </c>
      <c r="D344" s="26" t="s">
        <v>352</v>
      </c>
      <c r="E344" t="s">
        <v>57</v>
      </c>
      <c r="F344" t="s">
        <v>59</v>
      </c>
      <c r="G344" t="s">
        <v>59</v>
      </c>
      <c r="H344" t="s">
        <v>58</v>
      </c>
      <c r="I344" t="s">
        <v>59</v>
      </c>
      <c r="J344"/>
      <c r="L344">
        <v>5</v>
      </c>
      <c r="M344" s="23">
        <v>2</v>
      </c>
      <c r="N344" s="29">
        <v>1</v>
      </c>
      <c r="O344" s="23">
        <v>2</v>
      </c>
    </row>
    <row r="345" spans="1:16" ht="15" x14ac:dyDescent="0.25">
      <c r="A345">
        <v>520102</v>
      </c>
      <c r="B345" t="s">
        <v>386</v>
      </c>
      <c r="C345" s="26" t="s">
        <v>375</v>
      </c>
      <c r="D345" s="26" t="s">
        <v>352</v>
      </c>
      <c r="E345" t="s">
        <v>57</v>
      </c>
      <c r="F345" t="s">
        <v>59</v>
      </c>
      <c r="G345" t="s">
        <v>59</v>
      </c>
      <c r="H345" t="s">
        <v>58</v>
      </c>
      <c r="I345" t="s">
        <v>59</v>
      </c>
      <c r="J345"/>
      <c r="L345">
        <v>5</v>
      </c>
      <c r="M345" s="23">
        <v>2</v>
      </c>
      <c r="N345" s="29">
        <v>1</v>
      </c>
      <c r="O345" s="23">
        <v>3</v>
      </c>
    </row>
    <row r="346" spans="1:16" ht="15" x14ac:dyDescent="0.25">
      <c r="A346">
        <v>520103</v>
      </c>
      <c r="B346" t="s">
        <v>387</v>
      </c>
      <c r="C346" s="26" t="s">
        <v>375</v>
      </c>
      <c r="D346" s="26" t="s">
        <v>352</v>
      </c>
      <c r="E346" t="s">
        <v>57</v>
      </c>
      <c r="F346" t="s">
        <v>59</v>
      </c>
      <c r="G346" t="s">
        <v>59</v>
      </c>
      <c r="H346" t="s">
        <v>58</v>
      </c>
      <c r="I346" t="s">
        <v>59</v>
      </c>
      <c r="J346"/>
      <c r="L346">
        <v>5</v>
      </c>
      <c r="M346" s="23">
        <v>2</v>
      </c>
      <c r="N346" s="29">
        <v>1</v>
      </c>
      <c r="O346" s="23">
        <v>5</v>
      </c>
    </row>
    <row r="347" spans="1:16" ht="15" x14ac:dyDescent="0.25">
      <c r="A347">
        <v>520105</v>
      </c>
      <c r="B347" t="s">
        <v>388</v>
      </c>
      <c r="C347" s="26" t="s">
        <v>375</v>
      </c>
      <c r="D347" s="26" t="s">
        <v>352</v>
      </c>
      <c r="E347" t="s">
        <v>57</v>
      </c>
      <c r="F347" t="s">
        <v>59</v>
      </c>
      <c r="G347" t="s">
        <v>59</v>
      </c>
      <c r="H347" t="s">
        <v>58</v>
      </c>
      <c r="I347" t="s">
        <v>59</v>
      </c>
      <c r="J347"/>
      <c r="L347">
        <v>5</v>
      </c>
      <c r="M347" s="23">
        <v>2</v>
      </c>
      <c r="N347" s="29">
        <v>1</v>
      </c>
      <c r="O347" s="23">
        <v>10</v>
      </c>
    </row>
    <row r="348" spans="1:16" ht="15" x14ac:dyDescent="0.25">
      <c r="A348">
        <v>520110</v>
      </c>
      <c r="B348" t="s">
        <v>389</v>
      </c>
      <c r="C348" s="26" t="s">
        <v>375</v>
      </c>
      <c r="D348" s="26" t="s">
        <v>352</v>
      </c>
      <c r="E348" t="s">
        <v>57</v>
      </c>
      <c r="F348" t="s">
        <v>59</v>
      </c>
      <c r="G348" t="s">
        <v>59</v>
      </c>
      <c r="H348" t="s">
        <v>58</v>
      </c>
      <c r="I348" t="s">
        <v>59</v>
      </c>
      <c r="J348"/>
      <c r="L348">
        <v>5</v>
      </c>
      <c r="M348" s="23">
        <v>2</v>
      </c>
      <c r="N348" s="29">
        <v>1</v>
      </c>
      <c r="O348" s="23">
        <v>14</v>
      </c>
    </row>
    <row r="349" spans="1:16" ht="15" x14ac:dyDescent="0.25">
      <c r="A349">
        <v>520114</v>
      </c>
      <c r="B349" t="s">
        <v>390</v>
      </c>
      <c r="C349" s="26" t="s">
        <v>375</v>
      </c>
      <c r="D349" s="26" t="s">
        <v>352</v>
      </c>
      <c r="E349" t="s">
        <v>57</v>
      </c>
      <c r="F349" t="s">
        <v>59</v>
      </c>
      <c r="G349" t="s">
        <v>59</v>
      </c>
      <c r="H349" t="s">
        <v>58</v>
      </c>
      <c r="I349" t="s">
        <v>59</v>
      </c>
      <c r="J349"/>
      <c r="L349">
        <v>5</v>
      </c>
      <c r="M349" s="23">
        <v>2</v>
      </c>
      <c r="N349" s="29">
        <v>1</v>
      </c>
      <c r="O349" s="23">
        <v>15</v>
      </c>
    </row>
    <row r="350" spans="1:16" ht="15" x14ac:dyDescent="0.25">
      <c r="A350">
        <v>520115</v>
      </c>
      <c r="B350" t="s">
        <v>391</v>
      </c>
      <c r="C350" s="26" t="s">
        <v>375</v>
      </c>
      <c r="D350" s="26" t="s">
        <v>352</v>
      </c>
      <c r="E350" t="s">
        <v>57</v>
      </c>
      <c r="F350" t="s">
        <v>59</v>
      </c>
      <c r="G350" t="s">
        <v>59</v>
      </c>
      <c r="H350" t="s">
        <v>58</v>
      </c>
      <c r="I350" t="s">
        <v>59</v>
      </c>
      <c r="J350"/>
      <c r="L350">
        <v>5</v>
      </c>
      <c r="M350" s="23">
        <v>2</v>
      </c>
      <c r="N350" s="29">
        <v>1</v>
      </c>
      <c r="O350" s="23">
        <v>16</v>
      </c>
    </row>
    <row r="351" spans="1:16" ht="15" x14ac:dyDescent="0.25">
      <c r="A351">
        <v>520116</v>
      </c>
      <c r="B351" t="s">
        <v>392</v>
      </c>
      <c r="C351" s="26" t="s">
        <v>375</v>
      </c>
      <c r="D351" s="26" t="s">
        <v>352</v>
      </c>
      <c r="E351" t="s">
        <v>57</v>
      </c>
      <c r="F351" t="s">
        <v>59</v>
      </c>
      <c r="G351" t="s">
        <v>59</v>
      </c>
      <c r="H351" t="s">
        <v>58</v>
      </c>
      <c r="I351" t="s">
        <v>59</v>
      </c>
      <c r="J351"/>
      <c r="L351">
        <v>5</v>
      </c>
      <c r="M351" s="23">
        <v>2</v>
      </c>
      <c r="N351" s="29">
        <v>1</v>
      </c>
      <c r="O351" s="23">
        <v>17</v>
      </c>
    </row>
    <row r="352" spans="1:16" ht="15" x14ac:dyDescent="0.25">
      <c r="A352">
        <v>520117</v>
      </c>
      <c r="B352" t="s">
        <v>393</v>
      </c>
      <c r="C352" s="26" t="s">
        <v>375</v>
      </c>
      <c r="D352" s="26" t="s">
        <v>352</v>
      </c>
      <c r="E352" t="s">
        <v>57</v>
      </c>
      <c r="F352" t="s">
        <v>59</v>
      </c>
      <c r="G352" t="s">
        <v>59</v>
      </c>
      <c r="H352" t="s">
        <v>58</v>
      </c>
      <c r="I352" t="s">
        <v>59</v>
      </c>
      <c r="J352"/>
      <c r="L352">
        <v>5</v>
      </c>
      <c r="M352" s="23">
        <v>2</v>
      </c>
      <c r="N352" s="29">
        <v>1</v>
      </c>
      <c r="O352" s="23">
        <v>18</v>
      </c>
    </row>
    <row r="353" spans="1:15" ht="15" x14ac:dyDescent="0.25">
      <c r="A353">
        <v>520118</v>
      </c>
      <c r="B353" t="s">
        <v>394</v>
      </c>
      <c r="C353" s="26" t="s">
        <v>375</v>
      </c>
      <c r="D353" s="26" t="s">
        <v>352</v>
      </c>
      <c r="E353" t="s">
        <v>57</v>
      </c>
      <c r="F353" t="s">
        <v>59</v>
      </c>
      <c r="G353" t="s">
        <v>59</v>
      </c>
      <c r="H353" t="s">
        <v>58</v>
      </c>
      <c r="I353" t="s">
        <v>59</v>
      </c>
      <c r="J353"/>
      <c r="L353">
        <v>5</v>
      </c>
      <c r="M353" s="23">
        <v>2</v>
      </c>
      <c r="N353" s="29">
        <v>1</v>
      </c>
      <c r="O353" s="23">
        <v>35</v>
      </c>
    </row>
    <row r="354" spans="1:15" ht="15" x14ac:dyDescent="0.25">
      <c r="A354">
        <v>520135</v>
      </c>
      <c r="B354" t="s">
        <v>395</v>
      </c>
      <c r="C354" s="26" t="s">
        <v>375</v>
      </c>
      <c r="D354" s="26" t="s">
        <v>352</v>
      </c>
      <c r="E354" t="s">
        <v>57</v>
      </c>
      <c r="F354" t="s">
        <v>59</v>
      </c>
      <c r="G354" t="s">
        <v>59</v>
      </c>
      <c r="H354" t="s">
        <v>58</v>
      </c>
      <c r="I354" t="s">
        <v>59</v>
      </c>
      <c r="J354"/>
      <c r="L354">
        <v>5</v>
      </c>
      <c r="M354" s="23">
        <v>2</v>
      </c>
      <c r="N354" s="29">
        <v>1</v>
      </c>
      <c r="O354" s="23">
        <v>36</v>
      </c>
    </row>
    <row r="355" spans="1:15" ht="15" x14ac:dyDescent="0.25">
      <c r="A355">
        <v>520136</v>
      </c>
      <c r="B355" t="s">
        <v>396</v>
      </c>
      <c r="C355" s="26" t="s">
        <v>375</v>
      </c>
      <c r="D355" s="26" t="s">
        <v>352</v>
      </c>
      <c r="E355" t="s">
        <v>57</v>
      </c>
      <c r="F355" t="s">
        <v>59</v>
      </c>
      <c r="G355" t="s">
        <v>59</v>
      </c>
      <c r="H355" t="s">
        <v>58</v>
      </c>
      <c r="I355" t="s">
        <v>59</v>
      </c>
      <c r="J355"/>
      <c r="L355">
        <v>5</v>
      </c>
      <c r="M355" s="23">
        <v>2</v>
      </c>
      <c r="N355" s="29">
        <v>1</v>
      </c>
      <c r="O355" s="23">
        <v>40</v>
      </c>
    </row>
    <row r="356" spans="1:15" ht="15" x14ac:dyDescent="0.25">
      <c r="A356">
        <v>520140</v>
      </c>
      <c r="B356" t="s">
        <v>397</v>
      </c>
      <c r="C356" s="26" t="s">
        <v>375</v>
      </c>
      <c r="D356" s="26" t="s">
        <v>352</v>
      </c>
      <c r="E356" t="s">
        <v>57</v>
      </c>
      <c r="F356" t="s">
        <v>59</v>
      </c>
      <c r="G356" t="s">
        <v>59</v>
      </c>
      <c r="H356" t="s">
        <v>58</v>
      </c>
      <c r="I356" t="s">
        <v>59</v>
      </c>
      <c r="J356"/>
      <c r="L356">
        <v>5</v>
      </c>
      <c r="M356" s="23">
        <v>2</v>
      </c>
      <c r="N356" s="29">
        <v>1</v>
      </c>
      <c r="O356" s="23">
        <v>45</v>
      </c>
    </row>
    <row r="357" spans="1:15" ht="15" x14ac:dyDescent="0.25">
      <c r="A357">
        <v>520145</v>
      </c>
      <c r="B357" t="s">
        <v>398</v>
      </c>
      <c r="C357" s="26" t="s">
        <v>375</v>
      </c>
      <c r="D357" s="26" t="s">
        <v>352</v>
      </c>
      <c r="E357" t="s">
        <v>57</v>
      </c>
      <c r="F357" t="s">
        <v>59</v>
      </c>
      <c r="G357" t="s">
        <v>59</v>
      </c>
      <c r="H357" t="s">
        <v>58</v>
      </c>
      <c r="I357" t="s">
        <v>59</v>
      </c>
      <c r="J357"/>
      <c r="L357">
        <v>5</v>
      </c>
      <c r="M357" s="23">
        <v>2</v>
      </c>
      <c r="N357" s="29">
        <v>1</v>
      </c>
      <c r="O357" s="23">
        <v>50</v>
      </c>
    </row>
    <row r="358" spans="1:15" ht="15" x14ac:dyDescent="0.25">
      <c r="A358">
        <v>520150</v>
      </c>
      <c r="B358" t="s">
        <v>399</v>
      </c>
      <c r="C358" s="26" t="s">
        <v>375</v>
      </c>
      <c r="D358" s="26" t="s">
        <v>352</v>
      </c>
      <c r="E358" t="s">
        <v>57</v>
      </c>
      <c r="F358" t="s">
        <v>59</v>
      </c>
      <c r="G358" t="s">
        <v>59</v>
      </c>
      <c r="H358" t="s">
        <v>58</v>
      </c>
      <c r="I358" t="s">
        <v>59</v>
      </c>
      <c r="J358"/>
      <c r="L358">
        <v>5</v>
      </c>
      <c r="M358" s="23">
        <v>2</v>
      </c>
      <c r="N358" s="29">
        <v>1</v>
      </c>
      <c r="O358" s="23">
        <v>53</v>
      </c>
    </row>
    <row r="359" spans="1:15" ht="15" x14ac:dyDescent="0.25">
      <c r="A359">
        <v>520153</v>
      </c>
      <c r="B359" t="s">
        <v>400</v>
      </c>
      <c r="C359" s="26" t="s">
        <v>375</v>
      </c>
      <c r="D359" s="26" t="s">
        <v>352</v>
      </c>
      <c r="E359" t="s">
        <v>57</v>
      </c>
      <c r="F359" t="s">
        <v>59</v>
      </c>
      <c r="G359" t="s">
        <v>59</v>
      </c>
      <c r="H359" t="s">
        <v>58</v>
      </c>
      <c r="I359" t="s">
        <v>59</v>
      </c>
      <c r="J359"/>
      <c r="L359">
        <v>5</v>
      </c>
      <c r="M359" s="23">
        <v>2</v>
      </c>
      <c r="N359" s="29">
        <v>1</v>
      </c>
      <c r="O359" s="23">
        <v>60</v>
      </c>
    </row>
    <row r="360" spans="1:15" ht="15" x14ac:dyDescent="0.25">
      <c r="A360">
        <v>520160</v>
      </c>
      <c r="B360" t="s">
        <v>401</v>
      </c>
      <c r="C360" s="26" t="s">
        <v>375</v>
      </c>
      <c r="D360" s="26" t="s">
        <v>352</v>
      </c>
      <c r="E360" t="s">
        <v>57</v>
      </c>
      <c r="F360" t="s">
        <v>59</v>
      </c>
      <c r="G360" t="s">
        <v>59</v>
      </c>
      <c r="H360" t="s">
        <v>58</v>
      </c>
      <c r="I360" t="s">
        <v>59</v>
      </c>
      <c r="J360"/>
      <c r="L360">
        <v>5</v>
      </c>
      <c r="M360" s="23">
        <v>2</v>
      </c>
      <c r="N360" s="29">
        <v>5</v>
      </c>
      <c r="O360" s="23">
        <v>10</v>
      </c>
    </row>
    <row r="361" spans="1:15" ht="15" x14ac:dyDescent="0.25">
      <c r="A361">
        <v>520510</v>
      </c>
      <c r="B361" t="s">
        <v>402</v>
      </c>
      <c r="C361" s="26" t="s">
        <v>375</v>
      </c>
      <c r="D361" s="26" t="s">
        <v>352</v>
      </c>
      <c r="E361" t="s">
        <v>57</v>
      </c>
      <c r="F361" t="s">
        <v>59</v>
      </c>
      <c r="G361" t="s">
        <v>59</v>
      </c>
      <c r="H361" t="s">
        <v>58</v>
      </c>
      <c r="I361" t="s">
        <v>59</v>
      </c>
      <c r="J361"/>
      <c r="L361">
        <v>5</v>
      </c>
      <c r="M361" s="23">
        <v>2</v>
      </c>
      <c r="N361" s="29">
        <v>5</v>
      </c>
      <c r="O361" s="23">
        <v>15</v>
      </c>
    </row>
    <row r="362" spans="1:15" ht="15" x14ac:dyDescent="0.25">
      <c r="A362">
        <v>520515</v>
      </c>
      <c r="B362" t="s">
        <v>403</v>
      </c>
      <c r="C362" s="26" t="s">
        <v>375</v>
      </c>
      <c r="D362" s="26" t="s">
        <v>352</v>
      </c>
      <c r="E362" t="s">
        <v>57</v>
      </c>
      <c r="F362" t="s">
        <v>59</v>
      </c>
      <c r="G362" t="s">
        <v>59</v>
      </c>
      <c r="H362" t="s">
        <v>58</v>
      </c>
      <c r="I362" t="s">
        <v>59</v>
      </c>
      <c r="J362"/>
      <c r="L362">
        <v>5</v>
      </c>
      <c r="M362" s="23">
        <v>2</v>
      </c>
      <c r="N362" s="29">
        <v>10</v>
      </c>
    </row>
    <row r="363" spans="1:15" ht="15" x14ac:dyDescent="0.25">
      <c r="A363">
        <v>5210</v>
      </c>
      <c r="B363" t="s">
        <v>404</v>
      </c>
      <c r="C363" s="26" t="s">
        <v>375</v>
      </c>
      <c r="D363" s="26" t="s">
        <v>352</v>
      </c>
      <c r="E363" t="s">
        <v>57</v>
      </c>
      <c r="F363" t="s">
        <v>58</v>
      </c>
      <c r="G363" t="s">
        <v>58</v>
      </c>
      <c r="H363" t="s">
        <v>59</v>
      </c>
      <c r="I363" t="s">
        <v>59</v>
      </c>
      <c r="J363"/>
      <c r="L363">
        <v>5</v>
      </c>
      <c r="M363" s="23">
        <v>2</v>
      </c>
      <c r="N363" s="29">
        <v>10</v>
      </c>
      <c r="O363" s="23">
        <v>1</v>
      </c>
    </row>
    <row r="364" spans="1:15" ht="15" x14ac:dyDescent="0.25">
      <c r="A364">
        <v>521001</v>
      </c>
      <c r="B364" t="s">
        <v>405</v>
      </c>
      <c r="C364" s="26" t="s">
        <v>375</v>
      </c>
      <c r="D364" s="26" t="s">
        <v>352</v>
      </c>
      <c r="E364" t="s">
        <v>57</v>
      </c>
      <c r="F364" t="s">
        <v>59</v>
      </c>
      <c r="G364" t="s">
        <v>59</v>
      </c>
      <c r="H364" t="s">
        <v>58</v>
      </c>
      <c r="I364" t="s">
        <v>59</v>
      </c>
      <c r="J364"/>
      <c r="L364">
        <v>5</v>
      </c>
      <c r="M364" s="23">
        <v>2</v>
      </c>
      <c r="N364" s="29">
        <v>10</v>
      </c>
      <c r="O364" s="23">
        <v>5</v>
      </c>
    </row>
    <row r="365" spans="1:15" ht="15" x14ac:dyDescent="0.25">
      <c r="A365">
        <v>521005</v>
      </c>
      <c r="B365" t="s">
        <v>406</v>
      </c>
      <c r="C365" s="26" t="s">
        <v>375</v>
      </c>
      <c r="D365" s="26" t="s">
        <v>352</v>
      </c>
      <c r="E365" t="s">
        <v>57</v>
      </c>
      <c r="F365" t="s">
        <v>59</v>
      </c>
      <c r="G365" t="s">
        <v>59</v>
      </c>
      <c r="H365" t="s">
        <v>58</v>
      </c>
      <c r="I365" t="s">
        <v>59</v>
      </c>
      <c r="J365"/>
      <c r="L365">
        <v>5</v>
      </c>
      <c r="M365" s="23">
        <v>2</v>
      </c>
      <c r="N365" s="29">
        <v>10</v>
      </c>
      <c r="O365" s="23">
        <v>10</v>
      </c>
    </row>
    <row r="366" spans="1:15" ht="15" x14ac:dyDescent="0.25">
      <c r="A366">
        <v>521010</v>
      </c>
      <c r="B366" t="s">
        <v>407</v>
      </c>
      <c r="C366" s="26" t="s">
        <v>375</v>
      </c>
      <c r="D366" s="26" t="s">
        <v>352</v>
      </c>
      <c r="E366" t="s">
        <v>57</v>
      </c>
      <c r="F366" t="s">
        <v>59</v>
      </c>
      <c r="G366" t="s">
        <v>59</v>
      </c>
      <c r="H366" t="s">
        <v>58</v>
      </c>
      <c r="I366" t="s">
        <v>59</v>
      </c>
      <c r="J366"/>
      <c r="L366">
        <v>5</v>
      </c>
      <c r="M366" s="23">
        <v>2</v>
      </c>
      <c r="N366" s="29">
        <v>10</v>
      </c>
      <c r="O366" s="23">
        <v>15</v>
      </c>
    </row>
    <row r="367" spans="1:15" ht="15" x14ac:dyDescent="0.25">
      <c r="A367">
        <v>521015</v>
      </c>
      <c r="B367" t="s">
        <v>408</v>
      </c>
      <c r="C367" s="26" t="s">
        <v>375</v>
      </c>
      <c r="D367" s="26" t="s">
        <v>352</v>
      </c>
      <c r="E367" t="s">
        <v>57</v>
      </c>
      <c r="F367" t="s">
        <v>59</v>
      </c>
      <c r="G367" t="s">
        <v>59</v>
      </c>
      <c r="H367" t="s">
        <v>58</v>
      </c>
      <c r="I367" t="s">
        <v>59</v>
      </c>
      <c r="J367"/>
      <c r="L367">
        <v>5</v>
      </c>
      <c r="M367" s="23">
        <v>2</v>
      </c>
      <c r="N367" s="29">
        <v>15</v>
      </c>
    </row>
    <row r="368" spans="1:15" ht="15" x14ac:dyDescent="0.25">
      <c r="A368">
        <v>5215</v>
      </c>
      <c r="B368" t="s">
        <v>409</v>
      </c>
      <c r="C368" s="26" t="s">
        <v>375</v>
      </c>
      <c r="D368" s="26" t="s">
        <v>352</v>
      </c>
      <c r="E368" t="s">
        <v>57</v>
      </c>
      <c r="F368" t="s">
        <v>58</v>
      </c>
      <c r="G368" t="s">
        <v>58</v>
      </c>
      <c r="H368" t="s">
        <v>59</v>
      </c>
      <c r="I368" t="s">
        <v>59</v>
      </c>
      <c r="J368"/>
      <c r="L368">
        <v>5</v>
      </c>
      <c r="M368" s="23">
        <v>2</v>
      </c>
      <c r="N368" s="29">
        <v>15</v>
      </c>
      <c r="O368" s="23">
        <v>1</v>
      </c>
    </row>
    <row r="369" spans="1:15" ht="15" x14ac:dyDescent="0.25">
      <c r="A369">
        <v>521501</v>
      </c>
      <c r="B369" t="s">
        <v>410</v>
      </c>
      <c r="C369" s="26" t="s">
        <v>375</v>
      </c>
      <c r="D369" s="26" t="s">
        <v>352</v>
      </c>
      <c r="E369" t="s">
        <v>57</v>
      </c>
      <c r="F369" t="s">
        <v>59</v>
      </c>
      <c r="G369" t="s">
        <v>59</v>
      </c>
      <c r="H369" t="s">
        <v>58</v>
      </c>
      <c r="I369" t="s">
        <v>59</v>
      </c>
      <c r="J369"/>
      <c r="L369">
        <v>5</v>
      </c>
      <c r="M369" s="23">
        <v>2</v>
      </c>
      <c r="N369" s="29">
        <v>15</v>
      </c>
      <c r="O369" s="23">
        <v>5</v>
      </c>
    </row>
    <row r="370" spans="1:15" ht="15" x14ac:dyDescent="0.25">
      <c r="A370">
        <v>521505</v>
      </c>
      <c r="B370" t="s">
        <v>411</v>
      </c>
      <c r="C370" s="26" t="s">
        <v>375</v>
      </c>
      <c r="D370" s="26" t="s">
        <v>352</v>
      </c>
      <c r="E370" t="s">
        <v>57</v>
      </c>
      <c r="F370" t="s">
        <v>59</v>
      </c>
      <c r="G370" t="s">
        <v>59</v>
      </c>
      <c r="H370" t="s">
        <v>58</v>
      </c>
      <c r="I370" t="s">
        <v>59</v>
      </c>
      <c r="J370"/>
      <c r="L370">
        <v>5</v>
      </c>
      <c r="M370" s="23">
        <v>2</v>
      </c>
      <c r="N370" s="29">
        <v>15</v>
      </c>
      <c r="O370" s="23">
        <v>10</v>
      </c>
    </row>
    <row r="371" spans="1:15" ht="15" x14ac:dyDescent="0.25">
      <c r="A371">
        <v>521510</v>
      </c>
      <c r="B371" t="s">
        <v>412</v>
      </c>
      <c r="C371" s="26" t="s">
        <v>375</v>
      </c>
      <c r="D371" s="26" t="s">
        <v>352</v>
      </c>
      <c r="E371" t="s">
        <v>57</v>
      </c>
      <c r="F371" t="s">
        <v>59</v>
      </c>
      <c r="G371" t="s">
        <v>59</v>
      </c>
      <c r="H371" t="s">
        <v>58</v>
      </c>
      <c r="I371" t="s">
        <v>59</v>
      </c>
      <c r="J371"/>
      <c r="L371">
        <v>5</v>
      </c>
      <c r="M371" s="23">
        <v>2</v>
      </c>
      <c r="N371" s="29">
        <v>15</v>
      </c>
      <c r="O371" s="23">
        <v>15</v>
      </c>
    </row>
    <row r="372" spans="1:15" ht="15" x14ac:dyDescent="0.25">
      <c r="A372">
        <v>521515</v>
      </c>
      <c r="B372" t="s">
        <v>413</v>
      </c>
      <c r="C372" s="26" t="s">
        <v>375</v>
      </c>
      <c r="D372" s="26" t="s">
        <v>352</v>
      </c>
      <c r="E372" t="s">
        <v>57</v>
      </c>
      <c r="F372" t="s">
        <v>59</v>
      </c>
      <c r="G372" t="s">
        <v>59</v>
      </c>
      <c r="H372" t="s">
        <v>58</v>
      </c>
      <c r="I372" t="s">
        <v>59</v>
      </c>
      <c r="J372"/>
      <c r="L372">
        <v>5</v>
      </c>
      <c r="M372" s="23">
        <v>2</v>
      </c>
      <c r="N372" s="29">
        <v>20</v>
      </c>
    </row>
    <row r="373" spans="1:15" ht="15" x14ac:dyDescent="0.25">
      <c r="A373">
        <v>5220</v>
      </c>
      <c r="B373" t="s">
        <v>414</v>
      </c>
      <c r="C373" s="26" t="s">
        <v>375</v>
      </c>
      <c r="D373" s="26" t="s">
        <v>352</v>
      </c>
      <c r="E373" t="s">
        <v>57</v>
      </c>
      <c r="F373" t="s">
        <v>58</v>
      </c>
      <c r="G373" t="s">
        <v>58</v>
      </c>
      <c r="H373" t="s">
        <v>59</v>
      </c>
      <c r="I373" t="s">
        <v>59</v>
      </c>
      <c r="J373"/>
      <c r="L373">
        <v>5</v>
      </c>
      <c r="M373" s="23">
        <v>2</v>
      </c>
      <c r="N373" s="29">
        <v>20</v>
      </c>
      <c r="O373" s="23">
        <v>1</v>
      </c>
    </row>
    <row r="374" spans="1:15" ht="15" x14ac:dyDescent="0.25">
      <c r="A374">
        <v>522001</v>
      </c>
      <c r="B374" t="s">
        <v>415</v>
      </c>
      <c r="C374" s="26" t="s">
        <v>375</v>
      </c>
      <c r="D374" s="26" t="s">
        <v>352</v>
      </c>
      <c r="E374" t="s">
        <v>57</v>
      </c>
      <c r="F374" t="s">
        <v>59</v>
      </c>
      <c r="G374" t="s">
        <v>59</v>
      </c>
      <c r="H374" t="s">
        <v>58</v>
      </c>
      <c r="I374" t="s">
        <v>59</v>
      </c>
      <c r="J374"/>
      <c r="L374">
        <v>5</v>
      </c>
      <c r="M374" s="23">
        <v>2</v>
      </c>
      <c r="N374" s="29">
        <v>20</v>
      </c>
      <c r="O374" s="23">
        <v>5</v>
      </c>
    </row>
    <row r="375" spans="1:15" ht="15" x14ac:dyDescent="0.25">
      <c r="A375">
        <v>522005</v>
      </c>
      <c r="B375" t="s">
        <v>416</v>
      </c>
      <c r="C375" s="26" t="s">
        <v>375</v>
      </c>
      <c r="D375" s="26" t="s">
        <v>352</v>
      </c>
      <c r="E375" t="s">
        <v>57</v>
      </c>
      <c r="F375" t="s">
        <v>59</v>
      </c>
      <c r="G375" t="s">
        <v>59</v>
      </c>
      <c r="H375" t="s">
        <v>58</v>
      </c>
      <c r="I375" t="s">
        <v>59</v>
      </c>
      <c r="J375"/>
      <c r="L375">
        <v>5</v>
      </c>
      <c r="M375" s="23">
        <v>2</v>
      </c>
      <c r="N375" s="29">
        <v>20</v>
      </c>
      <c r="O375" s="23">
        <v>10</v>
      </c>
    </row>
    <row r="376" spans="1:15" ht="15" x14ac:dyDescent="0.25">
      <c r="A376">
        <v>522010</v>
      </c>
      <c r="B376" t="s">
        <v>417</v>
      </c>
      <c r="C376" s="26" t="s">
        <v>375</v>
      </c>
      <c r="D376" s="26" t="s">
        <v>352</v>
      </c>
      <c r="E376" t="s">
        <v>57</v>
      </c>
      <c r="F376" t="s">
        <v>59</v>
      </c>
      <c r="G376" t="s">
        <v>59</v>
      </c>
      <c r="H376" t="s">
        <v>58</v>
      </c>
      <c r="I376" t="s">
        <v>59</v>
      </c>
      <c r="J376"/>
      <c r="L376">
        <v>5</v>
      </c>
      <c r="M376" s="23">
        <v>2</v>
      </c>
      <c r="N376" s="29">
        <v>20</v>
      </c>
      <c r="O376" s="23">
        <v>15</v>
      </c>
    </row>
    <row r="377" spans="1:15" ht="15" x14ac:dyDescent="0.25">
      <c r="A377">
        <v>522015</v>
      </c>
      <c r="B377" t="s">
        <v>418</v>
      </c>
      <c r="C377" s="26" t="s">
        <v>375</v>
      </c>
      <c r="D377" s="26" t="s">
        <v>352</v>
      </c>
      <c r="E377" t="s">
        <v>57</v>
      </c>
      <c r="F377" t="s">
        <v>59</v>
      </c>
      <c r="G377" t="s">
        <v>59</v>
      </c>
      <c r="H377" t="s">
        <v>58</v>
      </c>
      <c r="I377" t="s">
        <v>59</v>
      </c>
      <c r="J377"/>
      <c r="L377">
        <v>5</v>
      </c>
      <c r="M377" s="23">
        <v>2</v>
      </c>
      <c r="N377" s="29">
        <v>20</v>
      </c>
      <c r="O377" s="23">
        <v>20</v>
      </c>
    </row>
    <row r="378" spans="1:15" ht="15" x14ac:dyDescent="0.25">
      <c r="A378">
        <v>522020</v>
      </c>
      <c r="B378" t="s">
        <v>419</v>
      </c>
      <c r="C378" s="26" t="s">
        <v>375</v>
      </c>
      <c r="D378" s="26" t="s">
        <v>352</v>
      </c>
      <c r="E378" t="s">
        <v>57</v>
      </c>
      <c r="F378" t="s">
        <v>59</v>
      </c>
      <c r="G378" t="s">
        <v>59</v>
      </c>
      <c r="H378" t="s">
        <v>58</v>
      </c>
      <c r="I378" t="s">
        <v>59</v>
      </c>
      <c r="J378"/>
      <c r="L378">
        <v>5</v>
      </c>
      <c r="M378" s="23">
        <v>2</v>
      </c>
      <c r="N378" s="29">
        <v>20</v>
      </c>
      <c r="O378" s="23">
        <v>25</v>
      </c>
    </row>
    <row r="379" spans="1:15" ht="15" x14ac:dyDescent="0.25">
      <c r="A379">
        <v>522025</v>
      </c>
      <c r="B379" t="s">
        <v>420</v>
      </c>
      <c r="C379" s="26" t="s">
        <v>375</v>
      </c>
      <c r="D379" s="26" t="s">
        <v>352</v>
      </c>
      <c r="E379" t="s">
        <v>57</v>
      </c>
      <c r="F379" t="s">
        <v>59</v>
      </c>
      <c r="G379" t="s">
        <v>59</v>
      </c>
      <c r="H379" t="s">
        <v>58</v>
      </c>
      <c r="I379" t="s">
        <v>59</v>
      </c>
      <c r="J379"/>
      <c r="L379">
        <v>5</v>
      </c>
      <c r="M379" s="23">
        <v>2</v>
      </c>
      <c r="N379" s="29">
        <v>20</v>
      </c>
      <c r="O379" s="23">
        <v>30</v>
      </c>
    </row>
    <row r="380" spans="1:15" ht="15" x14ac:dyDescent="0.25">
      <c r="A380">
        <v>522030</v>
      </c>
      <c r="B380" t="s">
        <v>421</v>
      </c>
      <c r="C380" s="26" t="s">
        <v>375</v>
      </c>
      <c r="D380" s="26" t="s">
        <v>352</v>
      </c>
      <c r="E380" t="s">
        <v>57</v>
      </c>
      <c r="F380" t="s">
        <v>59</v>
      </c>
      <c r="G380" t="s">
        <v>59</v>
      </c>
      <c r="H380" t="s">
        <v>58</v>
      </c>
      <c r="I380" t="s">
        <v>59</v>
      </c>
      <c r="J380"/>
      <c r="L380">
        <v>5</v>
      </c>
      <c r="M380" s="23">
        <v>2</v>
      </c>
      <c r="N380" s="29">
        <v>20</v>
      </c>
      <c r="O380" s="23">
        <v>35</v>
      </c>
    </row>
    <row r="381" spans="1:15" ht="15" x14ac:dyDescent="0.25">
      <c r="A381">
        <v>522035</v>
      </c>
      <c r="B381" t="s">
        <v>422</v>
      </c>
      <c r="C381" s="26" t="s">
        <v>375</v>
      </c>
      <c r="D381" s="26" t="s">
        <v>352</v>
      </c>
      <c r="E381" t="s">
        <v>57</v>
      </c>
      <c r="F381" t="s">
        <v>59</v>
      </c>
      <c r="G381" t="s">
        <v>59</v>
      </c>
      <c r="H381" t="s">
        <v>58</v>
      </c>
      <c r="I381" t="s">
        <v>59</v>
      </c>
      <c r="J381"/>
      <c r="L381">
        <v>5</v>
      </c>
      <c r="M381" s="23">
        <v>2</v>
      </c>
      <c r="N381" s="29">
        <v>20</v>
      </c>
      <c r="O381" s="23">
        <v>40</v>
      </c>
    </row>
    <row r="382" spans="1:15" ht="15" x14ac:dyDescent="0.25">
      <c r="A382">
        <v>522040</v>
      </c>
      <c r="B382" t="s">
        <v>423</v>
      </c>
      <c r="C382" s="26" t="s">
        <v>375</v>
      </c>
      <c r="D382" s="26" t="s">
        <v>352</v>
      </c>
      <c r="E382" t="s">
        <v>57</v>
      </c>
      <c r="F382" t="s">
        <v>59</v>
      </c>
      <c r="G382" t="s">
        <v>59</v>
      </c>
      <c r="H382" t="s">
        <v>58</v>
      </c>
      <c r="I382" t="s">
        <v>59</v>
      </c>
      <c r="J382"/>
      <c r="L382">
        <v>5</v>
      </c>
      <c r="M382" s="23">
        <v>2</v>
      </c>
      <c r="N382" s="29">
        <v>20</v>
      </c>
      <c r="O382" s="23">
        <v>45</v>
      </c>
    </row>
    <row r="383" spans="1:15" ht="15" x14ac:dyDescent="0.25">
      <c r="A383">
        <v>522045</v>
      </c>
      <c r="B383" t="s">
        <v>424</v>
      </c>
      <c r="C383" s="26" t="s">
        <v>375</v>
      </c>
      <c r="D383" s="26" t="s">
        <v>352</v>
      </c>
      <c r="E383" t="s">
        <v>57</v>
      </c>
      <c r="F383" t="s">
        <v>59</v>
      </c>
      <c r="G383" t="s">
        <v>59</v>
      </c>
      <c r="H383" t="s">
        <v>58</v>
      </c>
      <c r="I383" t="s">
        <v>59</v>
      </c>
      <c r="J383"/>
      <c r="L383">
        <v>5</v>
      </c>
      <c r="M383" s="23">
        <v>2</v>
      </c>
      <c r="N383" s="29">
        <v>20</v>
      </c>
      <c r="O383" s="23">
        <v>50</v>
      </c>
    </row>
    <row r="384" spans="1:15" ht="15" x14ac:dyDescent="0.25">
      <c r="A384">
        <v>522050</v>
      </c>
      <c r="B384" t="s">
        <v>425</v>
      </c>
      <c r="C384" s="26" t="s">
        <v>375</v>
      </c>
      <c r="D384" s="26" t="s">
        <v>352</v>
      </c>
      <c r="E384" t="s">
        <v>57</v>
      </c>
      <c r="F384" t="s">
        <v>59</v>
      </c>
      <c r="G384" t="s">
        <v>59</v>
      </c>
      <c r="H384" t="s">
        <v>58</v>
      </c>
      <c r="I384" t="s">
        <v>59</v>
      </c>
      <c r="J384"/>
      <c r="L384">
        <v>5</v>
      </c>
      <c r="M384" s="23">
        <v>2</v>
      </c>
      <c r="N384" s="29">
        <v>20</v>
      </c>
      <c r="O384" s="23">
        <v>55</v>
      </c>
    </row>
    <row r="385" spans="1:15" ht="15" x14ac:dyDescent="0.25">
      <c r="A385">
        <v>522055</v>
      </c>
      <c r="B385" t="s">
        <v>426</v>
      </c>
      <c r="C385" s="26" t="s">
        <v>375</v>
      </c>
      <c r="D385" s="26" t="s">
        <v>352</v>
      </c>
      <c r="E385" t="s">
        <v>57</v>
      </c>
      <c r="F385" t="s">
        <v>59</v>
      </c>
      <c r="G385" t="s">
        <v>59</v>
      </c>
      <c r="H385" t="s">
        <v>58</v>
      </c>
      <c r="I385" t="s">
        <v>59</v>
      </c>
      <c r="J385"/>
      <c r="L385">
        <v>5</v>
      </c>
      <c r="M385" s="23">
        <v>2</v>
      </c>
      <c r="N385" s="29">
        <v>20</v>
      </c>
      <c r="O385" s="23">
        <v>60</v>
      </c>
    </row>
    <row r="386" spans="1:15" ht="15" x14ac:dyDescent="0.25">
      <c r="A386">
        <v>522060</v>
      </c>
      <c r="B386" t="s">
        <v>427</v>
      </c>
      <c r="C386" s="26" t="s">
        <v>375</v>
      </c>
      <c r="D386" s="26" t="s">
        <v>352</v>
      </c>
      <c r="E386" t="s">
        <v>57</v>
      </c>
      <c r="F386" t="s">
        <v>59</v>
      </c>
      <c r="G386" t="s">
        <v>59</v>
      </c>
      <c r="H386" t="s">
        <v>58</v>
      </c>
      <c r="I386" t="s">
        <v>59</v>
      </c>
      <c r="J386"/>
      <c r="L386">
        <v>5</v>
      </c>
      <c r="M386" s="23">
        <v>2</v>
      </c>
      <c r="N386" s="29">
        <v>24</v>
      </c>
    </row>
    <row r="387" spans="1:15" ht="15" x14ac:dyDescent="0.25">
      <c r="A387">
        <v>5224</v>
      </c>
      <c r="B387" t="s">
        <v>428</v>
      </c>
      <c r="C387" s="26" t="s">
        <v>375</v>
      </c>
      <c r="D387" s="26" t="s">
        <v>352</v>
      </c>
      <c r="E387" t="s">
        <v>57</v>
      </c>
      <c r="F387" t="s">
        <v>58</v>
      </c>
      <c r="G387" t="s">
        <v>58</v>
      </c>
      <c r="H387" t="s">
        <v>59</v>
      </c>
      <c r="I387" t="s">
        <v>59</v>
      </c>
      <c r="J387"/>
      <c r="L387">
        <v>5</v>
      </c>
      <c r="M387" s="23">
        <v>2</v>
      </c>
      <c r="N387" s="29">
        <v>24</v>
      </c>
      <c r="O387" s="23">
        <v>1</v>
      </c>
    </row>
    <row r="388" spans="1:15" ht="15" x14ac:dyDescent="0.25">
      <c r="A388">
        <v>522401</v>
      </c>
      <c r="B388" t="s">
        <v>429</v>
      </c>
      <c r="C388" s="26" t="s">
        <v>375</v>
      </c>
      <c r="D388" s="26" t="s">
        <v>352</v>
      </c>
      <c r="E388" t="s">
        <v>57</v>
      </c>
      <c r="F388" t="s">
        <v>59</v>
      </c>
      <c r="G388" t="s">
        <v>59</v>
      </c>
      <c r="H388" t="s">
        <v>58</v>
      </c>
      <c r="I388" t="s">
        <v>59</v>
      </c>
      <c r="J388"/>
      <c r="L388">
        <v>5</v>
      </c>
      <c r="M388" s="23">
        <v>2</v>
      </c>
      <c r="N388" s="29">
        <v>24</v>
      </c>
      <c r="O388" s="23">
        <v>2</v>
      </c>
    </row>
    <row r="389" spans="1:15" ht="15" x14ac:dyDescent="0.25">
      <c r="A389">
        <v>522402</v>
      </c>
      <c r="B389" t="s">
        <v>430</v>
      </c>
      <c r="C389" s="26" t="s">
        <v>375</v>
      </c>
      <c r="D389" s="26" t="s">
        <v>352</v>
      </c>
      <c r="E389" t="s">
        <v>57</v>
      </c>
      <c r="F389" t="s">
        <v>59</v>
      </c>
      <c r="G389" t="s">
        <v>59</v>
      </c>
      <c r="H389" t="s">
        <v>58</v>
      </c>
      <c r="I389" t="s">
        <v>59</v>
      </c>
      <c r="J389"/>
      <c r="L389">
        <v>5</v>
      </c>
      <c r="M389" s="23">
        <v>2</v>
      </c>
      <c r="N389" s="29">
        <v>24</v>
      </c>
      <c r="O389" s="23">
        <v>70</v>
      </c>
    </row>
    <row r="390" spans="1:15" ht="15" x14ac:dyDescent="0.25">
      <c r="A390">
        <v>522470</v>
      </c>
      <c r="B390" t="s">
        <v>431</v>
      </c>
      <c r="C390" s="26" t="s">
        <v>375</v>
      </c>
      <c r="D390" s="26" t="s">
        <v>352</v>
      </c>
      <c r="E390" t="s">
        <v>57</v>
      </c>
      <c r="F390" t="s">
        <v>59</v>
      </c>
      <c r="G390" t="s">
        <v>59</v>
      </c>
      <c r="H390" t="s">
        <v>58</v>
      </c>
      <c r="I390" t="s">
        <v>59</v>
      </c>
      <c r="J390"/>
      <c r="L390">
        <v>5</v>
      </c>
      <c r="M390" s="23">
        <v>2</v>
      </c>
      <c r="N390" s="29">
        <v>24</v>
      </c>
      <c r="O390" s="23">
        <v>80</v>
      </c>
    </row>
    <row r="391" spans="1:15" ht="15" x14ac:dyDescent="0.25">
      <c r="A391">
        <v>522480</v>
      </c>
      <c r="B391" t="s">
        <v>432</v>
      </c>
      <c r="C391" s="26" t="s">
        <v>375</v>
      </c>
      <c r="D391" s="26" t="s">
        <v>352</v>
      </c>
      <c r="E391" t="s">
        <v>57</v>
      </c>
      <c r="F391" t="s">
        <v>59</v>
      </c>
      <c r="G391" t="s">
        <v>59</v>
      </c>
      <c r="H391" t="s">
        <v>58</v>
      </c>
      <c r="I391" t="s">
        <v>59</v>
      </c>
      <c r="J391"/>
      <c r="L391">
        <v>5</v>
      </c>
      <c r="M391" s="23">
        <v>2</v>
      </c>
      <c r="N391" s="29">
        <v>24</v>
      </c>
      <c r="O391" s="23">
        <v>90</v>
      </c>
    </row>
    <row r="392" spans="1:15" ht="15" x14ac:dyDescent="0.25">
      <c r="A392">
        <v>522490</v>
      </c>
      <c r="B392" t="s">
        <v>433</v>
      </c>
      <c r="C392" s="26" t="s">
        <v>375</v>
      </c>
      <c r="D392" s="26" t="s">
        <v>352</v>
      </c>
      <c r="E392" t="s">
        <v>57</v>
      </c>
      <c r="F392" t="s">
        <v>59</v>
      </c>
      <c r="G392" t="s">
        <v>59</v>
      </c>
      <c r="H392" t="s">
        <v>58</v>
      </c>
      <c r="I392" t="s">
        <v>59</v>
      </c>
      <c r="J392"/>
      <c r="L392">
        <v>5</v>
      </c>
      <c r="M392" s="23">
        <v>2</v>
      </c>
      <c r="N392" s="29">
        <v>24</v>
      </c>
      <c r="O392" s="23">
        <v>91</v>
      </c>
    </row>
    <row r="393" spans="1:15" ht="15" x14ac:dyDescent="0.25">
      <c r="A393">
        <v>522491</v>
      </c>
      <c r="B393" t="s">
        <v>434</v>
      </c>
      <c r="C393" s="26" t="s">
        <v>375</v>
      </c>
      <c r="D393" s="26" t="s">
        <v>352</v>
      </c>
      <c r="E393" t="s">
        <v>57</v>
      </c>
      <c r="F393" t="s">
        <v>59</v>
      </c>
      <c r="G393" t="s">
        <v>59</v>
      </c>
      <c r="H393" t="s">
        <v>58</v>
      </c>
      <c r="I393" t="s">
        <v>59</v>
      </c>
      <c r="J393"/>
      <c r="L393">
        <v>5</v>
      </c>
      <c r="M393" s="23">
        <v>2</v>
      </c>
      <c r="N393" s="29">
        <v>24</v>
      </c>
      <c r="O393" s="23">
        <v>92</v>
      </c>
    </row>
    <row r="394" spans="1:15" ht="15" x14ac:dyDescent="0.25">
      <c r="A394">
        <v>522492</v>
      </c>
      <c r="B394" t="s">
        <v>435</v>
      </c>
      <c r="C394" s="26" t="s">
        <v>375</v>
      </c>
      <c r="D394" s="26" t="s">
        <v>352</v>
      </c>
      <c r="E394" t="s">
        <v>57</v>
      </c>
      <c r="F394" t="s">
        <v>59</v>
      </c>
      <c r="G394" t="s">
        <v>59</v>
      </c>
      <c r="H394" t="s">
        <v>58</v>
      </c>
      <c r="I394" t="s">
        <v>59</v>
      </c>
      <c r="J394"/>
      <c r="L394">
        <v>5</v>
      </c>
      <c r="M394" s="23">
        <v>2</v>
      </c>
      <c r="N394" s="29">
        <v>24</v>
      </c>
      <c r="O394" s="23">
        <v>96</v>
      </c>
    </row>
    <row r="395" spans="1:15" ht="15" x14ac:dyDescent="0.25">
      <c r="A395">
        <v>522496</v>
      </c>
      <c r="B395" t="s">
        <v>436</v>
      </c>
      <c r="C395" s="26" t="s">
        <v>375</v>
      </c>
      <c r="D395" s="26" t="s">
        <v>352</v>
      </c>
      <c r="E395" t="s">
        <v>57</v>
      </c>
      <c r="F395" t="s">
        <v>59</v>
      </c>
      <c r="G395" t="s">
        <v>59</v>
      </c>
      <c r="H395" t="s">
        <v>58</v>
      </c>
      <c r="I395" t="s">
        <v>59</v>
      </c>
      <c r="J395"/>
      <c r="L395">
        <v>5</v>
      </c>
      <c r="M395" s="23">
        <v>2</v>
      </c>
      <c r="N395" s="29">
        <v>25</v>
      </c>
    </row>
    <row r="396" spans="1:15" ht="15" x14ac:dyDescent="0.25">
      <c r="A396">
        <v>5225</v>
      </c>
      <c r="B396" t="s">
        <v>437</v>
      </c>
      <c r="C396" s="26" t="s">
        <v>375</v>
      </c>
      <c r="D396" s="26" t="s">
        <v>352</v>
      </c>
      <c r="E396" t="s">
        <v>57</v>
      </c>
      <c r="F396" t="s">
        <v>58</v>
      </c>
      <c r="G396" t="s">
        <v>58</v>
      </c>
      <c r="H396" t="s">
        <v>59</v>
      </c>
      <c r="I396" t="s">
        <v>59</v>
      </c>
      <c r="J396"/>
      <c r="L396">
        <v>5</v>
      </c>
      <c r="M396" s="23">
        <v>2</v>
      </c>
      <c r="N396" s="29">
        <v>25</v>
      </c>
      <c r="O396" s="23">
        <v>1</v>
      </c>
    </row>
    <row r="397" spans="1:15" ht="15" x14ac:dyDescent="0.25">
      <c r="A397">
        <v>522501</v>
      </c>
      <c r="B397" t="s">
        <v>438</v>
      </c>
      <c r="C397" s="26" t="s">
        <v>375</v>
      </c>
      <c r="D397" s="26" t="s">
        <v>352</v>
      </c>
      <c r="E397" t="s">
        <v>57</v>
      </c>
      <c r="F397" t="s">
        <v>59</v>
      </c>
      <c r="G397" t="s">
        <v>59</v>
      </c>
      <c r="H397" t="s">
        <v>58</v>
      </c>
      <c r="I397" t="s">
        <v>59</v>
      </c>
      <c r="J397"/>
      <c r="L397">
        <v>5</v>
      </c>
      <c r="M397" s="23">
        <v>2</v>
      </c>
      <c r="N397" s="29">
        <v>25</v>
      </c>
      <c r="O397" s="23">
        <v>2</v>
      </c>
    </row>
    <row r="398" spans="1:15" ht="15" x14ac:dyDescent="0.25">
      <c r="A398">
        <v>522502</v>
      </c>
      <c r="B398" t="s">
        <v>439</v>
      </c>
      <c r="C398" s="26" t="s">
        <v>375</v>
      </c>
      <c r="D398" s="26" t="s">
        <v>352</v>
      </c>
      <c r="E398" t="s">
        <v>57</v>
      </c>
      <c r="F398" t="s">
        <v>59</v>
      </c>
      <c r="G398" t="s">
        <v>59</v>
      </c>
      <c r="H398" t="s">
        <v>58</v>
      </c>
      <c r="I398" t="s">
        <v>59</v>
      </c>
      <c r="J398"/>
      <c r="L398">
        <v>5</v>
      </c>
      <c r="M398" s="23">
        <v>2</v>
      </c>
      <c r="N398" s="29">
        <v>25</v>
      </c>
      <c r="O398" s="23">
        <v>3</v>
      </c>
    </row>
    <row r="399" spans="1:15" ht="15" x14ac:dyDescent="0.25">
      <c r="A399">
        <v>522503</v>
      </c>
      <c r="B399" t="s">
        <v>440</v>
      </c>
      <c r="C399" s="26" t="s">
        <v>375</v>
      </c>
      <c r="D399" s="26" t="s">
        <v>352</v>
      </c>
      <c r="E399" t="s">
        <v>57</v>
      </c>
      <c r="F399" t="s">
        <v>59</v>
      </c>
      <c r="G399" t="s">
        <v>59</v>
      </c>
      <c r="H399" t="s">
        <v>58</v>
      </c>
      <c r="I399" t="s">
        <v>59</v>
      </c>
      <c r="J399"/>
      <c r="L399">
        <v>5</v>
      </c>
      <c r="M399" s="23">
        <v>2</v>
      </c>
      <c r="N399" s="29">
        <v>25</v>
      </c>
      <c r="O399" s="23">
        <v>5</v>
      </c>
    </row>
    <row r="400" spans="1:15" ht="15" x14ac:dyDescent="0.25">
      <c r="A400">
        <v>522505</v>
      </c>
      <c r="B400" t="s">
        <v>441</v>
      </c>
      <c r="C400" s="26" t="s">
        <v>375</v>
      </c>
      <c r="D400" s="26" t="s">
        <v>352</v>
      </c>
      <c r="E400" t="s">
        <v>57</v>
      </c>
      <c r="F400" t="s">
        <v>59</v>
      </c>
      <c r="G400" t="s">
        <v>59</v>
      </c>
      <c r="H400" t="s">
        <v>58</v>
      </c>
      <c r="I400" t="s">
        <v>59</v>
      </c>
      <c r="J400"/>
      <c r="L400">
        <v>5</v>
      </c>
      <c r="M400" s="23">
        <v>2</v>
      </c>
      <c r="N400" s="29">
        <v>25</v>
      </c>
      <c r="O400" s="23">
        <v>6</v>
      </c>
    </row>
    <row r="401" spans="1:15" ht="15" x14ac:dyDescent="0.25">
      <c r="A401">
        <v>522506</v>
      </c>
      <c r="B401" t="s">
        <v>442</v>
      </c>
      <c r="C401" s="26" t="s">
        <v>375</v>
      </c>
      <c r="D401" s="26" t="s">
        <v>352</v>
      </c>
      <c r="E401" t="s">
        <v>57</v>
      </c>
      <c r="F401" t="s">
        <v>59</v>
      </c>
      <c r="G401" t="s">
        <v>59</v>
      </c>
      <c r="H401" t="s">
        <v>58</v>
      </c>
      <c r="I401" t="s">
        <v>59</v>
      </c>
      <c r="J401"/>
      <c r="L401">
        <v>5</v>
      </c>
      <c r="M401" s="23">
        <v>2</v>
      </c>
      <c r="N401" s="29">
        <v>25</v>
      </c>
      <c r="O401" s="23">
        <v>9</v>
      </c>
    </row>
    <row r="402" spans="1:15" ht="15" x14ac:dyDescent="0.25">
      <c r="A402">
        <v>522509</v>
      </c>
      <c r="B402" t="s">
        <v>443</v>
      </c>
      <c r="C402" s="26" t="s">
        <v>375</v>
      </c>
      <c r="D402" s="26" t="s">
        <v>352</v>
      </c>
      <c r="E402" t="s">
        <v>57</v>
      </c>
      <c r="F402" t="s">
        <v>59</v>
      </c>
      <c r="G402" t="s">
        <v>59</v>
      </c>
      <c r="H402" t="s">
        <v>58</v>
      </c>
      <c r="I402" t="s">
        <v>59</v>
      </c>
      <c r="J402"/>
      <c r="L402">
        <v>5</v>
      </c>
      <c r="M402" s="23">
        <v>2</v>
      </c>
      <c r="N402" s="29">
        <v>25</v>
      </c>
      <c r="O402" s="23">
        <v>12</v>
      </c>
    </row>
    <row r="403" spans="1:15" ht="15" x14ac:dyDescent="0.25">
      <c r="A403">
        <v>522512</v>
      </c>
      <c r="B403" t="s">
        <v>444</v>
      </c>
      <c r="C403" s="26" t="s">
        <v>375</v>
      </c>
      <c r="D403" s="26" t="s">
        <v>352</v>
      </c>
      <c r="E403" t="s">
        <v>57</v>
      </c>
      <c r="F403" t="s">
        <v>59</v>
      </c>
      <c r="G403" t="s">
        <v>59</v>
      </c>
      <c r="H403" t="s">
        <v>58</v>
      </c>
      <c r="I403" t="s">
        <v>59</v>
      </c>
      <c r="J403"/>
      <c r="L403">
        <v>5</v>
      </c>
      <c r="M403" s="23">
        <v>2</v>
      </c>
      <c r="N403" s="29">
        <v>25</v>
      </c>
      <c r="O403" s="23">
        <v>15</v>
      </c>
    </row>
    <row r="404" spans="1:15" ht="15" x14ac:dyDescent="0.25">
      <c r="A404">
        <v>522515</v>
      </c>
      <c r="B404" t="s">
        <v>445</v>
      </c>
      <c r="C404" s="26" t="s">
        <v>375</v>
      </c>
      <c r="D404" s="26" t="s">
        <v>352</v>
      </c>
      <c r="E404" t="s">
        <v>57</v>
      </c>
      <c r="F404" t="s">
        <v>59</v>
      </c>
      <c r="G404" t="s">
        <v>59</v>
      </c>
      <c r="H404" t="s">
        <v>58</v>
      </c>
      <c r="I404" t="s">
        <v>59</v>
      </c>
      <c r="J404"/>
      <c r="L404">
        <v>5</v>
      </c>
      <c r="M404" s="23">
        <v>2</v>
      </c>
      <c r="N404" s="29">
        <v>25</v>
      </c>
      <c r="O404" s="23">
        <v>16</v>
      </c>
    </row>
    <row r="405" spans="1:15" ht="15" x14ac:dyDescent="0.25">
      <c r="A405">
        <v>522516</v>
      </c>
      <c r="B405" t="s">
        <v>446</v>
      </c>
      <c r="C405" s="26" t="s">
        <v>375</v>
      </c>
      <c r="D405" s="26" t="s">
        <v>352</v>
      </c>
      <c r="E405" t="s">
        <v>57</v>
      </c>
      <c r="F405" t="s">
        <v>59</v>
      </c>
      <c r="G405" t="s">
        <v>59</v>
      </c>
      <c r="H405" t="s">
        <v>58</v>
      </c>
      <c r="I405" t="s">
        <v>59</v>
      </c>
      <c r="J405"/>
      <c r="L405">
        <v>5</v>
      </c>
      <c r="M405" s="23">
        <v>2</v>
      </c>
      <c r="N405" s="29">
        <v>25</v>
      </c>
      <c r="O405" s="23">
        <v>18</v>
      </c>
    </row>
    <row r="406" spans="1:15" ht="15" x14ac:dyDescent="0.25">
      <c r="A406">
        <v>522518</v>
      </c>
      <c r="B406" t="s">
        <v>447</v>
      </c>
      <c r="C406" s="26" t="s">
        <v>375</v>
      </c>
      <c r="D406" s="26" t="s">
        <v>352</v>
      </c>
      <c r="E406" t="s">
        <v>57</v>
      </c>
      <c r="F406" t="s">
        <v>59</v>
      </c>
      <c r="G406" t="s">
        <v>59</v>
      </c>
      <c r="H406" t="s">
        <v>58</v>
      </c>
      <c r="I406" t="s">
        <v>59</v>
      </c>
      <c r="J406"/>
      <c r="L406">
        <v>5</v>
      </c>
      <c r="M406" s="23">
        <v>2</v>
      </c>
      <c r="N406" s="29">
        <v>25</v>
      </c>
      <c r="O406" s="23">
        <v>20</v>
      </c>
    </row>
    <row r="407" spans="1:15" ht="15" x14ac:dyDescent="0.25">
      <c r="A407">
        <v>522520</v>
      </c>
      <c r="B407" t="s">
        <v>448</v>
      </c>
      <c r="C407" s="26" t="s">
        <v>375</v>
      </c>
      <c r="D407" s="26" t="s">
        <v>352</v>
      </c>
      <c r="E407" t="s">
        <v>57</v>
      </c>
      <c r="F407" t="s">
        <v>59</v>
      </c>
      <c r="G407" t="s">
        <v>59</v>
      </c>
      <c r="H407" t="s">
        <v>58</v>
      </c>
      <c r="I407" t="s">
        <v>59</v>
      </c>
      <c r="J407"/>
      <c r="L407">
        <v>5</v>
      </c>
      <c r="M407" s="23">
        <v>2</v>
      </c>
      <c r="N407" s="29">
        <v>25</v>
      </c>
      <c r="O407" s="23">
        <v>21</v>
      </c>
    </row>
    <row r="408" spans="1:15" ht="15" x14ac:dyDescent="0.25">
      <c r="A408">
        <v>522521</v>
      </c>
      <c r="B408" t="s">
        <v>449</v>
      </c>
      <c r="C408" s="26" t="s">
        <v>375</v>
      </c>
      <c r="D408" s="26" t="s">
        <v>352</v>
      </c>
      <c r="E408" t="s">
        <v>57</v>
      </c>
      <c r="F408" t="s">
        <v>59</v>
      </c>
      <c r="G408" t="s">
        <v>59</v>
      </c>
      <c r="H408" t="s">
        <v>58</v>
      </c>
      <c r="I408" t="s">
        <v>59</v>
      </c>
      <c r="J408"/>
      <c r="L408">
        <v>5</v>
      </c>
      <c r="M408" s="23">
        <v>2</v>
      </c>
      <c r="N408" s="29">
        <v>25</v>
      </c>
      <c r="O408" s="23">
        <v>24</v>
      </c>
    </row>
    <row r="409" spans="1:15" ht="15" x14ac:dyDescent="0.25">
      <c r="A409">
        <v>522524</v>
      </c>
      <c r="B409" t="s">
        <v>450</v>
      </c>
      <c r="C409" s="26" t="s">
        <v>375</v>
      </c>
      <c r="D409" s="26" t="s">
        <v>352</v>
      </c>
      <c r="E409" t="s">
        <v>57</v>
      </c>
      <c r="F409" t="s">
        <v>59</v>
      </c>
      <c r="G409" t="s">
        <v>59</v>
      </c>
      <c r="H409" t="s">
        <v>58</v>
      </c>
      <c r="I409" t="s">
        <v>59</v>
      </c>
      <c r="J409"/>
      <c r="L409">
        <v>5</v>
      </c>
      <c r="M409" s="23">
        <v>2</v>
      </c>
      <c r="N409" s="29">
        <v>25</v>
      </c>
      <c r="O409" s="23">
        <v>27</v>
      </c>
    </row>
    <row r="410" spans="1:15" ht="15" x14ac:dyDescent="0.25">
      <c r="A410">
        <v>522527</v>
      </c>
      <c r="B410" t="s">
        <v>451</v>
      </c>
      <c r="C410" s="26" t="s">
        <v>375</v>
      </c>
      <c r="D410" s="26" t="s">
        <v>352</v>
      </c>
      <c r="E410" t="s">
        <v>57</v>
      </c>
      <c r="F410" t="s">
        <v>59</v>
      </c>
      <c r="G410" t="s">
        <v>59</v>
      </c>
      <c r="H410" t="s">
        <v>58</v>
      </c>
      <c r="I410" t="s">
        <v>59</v>
      </c>
      <c r="J410"/>
      <c r="L410">
        <v>5</v>
      </c>
      <c r="M410" s="23">
        <v>2</v>
      </c>
      <c r="N410" s="29">
        <v>25</v>
      </c>
      <c r="O410" s="23">
        <v>28</v>
      </c>
    </row>
    <row r="411" spans="1:15" ht="15" x14ac:dyDescent="0.25">
      <c r="A411">
        <v>522528</v>
      </c>
      <c r="B411" t="s">
        <v>452</v>
      </c>
      <c r="C411" s="26" t="s">
        <v>375</v>
      </c>
      <c r="D411" s="26" t="s">
        <v>352</v>
      </c>
      <c r="E411" t="s">
        <v>57</v>
      </c>
      <c r="F411" t="s">
        <v>59</v>
      </c>
      <c r="G411" t="s">
        <v>59</v>
      </c>
      <c r="H411" t="s">
        <v>58</v>
      </c>
      <c r="I411" t="s">
        <v>59</v>
      </c>
      <c r="J411"/>
      <c r="L411">
        <v>5</v>
      </c>
      <c r="M411" s="23">
        <v>2</v>
      </c>
      <c r="N411" s="29">
        <v>25</v>
      </c>
      <c r="O411" s="23">
        <v>29</v>
      </c>
    </row>
    <row r="412" spans="1:15" ht="15" x14ac:dyDescent="0.25">
      <c r="A412">
        <v>522529</v>
      </c>
      <c r="B412" t="s">
        <v>453</v>
      </c>
      <c r="C412" s="26" t="s">
        <v>375</v>
      </c>
      <c r="D412" s="26" t="s">
        <v>352</v>
      </c>
      <c r="E412" t="s">
        <v>57</v>
      </c>
      <c r="F412" t="s">
        <v>59</v>
      </c>
      <c r="G412" t="s">
        <v>59</v>
      </c>
      <c r="H412" t="s">
        <v>58</v>
      </c>
      <c r="I412" t="s">
        <v>59</v>
      </c>
      <c r="J412"/>
      <c r="L412">
        <v>5</v>
      </c>
      <c r="M412" s="23">
        <v>2</v>
      </c>
      <c r="N412" s="29">
        <v>25</v>
      </c>
      <c r="O412" s="23">
        <v>30</v>
      </c>
    </row>
    <row r="413" spans="1:15" ht="15" x14ac:dyDescent="0.25">
      <c r="A413">
        <v>522530</v>
      </c>
      <c r="B413" t="s">
        <v>454</v>
      </c>
      <c r="C413" s="26" t="s">
        <v>375</v>
      </c>
      <c r="D413" s="26" t="s">
        <v>352</v>
      </c>
      <c r="E413" t="s">
        <v>57</v>
      </c>
      <c r="F413" t="s">
        <v>59</v>
      </c>
      <c r="G413" t="s">
        <v>59</v>
      </c>
      <c r="H413" t="s">
        <v>58</v>
      </c>
      <c r="I413" t="s">
        <v>59</v>
      </c>
      <c r="J413"/>
      <c r="L413">
        <v>5</v>
      </c>
      <c r="M413" s="23">
        <v>2</v>
      </c>
      <c r="N413" s="29">
        <v>25</v>
      </c>
      <c r="O413" s="23">
        <v>32</v>
      </c>
    </row>
    <row r="414" spans="1:15" ht="15" x14ac:dyDescent="0.25">
      <c r="A414">
        <v>522532</v>
      </c>
      <c r="B414" t="s">
        <v>455</v>
      </c>
      <c r="C414" s="26" t="s">
        <v>375</v>
      </c>
      <c r="D414" s="26" t="s">
        <v>352</v>
      </c>
      <c r="E414" t="s">
        <v>57</v>
      </c>
      <c r="F414" t="s">
        <v>59</v>
      </c>
      <c r="G414" t="s">
        <v>59</v>
      </c>
      <c r="H414" t="s">
        <v>58</v>
      </c>
      <c r="I414" t="s">
        <v>59</v>
      </c>
      <c r="J414"/>
      <c r="L414">
        <v>5</v>
      </c>
      <c r="M414" s="23">
        <v>2</v>
      </c>
      <c r="N414" s="29">
        <v>25</v>
      </c>
      <c r="O414" s="23">
        <v>33</v>
      </c>
    </row>
    <row r="415" spans="1:15" ht="15" x14ac:dyDescent="0.25">
      <c r="A415">
        <v>522533</v>
      </c>
      <c r="B415" t="s">
        <v>456</v>
      </c>
      <c r="C415" s="26" t="s">
        <v>375</v>
      </c>
      <c r="D415" s="26" t="s">
        <v>352</v>
      </c>
      <c r="E415" t="s">
        <v>57</v>
      </c>
      <c r="F415" t="s">
        <v>59</v>
      </c>
      <c r="G415" t="s">
        <v>59</v>
      </c>
      <c r="H415" t="s">
        <v>58</v>
      </c>
      <c r="I415" t="s">
        <v>59</v>
      </c>
      <c r="J415"/>
      <c r="L415">
        <v>5</v>
      </c>
      <c r="M415" s="23">
        <v>2</v>
      </c>
      <c r="N415" s="29">
        <v>25</v>
      </c>
      <c r="O415" s="23">
        <v>36</v>
      </c>
    </row>
    <row r="416" spans="1:15" ht="15" x14ac:dyDescent="0.25">
      <c r="A416">
        <v>522536</v>
      </c>
      <c r="B416" t="s">
        <v>457</v>
      </c>
      <c r="C416" s="26" t="s">
        <v>375</v>
      </c>
      <c r="D416" s="26" t="s">
        <v>352</v>
      </c>
      <c r="E416" t="s">
        <v>57</v>
      </c>
      <c r="F416" t="s">
        <v>59</v>
      </c>
      <c r="G416" t="s">
        <v>59</v>
      </c>
      <c r="H416" t="s">
        <v>58</v>
      </c>
      <c r="I416" t="s">
        <v>59</v>
      </c>
      <c r="J416"/>
      <c r="L416">
        <v>5</v>
      </c>
      <c r="M416" s="23">
        <v>2</v>
      </c>
      <c r="N416" s="29">
        <v>25</v>
      </c>
      <c r="O416" s="23">
        <v>37</v>
      </c>
    </row>
    <row r="417" spans="1:15" ht="15" x14ac:dyDescent="0.25">
      <c r="A417">
        <v>522537</v>
      </c>
      <c r="B417" t="s">
        <v>458</v>
      </c>
      <c r="C417" s="26" t="s">
        <v>375</v>
      </c>
      <c r="D417" s="26" t="s">
        <v>352</v>
      </c>
      <c r="E417" t="s">
        <v>57</v>
      </c>
      <c r="F417" t="s">
        <v>59</v>
      </c>
      <c r="G417" t="s">
        <v>59</v>
      </c>
      <c r="H417" t="s">
        <v>58</v>
      </c>
      <c r="I417" t="s">
        <v>59</v>
      </c>
      <c r="J417"/>
      <c r="L417">
        <v>5</v>
      </c>
      <c r="M417" s="23">
        <v>2</v>
      </c>
      <c r="N417" s="29">
        <v>25</v>
      </c>
      <c r="O417" s="23">
        <v>38</v>
      </c>
    </row>
    <row r="418" spans="1:15" ht="15" x14ac:dyDescent="0.25">
      <c r="A418">
        <v>522538</v>
      </c>
      <c r="B418" t="s">
        <v>459</v>
      </c>
      <c r="C418" s="26" t="s">
        <v>375</v>
      </c>
      <c r="D418" s="26" t="s">
        <v>352</v>
      </c>
      <c r="E418" t="s">
        <v>57</v>
      </c>
      <c r="F418" t="s">
        <v>59</v>
      </c>
      <c r="G418" t="s">
        <v>59</v>
      </c>
      <c r="H418" t="s">
        <v>58</v>
      </c>
      <c r="I418" t="s">
        <v>59</v>
      </c>
      <c r="J418"/>
      <c r="L418">
        <v>5</v>
      </c>
      <c r="M418" s="23">
        <v>2</v>
      </c>
      <c r="N418" s="29">
        <v>25</v>
      </c>
      <c r="O418" s="23">
        <v>39</v>
      </c>
    </row>
    <row r="419" spans="1:15" ht="15" x14ac:dyDescent="0.25">
      <c r="A419">
        <v>522539</v>
      </c>
      <c r="B419" t="s">
        <v>460</v>
      </c>
      <c r="C419" s="26" t="s">
        <v>375</v>
      </c>
      <c r="D419" s="26" t="s">
        <v>352</v>
      </c>
      <c r="E419" t="s">
        <v>57</v>
      </c>
      <c r="F419" t="s">
        <v>59</v>
      </c>
      <c r="G419" t="s">
        <v>59</v>
      </c>
      <c r="H419" t="s">
        <v>58</v>
      </c>
      <c r="I419" t="s">
        <v>59</v>
      </c>
      <c r="J419"/>
      <c r="L419">
        <v>5</v>
      </c>
      <c r="M419" s="23">
        <v>2</v>
      </c>
      <c r="N419" s="29">
        <v>25</v>
      </c>
      <c r="O419" s="23">
        <v>40</v>
      </c>
    </row>
    <row r="420" spans="1:15" ht="15" x14ac:dyDescent="0.25">
      <c r="A420">
        <v>522540</v>
      </c>
      <c r="B420" t="s">
        <v>461</v>
      </c>
      <c r="C420" s="26" t="s">
        <v>375</v>
      </c>
      <c r="D420" s="26" t="s">
        <v>352</v>
      </c>
      <c r="E420" t="s">
        <v>57</v>
      </c>
      <c r="F420" t="s">
        <v>59</v>
      </c>
      <c r="G420" t="s">
        <v>59</v>
      </c>
      <c r="H420" t="s">
        <v>58</v>
      </c>
      <c r="I420" t="s">
        <v>59</v>
      </c>
      <c r="J420"/>
      <c r="L420">
        <v>5</v>
      </c>
      <c r="M420" s="23">
        <v>2</v>
      </c>
      <c r="N420" s="29">
        <v>25</v>
      </c>
      <c r="O420" s="23">
        <v>42</v>
      </c>
    </row>
    <row r="421" spans="1:15" ht="15" x14ac:dyDescent="0.25">
      <c r="A421">
        <v>522542</v>
      </c>
      <c r="B421" t="s">
        <v>462</v>
      </c>
      <c r="C421" s="26" t="s">
        <v>375</v>
      </c>
      <c r="D421" s="26" t="s">
        <v>352</v>
      </c>
      <c r="E421" t="s">
        <v>57</v>
      </c>
      <c r="F421" t="s">
        <v>59</v>
      </c>
      <c r="G421" t="s">
        <v>59</v>
      </c>
      <c r="H421" t="s">
        <v>58</v>
      </c>
      <c r="I421" t="s">
        <v>59</v>
      </c>
      <c r="J421"/>
      <c r="L421">
        <v>5</v>
      </c>
      <c r="M421" s="23">
        <v>2</v>
      </c>
      <c r="N421" s="29">
        <v>25</v>
      </c>
      <c r="O421" s="23">
        <v>45</v>
      </c>
    </row>
    <row r="422" spans="1:15" ht="15" x14ac:dyDescent="0.25">
      <c r="A422">
        <v>522545</v>
      </c>
      <c r="B422" t="s">
        <v>463</v>
      </c>
      <c r="C422" s="26" t="s">
        <v>375</v>
      </c>
      <c r="D422" s="26" t="s">
        <v>352</v>
      </c>
      <c r="E422" t="s">
        <v>57</v>
      </c>
      <c r="F422" t="s">
        <v>59</v>
      </c>
      <c r="G422" t="s">
        <v>59</v>
      </c>
      <c r="H422" t="s">
        <v>58</v>
      </c>
      <c r="I422" t="s">
        <v>59</v>
      </c>
      <c r="J422"/>
      <c r="L422">
        <v>5</v>
      </c>
      <c r="M422" s="23">
        <v>2</v>
      </c>
      <c r="N422" s="29">
        <v>25</v>
      </c>
      <c r="O422" s="23">
        <v>48</v>
      </c>
    </row>
    <row r="423" spans="1:15" ht="15" x14ac:dyDescent="0.25">
      <c r="A423">
        <v>522548</v>
      </c>
      <c r="B423" t="s">
        <v>464</v>
      </c>
      <c r="C423" s="26" t="s">
        <v>375</v>
      </c>
      <c r="D423" s="26" t="s">
        <v>352</v>
      </c>
      <c r="E423" t="s">
        <v>57</v>
      </c>
      <c r="F423" t="s">
        <v>59</v>
      </c>
      <c r="G423" t="s">
        <v>59</v>
      </c>
      <c r="H423" t="s">
        <v>58</v>
      </c>
      <c r="I423" t="s">
        <v>59</v>
      </c>
      <c r="J423"/>
      <c r="L423">
        <v>5</v>
      </c>
      <c r="M423" s="23">
        <v>2</v>
      </c>
      <c r="N423" s="29">
        <v>25</v>
      </c>
      <c r="O423" s="23">
        <v>51</v>
      </c>
    </row>
    <row r="424" spans="1:15" ht="15" x14ac:dyDescent="0.25">
      <c r="A424">
        <v>522551</v>
      </c>
      <c r="B424" t="s">
        <v>465</v>
      </c>
      <c r="C424" s="26" t="s">
        <v>375</v>
      </c>
      <c r="D424" s="26" t="s">
        <v>352</v>
      </c>
      <c r="E424" t="s">
        <v>57</v>
      </c>
      <c r="F424" t="s">
        <v>59</v>
      </c>
      <c r="G424" t="s">
        <v>59</v>
      </c>
      <c r="H424" t="s">
        <v>58</v>
      </c>
      <c r="I424" t="s">
        <v>59</v>
      </c>
      <c r="J424"/>
      <c r="L424">
        <v>5</v>
      </c>
      <c r="M424" s="23">
        <v>2</v>
      </c>
      <c r="N424" s="29">
        <v>25</v>
      </c>
      <c r="O424" s="23">
        <v>54</v>
      </c>
    </row>
    <row r="425" spans="1:15" ht="15" x14ac:dyDescent="0.25">
      <c r="A425">
        <v>522554</v>
      </c>
      <c r="B425" t="s">
        <v>466</v>
      </c>
      <c r="C425" s="26" t="s">
        <v>375</v>
      </c>
      <c r="D425" s="26" t="s">
        <v>352</v>
      </c>
      <c r="E425" t="s">
        <v>57</v>
      </c>
      <c r="F425" t="s">
        <v>59</v>
      </c>
      <c r="G425" t="s">
        <v>59</v>
      </c>
      <c r="H425" t="s">
        <v>58</v>
      </c>
      <c r="I425" t="s">
        <v>59</v>
      </c>
      <c r="J425"/>
      <c r="L425">
        <v>5</v>
      </c>
      <c r="M425" s="23">
        <v>2</v>
      </c>
      <c r="N425" s="29">
        <v>25</v>
      </c>
      <c r="O425" s="23">
        <v>55</v>
      </c>
    </row>
    <row r="426" spans="1:15" ht="15" x14ac:dyDescent="0.25">
      <c r="A426">
        <v>522555</v>
      </c>
      <c r="B426" t="s">
        <v>467</v>
      </c>
      <c r="C426" s="26" t="s">
        <v>375</v>
      </c>
      <c r="D426" s="26" t="s">
        <v>352</v>
      </c>
      <c r="E426" t="s">
        <v>57</v>
      </c>
      <c r="F426" t="s">
        <v>59</v>
      </c>
      <c r="G426" t="s">
        <v>59</v>
      </c>
      <c r="H426" t="s">
        <v>58</v>
      </c>
      <c r="I426" t="s">
        <v>59</v>
      </c>
      <c r="J426"/>
      <c r="L426">
        <v>5</v>
      </c>
      <c r="M426" s="23">
        <v>2</v>
      </c>
      <c r="N426" s="29">
        <v>25</v>
      </c>
      <c r="O426" s="23">
        <v>56</v>
      </c>
    </row>
    <row r="427" spans="1:15" ht="15" x14ac:dyDescent="0.25">
      <c r="A427">
        <v>522556</v>
      </c>
      <c r="B427" t="s">
        <v>468</v>
      </c>
      <c r="C427" s="26" t="s">
        <v>375</v>
      </c>
      <c r="D427" s="26" t="s">
        <v>352</v>
      </c>
      <c r="E427" t="s">
        <v>57</v>
      </c>
      <c r="F427" t="s">
        <v>59</v>
      </c>
      <c r="G427" t="s">
        <v>59</v>
      </c>
      <c r="H427" t="s">
        <v>58</v>
      </c>
      <c r="I427" t="s">
        <v>59</v>
      </c>
      <c r="J427"/>
      <c r="L427">
        <v>5</v>
      </c>
      <c r="M427" s="23">
        <v>2</v>
      </c>
      <c r="N427" s="29">
        <v>25</v>
      </c>
      <c r="O427" s="23">
        <v>57</v>
      </c>
    </row>
    <row r="428" spans="1:15" ht="15" x14ac:dyDescent="0.25">
      <c r="A428">
        <v>522557</v>
      </c>
      <c r="B428" t="s">
        <v>469</v>
      </c>
      <c r="C428" s="26" t="s">
        <v>375</v>
      </c>
      <c r="D428" s="26" t="s">
        <v>352</v>
      </c>
      <c r="E428" t="s">
        <v>57</v>
      </c>
      <c r="F428" t="s">
        <v>59</v>
      </c>
      <c r="G428" t="s">
        <v>59</v>
      </c>
      <c r="H428" t="s">
        <v>58</v>
      </c>
      <c r="I428" t="s">
        <v>59</v>
      </c>
      <c r="J428"/>
      <c r="L428">
        <v>5</v>
      </c>
      <c r="M428" s="23">
        <v>2</v>
      </c>
      <c r="N428" s="29">
        <v>25</v>
      </c>
      <c r="O428" s="23">
        <v>58</v>
      </c>
    </row>
    <row r="429" spans="1:15" ht="15" x14ac:dyDescent="0.25">
      <c r="A429">
        <v>522558</v>
      </c>
      <c r="B429" t="s">
        <v>470</v>
      </c>
      <c r="C429" s="26" t="s">
        <v>375</v>
      </c>
      <c r="D429" s="26" t="s">
        <v>352</v>
      </c>
      <c r="E429" t="s">
        <v>57</v>
      </c>
      <c r="F429" t="s">
        <v>59</v>
      </c>
      <c r="G429" t="s">
        <v>59</v>
      </c>
      <c r="H429" t="s">
        <v>58</v>
      </c>
      <c r="I429" t="s">
        <v>59</v>
      </c>
      <c r="J429"/>
      <c r="L429">
        <v>5</v>
      </c>
      <c r="M429" s="23">
        <v>2</v>
      </c>
      <c r="N429" s="29">
        <v>25</v>
      </c>
      <c r="O429" s="23">
        <v>60</v>
      </c>
    </row>
    <row r="430" spans="1:15" ht="15" x14ac:dyDescent="0.25">
      <c r="A430">
        <v>522560</v>
      </c>
      <c r="B430" t="s">
        <v>471</v>
      </c>
      <c r="C430" s="26" t="s">
        <v>375</v>
      </c>
      <c r="D430" s="26" t="s">
        <v>352</v>
      </c>
      <c r="E430" t="s">
        <v>57</v>
      </c>
      <c r="F430" t="s">
        <v>59</v>
      </c>
      <c r="G430" t="s">
        <v>59</v>
      </c>
      <c r="H430" t="s">
        <v>58</v>
      </c>
      <c r="I430" t="s">
        <v>59</v>
      </c>
      <c r="J430"/>
      <c r="L430">
        <v>5</v>
      </c>
      <c r="M430" s="23">
        <v>2</v>
      </c>
      <c r="N430" s="29">
        <v>25</v>
      </c>
      <c r="O430" s="23">
        <v>61</v>
      </c>
    </row>
    <row r="431" spans="1:15" ht="15" x14ac:dyDescent="0.25">
      <c r="A431">
        <v>522561</v>
      </c>
      <c r="B431" t="s">
        <v>472</v>
      </c>
      <c r="C431" s="26" t="s">
        <v>375</v>
      </c>
      <c r="D431" s="26" t="s">
        <v>352</v>
      </c>
      <c r="E431" t="s">
        <v>57</v>
      </c>
      <c r="F431" t="s">
        <v>59</v>
      </c>
      <c r="G431" t="s">
        <v>59</v>
      </c>
      <c r="H431" t="s">
        <v>58</v>
      </c>
      <c r="I431" t="s">
        <v>59</v>
      </c>
      <c r="J431"/>
      <c r="L431">
        <v>5</v>
      </c>
      <c r="M431" s="23">
        <v>2</v>
      </c>
      <c r="N431" s="29">
        <v>25</v>
      </c>
      <c r="O431" s="23">
        <v>63</v>
      </c>
    </row>
    <row r="432" spans="1:15" ht="15" x14ac:dyDescent="0.25">
      <c r="A432">
        <v>522563</v>
      </c>
      <c r="B432" t="s">
        <v>473</v>
      </c>
      <c r="C432" s="26" t="s">
        <v>375</v>
      </c>
      <c r="D432" s="26" t="s">
        <v>352</v>
      </c>
      <c r="E432" t="s">
        <v>57</v>
      </c>
      <c r="F432" t="s">
        <v>59</v>
      </c>
      <c r="G432" t="s">
        <v>59</v>
      </c>
      <c r="H432" t="s">
        <v>58</v>
      </c>
      <c r="I432" t="s">
        <v>59</v>
      </c>
      <c r="J432"/>
      <c r="L432">
        <v>5</v>
      </c>
      <c r="M432" s="23">
        <v>2</v>
      </c>
      <c r="N432" s="29">
        <v>25</v>
      </c>
      <c r="O432" s="23">
        <v>66</v>
      </c>
    </row>
    <row r="433" spans="1:15" ht="15" x14ac:dyDescent="0.25">
      <c r="A433">
        <v>522566</v>
      </c>
      <c r="B433" t="s">
        <v>474</v>
      </c>
      <c r="C433" s="26" t="s">
        <v>375</v>
      </c>
      <c r="D433" s="26" t="s">
        <v>352</v>
      </c>
      <c r="E433" t="s">
        <v>57</v>
      </c>
      <c r="F433" t="s">
        <v>59</v>
      </c>
      <c r="G433" t="s">
        <v>59</v>
      </c>
      <c r="H433" t="s">
        <v>58</v>
      </c>
      <c r="I433" t="s">
        <v>59</v>
      </c>
      <c r="J433"/>
      <c r="L433">
        <v>5</v>
      </c>
      <c r="M433" s="23">
        <v>2</v>
      </c>
      <c r="N433" s="29">
        <v>25</v>
      </c>
      <c r="O433" s="23">
        <v>69</v>
      </c>
    </row>
    <row r="434" spans="1:15" ht="15" x14ac:dyDescent="0.25">
      <c r="A434">
        <v>522569</v>
      </c>
      <c r="B434" t="s">
        <v>475</v>
      </c>
      <c r="C434" s="26" t="s">
        <v>375</v>
      </c>
      <c r="D434" s="26" t="s">
        <v>352</v>
      </c>
      <c r="E434" t="s">
        <v>57</v>
      </c>
      <c r="F434" t="s">
        <v>59</v>
      </c>
      <c r="G434" t="s">
        <v>59</v>
      </c>
      <c r="H434" t="s">
        <v>58</v>
      </c>
      <c r="I434" t="s">
        <v>59</v>
      </c>
      <c r="J434"/>
      <c r="L434">
        <v>5</v>
      </c>
      <c r="M434" s="23">
        <v>2</v>
      </c>
      <c r="N434" s="29">
        <v>25</v>
      </c>
      <c r="O434" s="23">
        <v>70</v>
      </c>
    </row>
    <row r="435" spans="1:15" ht="15" x14ac:dyDescent="0.25">
      <c r="A435">
        <v>522570</v>
      </c>
      <c r="B435" t="s">
        <v>476</v>
      </c>
      <c r="C435" s="26" t="s">
        <v>375</v>
      </c>
      <c r="D435" s="26" t="s">
        <v>352</v>
      </c>
      <c r="E435" t="s">
        <v>57</v>
      </c>
      <c r="F435" t="s">
        <v>59</v>
      </c>
      <c r="G435" t="s">
        <v>59</v>
      </c>
      <c r="H435" t="s">
        <v>58</v>
      </c>
      <c r="I435" t="s">
        <v>59</v>
      </c>
      <c r="J435"/>
      <c r="L435">
        <v>5</v>
      </c>
      <c r="M435" s="23">
        <v>2</v>
      </c>
      <c r="N435" s="29">
        <v>25</v>
      </c>
      <c r="O435" s="23">
        <v>72</v>
      </c>
    </row>
    <row r="436" spans="1:15" ht="15" x14ac:dyDescent="0.25">
      <c r="A436">
        <v>522572</v>
      </c>
      <c r="B436" t="s">
        <v>477</v>
      </c>
      <c r="C436" s="26" t="s">
        <v>375</v>
      </c>
      <c r="D436" s="26" t="s">
        <v>352</v>
      </c>
      <c r="E436" t="s">
        <v>57</v>
      </c>
      <c r="F436" t="s">
        <v>59</v>
      </c>
      <c r="G436" t="s">
        <v>59</v>
      </c>
      <c r="H436" t="s">
        <v>58</v>
      </c>
      <c r="I436" t="s">
        <v>59</v>
      </c>
      <c r="J436"/>
      <c r="L436">
        <v>5</v>
      </c>
      <c r="M436" s="23">
        <v>2</v>
      </c>
      <c r="N436" s="29">
        <v>25</v>
      </c>
      <c r="O436" s="23">
        <v>73</v>
      </c>
    </row>
    <row r="437" spans="1:15" ht="15" x14ac:dyDescent="0.25">
      <c r="A437">
        <v>522573</v>
      </c>
      <c r="B437" t="s">
        <v>478</v>
      </c>
      <c r="C437" s="26" t="s">
        <v>375</v>
      </c>
      <c r="D437" s="26" t="s">
        <v>352</v>
      </c>
      <c r="E437" t="s">
        <v>57</v>
      </c>
      <c r="F437" t="s">
        <v>59</v>
      </c>
      <c r="G437" t="s">
        <v>59</v>
      </c>
      <c r="H437" t="s">
        <v>58</v>
      </c>
      <c r="I437" t="s">
        <v>59</v>
      </c>
      <c r="J437"/>
      <c r="L437">
        <v>5</v>
      </c>
      <c r="M437" s="23">
        <v>2</v>
      </c>
      <c r="N437" s="29">
        <v>25</v>
      </c>
      <c r="O437" s="23">
        <v>75</v>
      </c>
    </row>
    <row r="438" spans="1:15" ht="15" x14ac:dyDescent="0.25">
      <c r="A438">
        <v>522575</v>
      </c>
      <c r="B438" t="s">
        <v>479</v>
      </c>
      <c r="C438" s="26" t="s">
        <v>375</v>
      </c>
      <c r="D438" s="26" t="s">
        <v>352</v>
      </c>
      <c r="E438" t="s">
        <v>57</v>
      </c>
      <c r="F438" t="s">
        <v>59</v>
      </c>
      <c r="G438" t="s">
        <v>59</v>
      </c>
      <c r="H438" t="s">
        <v>58</v>
      </c>
      <c r="I438" t="s">
        <v>59</v>
      </c>
      <c r="J438"/>
      <c r="L438">
        <v>5</v>
      </c>
      <c r="M438" s="23">
        <v>2</v>
      </c>
      <c r="N438" s="29">
        <v>25</v>
      </c>
      <c r="O438" s="23">
        <v>78</v>
      </c>
    </row>
    <row r="439" spans="1:15" ht="15" x14ac:dyDescent="0.25">
      <c r="A439">
        <v>522578</v>
      </c>
      <c r="B439" t="s">
        <v>480</v>
      </c>
      <c r="C439" s="26" t="s">
        <v>375</v>
      </c>
      <c r="D439" s="26" t="s">
        <v>352</v>
      </c>
      <c r="E439" t="s">
        <v>57</v>
      </c>
      <c r="F439" t="s">
        <v>59</v>
      </c>
      <c r="G439" t="s">
        <v>59</v>
      </c>
      <c r="H439" t="s">
        <v>58</v>
      </c>
      <c r="I439" t="s">
        <v>59</v>
      </c>
      <c r="J439"/>
      <c r="L439">
        <v>5</v>
      </c>
      <c r="M439" s="23">
        <v>2</v>
      </c>
      <c r="N439" s="29">
        <v>25</v>
      </c>
      <c r="O439" s="23">
        <v>79</v>
      </c>
    </row>
    <row r="440" spans="1:15" ht="15" x14ac:dyDescent="0.25">
      <c r="A440">
        <v>522579</v>
      </c>
      <c r="B440" t="s">
        <v>481</v>
      </c>
      <c r="C440" s="26" t="s">
        <v>375</v>
      </c>
      <c r="D440" s="26" t="s">
        <v>352</v>
      </c>
      <c r="E440" t="s">
        <v>57</v>
      </c>
      <c r="F440" t="s">
        <v>59</v>
      </c>
      <c r="G440" t="s">
        <v>59</v>
      </c>
      <c r="H440" t="s">
        <v>58</v>
      </c>
      <c r="I440" t="s">
        <v>59</v>
      </c>
      <c r="J440"/>
      <c r="L440">
        <v>5</v>
      </c>
      <c r="M440" s="23">
        <v>2</v>
      </c>
      <c r="N440" s="29">
        <v>25</v>
      </c>
      <c r="O440" s="23">
        <v>81</v>
      </c>
    </row>
    <row r="441" spans="1:15" ht="15" x14ac:dyDescent="0.25">
      <c r="A441">
        <v>522581</v>
      </c>
      <c r="B441" t="s">
        <v>482</v>
      </c>
      <c r="C441" s="26" t="s">
        <v>375</v>
      </c>
      <c r="D441" s="26" t="s">
        <v>352</v>
      </c>
      <c r="E441" t="s">
        <v>57</v>
      </c>
      <c r="F441" t="s">
        <v>59</v>
      </c>
      <c r="G441" t="s">
        <v>59</v>
      </c>
      <c r="H441" t="s">
        <v>58</v>
      </c>
      <c r="I441" t="s">
        <v>59</v>
      </c>
      <c r="J441"/>
      <c r="L441">
        <v>5</v>
      </c>
      <c r="M441" s="23">
        <v>2</v>
      </c>
      <c r="N441" s="29">
        <v>25</v>
      </c>
      <c r="O441" s="23">
        <v>85</v>
      </c>
    </row>
    <row r="442" spans="1:15" ht="15" x14ac:dyDescent="0.25">
      <c r="A442">
        <v>522585</v>
      </c>
      <c r="B442" t="s">
        <v>483</v>
      </c>
      <c r="C442" s="26" t="s">
        <v>375</v>
      </c>
      <c r="D442" s="26" t="s">
        <v>352</v>
      </c>
      <c r="E442" t="s">
        <v>57</v>
      </c>
      <c r="F442" t="s">
        <v>59</v>
      </c>
      <c r="G442" t="s">
        <v>59</v>
      </c>
      <c r="H442" t="s">
        <v>58</v>
      </c>
      <c r="I442" t="s">
        <v>59</v>
      </c>
      <c r="J442"/>
      <c r="L442">
        <v>5</v>
      </c>
      <c r="M442" s="23">
        <v>2</v>
      </c>
      <c r="N442" s="29">
        <v>25</v>
      </c>
      <c r="O442" s="23">
        <v>86</v>
      </c>
    </row>
    <row r="443" spans="1:15" ht="15" x14ac:dyDescent="0.25">
      <c r="A443">
        <v>522586</v>
      </c>
      <c r="B443" t="s">
        <v>484</v>
      </c>
      <c r="C443" s="26" t="s">
        <v>375</v>
      </c>
      <c r="D443" s="26" t="s">
        <v>352</v>
      </c>
      <c r="E443" t="s">
        <v>57</v>
      </c>
      <c r="F443" t="s">
        <v>59</v>
      </c>
      <c r="G443" t="s">
        <v>59</v>
      </c>
      <c r="H443" t="s">
        <v>58</v>
      </c>
      <c r="I443" t="s">
        <v>59</v>
      </c>
      <c r="J443"/>
      <c r="L443">
        <v>5</v>
      </c>
      <c r="M443" s="23">
        <v>2</v>
      </c>
      <c r="N443" s="29">
        <v>25</v>
      </c>
      <c r="O443" s="23">
        <v>93</v>
      </c>
    </row>
    <row r="444" spans="1:15" ht="15" x14ac:dyDescent="0.25">
      <c r="A444">
        <v>522593</v>
      </c>
      <c r="B444" t="s">
        <v>485</v>
      </c>
      <c r="C444" s="26" t="s">
        <v>375</v>
      </c>
      <c r="D444" s="26" t="s">
        <v>352</v>
      </c>
      <c r="E444" t="s">
        <v>57</v>
      </c>
      <c r="F444" t="s">
        <v>59</v>
      </c>
      <c r="G444" t="s">
        <v>59</v>
      </c>
      <c r="H444" t="s">
        <v>58</v>
      </c>
      <c r="I444" t="s">
        <v>59</v>
      </c>
      <c r="J444"/>
      <c r="L444">
        <v>5</v>
      </c>
      <c r="M444" s="23">
        <v>2</v>
      </c>
      <c r="N444" s="29">
        <v>25</v>
      </c>
      <c r="O444" s="23">
        <v>95</v>
      </c>
    </row>
    <row r="445" spans="1:15" ht="15" x14ac:dyDescent="0.25">
      <c r="A445">
        <v>522595</v>
      </c>
      <c r="B445" t="s">
        <v>486</v>
      </c>
      <c r="C445" s="26" t="s">
        <v>375</v>
      </c>
      <c r="D445" s="26" t="s">
        <v>352</v>
      </c>
      <c r="E445" t="s">
        <v>57</v>
      </c>
      <c r="F445" t="s">
        <v>59</v>
      </c>
      <c r="G445" t="s">
        <v>59</v>
      </c>
      <c r="H445" t="s">
        <v>58</v>
      </c>
      <c r="I445" t="s">
        <v>59</v>
      </c>
      <c r="J445"/>
      <c r="L445">
        <v>5</v>
      </c>
      <c r="M445" s="23">
        <v>3</v>
      </c>
    </row>
    <row r="446" spans="1:15" ht="15" x14ac:dyDescent="0.25">
      <c r="A446">
        <v>53</v>
      </c>
      <c r="B446" t="s">
        <v>487</v>
      </c>
      <c r="C446" s="26" t="s">
        <v>375</v>
      </c>
      <c r="D446" s="26" t="s">
        <v>352</v>
      </c>
      <c r="E446" t="s">
        <v>57</v>
      </c>
      <c r="F446" t="s">
        <v>58</v>
      </c>
      <c r="G446" t="s">
        <v>58</v>
      </c>
      <c r="H446" t="s">
        <v>59</v>
      </c>
      <c r="I446" t="s">
        <v>59</v>
      </c>
      <c r="J446"/>
      <c r="L446">
        <v>5</v>
      </c>
      <c r="M446" s="23">
        <v>3</v>
      </c>
      <c r="N446" s="29">
        <v>1</v>
      </c>
    </row>
    <row r="447" spans="1:15" ht="15" x14ac:dyDescent="0.25">
      <c r="A447">
        <v>5301</v>
      </c>
      <c r="B447" t="s">
        <v>374</v>
      </c>
      <c r="C447" s="26" t="s">
        <v>375</v>
      </c>
      <c r="D447" s="26" t="s">
        <v>352</v>
      </c>
      <c r="E447" t="s">
        <v>57</v>
      </c>
      <c r="F447" t="s">
        <v>58</v>
      </c>
      <c r="G447" t="s">
        <v>58</v>
      </c>
      <c r="H447" t="s">
        <v>58</v>
      </c>
      <c r="I447" t="s">
        <v>59</v>
      </c>
      <c r="J447"/>
      <c r="L447">
        <v>5</v>
      </c>
      <c r="M447" s="23">
        <v>3</v>
      </c>
      <c r="N447" s="29">
        <v>1</v>
      </c>
      <c r="O447" s="23">
        <v>1</v>
      </c>
    </row>
    <row r="448" spans="1:15" ht="15" x14ac:dyDescent="0.25">
      <c r="A448">
        <v>530101</v>
      </c>
      <c r="B448" t="s">
        <v>374</v>
      </c>
      <c r="C448" s="26" t="s">
        <v>375</v>
      </c>
      <c r="D448" s="26" t="s">
        <v>352</v>
      </c>
      <c r="E448" t="s">
        <v>57</v>
      </c>
      <c r="F448" t="s">
        <v>58</v>
      </c>
      <c r="G448" t="s">
        <v>58</v>
      </c>
      <c r="H448" t="s">
        <v>58</v>
      </c>
      <c r="I448" t="s">
        <v>59</v>
      </c>
      <c r="J448"/>
      <c r="L448">
        <v>5</v>
      </c>
      <c r="M448" s="23">
        <v>3</v>
      </c>
      <c r="N448" s="29">
        <v>1</v>
      </c>
      <c r="O448" s="23">
        <v>5</v>
      </c>
    </row>
    <row r="449" spans="1:15" ht="15" x14ac:dyDescent="0.25">
      <c r="A449">
        <v>530105</v>
      </c>
      <c r="B449" t="s">
        <v>488</v>
      </c>
      <c r="C449" s="26" t="s">
        <v>375</v>
      </c>
      <c r="D449" s="26" t="s">
        <v>352</v>
      </c>
      <c r="E449" t="s">
        <v>57</v>
      </c>
      <c r="F449" t="s">
        <v>58</v>
      </c>
      <c r="G449" t="s">
        <v>58</v>
      </c>
      <c r="H449" t="s">
        <v>58</v>
      </c>
      <c r="I449" t="s">
        <v>58</v>
      </c>
      <c r="J449"/>
      <c r="L449">
        <v>5</v>
      </c>
      <c r="M449" s="23">
        <v>3</v>
      </c>
      <c r="N449" s="29">
        <v>5</v>
      </c>
      <c r="O449" s="23">
        <v>1</v>
      </c>
    </row>
    <row r="450" spans="1:15" ht="15" x14ac:dyDescent="0.25">
      <c r="A450">
        <v>530501</v>
      </c>
      <c r="B450" t="s">
        <v>489</v>
      </c>
      <c r="C450" s="26" t="s">
        <v>375</v>
      </c>
      <c r="D450" s="26" t="s">
        <v>352</v>
      </c>
      <c r="E450" t="s">
        <v>57</v>
      </c>
      <c r="F450" t="s">
        <v>59</v>
      </c>
      <c r="G450" t="s">
        <v>59</v>
      </c>
      <c r="H450" t="s">
        <v>58</v>
      </c>
      <c r="I450" t="s">
        <v>59</v>
      </c>
      <c r="J450"/>
      <c r="L450">
        <v>5</v>
      </c>
      <c r="M450" s="23">
        <v>3</v>
      </c>
      <c r="N450" s="29">
        <v>5</v>
      </c>
      <c r="O450" s="23">
        <v>2</v>
      </c>
    </row>
    <row r="451" spans="1:15" ht="15" x14ac:dyDescent="0.25">
      <c r="A451">
        <v>530502</v>
      </c>
      <c r="B451" t="s">
        <v>490</v>
      </c>
      <c r="C451" s="26" t="s">
        <v>375</v>
      </c>
      <c r="D451" s="26" t="s">
        <v>352</v>
      </c>
      <c r="E451" t="s">
        <v>57</v>
      </c>
      <c r="F451" t="s">
        <v>59</v>
      </c>
      <c r="G451" t="s">
        <v>59</v>
      </c>
      <c r="H451" t="s">
        <v>58</v>
      </c>
      <c r="I451" t="s">
        <v>59</v>
      </c>
      <c r="J451"/>
      <c r="L451">
        <v>5</v>
      </c>
      <c r="M451" s="23">
        <v>3</v>
      </c>
      <c r="N451" s="29">
        <v>5</v>
      </c>
      <c r="O451" s="23">
        <v>5</v>
      </c>
    </row>
    <row r="452" spans="1:15" ht="15" x14ac:dyDescent="0.25">
      <c r="A452">
        <v>530505</v>
      </c>
      <c r="B452" t="s">
        <v>491</v>
      </c>
      <c r="C452" s="26" t="s">
        <v>375</v>
      </c>
      <c r="D452" s="26" t="s">
        <v>352</v>
      </c>
      <c r="E452" t="s">
        <v>57</v>
      </c>
      <c r="F452" t="s">
        <v>59</v>
      </c>
      <c r="G452" t="s">
        <v>59</v>
      </c>
      <c r="H452" t="s">
        <v>58</v>
      </c>
      <c r="I452" t="s">
        <v>59</v>
      </c>
      <c r="J452"/>
      <c r="L452">
        <v>5</v>
      </c>
      <c r="M452" s="23">
        <v>3</v>
      </c>
      <c r="N452" s="29">
        <v>5</v>
      </c>
      <c r="O452" s="23">
        <v>10</v>
      </c>
    </row>
    <row r="453" spans="1:15" ht="15" x14ac:dyDescent="0.25">
      <c r="A453">
        <v>530510</v>
      </c>
      <c r="B453" t="s">
        <v>492</v>
      </c>
      <c r="C453" s="26" t="s">
        <v>375</v>
      </c>
      <c r="D453" s="26" t="s">
        <v>352</v>
      </c>
      <c r="E453" t="s">
        <v>57</v>
      </c>
      <c r="F453" t="s">
        <v>59</v>
      </c>
      <c r="G453" t="s">
        <v>59</v>
      </c>
      <c r="H453" t="s">
        <v>58</v>
      </c>
      <c r="I453" t="s">
        <v>59</v>
      </c>
      <c r="J453"/>
      <c r="L453">
        <v>5</v>
      </c>
      <c r="M453" s="23">
        <v>3</v>
      </c>
      <c r="N453" s="29">
        <v>5</v>
      </c>
      <c r="O453" s="23">
        <v>13</v>
      </c>
    </row>
    <row r="454" spans="1:15" ht="15" x14ac:dyDescent="0.25">
      <c r="A454">
        <v>530513</v>
      </c>
      <c r="B454" t="s">
        <v>493</v>
      </c>
      <c r="C454" s="26" t="s">
        <v>375</v>
      </c>
      <c r="D454" s="26" t="s">
        <v>352</v>
      </c>
      <c r="E454" t="s">
        <v>57</v>
      </c>
      <c r="F454" t="s">
        <v>59</v>
      </c>
      <c r="G454" t="s">
        <v>59</v>
      </c>
      <c r="H454" t="s">
        <v>58</v>
      </c>
      <c r="I454" t="s">
        <v>59</v>
      </c>
      <c r="J454"/>
      <c r="L454">
        <v>5</v>
      </c>
      <c r="M454" s="23">
        <v>3</v>
      </c>
      <c r="N454" s="29">
        <v>5</v>
      </c>
      <c r="O454" s="23">
        <v>14</v>
      </c>
    </row>
    <row r="455" spans="1:15" ht="15" x14ac:dyDescent="0.25">
      <c r="A455">
        <v>530514</v>
      </c>
      <c r="B455" t="s">
        <v>363</v>
      </c>
      <c r="C455" s="26" t="s">
        <v>375</v>
      </c>
      <c r="D455" s="26" t="s">
        <v>352</v>
      </c>
      <c r="E455" t="s">
        <v>57</v>
      </c>
      <c r="F455" t="s">
        <v>59</v>
      </c>
      <c r="G455" t="s">
        <v>59</v>
      </c>
      <c r="H455" t="s">
        <v>58</v>
      </c>
      <c r="I455" t="s">
        <v>59</v>
      </c>
      <c r="J455"/>
      <c r="L455">
        <v>5</v>
      </c>
      <c r="M455" s="23">
        <v>3</v>
      </c>
      <c r="N455" s="29">
        <v>5</v>
      </c>
      <c r="O455" s="23">
        <v>15</v>
      </c>
    </row>
    <row r="456" spans="1:15" ht="15" x14ac:dyDescent="0.25">
      <c r="A456">
        <v>530515</v>
      </c>
      <c r="B456" t="s">
        <v>494</v>
      </c>
      <c r="C456" s="26" t="s">
        <v>375</v>
      </c>
      <c r="D456" s="26" t="s">
        <v>352</v>
      </c>
      <c r="E456" t="s">
        <v>57</v>
      </c>
      <c r="F456" t="s">
        <v>59</v>
      </c>
      <c r="G456" t="s">
        <v>59</v>
      </c>
      <c r="H456" t="s">
        <v>58</v>
      </c>
      <c r="I456" t="s">
        <v>59</v>
      </c>
      <c r="J456"/>
      <c r="L456">
        <v>5</v>
      </c>
      <c r="M456" s="23">
        <v>3</v>
      </c>
      <c r="N456" s="29">
        <v>5</v>
      </c>
      <c r="O456" s="23">
        <v>16</v>
      </c>
    </row>
    <row r="457" spans="1:15" ht="15" x14ac:dyDescent="0.25">
      <c r="A457">
        <v>530516</v>
      </c>
      <c r="B457" t="s">
        <v>495</v>
      </c>
      <c r="C457" s="26" t="s">
        <v>375</v>
      </c>
      <c r="D457" s="26" t="s">
        <v>352</v>
      </c>
      <c r="E457" t="s">
        <v>57</v>
      </c>
      <c r="F457" t="s">
        <v>59</v>
      </c>
      <c r="G457" t="s">
        <v>59</v>
      </c>
      <c r="H457" t="s">
        <v>58</v>
      </c>
      <c r="I457" t="s">
        <v>59</v>
      </c>
      <c r="J457"/>
      <c r="L457">
        <v>5</v>
      </c>
      <c r="M457" s="23">
        <v>3</v>
      </c>
      <c r="N457" s="29">
        <v>5</v>
      </c>
      <c r="O457" s="23">
        <v>17</v>
      </c>
    </row>
    <row r="458" spans="1:15" ht="15" x14ac:dyDescent="0.25">
      <c r="A458">
        <v>530517</v>
      </c>
      <c r="B458" t="s">
        <v>496</v>
      </c>
      <c r="C458" s="26" t="s">
        <v>375</v>
      </c>
      <c r="D458" s="26" t="s">
        <v>352</v>
      </c>
      <c r="E458" t="s">
        <v>57</v>
      </c>
      <c r="F458" t="s">
        <v>59</v>
      </c>
      <c r="G458" t="s">
        <v>59</v>
      </c>
      <c r="H458" t="s">
        <v>58</v>
      </c>
      <c r="I458" t="s">
        <v>59</v>
      </c>
      <c r="J458"/>
      <c r="L458">
        <v>5</v>
      </c>
      <c r="M458" s="23">
        <v>3</v>
      </c>
      <c r="N458" s="29">
        <v>5</v>
      </c>
      <c r="O458" s="23">
        <v>20</v>
      </c>
    </row>
    <row r="459" spans="1:15" ht="15" x14ac:dyDescent="0.25">
      <c r="A459">
        <v>530520</v>
      </c>
      <c r="B459" t="s">
        <v>497</v>
      </c>
      <c r="C459" s="26" t="s">
        <v>375</v>
      </c>
      <c r="D459" s="26" t="s">
        <v>352</v>
      </c>
      <c r="E459" t="s">
        <v>57</v>
      </c>
      <c r="F459" t="s">
        <v>59</v>
      </c>
      <c r="G459" t="s">
        <v>59</v>
      </c>
      <c r="H459" t="s">
        <v>58</v>
      </c>
      <c r="I459" t="s">
        <v>59</v>
      </c>
      <c r="J459"/>
      <c r="L459">
        <v>5</v>
      </c>
      <c r="M459" s="23">
        <v>3</v>
      </c>
      <c r="N459" s="29">
        <v>5</v>
      </c>
      <c r="O459" s="23">
        <v>23</v>
      </c>
    </row>
    <row r="460" spans="1:15" ht="15" x14ac:dyDescent="0.25">
      <c r="A460">
        <v>530523</v>
      </c>
      <c r="B460" t="s">
        <v>498</v>
      </c>
      <c r="C460" s="26" t="s">
        <v>375</v>
      </c>
      <c r="D460" s="26" t="s">
        <v>352</v>
      </c>
      <c r="E460" t="s">
        <v>57</v>
      </c>
      <c r="F460" t="s">
        <v>59</v>
      </c>
      <c r="G460" t="s">
        <v>59</v>
      </c>
      <c r="H460" t="s">
        <v>58</v>
      </c>
      <c r="I460" t="s">
        <v>59</v>
      </c>
      <c r="J460"/>
      <c r="L460">
        <v>5</v>
      </c>
      <c r="M460" s="23">
        <v>3</v>
      </c>
      <c r="N460" s="29">
        <v>5</v>
      </c>
      <c r="O460" s="23">
        <v>25</v>
      </c>
    </row>
    <row r="461" spans="1:15" ht="15" x14ac:dyDescent="0.25">
      <c r="A461">
        <v>530525</v>
      </c>
      <c r="B461" t="s">
        <v>499</v>
      </c>
      <c r="C461" s="26" t="s">
        <v>375</v>
      </c>
      <c r="D461" s="26" t="s">
        <v>352</v>
      </c>
      <c r="E461" t="s">
        <v>57</v>
      </c>
      <c r="F461" t="s">
        <v>59</v>
      </c>
      <c r="G461" t="s">
        <v>59</v>
      </c>
      <c r="H461" t="s">
        <v>58</v>
      </c>
      <c r="I461" t="s">
        <v>59</v>
      </c>
      <c r="J461"/>
      <c r="L461">
        <v>5</v>
      </c>
      <c r="M461" s="23">
        <v>3</v>
      </c>
      <c r="N461" s="29">
        <v>5</v>
      </c>
      <c r="O461" s="23">
        <v>30</v>
      </c>
    </row>
    <row r="462" spans="1:15" ht="15" x14ac:dyDescent="0.25">
      <c r="A462">
        <v>530530</v>
      </c>
      <c r="B462" t="s">
        <v>500</v>
      </c>
      <c r="C462" s="26" t="s">
        <v>375</v>
      </c>
      <c r="D462" s="26" t="s">
        <v>352</v>
      </c>
      <c r="E462" t="s">
        <v>57</v>
      </c>
      <c r="F462" t="s">
        <v>59</v>
      </c>
      <c r="G462" t="s">
        <v>59</v>
      </c>
      <c r="H462" t="s">
        <v>58</v>
      </c>
      <c r="I462" t="s">
        <v>59</v>
      </c>
      <c r="J462"/>
      <c r="L462">
        <v>5</v>
      </c>
      <c r="M462" s="23">
        <v>3</v>
      </c>
      <c r="N462" s="29">
        <v>5</v>
      </c>
      <c r="O462" s="23">
        <v>35</v>
      </c>
    </row>
    <row r="463" spans="1:15" ht="15" x14ac:dyDescent="0.25">
      <c r="A463">
        <v>530535</v>
      </c>
      <c r="B463" t="s">
        <v>501</v>
      </c>
      <c r="C463" s="26" t="s">
        <v>375</v>
      </c>
      <c r="D463" s="26" t="s">
        <v>352</v>
      </c>
      <c r="E463" t="s">
        <v>57</v>
      </c>
      <c r="F463" t="s">
        <v>59</v>
      </c>
      <c r="G463" t="s">
        <v>59</v>
      </c>
      <c r="H463" t="s">
        <v>58</v>
      </c>
      <c r="I463" t="s">
        <v>59</v>
      </c>
      <c r="J463"/>
      <c r="L463">
        <v>5</v>
      </c>
      <c r="M463" s="23">
        <v>3</v>
      </c>
      <c r="N463" s="29">
        <v>5</v>
      </c>
      <c r="O463" s="23">
        <v>40</v>
      </c>
    </row>
    <row r="464" spans="1:15" ht="15" x14ac:dyDescent="0.25">
      <c r="A464">
        <v>530540</v>
      </c>
      <c r="B464" t="s">
        <v>502</v>
      </c>
      <c r="C464" s="26" t="s">
        <v>375</v>
      </c>
      <c r="D464" s="26" t="s">
        <v>352</v>
      </c>
      <c r="E464" t="s">
        <v>57</v>
      </c>
      <c r="F464" t="s">
        <v>59</v>
      </c>
      <c r="G464" t="s">
        <v>59</v>
      </c>
      <c r="H464" t="s">
        <v>58</v>
      </c>
      <c r="I464" t="s">
        <v>59</v>
      </c>
      <c r="J464"/>
      <c r="L464">
        <v>5</v>
      </c>
      <c r="M464" s="23">
        <v>3</v>
      </c>
      <c r="N464" s="29">
        <v>5</v>
      </c>
      <c r="O464" s="23">
        <v>45</v>
      </c>
    </row>
    <row r="465" spans="1:15" ht="15" x14ac:dyDescent="0.25">
      <c r="A465">
        <v>530545</v>
      </c>
      <c r="B465" t="s">
        <v>503</v>
      </c>
      <c r="C465" s="26" t="s">
        <v>375</v>
      </c>
      <c r="D465" s="26" t="s">
        <v>352</v>
      </c>
      <c r="E465" t="s">
        <v>57</v>
      </c>
      <c r="F465" t="s">
        <v>59</v>
      </c>
      <c r="G465" t="s">
        <v>59</v>
      </c>
      <c r="H465" t="s">
        <v>58</v>
      </c>
      <c r="I465" t="s">
        <v>59</v>
      </c>
      <c r="J465"/>
      <c r="L465">
        <v>5</v>
      </c>
      <c r="M465" s="23">
        <v>3</v>
      </c>
      <c r="N465" s="29">
        <v>5</v>
      </c>
      <c r="O465" s="23">
        <v>50</v>
      </c>
    </row>
    <row r="466" spans="1:15" ht="15" x14ac:dyDescent="0.25">
      <c r="A466">
        <v>530550</v>
      </c>
      <c r="B466" t="s">
        <v>504</v>
      </c>
      <c r="C466" s="26" t="s">
        <v>375</v>
      </c>
      <c r="D466" s="26" t="s">
        <v>352</v>
      </c>
      <c r="E466" t="s">
        <v>57</v>
      </c>
      <c r="F466" t="s">
        <v>59</v>
      </c>
      <c r="G466" t="s">
        <v>59</v>
      </c>
      <c r="H466" t="s">
        <v>58</v>
      </c>
      <c r="I466" t="s">
        <v>59</v>
      </c>
      <c r="J466"/>
      <c r="L466">
        <v>5</v>
      </c>
      <c r="M466" s="23">
        <v>3</v>
      </c>
      <c r="N466" s="29">
        <v>5</v>
      </c>
      <c r="O466" s="23">
        <v>60</v>
      </c>
    </row>
    <row r="467" spans="1:15" ht="15" x14ac:dyDescent="0.25">
      <c r="A467">
        <v>530560</v>
      </c>
      <c r="B467" t="s">
        <v>505</v>
      </c>
      <c r="C467" s="26" t="s">
        <v>375</v>
      </c>
      <c r="D467" s="26" t="s">
        <v>352</v>
      </c>
      <c r="E467" t="s">
        <v>57</v>
      </c>
      <c r="F467" t="s">
        <v>59</v>
      </c>
      <c r="G467" t="s">
        <v>59</v>
      </c>
      <c r="H467" t="s">
        <v>58</v>
      </c>
      <c r="I467" t="s">
        <v>59</v>
      </c>
      <c r="J467"/>
      <c r="L467">
        <v>5</v>
      </c>
      <c r="M467" s="23">
        <v>3</v>
      </c>
      <c r="N467" s="29">
        <v>5</v>
      </c>
      <c r="O467" s="23">
        <v>70</v>
      </c>
    </row>
    <row r="468" spans="1:15" ht="15" x14ac:dyDescent="0.25">
      <c r="A468">
        <v>530570</v>
      </c>
      <c r="B468" t="s">
        <v>506</v>
      </c>
      <c r="C468" s="26" t="s">
        <v>375</v>
      </c>
      <c r="D468" s="26" t="s">
        <v>352</v>
      </c>
      <c r="E468" t="s">
        <v>57</v>
      </c>
      <c r="F468" t="s">
        <v>59</v>
      </c>
      <c r="G468" t="s">
        <v>59</v>
      </c>
      <c r="H468" t="s">
        <v>58</v>
      </c>
      <c r="I468" t="s">
        <v>59</v>
      </c>
      <c r="J468"/>
      <c r="L468">
        <v>5</v>
      </c>
      <c r="M468" s="23">
        <v>3</v>
      </c>
      <c r="N468" s="29">
        <v>5</v>
      </c>
      <c r="O468" s="23">
        <v>71</v>
      </c>
    </row>
    <row r="469" spans="1:15" ht="15" x14ac:dyDescent="0.25">
      <c r="A469">
        <v>530571</v>
      </c>
      <c r="B469" t="s">
        <v>507</v>
      </c>
      <c r="C469" s="26" t="s">
        <v>375</v>
      </c>
      <c r="D469" s="26" t="s">
        <v>352</v>
      </c>
      <c r="E469" t="s">
        <v>57</v>
      </c>
      <c r="F469" t="s">
        <v>59</v>
      </c>
      <c r="G469" t="s">
        <v>59</v>
      </c>
      <c r="H469" t="s">
        <v>58</v>
      </c>
      <c r="I469" t="s">
        <v>59</v>
      </c>
      <c r="J469"/>
      <c r="L469">
        <v>5</v>
      </c>
      <c r="M469" s="23">
        <v>4</v>
      </c>
    </row>
    <row r="470" spans="1:15" ht="15" x14ac:dyDescent="0.25">
      <c r="A470">
        <v>54</v>
      </c>
      <c r="B470" t="s">
        <v>508</v>
      </c>
      <c r="C470" s="26" t="s">
        <v>375</v>
      </c>
      <c r="D470" s="26" t="s">
        <v>352</v>
      </c>
      <c r="E470" t="s">
        <v>57</v>
      </c>
      <c r="F470" t="s">
        <v>58</v>
      </c>
      <c r="G470" t="s">
        <v>58</v>
      </c>
      <c r="H470" t="s">
        <v>59</v>
      </c>
      <c r="I470" t="s">
        <v>59</v>
      </c>
      <c r="J470"/>
      <c r="L470">
        <v>5</v>
      </c>
      <c r="M470" s="23">
        <v>4</v>
      </c>
      <c r="N470" s="29">
        <v>5</v>
      </c>
    </row>
    <row r="471" spans="1:15" ht="15" x14ac:dyDescent="0.25">
      <c r="A471">
        <v>5405</v>
      </c>
      <c r="B471" t="s">
        <v>509</v>
      </c>
      <c r="C471" s="26" t="s">
        <v>375</v>
      </c>
      <c r="D471" s="26" t="s">
        <v>352</v>
      </c>
      <c r="E471" t="s">
        <v>57</v>
      </c>
      <c r="F471" t="s">
        <v>58</v>
      </c>
      <c r="G471" t="s">
        <v>58</v>
      </c>
      <c r="H471" t="s">
        <v>58</v>
      </c>
      <c r="I471" t="s">
        <v>59</v>
      </c>
      <c r="J471"/>
      <c r="L471">
        <v>5</v>
      </c>
      <c r="M471" s="23">
        <v>4</v>
      </c>
      <c r="N471" s="29">
        <v>5</v>
      </c>
      <c r="O471" s="23">
        <v>15</v>
      </c>
    </row>
    <row r="472" spans="1:15" ht="15" x14ac:dyDescent="0.25">
      <c r="A472">
        <v>540515</v>
      </c>
      <c r="B472" t="s">
        <v>510</v>
      </c>
      <c r="C472" s="26" t="s">
        <v>375</v>
      </c>
      <c r="D472" s="26" t="s">
        <v>352</v>
      </c>
      <c r="E472" t="s">
        <v>57</v>
      </c>
      <c r="F472" t="s">
        <v>59</v>
      </c>
      <c r="G472" t="s">
        <v>59</v>
      </c>
      <c r="H472" t="s">
        <v>58</v>
      </c>
      <c r="I472" t="s">
        <v>59</v>
      </c>
      <c r="J472"/>
      <c r="L472">
        <v>5</v>
      </c>
      <c r="M472" s="23">
        <v>4</v>
      </c>
      <c r="N472" s="29">
        <v>5</v>
      </c>
      <c r="O472" s="23">
        <v>20</v>
      </c>
    </row>
    <row r="473" spans="1:15" ht="15" x14ac:dyDescent="0.25">
      <c r="A473">
        <v>540520</v>
      </c>
      <c r="B473" t="s">
        <v>511</v>
      </c>
      <c r="C473" s="26" t="s">
        <v>375</v>
      </c>
      <c r="D473" s="26" t="s">
        <v>352</v>
      </c>
      <c r="E473" t="s">
        <v>57</v>
      </c>
      <c r="F473" t="s">
        <v>59</v>
      </c>
      <c r="G473" t="s">
        <v>59</v>
      </c>
      <c r="H473" t="s">
        <v>58</v>
      </c>
      <c r="I473" t="s">
        <v>59</v>
      </c>
      <c r="J473"/>
      <c r="L473">
        <v>5</v>
      </c>
      <c r="M473" s="23">
        <v>4</v>
      </c>
      <c r="N473" s="29">
        <v>5</v>
      </c>
      <c r="O473" s="23">
        <v>22</v>
      </c>
    </row>
    <row r="474" spans="1:15" ht="15" x14ac:dyDescent="0.25">
      <c r="A474">
        <v>540522</v>
      </c>
      <c r="B474" t="s">
        <v>512</v>
      </c>
      <c r="C474" s="26" t="s">
        <v>375</v>
      </c>
      <c r="D474" s="26" t="s">
        <v>352</v>
      </c>
      <c r="E474" t="s">
        <v>57</v>
      </c>
      <c r="F474" t="s">
        <v>59</v>
      </c>
      <c r="G474" t="s">
        <v>59</v>
      </c>
      <c r="H474" t="s">
        <v>58</v>
      </c>
      <c r="I474" t="s">
        <v>59</v>
      </c>
      <c r="J474"/>
      <c r="L474">
        <v>5</v>
      </c>
      <c r="M474" s="23">
        <v>4</v>
      </c>
      <c r="N474" s="29">
        <v>5</v>
      </c>
      <c r="O474" s="23">
        <v>25</v>
      </c>
    </row>
    <row r="475" spans="1:15" ht="15" x14ac:dyDescent="0.25">
      <c r="A475">
        <v>540525</v>
      </c>
      <c r="B475" t="s">
        <v>513</v>
      </c>
      <c r="C475" s="26" t="s">
        <v>375</v>
      </c>
      <c r="D475" s="26" t="s">
        <v>352</v>
      </c>
      <c r="E475" t="s">
        <v>57</v>
      </c>
      <c r="F475" t="s">
        <v>59</v>
      </c>
      <c r="G475" t="s">
        <v>59</v>
      </c>
      <c r="H475" t="s">
        <v>58</v>
      </c>
      <c r="I475" t="s">
        <v>59</v>
      </c>
      <c r="J475"/>
      <c r="L475">
        <v>5</v>
      </c>
      <c r="M475" s="23">
        <v>4</v>
      </c>
      <c r="N475" s="29">
        <v>5</v>
      </c>
      <c r="O475" s="23">
        <v>30</v>
      </c>
    </row>
    <row r="476" spans="1:15" ht="15" x14ac:dyDescent="0.25">
      <c r="A476">
        <v>540530</v>
      </c>
      <c r="B476" t="s">
        <v>514</v>
      </c>
      <c r="C476" s="26" t="s">
        <v>375</v>
      </c>
      <c r="D476" s="26" t="s">
        <v>352</v>
      </c>
      <c r="E476" t="s">
        <v>57</v>
      </c>
      <c r="F476" t="s">
        <v>59</v>
      </c>
      <c r="G476" t="s">
        <v>59</v>
      </c>
      <c r="H476" t="s">
        <v>58</v>
      </c>
      <c r="I476" t="s">
        <v>59</v>
      </c>
      <c r="J476"/>
      <c r="L476">
        <v>5</v>
      </c>
      <c r="M476" s="23">
        <v>4</v>
      </c>
      <c r="N476" s="29">
        <v>5</v>
      </c>
      <c r="O476" s="23">
        <v>35</v>
      </c>
    </row>
    <row r="477" spans="1:15" ht="15" x14ac:dyDescent="0.25">
      <c r="A477">
        <v>540535</v>
      </c>
      <c r="B477" t="s">
        <v>515</v>
      </c>
      <c r="C477" s="26" t="s">
        <v>375</v>
      </c>
      <c r="D477" s="26" t="s">
        <v>352</v>
      </c>
      <c r="E477" t="s">
        <v>57</v>
      </c>
      <c r="F477" t="s">
        <v>59</v>
      </c>
      <c r="G477" t="s">
        <v>59</v>
      </c>
      <c r="H477" t="s">
        <v>58</v>
      </c>
      <c r="I477" t="s">
        <v>59</v>
      </c>
      <c r="J477"/>
      <c r="L477">
        <v>5</v>
      </c>
      <c r="M477" s="23">
        <v>4</v>
      </c>
      <c r="N477" s="29">
        <v>5</v>
      </c>
      <c r="O477" s="23">
        <v>36</v>
      </c>
    </row>
    <row r="478" spans="1:15" ht="15" x14ac:dyDescent="0.25">
      <c r="A478">
        <v>540536</v>
      </c>
      <c r="B478" t="s">
        <v>516</v>
      </c>
      <c r="C478" s="26" t="s">
        <v>375</v>
      </c>
      <c r="D478" s="26" t="s">
        <v>352</v>
      </c>
      <c r="E478" t="s">
        <v>57</v>
      </c>
      <c r="F478" t="s">
        <v>59</v>
      </c>
      <c r="G478" t="s">
        <v>59</v>
      </c>
      <c r="H478" t="s">
        <v>58</v>
      </c>
      <c r="I478" t="s">
        <v>59</v>
      </c>
      <c r="J478"/>
      <c r="L478">
        <v>5</v>
      </c>
      <c r="M478" s="23">
        <v>4</v>
      </c>
      <c r="N478" s="29">
        <v>5</v>
      </c>
      <c r="O478" s="23">
        <v>37</v>
      </c>
    </row>
    <row r="479" spans="1:15" ht="15" x14ac:dyDescent="0.25">
      <c r="A479">
        <v>540537</v>
      </c>
      <c r="B479" t="s">
        <v>517</v>
      </c>
      <c r="C479" s="26" t="s">
        <v>375</v>
      </c>
      <c r="D479" s="26" t="s">
        <v>352</v>
      </c>
      <c r="E479" t="s">
        <v>57</v>
      </c>
      <c r="F479" t="s">
        <v>59</v>
      </c>
      <c r="G479" t="s">
        <v>58</v>
      </c>
      <c r="H479" t="s">
        <v>58</v>
      </c>
      <c r="I479" t="s">
        <v>59</v>
      </c>
      <c r="J479"/>
      <c r="L479">
        <v>5</v>
      </c>
      <c r="M479" s="23">
        <v>5</v>
      </c>
    </row>
    <row r="480" spans="1:15" ht="15" x14ac:dyDescent="0.25">
      <c r="A480">
        <v>55</v>
      </c>
      <c r="B480" t="s">
        <v>518</v>
      </c>
      <c r="C480" s="26" t="s">
        <v>375</v>
      </c>
      <c r="D480" s="26" t="s">
        <v>352</v>
      </c>
      <c r="E480" t="s">
        <v>57</v>
      </c>
      <c r="F480" t="s">
        <v>58</v>
      </c>
      <c r="G480" t="s">
        <v>58</v>
      </c>
      <c r="H480" t="s">
        <v>59</v>
      </c>
      <c r="I480" t="s">
        <v>59</v>
      </c>
      <c r="J480"/>
      <c r="L480">
        <v>5</v>
      </c>
      <c r="M480" s="23">
        <v>5</v>
      </c>
      <c r="N480" s="29">
        <v>1</v>
      </c>
    </row>
    <row r="481" spans="1:10" ht="15" x14ac:dyDescent="0.25">
      <c r="A481">
        <v>5501</v>
      </c>
      <c r="B481" t="s">
        <v>519</v>
      </c>
      <c r="C481" s="26" t="s">
        <v>375</v>
      </c>
      <c r="D481" s="26" t="s">
        <v>352</v>
      </c>
      <c r="E481" t="s">
        <v>57</v>
      </c>
      <c r="F481" t="s">
        <v>59</v>
      </c>
      <c r="G481" t="s">
        <v>59</v>
      </c>
      <c r="H481" t="s">
        <v>58</v>
      </c>
      <c r="I481" t="s">
        <v>59</v>
      </c>
      <c r="J48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Cuentas</vt:lpstr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2022-06-22T12:45:32Z</dcterms:created>
  <dcterms:modified xsi:type="dcterms:W3CDTF">2026-06-16T15:29:49Z</dcterms:modified>
</cp:coreProperties>
</file>