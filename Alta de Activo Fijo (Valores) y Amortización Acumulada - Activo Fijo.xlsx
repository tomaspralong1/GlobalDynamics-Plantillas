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Operativos\"/>
    </mc:Choice>
  </mc:AlternateContent>
  <xr:revisionPtr revIDLastSave="0" documentId="13_ncr:1_{5F9C5246-8656-4094-824D-77E017C09AE8}" xr6:coauthVersionLast="47" xr6:coauthVersionMax="47" xr10:uidLastSave="{00000000-0000-0000-0000-000000000000}"/>
  <bookViews>
    <workbookView xWindow="-120" yWindow="-120" windowWidth="29040" windowHeight="15840" activeTab="1" xr2:uid="{3BF276B0-2CB7-4D96-BBAC-2DA2AC9BAFC9}"/>
  </bookViews>
  <sheets>
    <sheet name="Alta de Activo Fijo" sheetId="1" r:id="rId1"/>
    <sheet name="Alta de Amortización Acumulad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2" l="1"/>
  <c r="P19" i="2"/>
  <c r="P20" i="2"/>
  <c r="P21" i="2"/>
  <c r="P22" i="2"/>
  <c r="L22" i="2" s="1"/>
  <c r="P23" i="2"/>
  <c r="P24" i="2"/>
  <c r="P25" i="2"/>
  <c r="P26" i="2"/>
  <c r="P27" i="2"/>
  <c r="P28" i="2"/>
  <c r="P29" i="2"/>
  <c r="P30" i="2"/>
  <c r="L30" i="2" s="1"/>
  <c r="P31" i="2"/>
  <c r="P32" i="2"/>
  <c r="P33" i="2"/>
  <c r="P34" i="2"/>
  <c r="P35" i="2"/>
  <c r="P36" i="2"/>
  <c r="P37" i="2"/>
  <c r="P38" i="2"/>
  <c r="L38" i="2" s="1"/>
  <c r="P39" i="2"/>
  <c r="P40" i="2"/>
  <c r="P41" i="2"/>
  <c r="P42" i="2"/>
  <c r="P43" i="2"/>
  <c r="P44" i="2"/>
  <c r="P45" i="2"/>
  <c r="L45" i="2" s="1"/>
  <c r="P46" i="2"/>
  <c r="L46" i="2" s="1"/>
  <c r="P47" i="2"/>
  <c r="P48" i="2"/>
  <c r="P49" i="2"/>
  <c r="P50" i="2"/>
  <c r="P51" i="2"/>
  <c r="P52" i="2"/>
  <c r="P53" i="2"/>
  <c r="P54" i="2"/>
  <c r="L54" i="2" s="1"/>
  <c r="P55" i="2"/>
  <c r="K55" i="2" s="1"/>
  <c r="P56" i="2"/>
  <c r="P57" i="2"/>
  <c r="P58" i="2"/>
  <c r="P59" i="2"/>
  <c r="P60" i="2"/>
  <c r="P61" i="2"/>
  <c r="P62" i="2"/>
  <c r="L62" i="2" s="1"/>
  <c r="P63" i="2"/>
  <c r="P64" i="2"/>
  <c r="P65" i="2"/>
  <c r="P66" i="2"/>
  <c r="P67" i="2"/>
  <c r="P68" i="2"/>
  <c r="P69" i="2"/>
  <c r="P70" i="2"/>
  <c r="L70" i="2" s="1"/>
  <c r="P71" i="2"/>
  <c r="P72" i="2"/>
  <c r="P73" i="2"/>
  <c r="P74" i="2"/>
  <c r="P75" i="2"/>
  <c r="P76" i="2"/>
  <c r="P77" i="2"/>
  <c r="P78" i="2"/>
  <c r="L78" i="2" s="1"/>
  <c r="P79" i="2"/>
  <c r="P80" i="2"/>
  <c r="P81" i="2"/>
  <c r="P82" i="2"/>
  <c r="P83" i="2"/>
  <c r="P84" i="2"/>
  <c r="P85" i="2"/>
  <c r="P86" i="2"/>
  <c r="L86" i="2" s="1"/>
  <c r="P87" i="2"/>
  <c r="K87" i="2" s="1"/>
  <c r="P88" i="2"/>
  <c r="P89" i="2"/>
  <c r="P90" i="2"/>
  <c r="P91" i="2"/>
  <c r="P92" i="2"/>
  <c r="P93" i="2"/>
  <c r="P94" i="2"/>
  <c r="L94" i="2" s="1"/>
  <c r="P95" i="2"/>
  <c r="P96" i="2"/>
  <c r="P97" i="2"/>
  <c r="P98" i="2"/>
  <c r="P99" i="2"/>
  <c r="P100" i="2"/>
  <c r="P101" i="2"/>
  <c r="P102" i="2"/>
  <c r="L102" i="2" s="1"/>
  <c r="P103" i="2"/>
  <c r="P104" i="2"/>
  <c r="P105" i="2"/>
  <c r="P106" i="2"/>
  <c r="P107" i="2"/>
  <c r="P108" i="2"/>
  <c r="P109" i="2"/>
  <c r="L109" i="2" s="1"/>
  <c r="P110" i="2"/>
  <c r="L110" i="2" s="1"/>
  <c r="P111" i="2"/>
  <c r="P112" i="2"/>
  <c r="P113" i="2"/>
  <c r="P114" i="2"/>
  <c r="P115" i="2"/>
  <c r="P116" i="2"/>
  <c r="P117" i="2"/>
  <c r="P118" i="2"/>
  <c r="L118" i="2" s="1"/>
  <c r="P119" i="2"/>
  <c r="P120" i="2"/>
  <c r="P121" i="2"/>
  <c r="P122" i="2"/>
  <c r="P123" i="2"/>
  <c r="P124" i="2"/>
  <c r="P125" i="2"/>
  <c r="P126" i="2"/>
  <c r="L126" i="2" s="1"/>
  <c r="P127" i="2"/>
  <c r="P128" i="2"/>
  <c r="P129" i="2"/>
  <c r="P130" i="2"/>
  <c r="P131" i="2"/>
  <c r="P132" i="2"/>
  <c r="P133" i="2"/>
  <c r="P134" i="2"/>
  <c r="L134" i="2" s="1"/>
  <c r="P135" i="2"/>
  <c r="P136" i="2"/>
  <c r="P137" i="2"/>
  <c r="P138" i="2"/>
  <c r="P139" i="2"/>
  <c r="P140" i="2"/>
  <c r="P141" i="2"/>
  <c r="P142" i="2"/>
  <c r="L142" i="2" s="1"/>
  <c r="P143" i="2"/>
  <c r="K143" i="2" s="1"/>
  <c r="P144" i="2"/>
  <c r="P145" i="2"/>
  <c r="P146" i="2"/>
  <c r="P147" i="2"/>
  <c r="P148" i="2"/>
  <c r="P149" i="2"/>
  <c r="P150" i="2"/>
  <c r="L150" i="2" s="1"/>
  <c r="P151" i="2"/>
  <c r="P152" i="2"/>
  <c r="P153" i="2"/>
  <c r="P154" i="2"/>
  <c r="P155" i="2"/>
  <c r="P156" i="2"/>
  <c r="P157" i="2"/>
  <c r="P158" i="2"/>
  <c r="L158" i="2" s="1"/>
  <c r="P159" i="2"/>
  <c r="P160" i="2"/>
  <c r="P161" i="2"/>
  <c r="P162" i="2"/>
  <c r="P163" i="2"/>
  <c r="P164" i="2"/>
  <c r="P165" i="2"/>
  <c r="P166" i="2"/>
  <c r="L166" i="2" s="1"/>
  <c r="P167" i="2"/>
  <c r="P168" i="2"/>
  <c r="P169" i="2"/>
  <c r="P170" i="2"/>
  <c r="P171" i="2"/>
  <c r="P172" i="2"/>
  <c r="P173" i="2"/>
  <c r="L173" i="2" s="1"/>
  <c r="P174" i="2"/>
  <c r="L174" i="2" s="1"/>
  <c r="P175" i="2"/>
  <c r="K175" i="2" s="1"/>
  <c r="P176" i="2"/>
  <c r="P177" i="2"/>
  <c r="P178" i="2"/>
  <c r="P179" i="2"/>
  <c r="P180" i="2"/>
  <c r="P181" i="2"/>
  <c r="P182" i="2"/>
  <c r="L182" i="2" s="1"/>
  <c r="P183" i="2"/>
  <c r="P184" i="2"/>
  <c r="P185" i="2"/>
  <c r="P186" i="2"/>
  <c r="P187" i="2"/>
  <c r="P188" i="2"/>
  <c r="P189" i="2"/>
  <c r="P190" i="2"/>
  <c r="L190" i="2" s="1"/>
  <c r="P191" i="2"/>
  <c r="P192" i="2"/>
  <c r="P193" i="2"/>
  <c r="P194" i="2"/>
  <c r="P195" i="2"/>
  <c r="K195" i="2" s="1"/>
  <c r="P196" i="2"/>
  <c r="P197" i="2"/>
  <c r="P198" i="2"/>
  <c r="L198" i="2" s="1"/>
  <c r="K26" i="2"/>
  <c r="K32" i="2"/>
  <c r="K36" i="2"/>
  <c r="K44" i="2"/>
  <c r="K48" i="2"/>
  <c r="K59" i="2"/>
  <c r="K66" i="2"/>
  <c r="K69" i="2"/>
  <c r="K76" i="2"/>
  <c r="K80" i="2"/>
  <c r="K91" i="2"/>
  <c r="K98" i="2"/>
  <c r="K101" i="2"/>
  <c r="K112" i="2"/>
  <c r="K122" i="2"/>
  <c r="K132" i="2"/>
  <c r="K154" i="2"/>
  <c r="K164" i="2"/>
  <c r="K184" i="2"/>
  <c r="C18" i="2"/>
  <c r="D18" i="2"/>
  <c r="K18" i="2" s="1"/>
  <c r="E18" i="2"/>
  <c r="C19" i="2"/>
  <c r="D19" i="2"/>
  <c r="E19" i="2"/>
  <c r="C20" i="2"/>
  <c r="D20" i="2"/>
  <c r="K20" i="2" s="1"/>
  <c r="E20" i="2"/>
  <c r="C21" i="2"/>
  <c r="D21" i="2"/>
  <c r="E21" i="2"/>
  <c r="C22" i="2"/>
  <c r="I22" i="2" s="1"/>
  <c r="D22" i="2"/>
  <c r="E22" i="2"/>
  <c r="C23" i="2"/>
  <c r="D23" i="2"/>
  <c r="E23" i="2"/>
  <c r="C24" i="2"/>
  <c r="D24" i="2"/>
  <c r="K24" i="2" s="1"/>
  <c r="E24" i="2"/>
  <c r="C25" i="2"/>
  <c r="I25" i="2" s="1"/>
  <c r="D25" i="2"/>
  <c r="E25" i="2"/>
  <c r="C26" i="2"/>
  <c r="D26" i="2"/>
  <c r="E26" i="2"/>
  <c r="C27" i="2"/>
  <c r="D27" i="2"/>
  <c r="K27" i="2" s="1"/>
  <c r="E27" i="2"/>
  <c r="C28" i="2"/>
  <c r="D28" i="2"/>
  <c r="K28" i="2" s="1"/>
  <c r="E28" i="2"/>
  <c r="C29" i="2"/>
  <c r="D29" i="2"/>
  <c r="E29" i="2"/>
  <c r="C30" i="2"/>
  <c r="I30" i="2" s="1"/>
  <c r="D30" i="2"/>
  <c r="E30" i="2"/>
  <c r="C31" i="2"/>
  <c r="D31" i="2"/>
  <c r="K31" i="2" s="1"/>
  <c r="E31" i="2"/>
  <c r="C32" i="2"/>
  <c r="D32" i="2"/>
  <c r="E32" i="2"/>
  <c r="C33" i="2"/>
  <c r="I33" i="2" s="1"/>
  <c r="D33" i="2"/>
  <c r="E33" i="2"/>
  <c r="C34" i="2"/>
  <c r="D34" i="2"/>
  <c r="K34" i="2" s="1"/>
  <c r="E34" i="2"/>
  <c r="C35" i="2"/>
  <c r="D35" i="2"/>
  <c r="K35" i="2" s="1"/>
  <c r="E35" i="2"/>
  <c r="C36" i="2"/>
  <c r="D36" i="2"/>
  <c r="E36" i="2"/>
  <c r="C37" i="2"/>
  <c r="D37" i="2"/>
  <c r="E37" i="2"/>
  <c r="C38" i="2"/>
  <c r="I38" i="2" s="1"/>
  <c r="D38" i="2"/>
  <c r="E38" i="2"/>
  <c r="C39" i="2"/>
  <c r="D39" i="2"/>
  <c r="K39" i="2" s="1"/>
  <c r="E39" i="2"/>
  <c r="C40" i="2"/>
  <c r="D40" i="2"/>
  <c r="E40" i="2"/>
  <c r="C41" i="2"/>
  <c r="I41" i="2" s="1"/>
  <c r="D41" i="2"/>
  <c r="E41" i="2"/>
  <c r="C42" i="2"/>
  <c r="D42" i="2"/>
  <c r="K42" i="2" s="1"/>
  <c r="E42" i="2"/>
  <c r="C43" i="2"/>
  <c r="D43" i="2"/>
  <c r="K43" i="2" s="1"/>
  <c r="E43" i="2"/>
  <c r="C44" i="2"/>
  <c r="D44" i="2"/>
  <c r="E44" i="2"/>
  <c r="C45" i="2"/>
  <c r="D45" i="2"/>
  <c r="E45" i="2"/>
  <c r="C46" i="2"/>
  <c r="I46" i="2" s="1"/>
  <c r="D46" i="2"/>
  <c r="E46" i="2"/>
  <c r="C47" i="2"/>
  <c r="D47" i="2"/>
  <c r="K47" i="2" s="1"/>
  <c r="E47" i="2"/>
  <c r="C48" i="2"/>
  <c r="D48" i="2"/>
  <c r="E48" i="2"/>
  <c r="C49" i="2"/>
  <c r="I49" i="2" s="1"/>
  <c r="D49" i="2"/>
  <c r="E49" i="2"/>
  <c r="C50" i="2"/>
  <c r="D50" i="2"/>
  <c r="K50" i="2" s="1"/>
  <c r="E50" i="2"/>
  <c r="C51" i="2"/>
  <c r="D51" i="2"/>
  <c r="K51" i="2" s="1"/>
  <c r="E51" i="2"/>
  <c r="C52" i="2"/>
  <c r="D52" i="2"/>
  <c r="K52" i="2" s="1"/>
  <c r="E52" i="2"/>
  <c r="C53" i="2"/>
  <c r="D53" i="2"/>
  <c r="E53" i="2"/>
  <c r="C54" i="2"/>
  <c r="D54" i="2"/>
  <c r="K54" i="2" s="1"/>
  <c r="E54" i="2"/>
  <c r="C55" i="2"/>
  <c r="D55" i="2"/>
  <c r="E55" i="2"/>
  <c r="C56" i="2"/>
  <c r="D56" i="2"/>
  <c r="K56" i="2" s="1"/>
  <c r="E56" i="2"/>
  <c r="C57" i="2"/>
  <c r="I57" i="2" s="1"/>
  <c r="D57" i="2"/>
  <c r="E57" i="2"/>
  <c r="C58" i="2"/>
  <c r="D58" i="2"/>
  <c r="K58" i="2" s="1"/>
  <c r="E58" i="2"/>
  <c r="C59" i="2"/>
  <c r="D59" i="2"/>
  <c r="E59" i="2"/>
  <c r="C60" i="2"/>
  <c r="D60" i="2"/>
  <c r="K60" i="2" s="1"/>
  <c r="E60" i="2"/>
  <c r="C61" i="2"/>
  <c r="D61" i="2"/>
  <c r="E61" i="2"/>
  <c r="C62" i="2"/>
  <c r="D62" i="2"/>
  <c r="E62" i="2"/>
  <c r="C63" i="2"/>
  <c r="D63" i="2"/>
  <c r="K63" i="2" s="1"/>
  <c r="E63" i="2"/>
  <c r="C64" i="2"/>
  <c r="D64" i="2"/>
  <c r="K64" i="2" s="1"/>
  <c r="E64" i="2"/>
  <c r="C65" i="2"/>
  <c r="I65" i="2" s="1"/>
  <c r="D65" i="2"/>
  <c r="E65" i="2"/>
  <c r="C66" i="2"/>
  <c r="D66" i="2"/>
  <c r="E66" i="2"/>
  <c r="C67" i="2"/>
  <c r="D67" i="2"/>
  <c r="K67" i="2" s="1"/>
  <c r="E67" i="2"/>
  <c r="C68" i="2"/>
  <c r="D68" i="2"/>
  <c r="K68" i="2" s="1"/>
  <c r="E68" i="2"/>
  <c r="C69" i="2"/>
  <c r="D69" i="2"/>
  <c r="E69" i="2"/>
  <c r="C70" i="2"/>
  <c r="I70" i="2" s="1"/>
  <c r="D70" i="2"/>
  <c r="E70" i="2"/>
  <c r="C71" i="2"/>
  <c r="D71" i="2"/>
  <c r="K71" i="2" s="1"/>
  <c r="E71" i="2"/>
  <c r="C72" i="2"/>
  <c r="D72" i="2"/>
  <c r="K72" i="2" s="1"/>
  <c r="E72" i="2"/>
  <c r="C73" i="2"/>
  <c r="I73" i="2" s="1"/>
  <c r="D73" i="2"/>
  <c r="E73" i="2"/>
  <c r="C74" i="2"/>
  <c r="D74" i="2"/>
  <c r="K74" i="2" s="1"/>
  <c r="E74" i="2"/>
  <c r="C75" i="2"/>
  <c r="D75" i="2"/>
  <c r="K75" i="2" s="1"/>
  <c r="E75" i="2"/>
  <c r="C76" i="2"/>
  <c r="D76" i="2"/>
  <c r="E76" i="2"/>
  <c r="C77" i="2"/>
  <c r="D77" i="2"/>
  <c r="E77" i="2"/>
  <c r="C78" i="2"/>
  <c r="I78" i="2" s="1"/>
  <c r="D78" i="2"/>
  <c r="E78" i="2"/>
  <c r="C79" i="2"/>
  <c r="D79" i="2"/>
  <c r="K79" i="2" s="1"/>
  <c r="E79" i="2"/>
  <c r="C80" i="2"/>
  <c r="D80" i="2"/>
  <c r="E80" i="2"/>
  <c r="C81" i="2"/>
  <c r="I81" i="2" s="1"/>
  <c r="D81" i="2"/>
  <c r="E81" i="2"/>
  <c r="C82" i="2"/>
  <c r="D82" i="2"/>
  <c r="K82" i="2" s="1"/>
  <c r="E82" i="2"/>
  <c r="C83" i="2"/>
  <c r="D83" i="2"/>
  <c r="K83" i="2" s="1"/>
  <c r="E83" i="2"/>
  <c r="C84" i="2"/>
  <c r="D84" i="2"/>
  <c r="K84" i="2" s="1"/>
  <c r="E84" i="2"/>
  <c r="C85" i="2"/>
  <c r="D85" i="2"/>
  <c r="E85" i="2"/>
  <c r="C86" i="2"/>
  <c r="I86" i="2" s="1"/>
  <c r="D86" i="2"/>
  <c r="E86" i="2"/>
  <c r="C87" i="2"/>
  <c r="D87" i="2"/>
  <c r="E87" i="2"/>
  <c r="C88" i="2"/>
  <c r="D88" i="2"/>
  <c r="K88" i="2" s="1"/>
  <c r="E88" i="2"/>
  <c r="C89" i="2"/>
  <c r="I89" i="2" s="1"/>
  <c r="D89" i="2"/>
  <c r="E89" i="2"/>
  <c r="C90" i="2"/>
  <c r="D90" i="2"/>
  <c r="K90" i="2" s="1"/>
  <c r="E90" i="2"/>
  <c r="C91" i="2"/>
  <c r="D91" i="2"/>
  <c r="E91" i="2"/>
  <c r="C92" i="2"/>
  <c r="D92" i="2"/>
  <c r="K92" i="2" s="1"/>
  <c r="E92" i="2"/>
  <c r="C93" i="2"/>
  <c r="D93" i="2"/>
  <c r="E93" i="2"/>
  <c r="C94" i="2"/>
  <c r="I94" i="2" s="1"/>
  <c r="D94" i="2"/>
  <c r="E94" i="2"/>
  <c r="C95" i="2"/>
  <c r="D95" i="2"/>
  <c r="K95" i="2" s="1"/>
  <c r="E95" i="2"/>
  <c r="C96" i="2"/>
  <c r="D96" i="2"/>
  <c r="K96" i="2" s="1"/>
  <c r="E96" i="2"/>
  <c r="C97" i="2"/>
  <c r="I97" i="2" s="1"/>
  <c r="D97" i="2"/>
  <c r="E97" i="2"/>
  <c r="C98" i="2"/>
  <c r="D98" i="2"/>
  <c r="E98" i="2"/>
  <c r="C99" i="2"/>
  <c r="D99" i="2"/>
  <c r="K99" i="2" s="1"/>
  <c r="E99" i="2"/>
  <c r="C100" i="2"/>
  <c r="D100" i="2"/>
  <c r="K100" i="2" s="1"/>
  <c r="E100" i="2"/>
  <c r="C101" i="2"/>
  <c r="D101" i="2"/>
  <c r="E101" i="2"/>
  <c r="C102" i="2"/>
  <c r="I102" i="2" s="1"/>
  <c r="D102" i="2"/>
  <c r="E102" i="2"/>
  <c r="C103" i="2"/>
  <c r="D103" i="2"/>
  <c r="K103" i="2" s="1"/>
  <c r="E103" i="2"/>
  <c r="C104" i="2"/>
  <c r="D104" i="2"/>
  <c r="K104" i="2" s="1"/>
  <c r="E104" i="2"/>
  <c r="C105" i="2"/>
  <c r="I105" i="2" s="1"/>
  <c r="D105" i="2"/>
  <c r="E105" i="2"/>
  <c r="C106" i="2"/>
  <c r="D106" i="2"/>
  <c r="K106" i="2" s="1"/>
  <c r="E106" i="2"/>
  <c r="C107" i="2"/>
  <c r="D107" i="2"/>
  <c r="K107" i="2" s="1"/>
  <c r="E107" i="2"/>
  <c r="C108" i="2"/>
  <c r="D108" i="2"/>
  <c r="K108" i="2" s="1"/>
  <c r="E108" i="2"/>
  <c r="C109" i="2"/>
  <c r="D109" i="2"/>
  <c r="E109" i="2"/>
  <c r="C110" i="2"/>
  <c r="I110" i="2" s="1"/>
  <c r="D110" i="2"/>
  <c r="E110" i="2"/>
  <c r="C111" i="2"/>
  <c r="D111" i="2"/>
  <c r="K111" i="2" s="1"/>
  <c r="E111" i="2"/>
  <c r="C112" i="2"/>
  <c r="D112" i="2"/>
  <c r="E112" i="2"/>
  <c r="C113" i="2"/>
  <c r="I113" i="2" s="1"/>
  <c r="D113" i="2"/>
  <c r="E113" i="2"/>
  <c r="C114" i="2"/>
  <c r="D114" i="2"/>
  <c r="K114" i="2" s="1"/>
  <c r="E114" i="2"/>
  <c r="C115" i="2"/>
  <c r="D115" i="2"/>
  <c r="K115" i="2" s="1"/>
  <c r="E115" i="2"/>
  <c r="C116" i="2"/>
  <c r="D116" i="2"/>
  <c r="K116" i="2" s="1"/>
  <c r="E116" i="2"/>
  <c r="C117" i="2"/>
  <c r="D117" i="2"/>
  <c r="E117" i="2"/>
  <c r="C118" i="2"/>
  <c r="I118" i="2" s="1"/>
  <c r="D118" i="2"/>
  <c r="K118" i="2" s="1"/>
  <c r="E118" i="2"/>
  <c r="C119" i="2"/>
  <c r="D119" i="2"/>
  <c r="K119" i="2" s="1"/>
  <c r="E119" i="2"/>
  <c r="C120" i="2"/>
  <c r="D120" i="2"/>
  <c r="K120" i="2" s="1"/>
  <c r="E120" i="2"/>
  <c r="C121" i="2"/>
  <c r="I121" i="2" s="1"/>
  <c r="D121" i="2"/>
  <c r="E121" i="2"/>
  <c r="C122" i="2"/>
  <c r="D122" i="2"/>
  <c r="E122" i="2"/>
  <c r="C123" i="2"/>
  <c r="D123" i="2"/>
  <c r="K123" i="2" s="1"/>
  <c r="E123" i="2"/>
  <c r="C124" i="2"/>
  <c r="D124" i="2"/>
  <c r="K124" i="2" s="1"/>
  <c r="E124" i="2"/>
  <c r="C125" i="2"/>
  <c r="D125" i="2"/>
  <c r="E125" i="2"/>
  <c r="C126" i="2"/>
  <c r="I126" i="2" s="1"/>
  <c r="D126" i="2"/>
  <c r="E126" i="2"/>
  <c r="C127" i="2"/>
  <c r="D127" i="2"/>
  <c r="K127" i="2" s="1"/>
  <c r="E127" i="2"/>
  <c r="C128" i="2"/>
  <c r="D128" i="2"/>
  <c r="K128" i="2" s="1"/>
  <c r="E128" i="2"/>
  <c r="C129" i="2"/>
  <c r="I129" i="2" s="1"/>
  <c r="D129" i="2"/>
  <c r="E129" i="2"/>
  <c r="C130" i="2"/>
  <c r="D130" i="2"/>
  <c r="K130" i="2" s="1"/>
  <c r="E130" i="2"/>
  <c r="C131" i="2"/>
  <c r="D131" i="2"/>
  <c r="K131" i="2" s="1"/>
  <c r="E131" i="2"/>
  <c r="C132" i="2"/>
  <c r="D132" i="2"/>
  <c r="E132" i="2"/>
  <c r="C133" i="2"/>
  <c r="D133" i="2"/>
  <c r="E133" i="2"/>
  <c r="C134" i="2"/>
  <c r="I134" i="2" s="1"/>
  <c r="D134" i="2"/>
  <c r="E134" i="2"/>
  <c r="C135" i="2"/>
  <c r="D135" i="2"/>
  <c r="K135" i="2" s="1"/>
  <c r="E135" i="2"/>
  <c r="C136" i="2"/>
  <c r="D136" i="2"/>
  <c r="K136" i="2" s="1"/>
  <c r="E136" i="2"/>
  <c r="C137" i="2"/>
  <c r="I137" i="2" s="1"/>
  <c r="D137" i="2"/>
  <c r="E137" i="2"/>
  <c r="C138" i="2"/>
  <c r="D138" i="2"/>
  <c r="K138" i="2" s="1"/>
  <c r="E138" i="2"/>
  <c r="C139" i="2"/>
  <c r="D139" i="2"/>
  <c r="K139" i="2" s="1"/>
  <c r="E139" i="2"/>
  <c r="C140" i="2"/>
  <c r="D140" i="2"/>
  <c r="K140" i="2" s="1"/>
  <c r="E140" i="2"/>
  <c r="C141" i="2"/>
  <c r="D141" i="2"/>
  <c r="E141" i="2"/>
  <c r="C142" i="2"/>
  <c r="D142" i="2"/>
  <c r="E142" i="2"/>
  <c r="C143" i="2"/>
  <c r="D143" i="2"/>
  <c r="E143" i="2"/>
  <c r="C144" i="2"/>
  <c r="D144" i="2"/>
  <c r="K144" i="2" s="1"/>
  <c r="E144" i="2"/>
  <c r="C145" i="2"/>
  <c r="I145" i="2" s="1"/>
  <c r="D145" i="2"/>
  <c r="E145" i="2"/>
  <c r="C146" i="2"/>
  <c r="D146" i="2"/>
  <c r="K146" i="2" s="1"/>
  <c r="E146" i="2"/>
  <c r="C147" i="2"/>
  <c r="D147" i="2"/>
  <c r="K147" i="2" s="1"/>
  <c r="E147" i="2"/>
  <c r="C148" i="2"/>
  <c r="D148" i="2"/>
  <c r="K148" i="2" s="1"/>
  <c r="E148" i="2"/>
  <c r="C149" i="2"/>
  <c r="D149" i="2"/>
  <c r="E149" i="2"/>
  <c r="C150" i="2"/>
  <c r="D150" i="2"/>
  <c r="E150" i="2"/>
  <c r="C151" i="2"/>
  <c r="D151" i="2"/>
  <c r="K151" i="2" s="1"/>
  <c r="E151" i="2"/>
  <c r="C152" i="2"/>
  <c r="D152" i="2"/>
  <c r="K152" i="2" s="1"/>
  <c r="E152" i="2"/>
  <c r="C153" i="2"/>
  <c r="I153" i="2" s="1"/>
  <c r="D153" i="2"/>
  <c r="E153" i="2"/>
  <c r="C154" i="2"/>
  <c r="D154" i="2"/>
  <c r="E154" i="2"/>
  <c r="C155" i="2"/>
  <c r="D155" i="2"/>
  <c r="K155" i="2" s="1"/>
  <c r="E155" i="2"/>
  <c r="C156" i="2"/>
  <c r="D156" i="2"/>
  <c r="K156" i="2" s="1"/>
  <c r="E156" i="2"/>
  <c r="C157" i="2"/>
  <c r="D157" i="2"/>
  <c r="E157" i="2"/>
  <c r="C158" i="2"/>
  <c r="D158" i="2"/>
  <c r="E158" i="2"/>
  <c r="C159" i="2"/>
  <c r="D159" i="2"/>
  <c r="K159" i="2" s="1"/>
  <c r="E159" i="2"/>
  <c r="C160" i="2"/>
  <c r="I160" i="2" s="1"/>
  <c r="D160" i="2"/>
  <c r="K160" i="2" s="1"/>
  <c r="E160" i="2"/>
  <c r="C161" i="2"/>
  <c r="I161" i="2" s="1"/>
  <c r="D161" i="2"/>
  <c r="E161" i="2"/>
  <c r="C162" i="2"/>
  <c r="D162" i="2"/>
  <c r="K162" i="2" s="1"/>
  <c r="E162" i="2"/>
  <c r="C163" i="2"/>
  <c r="D163" i="2"/>
  <c r="K163" i="2" s="1"/>
  <c r="E163" i="2"/>
  <c r="C164" i="2"/>
  <c r="D164" i="2"/>
  <c r="E164" i="2"/>
  <c r="C165" i="2"/>
  <c r="D165" i="2"/>
  <c r="E165" i="2"/>
  <c r="C166" i="2"/>
  <c r="D166" i="2"/>
  <c r="E166" i="2"/>
  <c r="C167" i="2"/>
  <c r="D167" i="2"/>
  <c r="K167" i="2" s="1"/>
  <c r="E167" i="2"/>
  <c r="C168" i="2"/>
  <c r="I168" i="2" s="1"/>
  <c r="D168" i="2"/>
  <c r="K168" i="2" s="1"/>
  <c r="E168" i="2"/>
  <c r="C169" i="2"/>
  <c r="I169" i="2" s="1"/>
  <c r="D169" i="2"/>
  <c r="E169" i="2"/>
  <c r="C170" i="2"/>
  <c r="D170" i="2"/>
  <c r="K170" i="2" s="1"/>
  <c r="E170" i="2"/>
  <c r="C171" i="2"/>
  <c r="D171" i="2"/>
  <c r="K171" i="2" s="1"/>
  <c r="E171" i="2"/>
  <c r="C172" i="2"/>
  <c r="D172" i="2"/>
  <c r="K172" i="2" s="1"/>
  <c r="E172" i="2"/>
  <c r="C173" i="2"/>
  <c r="D173" i="2"/>
  <c r="E173" i="2"/>
  <c r="C174" i="2"/>
  <c r="D174" i="2"/>
  <c r="E174" i="2"/>
  <c r="C175" i="2"/>
  <c r="D175" i="2"/>
  <c r="E175" i="2"/>
  <c r="C176" i="2"/>
  <c r="I176" i="2" s="1"/>
  <c r="D176" i="2"/>
  <c r="K176" i="2" s="1"/>
  <c r="E176" i="2"/>
  <c r="C177" i="2"/>
  <c r="I177" i="2" s="1"/>
  <c r="D177" i="2"/>
  <c r="E177" i="2"/>
  <c r="C178" i="2"/>
  <c r="D178" i="2"/>
  <c r="K178" i="2" s="1"/>
  <c r="E178" i="2"/>
  <c r="C179" i="2"/>
  <c r="D179" i="2"/>
  <c r="K179" i="2" s="1"/>
  <c r="E179" i="2"/>
  <c r="C180" i="2"/>
  <c r="D180" i="2"/>
  <c r="K180" i="2" s="1"/>
  <c r="E180" i="2"/>
  <c r="C181" i="2"/>
  <c r="D181" i="2"/>
  <c r="E181" i="2"/>
  <c r="C182" i="2"/>
  <c r="I182" i="2" s="1"/>
  <c r="D182" i="2"/>
  <c r="K182" i="2" s="1"/>
  <c r="E182" i="2"/>
  <c r="C183" i="2"/>
  <c r="D183" i="2"/>
  <c r="K183" i="2" s="1"/>
  <c r="E183" i="2"/>
  <c r="C184" i="2"/>
  <c r="D184" i="2"/>
  <c r="E184" i="2"/>
  <c r="C185" i="2"/>
  <c r="I185" i="2" s="1"/>
  <c r="D185" i="2"/>
  <c r="E185" i="2"/>
  <c r="C186" i="2"/>
  <c r="D186" i="2"/>
  <c r="K186" i="2" s="1"/>
  <c r="E186" i="2"/>
  <c r="C187" i="2"/>
  <c r="I187" i="2" s="1"/>
  <c r="D187" i="2"/>
  <c r="K187" i="2" s="1"/>
  <c r="E187" i="2"/>
  <c r="C188" i="2"/>
  <c r="D188" i="2"/>
  <c r="K188" i="2" s="1"/>
  <c r="E188" i="2"/>
  <c r="C189" i="2"/>
  <c r="D189" i="2"/>
  <c r="E189" i="2"/>
  <c r="C190" i="2"/>
  <c r="I190" i="2" s="1"/>
  <c r="D190" i="2"/>
  <c r="E190" i="2"/>
  <c r="C191" i="2"/>
  <c r="D191" i="2"/>
  <c r="K191" i="2" s="1"/>
  <c r="E191" i="2"/>
  <c r="C192" i="2"/>
  <c r="D192" i="2"/>
  <c r="K192" i="2" s="1"/>
  <c r="E192" i="2"/>
  <c r="C193" i="2"/>
  <c r="I193" i="2" s="1"/>
  <c r="D193" i="2"/>
  <c r="E193" i="2"/>
  <c r="C194" i="2"/>
  <c r="D194" i="2"/>
  <c r="K194" i="2" s="1"/>
  <c r="E194" i="2"/>
  <c r="C195" i="2"/>
  <c r="I195" i="2" s="1"/>
  <c r="D195" i="2"/>
  <c r="E195" i="2"/>
  <c r="C196" i="2"/>
  <c r="D196" i="2"/>
  <c r="K196" i="2" s="1"/>
  <c r="E196" i="2"/>
  <c r="C197" i="2"/>
  <c r="D197" i="2"/>
  <c r="E197" i="2"/>
  <c r="C198" i="2"/>
  <c r="I198" i="2" s="1"/>
  <c r="D198" i="2"/>
  <c r="E198" i="2"/>
  <c r="E17" i="2"/>
  <c r="D17" i="2"/>
  <c r="C17" i="2"/>
  <c r="I197" i="2"/>
  <c r="I196" i="2"/>
  <c r="I194" i="2"/>
  <c r="I192" i="2"/>
  <c r="I191" i="2"/>
  <c r="I189" i="2"/>
  <c r="I188" i="2"/>
  <c r="I186" i="2"/>
  <c r="I184" i="2"/>
  <c r="I183" i="2"/>
  <c r="I181" i="2"/>
  <c r="I180" i="2"/>
  <c r="I179" i="2"/>
  <c r="I178" i="2"/>
  <c r="I175" i="2"/>
  <c r="I174" i="2"/>
  <c r="I173" i="2"/>
  <c r="I172" i="2"/>
  <c r="I171" i="2"/>
  <c r="I170" i="2"/>
  <c r="I167" i="2"/>
  <c r="I166" i="2"/>
  <c r="I165" i="2"/>
  <c r="I164" i="2"/>
  <c r="I163" i="2"/>
  <c r="I162" i="2"/>
  <c r="I159" i="2"/>
  <c r="I158" i="2"/>
  <c r="I157" i="2"/>
  <c r="I156" i="2"/>
  <c r="I155" i="2"/>
  <c r="I154" i="2"/>
  <c r="I152" i="2"/>
  <c r="I151" i="2"/>
  <c r="I150" i="2"/>
  <c r="I149" i="2"/>
  <c r="I148" i="2"/>
  <c r="I147" i="2"/>
  <c r="I146" i="2"/>
  <c r="I144" i="2"/>
  <c r="I143" i="2"/>
  <c r="I142" i="2"/>
  <c r="I141" i="2"/>
  <c r="I140" i="2"/>
  <c r="I139" i="2"/>
  <c r="I138" i="2"/>
  <c r="I136" i="2"/>
  <c r="I135" i="2"/>
  <c r="I133" i="2"/>
  <c r="I132" i="2"/>
  <c r="I131" i="2"/>
  <c r="I130" i="2"/>
  <c r="I128" i="2"/>
  <c r="I127" i="2"/>
  <c r="I125" i="2"/>
  <c r="I124" i="2"/>
  <c r="I123" i="2"/>
  <c r="I122" i="2"/>
  <c r="I120" i="2"/>
  <c r="I119" i="2"/>
  <c r="I117" i="2"/>
  <c r="I116" i="2"/>
  <c r="I115" i="2"/>
  <c r="I114" i="2"/>
  <c r="I112" i="2"/>
  <c r="I111" i="2"/>
  <c r="I109" i="2"/>
  <c r="I108" i="2"/>
  <c r="I107" i="2"/>
  <c r="I106" i="2"/>
  <c r="I104" i="2"/>
  <c r="I103" i="2"/>
  <c r="I101" i="2"/>
  <c r="I100" i="2"/>
  <c r="I99" i="2"/>
  <c r="I98" i="2"/>
  <c r="I96" i="2"/>
  <c r="I95" i="2"/>
  <c r="I93" i="2"/>
  <c r="I92" i="2"/>
  <c r="I91" i="2"/>
  <c r="I90" i="2"/>
  <c r="I88" i="2"/>
  <c r="I87" i="2"/>
  <c r="I85" i="2"/>
  <c r="I84" i="2"/>
  <c r="I83" i="2"/>
  <c r="I82" i="2"/>
  <c r="I80" i="2"/>
  <c r="I79" i="2"/>
  <c r="I77" i="2"/>
  <c r="I76" i="2"/>
  <c r="I75" i="2"/>
  <c r="I74" i="2"/>
  <c r="I72" i="2"/>
  <c r="I71" i="2"/>
  <c r="I69" i="2"/>
  <c r="I68" i="2"/>
  <c r="I67" i="2"/>
  <c r="I66" i="2"/>
  <c r="I64" i="2"/>
  <c r="I63" i="2"/>
  <c r="I62" i="2"/>
  <c r="I61" i="2"/>
  <c r="I60" i="2"/>
  <c r="I59" i="2"/>
  <c r="I58" i="2"/>
  <c r="I56" i="2"/>
  <c r="I55" i="2"/>
  <c r="I54" i="2"/>
  <c r="I53" i="2"/>
  <c r="I52" i="2"/>
  <c r="I51" i="2"/>
  <c r="I50" i="2"/>
  <c r="I48" i="2"/>
  <c r="I47" i="2"/>
  <c r="I45" i="2"/>
  <c r="I44" i="2"/>
  <c r="I43" i="2"/>
  <c r="I42" i="2"/>
  <c r="I40" i="2"/>
  <c r="I39" i="2"/>
  <c r="I37" i="2"/>
  <c r="I36" i="2"/>
  <c r="I35" i="2"/>
  <c r="I34" i="2"/>
  <c r="I32" i="2"/>
  <c r="I31" i="2"/>
  <c r="I29" i="2"/>
  <c r="I28" i="2"/>
  <c r="I27" i="2"/>
  <c r="I26" i="2"/>
  <c r="I24" i="2"/>
  <c r="I23" i="2"/>
  <c r="I21" i="2"/>
  <c r="I20" i="2"/>
  <c r="I19" i="2"/>
  <c r="I18" i="2"/>
  <c r="P17" i="2"/>
  <c r="L17" i="2" s="1"/>
  <c r="I17" i="2"/>
  <c r="B8" i="2"/>
  <c r="L197" i="2" l="1"/>
  <c r="L189" i="2"/>
  <c r="L181" i="2"/>
  <c r="L165" i="2"/>
  <c r="L157" i="2"/>
  <c r="L149" i="2"/>
  <c r="L141" i="2"/>
  <c r="L133" i="2"/>
  <c r="L125" i="2"/>
  <c r="L117" i="2"/>
  <c r="L101" i="2"/>
  <c r="L93" i="2"/>
  <c r="L85" i="2"/>
  <c r="L77" i="2"/>
  <c r="L69" i="2"/>
  <c r="L61" i="2"/>
  <c r="L53" i="2"/>
  <c r="L37" i="2"/>
  <c r="L29" i="2"/>
  <c r="L21" i="2"/>
  <c r="K23" i="2"/>
  <c r="K19" i="2"/>
  <c r="K197" i="2"/>
  <c r="K189" i="2"/>
  <c r="K181" i="2"/>
  <c r="K173" i="2"/>
  <c r="K165" i="2"/>
  <c r="K157" i="2"/>
  <c r="K149" i="2"/>
  <c r="K141" i="2"/>
  <c r="K133" i="2"/>
  <c r="K125" i="2"/>
  <c r="K117" i="2"/>
  <c r="K109" i="2"/>
  <c r="K93" i="2"/>
  <c r="K85" i="2"/>
  <c r="K77" i="2"/>
  <c r="K61" i="2"/>
  <c r="K53" i="2"/>
  <c r="K45" i="2"/>
  <c r="K37" i="2"/>
  <c r="K29" i="2"/>
  <c r="K21" i="2"/>
  <c r="L196" i="2"/>
  <c r="L188" i="2"/>
  <c r="L180" i="2"/>
  <c r="L172" i="2"/>
  <c r="L164" i="2"/>
  <c r="L156" i="2"/>
  <c r="L148" i="2"/>
  <c r="L140" i="2"/>
  <c r="L132" i="2"/>
  <c r="L124" i="2"/>
  <c r="L116" i="2"/>
  <c r="L108" i="2"/>
  <c r="L100" i="2"/>
  <c r="L92" i="2"/>
  <c r="L84" i="2"/>
  <c r="L76" i="2"/>
  <c r="L68" i="2"/>
  <c r="L60" i="2"/>
  <c r="L52" i="2"/>
  <c r="L44" i="2"/>
  <c r="L36" i="2"/>
  <c r="L28" i="2"/>
  <c r="L20" i="2"/>
  <c r="L195" i="2"/>
  <c r="L187" i="2"/>
  <c r="L179" i="2"/>
  <c r="L171" i="2"/>
  <c r="L163" i="2"/>
  <c r="L155" i="2"/>
  <c r="L147" i="2"/>
  <c r="L139" i="2"/>
  <c r="L131" i="2"/>
  <c r="L123" i="2"/>
  <c r="L115" i="2"/>
  <c r="L107" i="2"/>
  <c r="L99" i="2"/>
  <c r="L91" i="2"/>
  <c r="L83" i="2"/>
  <c r="L75" i="2"/>
  <c r="L67" i="2"/>
  <c r="L59" i="2"/>
  <c r="L51" i="2"/>
  <c r="L43" i="2"/>
  <c r="L35" i="2"/>
  <c r="L27" i="2"/>
  <c r="L19" i="2"/>
  <c r="L194" i="2"/>
  <c r="L186" i="2"/>
  <c r="L178" i="2"/>
  <c r="L170" i="2"/>
  <c r="L162" i="2"/>
  <c r="L154" i="2"/>
  <c r="L146" i="2"/>
  <c r="L138" i="2"/>
  <c r="L130" i="2"/>
  <c r="L122" i="2"/>
  <c r="L114" i="2"/>
  <c r="L106" i="2"/>
  <c r="L98" i="2"/>
  <c r="L90" i="2"/>
  <c r="L82" i="2"/>
  <c r="L74" i="2"/>
  <c r="L66" i="2"/>
  <c r="L58" i="2"/>
  <c r="L50" i="2"/>
  <c r="L42" i="2"/>
  <c r="L34" i="2"/>
  <c r="L26" i="2"/>
  <c r="L18" i="2"/>
  <c r="K193" i="2"/>
  <c r="K185" i="2"/>
  <c r="K177" i="2"/>
  <c r="K169" i="2"/>
  <c r="K161" i="2"/>
  <c r="K153" i="2"/>
  <c r="K145" i="2"/>
  <c r="K137" i="2"/>
  <c r="K129" i="2"/>
  <c r="K121" i="2"/>
  <c r="K113" i="2"/>
  <c r="K105" i="2"/>
  <c r="K97" i="2"/>
  <c r="K89" i="2"/>
  <c r="K81" i="2"/>
  <c r="K73" i="2"/>
  <c r="K65" i="2"/>
  <c r="K57" i="2"/>
  <c r="K49" i="2"/>
  <c r="K41" i="2"/>
  <c r="K33" i="2"/>
  <c r="K25" i="2"/>
  <c r="L192" i="2"/>
  <c r="L184" i="2"/>
  <c r="L176" i="2"/>
  <c r="L168" i="2"/>
  <c r="L160" i="2"/>
  <c r="L152" i="2"/>
  <c r="L144" i="2"/>
  <c r="L136" i="2"/>
  <c r="L128" i="2"/>
  <c r="L120" i="2"/>
  <c r="L112" i="2"/>
  <c r="L104" i="2"/>
  <c r="L96" i="2"/>
  <c r="L88" i="2"/>
  <c r="L80" i="2"/>
  <c r="L72" i="2"/>
  <c r="L64" i="2"/>
  <c r="L56" i="2"/>
  <c r="L48" i="2"/>
  <c r="L40" i="2"/>
  <c r="L32" i="2"/>
  <c r="L24" i="2"/>
  <c r="L191" i="2"/>
  <c r="L183" i="2"/>
  <c r="L175" i="2"/>
  <c r="L167" i="2"/>
  <c r="L159" i="2"/>
  <c r="L151" i="2"/>
  <c r="L143" i="2"/>
  <c r="L135" i="2"/>
  <c r="L127" i="2"/>
  <c r="L119" i="2"/>
  <c r="L111" i="2"/>
  <c r="L103" i="2"/>
  <c r="L95" i="2"/>
  <c r="L87" i="2"/>
  <c r="L79" i="2"/>
  <c r="L71" i="2"/>
  <c r="L63" i="2"/>
  <c r="L55" i="2"/>
  <c r="L47" i="2"/>
  <c r="L39" i="2"/>
  <c r="L31" i="2"/>
  <c r="L23" i="2"/>
  <c r="K17" i="2"/>
  <c r="K190" i="2"/>
  <c r="K126" i="2"/>
  <c r="K62" i="2"/>
  <c r="K198" i="2"/>
  <c r="K134" i="2"/>
  <c r="K70" i="2"/>
  <c r="K22" i="2"/>
  <c r="K142" i="2"/>
  <c r="K78" i="2"/>
  <c r="K30" i="2"/>
  <c r="K150" i="2"/>
  <c r="K86" i="2"/>
  <c r="K38" i="2"/>
  <c r="L193" i="2"/>
  <c r="L185" i="2"/>
  <c r="L177" i="2"/>
  <c r="L169" i="2"/>
  <c r="L161" i="2"/>
  <c r="L153" i="2"/>
  <c r="L145" i="2"/>
  <c r="L137" i="2"/>
  <c r="L129" i="2"/>
  <c r="L121" i="2"/>
  <c r="L113" i="2"/>
  <c r="L105" i="2"/>
  <c r="L97" i="2"/>
  <c r="L89" i="2"/>
  <c r="L81" i="2"/>
  <c r="L73" i="2"/>
  <c r="L65" i="2"/>
  <c r="L57" i="2"/>
  <c r="L49" i="2"/>
  <c r="L41" i="2"/>
  <c r="L33" i="2"/>
  <c r="L25" i="2"/>
  <c r="K158" i="2"/>
  <c r="K94" i="2"/>
  <c r="K40" i="2"/>
  <c r="K166" i="2"/>
  <c r="K102" i="2"/>
  <c r="K46" i="2"/>
  <c r="K174" i="2"/>
  <c r="K110" i="2"/>
</calcChain>
</file>

<file path=xl/sharedStrings.xml><?xml version="1.0" encoding="utf-8"?>
<sst xmlns="http://schemas.openxmlformats.org/spreadsheetml/2006/main" count="421" uniqueCount="47">
  <si>
    <t>Moneda</t>
  </si>
  <si>
    <t>Importe Origen</t>
  </si>
  <si>
    <t>Importe Contable</t>
  </si>
  <si>
    <t>Rubro</t>
  </si>
  <si>
    <t>Alta de Activo Fijo (Valores)</t>
  </si>
  <si>
    <t>Texto (3)</t>
  </si>
  <si>
    <t>Según Tabla</t>
  </si>
  <si>
    <t>Se debe ingresar en el sistema la parametrización previa, asi el sistema podrá leer las siglas correctamente</t>
  </si>
  <si>
    <t>Código Activo Fijo</t>
  </si>
  <si>
    <t>01: Muebles y Ut.</t>
  </si>
  <si>
    <t>04: Rodados</t>
  </si>
  <si>
    <t>05: Eq. De Laboratorio</t>
  </si>
  <si>
    <t>06: Maquinarias</t>
  </si>
  <si>
    <t>Para ingresar a la Importación se debe dirigir a Activo Fijo &gt;&gt; Operaciones &gt;&gt; Alta de Activo Fijo</t>
  </si>
  <si>
    <t>Dato Obligatorio</t>
  </si>
  <si>
    <t>Valor Residual / Recupero Origen</t>
  </si>
  <si>
    <t>Valor Residual / Recupero Contable</t>
  </si>
  <si>
    <t>Dato Posible</t>
  </si>
  <si>
    <t>03: Equipos</t>
  </si>
  <si>
    <t>02: Instalaciones</t>
  </si>
  <si>
    <t>Alta de Amortizaciones Acumuladas Inicio</t>
  </si>
  <si>
    <t>Para ingresar a la Importación se debe dirigir a Utilidades &gt;&gt; Interfaces de Importación de Comprobantes &gt;&gt; Activo Fijo - Saldos Iniciales</t>
  </si>
  <si>
    <t>Dato Automático</t>
  </si>
  <si>
    <t>Fecha de Hoy</t>
  </si>
  <si>
    <t>Fecha</t>
  </si>
  <si>
    <t>D</t>
  </si>
  <si>
    <t>CON: Contable</t>
  </si>
  <si>
    <t>IMP: Impositivo</t>
  </si>
  <si>
    <t>INF: Ajuste Por Inflacion</t>
  </si>
  <si>
    <t>Moneda Original</t>
  </si>
  <si>
    <t>Pesos</t>
  </si>
  <si>
    <t>Datos Accesorios para Cálculo Automático</t>
  </si>
  <si>
    <t>Fecha Activación</t>
  </si>
  <si>
    <t>Vida Util</t>
  </si>
  <si>
    <t>Valor Origen</t>
  </si>
  <si>
    <t>Valor Contable</t>
  </si>
  <si>
    <t>Fecha Hasta Amortizado</t>
  </si>
  <si>
    <t>Clase de Comprobante</t>
  </si>
  <si>
    <t>Codigo de Activo Fijo</t>
  </si>
  <si>
    <t>Código Criterio</t>
  </si>
  <si>
    <t>Amortización Período Origen</t>
  </si>
  <si>
    <t>Amortización Período Contable</t>
  </si>
  <si>
    <t>Amort. Inicial Origen</t>
  </si>
  <si>
    <t>Amort. Inicial Contable</t>
  </si>
  <si>
    <t>Signo</t>
  </si>
  <si>
    <t>Años/Meses amortizados</t>
  </si>
  <si>
    <t>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</si>
</sst>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_ ;\-#,##0.00\ "/>
    <numFmt numFmtId="165" formatCode="_-* #,##0.00_-;\-* #,##0.00_-;_-* &quot;-&quot;??_-;_-@"/>
    <numFmt numFmtId="166" formatCode="d/m/yyyy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sz val="10"/>
      <color indexed="12"/>
      <name val="Arial"/>
      <family val="2"/>
    </font>
    <font>
      <sz val="10"/>
      <color indexed="17"/>
      <name val="Arial"/>
      <family val="2"/>
    </font>
    <font>
      <sz val="10"/>
      <color indexed="8"/>
      <name val="Arial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Calibri"/>
      <scheme val="minor"/>
    </font>
    <font>
      <b/>
      <sz val="18"/>
      <color theme="1"/>
      <name val="Calibri"/>
    </font>
    <font>
      <sz val="11"/>
      <name val="Calibri"/>
    </font>
    <font>
      <sz val="11"/>
      <color theme="1"/>
      <name val="Calibri"/>
    </font>
    <font>
      <sz val="10"/>
      <color rgb="FF008000"/>
      <name val="Arial"/>
    </font>
    <font>
      <sz val="11"/>
      <color rgb="FF006100"/>
      <name val="Calibri"/>
    </font>
    <font>
      <sz val="11"/>
      <color rgb="FF3F3F76"/>
      <name val="Calibri"/>
    </font>
    <font>
      <b/>
      <sz val="11"/>
      <color theme="1"/>
      <name val="Calibri"/>
    </font>
    <font>
      <sz val="10"/>
      <color rgb="FF0000FF"/>
      <name val="Arial"/>
    </font>
    <font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B4C6E7"/>
        <bgColor rgb="FFB4C6E7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D9E2F3"/>
        <bgColor rgb="FFD9E2F3"/>
      </patternFill>
    </fill>
    <fill>
      <patternFill patternType="solid">
        <fgColor rgb="FFECECEC"/>
        <bgColor rgb="FFECECEC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7" fillId="0" borderId="0"/>
    <xf numFmtId="0" fontId="3" fillId="0" borderId="0"/>
    <xf numFmtId="0" fontId="8" fillId="4" borderId="0" applyNumberFormat="0" applyBorder="0" applyAlignment="0" applyProtection="0"/>
    <xf numFmtId="0" fontId="9" fillId="5" borderId="0" applyNumberFormat="0" applyBorder="0" applyAlignment="0" applyProtection="0"/>
  </cellStyleXfs>
  <cellXfs count="76">
    <xf numFmtId="0" fontId="0" fillId="0" borderId="0" xfId="0"/>
    <xf numFmtId="43" fontId="0" fillId="0" borderId="0" xfId="1" applyFont="1"/>
    <xf numFmtId="0" fontId="5" fillId="0" borderId="0" xfId="0" applyFont="1"/>
    <xf numFmtId="0" fontId="6" fillId="0" borderId="0" xfId="2" applyFont="1"/>
    <xf numFmtId="49" fontId="0" fillId="0" borderId="0" xfId="0" applyNumberFormat="1"/>
    <xf numFmtId="49" fontId="5" fillId="0" borderId="0" xfId="0" applyNumberFormat="1" applyFont="1"/>
    <xf numFmtId="49" fontId="6" fillId="0" borderId="0" xfId="2" applyNumberFormat="1" applyFont="1"/>
    <xf numFmtId="0" fontId="2" fillId="2" borderId="2" xfId="0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right"/>
    </xf>
    <xf numFmtId="0" fontId="2" fillId="3" borderId="2" xfId="0" applyFont="1" applyFill="1" applyBorder="1"/>
    <xf numFmtId="43" fontId="2" fillId="3" borderId="2" xfId="1" applyFont="1" applyFill="1" applyBorder="1"/>
    <xf numFmtId="49" fontId="2" fillId="3" borderId="2" xfId="0" applyNumberFormat="1" applyFont="1" applyFill="1" applyBorder="1"/>
    <xf numFmtId="0" fontId="8" fillId="4" borderId="2" xfId="5" applyBorder="1"/>
    <xf numFmtId="43" fontId="8" fillId="4" borderId="2" xfId="5" applyNumberFormat="1" applyBorder="1"/>
    <xf numFmtId="43" fontId="0" fillId="0" borderId="2" xfId="1" applyFont="1" applyBorder="1"/>
    <xf numFmtId="43" fontId="9" fillId="5" borderId="2" xfId="6" applyNumberFormat="1" applyBorder="1"/>
    <xf numFmtId="164" fontId="0" fillId="0" borderId="0" xfId="1" applyNumberFormat="1" applyFont="1" applyFill="1"/>
    <xf numFmtId="43" fontId="0" fillId="0" borderId="0" xfId="1" applyFont="1" applyFill="1"/>
    <xf numFmtId="0" fontId="3" fillId="0" borderId="0" xfId="4"/>
    <xf numFmtId="49" fontId="7" fillId="0" borderId="0" xfId="3" applyNumberFormat="1" applyAlignment="1">
      <alignment horizontal="left" wrapText="1"/>
    </xf>
    <xf numFmtId="165" fontId="13" fillId="0" borderId="0" xfId="0" applyNumberFormat="1" applyFont="1"/>
    <xf numFmtId="0" fontId="14" fillId="0" borderId="0" xfId="0" applyFont="1"/>
    <xf numFmtId="0" fontId="10" fillId="0" borderId="0" xfId="0" applyFont="1"/>
    <xf numFmtId="2" fontId="13" fillId="0" borderId="0" xfId="0" applyNumberFormat="1" applyFont="1"/>
    <xf numFmtId="165" fontId="13" fillId="0" borderId="18" xfId="0" applyNumberFormat="1" applyFont="1" applyBorder="1"/>
    <xf numFmtId="165" fontId="16" fillId="8" borderId="18" xfId="0" applyNumberFormat="1" applyFont="1" applyFill="1" applyBorder="1"/>
    <xf numFmtId="0" fontId="13" fillId="0" borderId="18" xfId="0" applyFont="1" applyBorder="1" applyAlignment="1">
      <alignment horizontal="center"/>
    </xf>
    <xf numFmtId="166" fontId="13" fillId="0" borderId="18" xfId="0" applyNumberFormat="1" applyFont="1" applyBorder="1" applyAlignment="1">
      <alignment horizontal="center"/>
    </xf>
    <xf numFmtId="0" fontId="17" fillId="6" borderId="18" xfId="0" applyFont="1" applyFill="1" applyBorder="1" applyAlignment="1">
      <alignment horizontal="right"/>
    </xf>
    <xf numFmtId="0" fontId="18" fillId="0" borderId="0" xfId="0" applyFont="1"/>
    <xf numFmtId="2" fontId="18" fillId="0" borderId="0" xfId="0" applyNumberFormat="1" applyFont="1" applyAlignment="1">
      <alignment horizontal="center"/>
    </xf>
    <xf numFmtId="2" fontId="18" fillId="0" borderId="0" xfId="0" applyNumberFormat="1" applyFont="1"/>
    <xf numFmtId="2" fontId="14" fillId="0" borderId="0" xfId="0" applyNumberFormat="1" applyFont="1"/>
    <xf numFmtId="166" fontId="13" fillId="0" borderId="0" xfId="0" applyNumberFormat="1" applyFont="1"/>
    <xf numFmtId="165" fontId="15" fillId="7" borderId="19" xfId="0" applyNumberFormat="1" applyFont="1" applyFill="1" applyBorder="1"/>
    <xf numFmtId="0" fontId="15" fillId="7" borderId="18" xfId="0" applyFont="1" applyFill="1" applyBorder="1"/>
    <xf numFmtId="2" fontId="15" fillId="7" borderId="18" xfId="0" applyNumberFormat="1" applyFont="1" applyFill="1" applyBorder="1"/>
    <xf numFmtId="0" fontId="17" fillId="6" borderId="20" xfId="0" applyFont="1" applyFill="1" applyBorder="1" applyAlignment="1">
      <alignment horizontal="center"/>
    </xf>
    <xf numFmtId="43" fontId="17" fillId="6" borderId="20" xfId="1" applyFont="1" applyFill="1" applyBorder="1" applyAlignment="1">
      <alignment horizontal="center"/>
    </xf>
    <xf numFmtId="0" fontId="17" fillId="9" borderId="18" xfId="0" applyFont="1" applyFill="1" applyBorder="1" applyAlignment="1">
      <alignment horizontal="center"/>
    </xf>
    <xf numFmtId="165" fontId="17" fillId="9" borderId="18" xfId="0" applyNumberFormat="1" applyFont="1" applyFill="1" applyBorder="1" applyAlignment="1">
      <alignment horizontal="center"/>
    </xf>
    <xf numFmtId="2" fontId="17" fillId="9" borderId="18" xfId="0" applyNumberFormat="1" applyFont="1" applyFill="1" applyBorder="1" applyAlignment="1">
      <alignment horizontal="center"/>
    </xf>
    <xf numFmtId="165" fontId="13" fillId="10" borderId="0" xfId="0" applyNumberFormat="1" applyFont="1" applyFill="1"/>
    <xf numFmtId="2" fontId="13" fillId="10" borderId="0" xfId="0" applyNumberFormat="1" applyFont="1" applyFill="1"/>
    <xf numFmtId="0" fontId="13" fillId="10" borderId="0" xfId="0" applyFont="1" applyFill="1"/>
    <xf numFmtId="0" fontId="19" fillId="10" borderId="0" xfId="0" applyFont="1" applyFill="1"/>
    <xf numFmtId="2" fontId="0" fillId="0" borderId="0" xfId="0" applyNumberFormat="1"/>
    <xf numFmtId="165" fontId="16" fillId="8" borderId="18" xfId="0" applyNumberFormat="1" applyFont="1" applyFill="1" applyBorder="1" applyAlignment="1">
      <alignment horizontal="center"/>
    </xf>
    <xf numFmtId="43" fontId="0" fillId="0" borderId="0" xfId="0" applyNumberFormat="1"/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43" fontId="11" fillId="6" borderId="10" xfId="1" applyFont="1" applyFill="1" applyBorder="1" applyAlignment="1">
      <alignment horizontal="center" vertical="center"/>
    </xf>
    <xf numFmtId="43" fontId="12" fillId="0" borderId="11" xfId="1" applyFont="1" applyBorder="1"/>
    <xf numFmtId="43" fontId="12" fillId="0" borderId="12" xfId="1" applyFont="1" applyBorder="1"/>
    <xf numFmtId="43" fontId="12" fillId="0" borderId="13" xfId="1" applyFont="1" applyBorder="1"/>
    <xf numFmtId="43" fontId="0" fillId="0" borderId="0" xfId="1" applyFont="1"/>
    <xf numFmtId="43" fontId="12" fillId="0" borderId="14" xfId="1" applyFont="1" applyBorder="1"/>
    <xf numFmtId="43" fontId="12" fillId="0" borderId="15" xfId="1" applyFont="1" applyBorder="1"/>
    <xf numFmtId="43" fontId="12" fillId="0" borderId="16" xfId="1" applyFont="1" applyBorder="1"/>
    <xf numFmtId="43" fontId="12" fillId="0" borderId="17" xfId="1" applyFont="1" applyBorder="1"/>
    <xf numFmtId="0" fontId="17" fillId="9" borderId="2" xfId="0" applyFont="1" applyFill="1" applyBorder="1" applyAlignment="1">
      <alignment horizontal="center"/>
    </xf>
    <xf numFmtId="43" fontId="17" fillId="9" borderId="2" xfId="1" applyFont="1" applyFill="1" applyBorder="1" applyAlignment="1">
      <alignment horizontal="center"/>
    </xf>
    <xf numFmtId="0" fontId="14" fillId="0" borderId="0" xfId="0" applyNumberFormat="1" applyFont="1"/>
    <xf numFmtId="0" fontId="13" fillId="0" borderId="0" xfId="0" applyNumberFormat="1" applyFont="1"/>
    <xf numFmtId="0" fontId="15" fillId="7" borderId="18" xfId="0" applyNumberFormat="1" applyFont="1" applyFill="1" applyBorder="1"/>
    <xf numFmtId="0" fontId="16" fillId="8" borderId="18" xfId="0" applyNumberFormat="1" applyFont="1" applyFill="1" applyBorder="1"/>
    <xf numFmtId="0" fontId="17" fillId="6" borderId="18" xfId="0" applyNumberFormat="1" applyFont="1" applyFill="1" applyBorder="1" applyAlignment="1">
      <alignment horizontal="right"/>
    </xf>
    <xf numFmtId="0" fontId="17" fillId="9" borderId="18" xfId="0" applyNumberFormat="1" applyFont="1" applyFill="1" applyBorder="1" applyAlignment="1">
      <alignment horizontal="center"/>
    </xf>
    <xf numFmtId="0" fontId="0" fillId="0" borderId="0" xfId="0" applyNumberFormat="1"/>
  </cellXfs>
  <cellStyles count="7">
    <cellStyle name="Bueno" xfId="5" builtinId="26"/>
    <cellStyle name="Millares" xfId="1" builtinId="3"/>
    <cellStyle name="Neutral" xfId="6" builtinId="28"/>
    <cellStyle name="Normal" xfId="0" builtinId="0"/>
    <cellStyle name="Normal 2" xfId="2" xr:uid="{DD5C30AC-6AA4-462E-836E-1428DAC083DE}"/>
    <cellStyle name="Normal_Hoja1" xfId="4" xr:uid="{CA259860-2665-4401-A6EF-CA2C49A13BB9}"/>
    <cellStyle name="Normal_Hoja1_1" xfId="3" xr:uid="{5B205250-9361-47CC-A1A0-36D0610B61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38F7C-FC3B-4A3E-A841-C81E2F58E021}">
  <dimension ref="A1:J202"/>
  <sheetViews>
    <sheetView topLeftCell="A4" workbookViewId="0">
      <selection activeCell="B21" sqref="B21:H202"/>
    </sheetView>
  </sheetViews>
  <sheetFormatPr baseColWidth="10" defaultRowHeight="15" x14ac:dyDescent="0.25"/>
  <cols>
    <col min="2" max="2" width="67.7109375" customWidth="1"/>
    <col min="3" max="3" width="15.7109375" customWidth="1"/>
    <col min="4" max="4" width="19.28515625" style="1" customWidth="1"/>
    <col min="5" max="5" width="21.5703125" style="1" customWidth="1"/>
    <col min="6" max="6" width="34.5703125" style="1" customWidth="1"/>
    <col min="7" max="7" width="36.140625" style="1" customWidth="1"/>
    <col min="8" max="8" width="23.28515625" style="4" customWidth="1"/>
    <col min="9" max="9" width="26.140625" customWidth="1"/>
    <col min="10" max="10" width="22" bestFit="1" customWidth="1"/>
  </cols>
  <sheetData>
    <row r="1" spans="1:10" ht="15" customHeight="1" x14ac:dyDescent="0.25">
      <c r="A1" s="49" t="s">
        <v>4</v>
      </c>
      <c r="B1" s="50"/>
      <c r="C1" s="50"/>
      <c r="D1" s="51"/>
      <c r="F1" s="3" t="s">
        <v>6</v>
      </c>
      <c r="G1" t="s">
        <v>7</v>
      </c>
    </row>
    <row r="2" spans="1:10" ht="15.75" customHeight="1" x14ac:dyDescent="0.25">
      <c r="A2" s="52"/>
      <c r="B2" s="53"/>
      <c r="C2" s="53"/>
      <c r="D2" s="54"/>
    </row>
    <row r="3" spans="1:10" x14ac:dyDescent="0.25">
      <c r="A3" s="52"/>
      <c r="B3" s="53"/>
      <c r="C3" s="53"/>
      <c r="D3" s="54"/>
      <c r="F3" s="4" t="s">
        <v>13</v>
      </c>
    </row>
    <row r="4" spans="1:10" ht="15.75" thickBot="1" x14ac:dyDescent="0.3">
      <c r="A4" s="55"/>
      <c r="B4" s="56"/>
      <c r="C4" s="56"/>
      <c r="D4" s="57"/>
    </row>
    <row r="5" spans="1:10" x14ac:dyDescent="0.25">
      <c r="F5" s="13"/>
      <c r="G5" s="14" t="s">
        <v>14</v>
      </c>
    </row>
    <row r="6" spans="1:10" x14ac:dyDescent="0.25">
      <c r="F6" s="15"/>
      <c r="G6" s="14" t="s">
        <v>17</v>
      </c>
    </row>
    <row r="7" spans="1:10" x14ac:dyDescent="0.25">
      <c r="D7"/>
      <c r="E7"/>
      <c r="H7" s="1"/>
      <c r="I7" s="1"/>
      <c r="J7" s="4"/>
    </row>
    <row r="8" spans="1:10" x14ac:dyDescent="0.25">
      <c r="B8" s="7">
        <v>1</v>
      </c>
      <c r="C8" s="7">
        <v>2</v>
      </c>
      <c r="D8" s="7">
        <v>3</v>
      </c>
      <c r="E8" s="7">
        <v>4</v>
      </c>
      <c r="F8" s="7">
        <v>5</v>
      </c>
      <c r="G8" s="7">
        <v>6</v>
      </c>
      <c r="H8" s="8">
        <v>7</v>
      </c>
    </row>
    <row r="9" spans="1:10" x14ac:dyDescent="0.25">
      <c r="C9" s="2" t="s">
        <v>5</v>
      </c>
      <c r="H9" s="5" t="s">
        <v>5</v>
      </c>
    </row>
    <row r="10" spans="1:10" x14ac:dyDescent="0.25">
      <c r="C10" s="3" t="s">
        <v>6</v>
      </c>
      <c r="H10" s="6" t="s">
        <v>6</v>
      </c>
    </row>
    <row r="12" spans="1:10" ht="15.75" customHeight="1" x14ac:dyDescent="0.25">
      <c r="H12" s="4" t="s">
        <v>9</v>
      </c>
    </row>
    <row r="13" spans="1:10" x14ac:dyDescent="0.25">
      <c r="H13" s="4" t="s">
        <v>19</v>
      </c>
    </row>
    <row r="14" spans="1:10" x14ac:dyDescent="0.25">
      <c r="H14" s="4" t="s">
        <v>18</v>
      </c>
    </row>
    <row r="15" spans="1:10" x14ac:dyDescent="0.25">
      <c r="H15" s="4" t="s">
        <v>10</v>
      </c>
    </row>
    <row r="16" spans="1:10" x14ac:dyDescent="0.25">
      <c r="H16" s="4" t="s">
        <v>11</v>
      </c>
    </row>
    <row r="17" spans="2:8" x14ac:dyDescent="0.25">
      <c r="H17" s="4" t="s">
        <v>12</v>
      </c>
    </row>
    <row r="19" spans="2:8" x14ac:dyDescent="0.25">
      <c r="B19" s="12"/>
      <c r="C19" s="12"/>
      <c r="D19" s="13"/>
      <c r="E19" s="13"/>
      <c r="F19" s="15"/>
      <c r="G19" s="15"/>
      <c r="H19" s="13"/>
    </row>
    <row r="20" spans="2:8" x14ac:dyDescent="0.25">
      <c r="B20" s="9" t="s">
        <v>8</v>
      </c>
      <c r="C20" s="9" t="s">
        <v>0</v>
      </c>
      <c r="D20" s="10" t="s">
        <v>1</v>
      </c>
      <c r="E20" s="10" t="s">
        <v>2</v>
      </c>
      <c r="F20" s="10" t="s">
        <v>15</v>
      </c>
      <c r="G20" s="10" t="s">
        <v>16</v>
      </c>
      <c r="H20" s="11" t="s">
        <v>3</v>
      </c>
    </row>
    <row r="21" spans="2:8" x14ac:dyDescent="0.25">
      <c r="B21" s="18"/>
      <c r="D21" s="16"/>
      <c r="E21" s="16"/>
      <c r="F21" s="17"/>
      <c r="G21" s="17"/>
      <c r="H21" s="19"/>
    </row>
    <row r="22" spans="2:8" x14ac:dyDescent="0.25">
      <c r="B22" s="18"/>
      <c r="D22" s="16"/>
      <c r="E22" s="16"/>
      <c r="F22" s="17"/>
      <c r="G22" s="17"/>
      <c r="H22" s="19"/>
    </row>
    <row r="23" spans="2:8" x14ac:dyDescent="0.25">
      <c r="B23" s="18"/>
      <c r="D23" s="16"/>
      <c r="E23" s="16"/>
      <c r="F23" s="17"/>
      <c r="G23" s="17"/>
      <c r="H23" s="19"/>
    </row>
    <row r="24" spans="2:8" x14ac:dyDescent="0.25">
      <c r="B24" s="18"/>
      <c r="D24" s="16"/>
      <c r="E24" s="16"/>
      <c r="F24" s="17"/>
      <c r="G24" s="17"/>
      <c r="H24" s="19"/>
    </row>
    <row r="25" spans="2:8" x14ac:dyDescent="0.25">
      <c r="B25" s="18"/>
      <c r="D25" s="16"/>
      <c r="E25" s="16"/>
      <c r="F25" s="17"/>
      <c r="G25" s="17"/>
      <c r="H25" s="19"/>
    </row>
    <row r="26" spans="2:8" x14ac:dyDescent="0.25">
      <c r="B26" s="18"/>
      <c r="D26" s="16"/>
      <c r="E26" s="16"/>
      <c r="F26" s="17"/>
      <c r="G26" s="17"/>
      <c r="H26" s="19"/>
    </row>
    <row r="27" spans="2:8" x14ac:dyDescent="0.25">
      <c r="B27" s="18"/>
      <c r="D27" s="16"/>
      <c r="E27" s="16"/>
      <c r="F27" s="17"/>
      <c r="G27" s="17"/>
      <c r="H27" s="19"/>
    </row>
    <row r="28" spans="2:8" x14ac:dyDescent="0.25">
      <c r="B28" s="18"/>
      <c r="D28" s="16"/>
      <c r="E28" s="16"/>
      <c r="F28" s="17"/>
      <c r="G28" s="17"/>
      <c r="H28" s="19"/>
    </row>
    <row r="29" spans="2:8" x14ac:dyDescent="0.25">
      <c r="B29" s="18"/>
      <c r="D29" s="16"/>
      <c r="E29" s="16"/>
      <c r="F29" s="17"/>
      <c r="G29" s="17"/>
      <c r="H29" s="19"/>
    </row>
    <row r="30" spans="2:8" x14ac:dyDescent="0.25">
      <c r="B30" s="18"/>
      <c r="D30" s="16"/>
      <c r="E30" s="16"/>
      <c r="F30" s="17"/>
      <c r="G30" s="17"/>
      <c r="H30" s="19"/>
    </row>
    <row r="31" spans="2:8" x14ac:dyDescent="0.25">
      <c r="B31" s="18"/>
      <c r="D31" s="16"/>
      <c r="E31" s="16"/>
      <c r="F31" s="17"/>
      <c r="G31" s="17"/>
      <c r="H31" s="19"/>
    </row>
    <row r="32" spans="2:8" x14ac:dyDescent="0.25">
      <c r="B32" s="18"/>
      <c r="D32" s="16"/>
      <c r="E32" s="16"/>
      <c r="F32" s="17"/>
      <c r="G32" s="17"/>
      <c r="H32" s="19"/>
    </row>
    <row r="33" spans="2:8" x14ac:dyDescent="0.25">
      <c r="B33" s="18"/>
      <c r="D33" s="16"/>
      <c r="E33" s="16"/>
      <c r="F33" s="17"/>
      <c r="G33" s="17"/>
      <c r="H33" s="19"/>
    </row>
    <row r="34" spans="2:8" x14ac:dyDescent="0.25">
      <c r="B34" s="18"/>
      <c r="D34" s="16"/>
      <c r="E34" s="16"/>
      <c r="F34" s="17"/>
      <c r="G34" s="17"/>
      <c r="H34" s="19"/>
    </row>
    <row r="35" spans="2:8" x14ac:dyDescent="0.25">
      <c r="B35" s="18"/>
      <c r="D35" s="16"/>
      <c r="E35" s="16"/>
      <c r="F35" s="17"/>
      <c r="G35" s="17"/>
      <c r="H35" s="19"/>
    </row>
    <row r="36" spans="2:8" x14ac:dyDescent="0.25">
      <c r="B36" s="18"/>
      <c r="D36" s="16"/>
      <c r="E36" s="16"/>
      <c r="F36" s="17"/>
      <c r="G36" s="17"/>
      <c r="H36" s="19"/>
    </row>
    <row r="37" spans="2:8" x14ac:dyDescent="0.25">
      <c r="B37" s="18"/>
      <c r="D37" s="16"/>
      <c r="E37" s="16"/>
      <c r="F37" s="17"/>
      <c r="G37" s="17"/>
      <c r="H37" s="19"/>
    </row>
    <row r="38" spans="2:8" x14ac:dyDescent="0.25">
      <c r="B38" s="18"/>
      <c r="D38" s="16"/>
      <c r="E38" s="16"/>
      <c r="F38" s="17"/>
      <c r="G38" s="17"/>
      <c r="H38" s="19"/>
    </row>
    <row r="39" spans="2:8" x14ac:dyDescent="0.25">
      <c r="B39" s="18"/>
      <c r="D39" s="16"/>
      <c r="E39" s="16"/>
      <c r="F39" s="17"/>
      <c r="G39" s="17"/>
      <c r="H39" s="19"/>
    </row>
    <row r="40" spans="2:8" x14ac:dyDescent="0.25">
      <c r="B40" s="18"/>
      <c r="D40" s="16"/>
      <c r="E40" s="16"/>
      <c r="F40" s="17"/>
      <c r="G40" s="17"/>
      <c r="H40" s="19"/>
    </row>
    <row r="41" spans="2:8" x14ac:dyDescent="0.25">
      <c r="B41" s="18"/>
      <c r="D41" s="16"/>
      <c r="E41" s="16"/>
      <c r="F41" s="17"/>
      <c r="G41" s="17"/>
      <c r="H41" s="19"/>
    </row>
    <row r="42" spans="2:8" x14ac:dyDescent="0.25">
      <c r="B42" s="18"/>
      <c r="D42" s="16"/>
      <c r="E42" s="16"/>
      <c r="F42" s="17"/>
      <c r="G42" s="17"/>
      <c r="H42" s="19"/>
    </row>
    <row r="43" spans="2:8" x14ac:dyDescent="0.25">
      <c r="B43" s="18"/>
      <c r="D43" s="16"/>
      <c r="E43" s="16"/>
      <c r="F43" s="17"/>
      <c r="G43" s="17"/>
      <c r="H43" s="19"/>
    </row>
    <row r="44" spans="2:8" x14ac:dyDescent="0.25">
      <c r="B44" s="18"/>
      <c r="D44" s="16"/>
      <c r="E44" s="16"/>
      <c r="F44" s="17"/>
      <c r="G44" s="17"/>
      <c r="H44" s="19"/>
    </row>
    <row r="45" spans="2:8" x14ac:dyDescent="0.25">
      <c r="B45" s="18"/>
      <c r="D45" s="16"/>
      <c r="E45" s="16"/>
      <c r="F45" s="17"/>
      <c r="G45" s="17"/>
      <c r="H45" s="19"/>
    </row>
    <row r="46" spans="2:8" x14ac:dyDescent="0.25">
      <c r="B46" s="18"/>
      <c r="D46" s="16"/>
      <c r="E46" s="16"/>
      <c r="F46" s="17"/>
      <c r="G46" s="17"/>
      <c r="H46" s="19"/>
    </row>
    <row r="47" spans="2:8" x14ac:dyDescent="0.25">
      <c r="B47" s="18"/>
      <c r="D47" s="16"/>
      <c r="E47" s="16"/>
      <c r="F47" s="17"/>
      <c r="G47" s="17"/>
      <c r="H47" s="19"/>
    </row>
    <row r="48" spans="2:8" x14ac:dyDescent="0.25">
      <c r="B48" s="18"/>
      <c r="D48" s="16"/>
      <c r="E48" s="16"/>
      <c r="F48" s="17"/>
      <c r="G48" s="17"/>
      <c r="H48" s="19"/>
    </row>
    <row r="49" spans="2:8" x14ac:dyDescent="0.25">
      <c r="B49" s="18"/>
      <c r="D49" s="16"/>
      <c r="E49" s="16"/>
      <c r="F49" s="17"/>
      <c r="G49" s="17"/>
      <c r="H49" s="19"/>
    </row>
    <row r="50" spans="2:8" x14ac:dyDescent="0.25">
      <c r="B50" s="18"/>
      <c r="D50" s="16"/>
      <c r="E50" s="16"/>
      <c r="F50" s="17"/>
      <c r="G50" s="17"/>
      <c r="H50" s="19"/>
    </row>
    <row r="51" spans="2:8" x14ac:dyDescent="0.25">
      <c r="B51" s="18"/>
      <c r="D51" s="16"/>
      <c r="E51" s="16"/>
      <c r="F51" s="17"/>
      <c r="G51" s="17"/>
      <c r="H51" s="19"/>
    </row>
    <row r="52" spans="2:8" x14ac:dyDescent="0.25">
      <c r="B52" s="18"/>
      <c r="D52" s="16"/>
      <c r="E52" s="16"/>
      <c r="F52" s="17"/>
      <c r="G52" s="17"/>
      <c r="H52" s="19"/>
    </row>
    <row r="53" spans="2:8" x14ac:dyDescent="0.25">
      <c r="B53" s="18"/>
      <c r="D53" s="16"/>
      <c r="E53" s="16"/>
      <c r="F53" s="17"/>
      <c r="G53" s="17"/>
      <c r="H53" s="19"/>
    </row>
    <row r="54" spans="2:8" x14ac:dyDescent="0.25">
      <c r="B54" s="18"/>
      <c r="D54" s="16"/>
      <c r="E54" s="16"/>
      <c r="F54" s="17"/>
      <c r="G54" s="17"/>
      <c r="H54" s="19"/>
    </row>
    <row r="55" spans="2:8" x14ac:dyDescent="0.25">
      <c r="B55" s="18"/>
      <c r="D55" s="16"/>
      <c r="E55" s="16"/>
      <c r="F55" s="17"/>
      <c r="G55" s="17"/>
      <c r="H55" s="19"/>
    </row>
    <row r="56" spans="2:8" x14ac:dyDescent="0.25">
      <c r="B56" s="18"/>
      <c r="D56" s="16"/>
      <c r="E56" s="16"/>
      <c r="F56" s="17"/>
      <c r="G56" s="17"/>
      <c r="H56" s="19"/>
    </row>
    <row r="57" spans="2:8" x14ac:dyDescent="0.25">
      <c r="B57" s="18"/>
      <c r="D57" s="16"/>
      <c r="E57" s="16"/>
      <c r="F57" s="17"/>
      <c r="G57" s="17"/>
      <c r="H57" s="19"/>
    </row>
    <row r="58" spans="2:8" x14ac:dyDescent="0.25">
      <c r="B58" s="18"/>
      <c r="D58" s="16"/>
      <c r="E58" s="16"/>
      <c r="F58" s="17"/>
      <c r="G58" s="17"/>
      <c r="H58" s="19"/>
    </row>
    <row r="59" spans="2:8" x14ac:dyDescent="0.25">
      <c r="B59" s="18"/>
      <c r="D59" s="16"/>
      <c r="E59" s="16"/>
      <c r="F59" s="17"/>
      <c r="G59" s="17"/>
      <c r="H59" s="19"/>
    </row>
    <row r="60" spans="2:8" x14ac:dyDescent="0.25">
      <c r="B60" s="18"/>
      <c r="D60" s="16"/>
      <c r="E60" s="16"/>
      <c r="F60" s="17"/>
      <c r="G60" s="17"/>
      <c r="H60" s="19"/>
    </row>
    <row r="61" spans="2:8" x14ac:dyDescent="0.25">
      <c r="B61" s="18"/>
      <c r="D61" s="16"/>
      <c r="E61" s="16"/>
      <c r="F61" s="17"/>
      <c r="G61" s="17"/>
      <c r="H61" s="19"/>
    </row>
    <row r="62" spans="2:8" x14ac:dyDescent="0.25">
      <c r="B62" s="18"/>
      <c r="D62" s="16"/>
      <c r="E62" s="16"/>
      <c r="F62" s="17"/>
      <c r="G62" s="17"/>
      <c r="H62" s="19"/>
    </row>
    <row r="63" spans="2:8" x14ac:dyDescent="0.25">
      <c r="B63" s="18"/>
      <c r="D63" s="16"/>
      <c r="E63" s="16"/>
      <c r="F63" s="17"/>
      <c r="G63" s="17"/>
      <c r="H63" s="19"/>
    </row>
    <row r="64" spans="2:8" x14ac:dyDescent="0.25">
      <c r="B64" s="18"/>
      <c r="D64" s="16"/>
      <c r="E64" s="16"/>
      <c r="F64" s="17"/>
      <c r="G64" s="17"/>
      <c r="H64" s="19"/>
    </row>
    <row r="65" spans="2:8" x14ac:dyDescent="0.25">
      <c r="B65" s="18"/>
      <c r="D65" s="16"/>
      <c r="E65" s="16"/>
      <c r="F65" s="17"/>
      <c r="G65" s="17"/>
      <c r="H65" s="19"/>
    </row>
    <row r="66" spans="2:8" x14ac:dyDescent="0.25">
      <c r="B66" s="18"/>
      <c r="D66" s="16"/>
      <c r="E66" s="16"/>
      <c r="F66" s="17"/>
      <c r="G66" s="17"/>
      <c r="H66" s="19"/>
    </row>
    <row r="67" spans="2:8" x14ac:dyDescent="0.25">
      <c r="B67" s="18"/>
      <c r="D67" s="16"/>
      <c r="E67" s="16"/>
      <c r="F67" s="17"/>
      <c r="G67" s="17"/>
      <c r="H67" s="19"/>
    </row>
    <row r="68" spans="2:8" x14ac:dyDescent="0.25">
      <c r="B68" s="18"/>
      <c r="D68" s="16"/>
      <c r="E68" s="16"/>
      <c r="F68" s="17"/>
      <c r="G68" s="17"/>
      <c r="H68" s="19"/>
    </row>
    <row r="69" spans="2:8" x14ac:dyDescent="0.25">
      <c r="B69" s="18"/>
      <c r="D69" s="16"/>
      <c r="E69" s="16"/>
      <c r="F69" s="17"/>
      <c r="G69" s="17"/>
      <c r="H69" s="19"/>
    </row>
    <row r="70" spans="2:8" x14ac:dyDescent="0.25">
      <c r="B70" s="18"/>
      <c r="D70" s="16"/>
      <c r="E70" s="16"/>
      <c r="F70" s="17"/>
      <c r="G70" s="17"/>
      <c r="H70" s="19"/>
    </row>
    <row r="71" spans="2:8" x14ac:dyDescent="0.25">
      <c r="B71" s="18"/>
      <c r="D71" s="16"/>
      <c r="E71" s="16"/>
      <c r="F71" s="17"/>
      <c r="G71" s="17"/>
      <c r="H71" s="19"/>
    </row>
    <row r="72" spans="2:8" x14ac:dyDescent="0.25">
      <c r="B72" s="18"/>
      <c r="D72" s="16"/>
      <c r="E72" s="16"/>
      <c r="F72" s="17"/>
      <c r="G72" s="17"/>
      <c r="H72" s="19"/>
    </row>
    <row r="73" spans="2:8" x14ac:dyDescent="0.25">
      <c r="B73" s="18"/>
      <c r="D73" s="16"/>
      <c r="E73" s="16"/>
      <c r="F73" s="17"/>
      <c r="G73" s="17"/>
      <c r="H73" s="19"/>
    </row>
    <row r="74" spans="2:8" x14ac:dyDescent="0.25">
      <c r="B74" s="18"/>
      <c r="D74" s="16"/>
      <c r="E74" s="16"/>
      <c r="F74" s="17"/>
      <c r="G74" s="17"/>
      <c r="H74" s="19"/>
    </row>
    <row r="75" spans="2:8" x14ac:dyDescent="0.25">
      <c r="B75" s="18"/>
      <c r="D75" s="16"/>
      <c r="E75" s="16"/>
      <c r="F75" s="17"/>
      <c r="G75" s="17"/>
      <c r="H75" s="19"/>
    </row>
    <row r="76" spans="2:8" x14ac:dyDescent="0.25">
      <c r="B76" s="18"/>
      <c r="D76" s="16"/>
      <c r="E76" s="16"/>
      <c r="F76" s="17"/>
      <c r="G76" s="17"/>
      <c r="H76" s="19"/>
    </row>
    <row r="77" spans="2:8" x14ac:dyDescent="0.25">
      <c r="B77" s="18"/>
      <c r="D77" s="16"/>
      <c r="E77" s="16"/>
      <c r="F77" s="17"/>
      <c r="G77" s="17"/>
      <c r="H77" s="19"/>
    </row>
    <row r="78" spans="2:8" x14ac:dyDescent="0.25">
      <c r="B78" s="18"/>
      <c r="D78" s="16"/>
      <c r="E78" s="16"/>
      <c r="F78" s="17"/>
      <c r="G78" s="17"/>
      <c r="H78" s="19"/>
    </row>
    <row r="79" spans="2:8" x14ac:dyDescent="0.25">
      <c r="B79" s="18"/>
      <c r="D79" s="16"/>
      <c r="E79" s="16"/>
      <c r="F79" s="17"/>
      <c r="G79" s="17"/>
      <c r="H79" s="19"/>
    </row>
    <row r="80" spans="2:8" x14ac:dyDescent="0.25">
      <c r="B80" s="18"/>
      <c r="D80" s="16"/>
      <c r="E80" s="16"/>
      <c r="F80" s="17"/>
      <c r="G80" s="17"/>
      <c r="H80" s="19"/>
    </row>
    <row r="81" spans="2:8" x14ac:dyDescent="0.25">
      <c r="B81" s="18"/>
      <c r="D81" s="16"/>
      <c r="E81" s="16"/>
      <c r="F81" s="17"/>
      <c r="G81" s="17"/>
      <c r="H81" s="19"/>
    </row>
    <row r="82" spans="2:8" x14ac:dyDescent="0.25">
      <c r="B82" s="18"/>
      <c r="D82" s="16"/>
      <c r="E82" s="16"/>
      <c r="F82" s="17"/>
      <c r="G82" s="17"/>
      <c r="H82" s="19"/>
    </row>
    <row r="83" spans="2:8" x14ac:dyDescent="0.25">
      <c r="B83" s="18"/>
      <c r="D83" s="16"/>
      <c r="E83" s="16"/>
      <c r="F83" s="17"/>
      <c r="G83" s="17"/>
      <c r="H83" s="19"/>
    </row>
    <row r="84" spans="2:8" x14ac:dyDescent="0.25">
      <c r="B84" s="18"/>
      <c r="D84" s="16"/>
      <c r="E84" s="16"/>
      <c r="F84" s="17"/>
      <c r="G84" s="17"/>
      <c r="H84" s="19"/>
    </row>
    <row r="85" spans="2:8" x14ac:dyDescent="0.25">
      <c r="B85" s="18"/>
      <c r="D85" s="16"/>
      <c r="E85" s="16"/>
      <c r="F85" s="17"/>
      <c r="G85" s="17"/>
      <c r="H85" s="19"/>
    </row>
    <row r="86" spans="2:8" x14ac:dyDescent="0.25">
      <c r="B86" s="18"/>
      <c r="D86" s="16"/>
      <c r="E86" s="16"/>
      <c r="F86" s="17"/>
      <c r="G86" s="17"/>
      <c r="H86" s="19"/>
    </row>
    <row r="87" spans="2:8" x14ac:dyDescent="0.25">
      <c r="B87" s="18"/>
      <c r="D87" s="16"/>
      <c r="E87" s="16"/>
      <c r="F87" s="17"/>
      <c r="G87" s="17"/>
      <c r="H87" s="19"/>
    </row>
    <row r="88" spans="2:8" x14ac:dyDescent="0.25">
      <c r="B88" s="18"/>
      <c r="D88" s="16"/>
      <c r="E88" s="16"/>
      <c r="F88" s="17"/>
      <c r="G88" s="17"/>
      <c r="H88" s="19"/>
    </row>
    <row r="89" spans="2:8" x14ac:dyDescent="0.25">
      <c r="B89" s="18"/>
      <c r="D89" s="16"/>
      <c r="E89" s="16"/>
      <c r="F89" s="17"/>
      <c r="G89" s="17"/>
      <c r="H89" s="19"/>
    </row>
    <row r="90" spans="2:8" x14ac:dyDescent="0.25">
      <c r="B90" s="18"/>
      <c r="D90" s="16"/>
      <c r="E90" s="16"/>
      <c r="F90" s="17"/>
      <c r="G90" s="17"/>
      <c r="H90" s="19"/>
    </row>
    <row r="91" spans="2:8" x14ac:dyDescent="0.25">
      <c r="B91" s="18"/>
      <c r="D91" s="16"/>
      <c r="E91" s="16"/>
      <c r="F91" s="17"/>
      <c r="G91" s="17"/>
      <c r="H91" s="19"/>
    </row>
    <row r="92" spans="2:8" x14ac:dyDescent="0.25">
      <c r="B92" s="18"/>
      <c r="D92" s="16"/>
      <c r="E92" s="16"/>
      <c r="F92" s="17"/>
      <c r="G92" s="17"/>
      <c r="H92" s="19"/>
    </row>
    <row r="93" spans="2:8" x14ac:dyDescent="0.25">
      <c r="B93" s="18"/>
      <c r="D93" s="16"/>
      <c r="E93" s="16"/>
      <c r="F93" s="17"/>
      <c r="G93" s="17"/>
      <c r="H93" s="19"/>
    </row>
    <row r="94" spans="2:8" x14ac:dyDescent="0.25">
      <c r="B94" s="18"/>
      <c r="D94" s="16"/>
      <c r="E94" s="16"/>
      <c r="F94" s="17"/>
      <c r="G94" s="17"/>
      <c r="H94" s="19"/>
    </row>
    <row r="95" spans="2:8" x14ac:dyDescent="0.25">
      <c r="B95" s="18"/>
      <c r="D95" s="16"/>
      <c r="E95" s="16"/>
      <c r="F95" s="17"/>
      <c r="G95" s="17"/>
      <c r="H95" s="19"/>
    </row>
    <row r="96" spans="2:8" x14ac:dyDescent="0.25">
      <c r="B96" s="18"/>
      <c r="D96" s="16"/>
      <c r="E96" s="16"/>
      <c r="F96" s="17"/>
      <c r="G96" s="17"/>
      <c r="H96" s="19"/>
    </row>
    <row r="97" spans="2:8" x14ac:dyDescent="0.25">
      <c r="B97" s="18"/>
      <c r="D97" s="16"/>
      <c r="E97" s="16"/>
      <c r="F97" s="17"/>
      <c r="G97" s="17"/>
      <c r="H97" s="19"/>
    </row>
    <row r="98" spans="2:8" x14ac:dyDescent="0.25">
      <c r="B98" s="18"/>
      <c r="D98" s="16"/>
      <c r="E98" s="16"/>
      <c r="F98" s="17"/>
      <c r="G98" s="17"/>
      <c r="H98" s="19"/>
    </row>
    <row r="99" spans="2:8" x14ac:dyDescent="0.25">
      <c r="B99" s="18"/>
      <c r="D99" s="16"/>
      <c r="E99" s="16"/>
      <c r="F99" s="17"/>
      <c r="G99" s="17"/>
      <c r="H99" s="19"/>
    </row>
    <row r="100" spans="2:8" x14ac:dyDescent="0.25">
      <c r="B100" s="18"/>
      <c r="D100" s="16"/>
      <c r="E100" s="16"/>
      <c r="F100" s="17"/>
      <c r="G100" s="17"/>
      <c r="H100" s="19"/>
    </row>
    <row r="101" spans="2:8" x14ac:dyDescent="0.25">
      <c r="B101" s="18"/>
      <c r="D101" s="16"/>
      <c r="E101" s="16"/>
      <c r="F101" s="17"/>
      <c r="G101" s="17"/>
      <c r="H101" s="19"/>
    </row>
    <row r="102" spans="2:8" x14ac:dyDescent="0.25">
      <c r="B102" s="18"/>
      <c r="D102" s="16"/>
      <c r="E102" s="16"/>
      <c r="F102" s="17"/>
      <c r="G102" s="17"/>
      <c r="H102" s="19"/>
    </row>
    <row r="103" spans="2:8" x14ac:dyDescent="0.25">
      <c r="B103" s="18"/>
      <c r="D103" s="16"/>
      <c r="E103" s="16"/>
      <c r="F103" s="17"/>
      <c r="G103" s="17"/>
      <c r="H103" s="19"/>
    </row>
    <row r="104" spans="2:8" x14ac:dyDescent="0.25">
      <c r="B104" s="18"/>
      <c r="D104" s="16"/>
      <c r="E104" s="16"/>
      <c r="F104" s="17"/>
      <c r="G104" s="17"/>
      <c r="H104" s="19"/>
    </row>
    <row r="105" spans="2:8" x14ac:dyDescent="0.25">
      <c r="B105" s="18"/>
      <c r="D105" s="16"/>
      <c r="E105" s="16"/>
      <c r="F105" s="17"/>
      <c r="G105" s="17"/>
      <c r="H105" s="19"/>
    </row>
    <row r="106" spans="2:8" x14ac:dyDescent="0.25">
      <c r="B106" s="18"/>
      <c r="D106" s="16"/>
      <c r="E106" s="16"/>
      <c r="F106" s="17"/>
      <c r="G106" s="17"/>
      <c r="H106" s="19"/>
    </row>
    <row r="107" spans="2:8" x14ac:dyDescent="0.25">
      <c r="B107" s="18"/>
      <c r="D107" s="16"/>
      <c r="E107" s="16"/>
      <c r="F107" s="17"/>
      <c r="G107" s="17"/>
      <c r="H107" s="19"/>
    </row>
    <row r="108" spans="2:8" x14ac:dyDescent="0.25">
      <c r="B108" s="18"/>
      <c r="D108" s="16"/>
      <c r="E108" s="16"/>
      <c r="F108" s="17"/>
      <c r="G108" s="17"/>
      <c r="H108" s="19"/>
    </row>
    <row r="109" spans="2:8" x14ac:dyDescent="0.25">
      <c r="B109" s="18"/>
      <c r="D109" s="16"/>
      <c r="E109" s="16"/>
      <c r="F109" s="17"/>
      <c r="G109" s="17"/>
      <c r="H109" s="19"/>
    </row>
    <row r="110" spans="2:8" x14ac:dyDescent="0.25">
      <c r="B110" s="18"/>
      <c r="D110" s="16"/>
      <c r="E110" s="16"/>
      <c r="F110" s="17"/>
      <c r="G110" s="17"/>
      <c r="H110" s="19"/>
    </row>
    <row r="111" spans="2:8" x14ac:dyDescent="0.25">
      <c r="B111" s="18"/>
      <c r="D111" s="16"/>
      <c r="E111" s="16"/>
      <c r="F111" s="17"/>
      <c r="G111" s="17"/>
      <c r="H111" s="19"/>
    </row>
    <row r="112" spans="2:8" x14ac:dyDescent="0.25">
      <c r="B112" s="18"/>
      <c r="D112" s="16"/>
      <c r="E112" s="16"/>
      <c r="F112" s="17"/>
      <c r="G112" s="17"/>
      <c r="H112" s="19"/>
    </row>
    <row r="113" spans="2:8" x14ac:dyDescent="0.25">
      <c r="B113" s="18"/>
      <c r="D113" s="16"/>
      <c r="E113" s="16"/>
      <c r="F113" s="17"/>
      <c r="G113" s="17"/>
      <c r="H113" s="19"/>
    </row>
    <row r="114" spans="2:8" x14ac:dyDescent="0.25">
      <c r="B114" s="18"/>
      <c r="D114" s="16"/>
      <c r="E114" s="16"/>
      <c r="F114" s="17"/>
      <c r="G114" s="17"/>
      <c r="H114" s="19"/>
    </row>
    <row r="115" spans="2:8" x14ac:dyDescent="0.25">
      <c r="B115" s="18"/>
      <c r="D115" s="16"/>
      <c r="E115" s="16"/>
      <c r="F115" s="17"/>
      <c r="G115" s="17"/>
      <c r="H115" s="19"/>
    </row>
    <row r="116" spans="2:8" x14ac:dyDescent="0.25">
      <c r="B116" s="18"/>
      <c r="D116" s="16"/>
      <c r="E116" s="16"/>
      <c r="F116" s="17"/>
      <c r="G116" s="17"/>
      <c r="H116" s="19"/>
    </row>
    <row r="117" spans="2:8" x14ac:dyDescent="0.25">
      <c r="B117" s="18"/>
      <c r="D117" s="16"/>
      <c r="E117" s="16"/>
      <c r="F117" s="17"/>
      <c r="G117" s="17"/>
      <c r="H117" s="19"/>
    </row>
    <row r="118" spans="2:8" x14ac:dyDescent="0.25">
      <c r="B118" s="18"/>
      <c r="D118" s="16"/>
      <c r="E118" s="16"/>
      <c r="F118" s="17"/>
      <c r="G118" s="17"/>
      <c r="H118" s="19"/>
    </row>
    <row r="119" spans="2:8" x14ac:dyDescent="0.25">
      <c r="B119" s="18"/>
      <c r="D119" s="16"/>
      <c r="E119" s="16"/>
      <c r="F119" s="17"/>
      <c r="G119" s="17"/>
      <c r="H119" s="19"/>
    </row>
    <row r="120" spans="2:8" x14ac:dyDescent="0.25">
      <c r="B120" s="18"/>
      <c r="D120" s="16"/>
      <c r="E120" s="16"/>
      <c r="F120" s="17"/>
      <c r="G120" s="17"/>
      <c r="H120" s="19"/>
    </row>
    <row r="121" spans="2:8" x14ac:dyDescent="0.25">
      <c r="B121" s="18"/>
      <c r="D121" s="16"/>
      <c r="E121" s="16"/>
      <c r="F121" s="17"/>
      <c r="G121" s="17"/>
      <c r="H121" s="19"/>
    </row>
    <row r="122" spans="2:8" x14ac:dyDescent="0.25">
      <c r="B122" s="18"/>
      <c r="D122" s="16"/>
      <c r="E122" s="16"/>
      <c r="F122" s="17"/>
      <c r="G122" s="17"/>
      <c r="H122" s="19"/>
    </row>
    <row r="123" spans="2:8" x14ac:dyDescent="0.25">
      <c r="B123" s="18"/>
      <c r="D123" s="16"/>
      <c r="E123" s="16"/>
      <c r="F123" s="17"/>
      <c r="G123" s="17"/>
      <c r="H123" s="19"/>
    </row>
    <row r="124" spans="2:8" x14ac:dyDescent="0.25">
      <c r="B124" s="18"/>
      <c r="D124" s="16"/>
      <c r="E124" s="16"/>
      <c r="F124" s="17"/>
      <c r="G124" s="17"/>
      <c r="H124" s="19"/>
    </row>
    <row r="125" spans="2:8" x14ac:dyDescent="0.25">
      <c r="B125" s="18"/>
      <c r="D125" s="16"/>
      <c r="E125" s="16"/>
      <c r="F125" s="17"/>
      <c r="G125" s="17"/>
      <c r="H125" s="19"/>
    </row>
    <row r="126" spans="2:8" x14ac:dyDescent="0.25">
      <c r="B126" s="18"/>
      <c r="D126" s="16"/>
      <c r="E126" s="16"/>
      <c r="F126" s="17"/>
      <c r="G126" s="17"/>
      <c r="H126" s="19"/>
    </row>
    <row r="127" spans="2:8" x14ac:dyDescent="0.25">
      <c r="B127" s="18"/>
      <c r="D127" s="16"/>
      <c r="E127" s="16"/>
      <c r="F127" s="17"/>
      <c r="G127" s="17"/>
      <c r="H127" s="19"/>
    </row>
    <row r="128" spans="2:8" x14ac:dyDescent="0.25">
      <c r="B128" s="18"/>
      <c r="D128" s="16"/>
      <c r="E128" s="16"/>
      <c r="F128" s="17"/>
      <c r="G128" s="17"/>
      <c r="H128" s="19"/>
    </row>
    <row r="129" spans="2:8" x14ac:dyDescent="0.25">
      <c r="B129" s="18"/>
      <c r="D129" s="16"/>
      <c r="E129" s="16"/>
      <c r="F129" s="17"/>
      <c r="G129" s="17"/>
      <c r="H129" s="19"/>
    </row>
    <row r="130" spans="2:8" x14ac:dyDescent="0.25">
      <c r="B130" s="18"/>
      <c r="D130" s="16"/>
      <c r="E130" s="16"/>
      <c r="F130" s="17"/>
      <c r="G130" s="17"/>
      <c r="H130" s="19"/>
    </row>
    <row r="131" spans="2:8" x14ac:dyDescent="0.25">
      <c r="B131" s="18"/>
      <c r="D131" s="16"/>
      <c r="E131" s="16"/>
      <c r="F131" s="17"/>
      <c r="G131" s="17"/>
      <c r="H131" s="19"/>
    </row>
    <row r="132" spans="2:8" x14ac:dyDescent="0.25">
      <c r="B132" s="18"/>
      <c r="D132" s="16"/>
      <c r="E132" s="16"/>
      <c r="F132" s="17"/>
      <c r="G132" s="17"/>
      <c r="H132" s="19"/>
    </row>
    <row r="133" spans="2:8" x14ac:dyDescent="0.25">
      <c r="B133" s="18"/>
      <c r="D133" s="16"/>
      <c r="E133" s="16"/>
      <c r="F133" s="17"/>
      <c r="G133" s="17"/>
      <c r="H133" s="19"/>
    </row>
    <row r="134" spans="2:8" x14ac:dyDescent="0.25">
      <c r="B134" s="18"/>
      <c r="D134" s="16"/>
      <c r="E134" s="16"/>
      <c r="F134" s="17"/>
      <c r="G134" s="17"/>
      <c r="H134" s="19"/>
    </row>
    <row r="135" spans="2:8" x14ac:dyDescent="0.25">
      <c r="B135" s="18"/>
      <c r="D135" s="16"/>
      <c r="E135" s="16"/>
      <c r="F135" s="17"/>
      <c r="G135" s="17"/>
      <c r="H135" s="19"/>
    </row>
    <row r="136" spans="2:8" x14ac:dyDescent="0.25">
      <c r="B136" s="18"/>
      <c r="D136" s="16"/>
      <c r="E136" s="16"/>
      <c r="F136" s="17"/>
      <c r="G136" s="17"/>
      <c r="H136" s="19"/>
    </row>
    <row r="137" spans="2:8" x14ac:dyDescent="0.25">
      <c r="B137" s="18"/>
      <c r="D137" s="16"/>
      <c r="E137" s="16"/>
      <c r="F137" s="17"/>
      <c r="G137" s="17"/>
      <c r="H137" s="19"/>
    </row>
    <row r="138" spans="2:8" x14ac:dyDescent="0.25">
      <c r="B138" s="18"/>
      <c r="D138" s="16"/>
      <c r="E138" s="16"/>
      <c r="F138" s="17"/>
      <c r="G138" s="17"/>
      <c r="H138" s="19"/>
    </row>
    <row r="139" spans="2:8" x14ac:dyDescent="0.25">
      <c r="B139" s="18"/>
      <c r="D139" s="16"/>
      <c r="E139" s="16"/>
      <c r="F139" s="17"/>
      <c r="G139" s="17"/>
      <c r="H139" s="19"/>
    </row>
    <row r="140" spans="2:8" x14ac:dyDescent="0.25">
      <c r="B140" s="18"/>
      <c r="D140" s="16"/>
      <c r="E140" s="16"/>
      <c r="F140" s="17"/>
      <c r="G140" s="17"/>
      <c r="H140" s="19"/>
    </row>
    <row r="141" spans="2:8" x14ac:dyDescent="0.25">
      <c r="B141" s="18"/>
      <c r="D141" s="16"/>
      <c r="E141" s="16"/>
      <c r="F141" s="17"/>
      <c r="G141" s="17"/>
      <c r="H141" s="19"/>
    </row>
    <row r="142" spans="2:8" x14ac:dyDescent="0.25">
      <c r="B142" s="18"/>
      <c r="D142" s="16"/>
      <c r="E142" s="16"/>
      <c r="F142" s="17"/>
      <c r="G142" s="17"/>
      <c r="H142" s="19"/>
    </row>
    <row r="143" spans="2:8" x14ac:dyDescent="0.25">
      <c r="B143" s="18"/>
      <c r="D143" s="16"/>
      <c r="E143" s="16"/>
      <c r="F143" s="17"/>
      <c r="G143" s="17"/>
      <c r="H143" s="19"/>
    </row>
    <row r="144" spans="2:8" x14ac:dyDescent="0.25">
      <c r="B144" s="18"/>
      <c r="D144" s="16"/>
      <c r="E144" s="16"/>
      <c r="F144" s="17"/>
      <c r="G144" s="17"/>
      <c r="H144" s="19"/>
    </row>
    <row r="145" spans="2:8" x14ac:dyDescent="0.25">
      <c r="B145" s="18"/>
      <c r="D145" s="16"/>
      <c r="E145" s="16"/>
      <c r="F145" s="17"/>
      <c r="G145" s="17"/>
      <c r="H145" s="19"/>
    </row>
    <row r="146" spans="2:8" x14ac:dyDescent="0.25">
      <c r="B146" s="18"/>
      <c r="D146" s="16"/>
      <c r="E146" s="16"/>
      <c r="F146" s="17"/>
      <c r="G146" s="17"/>
      <c r="H146" s="19"/>
    </row>
    <row r="147" spans="2:8" x14ac:dyDescent="0.25">
      <c r="B147" s="18"/>
      <c r="D147" s="16"/>
      <c r="E147" s="16"/>
      <c r="F147" s="17"/>
      <c r="G147" s="17"/>
      <c r="H147" s="19"/>
    </row>
    <row r="148" spans="2:8" x14ac:dyDescent="0.25">
      <c r="B148" s="18"/>
      <c r="D148" s="16"/>
      <c r="E148" s="16"/>
      <c r="F148" s="17"/>
      <c r="G148" s="17"/>
      <c r="H148" s="19"/>
    </row>
    <row r="149" spans="2:8" x14ac:dyDescent="0.25">
      <c r="B149" s="18"/>
      <c r="D149" s="16"/>
      <c r="E149" s="16"/>
      <c r="F149" s="17"/>
      <c r="G149" s="17"/>
      <c r="H149" s="19"/>
    </row>
    <row r="150" spans="2:8" x14ac:dyDescent="0.25">
      <c r="B150" s="18"/>
      <c r="D150" s="16"/>
      <c r="E150" s="16"/>
      <c r="F150" s="17"/>
      <c r="G150" s="17"/>
      <c r="H150" s="19"/>
    </row>
    <row r="151" spans="2:8" x14ac:dyDescent="0.25">
      <c r="B151" s="18"/>
      <c r="D151" s="16"/>
      <c r="E151" s="16"/>
      <c r="F151" s="17"/>
      <c r="G151" s="17"/>
      <c r="H151" s="19"/>
    </row>
    <row r="152" spans="2:8" x14ac:dyDescent="0.25">
      <c r="B152" s="18"/>
      <c r="D152" s="16"/>
      <c r="E152" s="16"/>
      <c r="F152" s="17"/>
      <c r="G152" s="17"/>
      <c r="H152" s="19"/>
    </row>
    <row r="153" spans="2:8" x14ac:dyDescent="0.25">
      <c r="B153" s="18"/>
      <c r="D153" s="16"/>
      <c r="E153" s="16"/>
      <c r="F153" s="17"/>
      <c r="G153" s="17"/>
      <c r="H153" s="19"/>
    </row>
    <row r="154" spans="2:8" x14ac:dyDescent="0.25">
      <c r="B154" s="18"/>
      <c r="D154" s="16"/>
      <c r="E154" s="16"/>
      <c r="F154" s="17"/>
      <c r="G154" s="17"/>
      <c r="H154" s="19"/>
    </row>
    <row r="155" spans="2:8" x14ac:dyDescent="0.25">
      <c r="B155" s="18"/>
      <c r="D155" s="16"/>
      <c r="E155" s="16"/>
      <c r="F155" s="17"/>
      <c r="G155" s="17"/>
      <c r="H155" s="19"/>
    </row>
    <row r="156" spans="2:8" x14ac:dyDescent="0.25">
      <c r="B156" s="18"/>
      <c r="D156" s="16"/>
      <c r="E156" s="16"/>
      <c r="F156" s="17"/>
      <c r="G156" s="17"/>
      <c r="H156" s="19"/>
    </row>
    <row r="157" spans="2:8" x14ac:dyDescent="0.25">
      <c r="B157" s="18"/>
      <c r="D157" s="16"/>
      <c r="E157" s="16"/>
      <c r="F157" s="17"/>
      <c r="G157" s="17"/>
      <c r="H157" s="19"/>
    </row>
    <row r="158" spans="2:8" x14ac:dyDescent="0.25">
      <c r="B158" s="18"/>
      <c r="D158" s="16"/>
      <c r="E158" s="16"/>
      <c r="F158" s="17"/>
      <c r="G158" s="17"/>
      <c r="H158" s="19"/>
    </row>
    <row r="159" spans="2:8" x14ac:dyDescent="0.25">
      <c r="B159" s="18"/>
      <c r="D159" s="16"/>
      <c r="E159" s="16"/>
      <c r="F159" s="17"/>
      <c r="G159" s="17"/>
      <c r="H159" s="19"/>
    </row>
    <row r="160" spans="2:8" x14ac:dyDescent="0.25">
      <c r="B160" s="18"/>
      <c r="D160" s="16"/>
      <c r="E160" s="16"/>
      <c r="F160" s="17"/>
      <c r="G160" s="17"/>
      <c r="H160" s="19"/>
    </row>
    <row r="161" spans="2:8" x14ac:dyDescent="0.25">
      <c r="B161" s="18"/>
      <c r="D161" s="16"/>
      <c r="E161" s="16"/>
      <c r="F161" s="17"/>
      <c r="G161" s="17"/>
      <c r="H161" s="19"/>
    </row>
    <row r="162" spans="2:8" x14ac:dyDescent="0.25">
      <c r="B162" s="18"/>
      <c r="D162" s="16"/>
      <c r="E162" s="16"/>
      <c r="F162" s="17"/>
      <c r="G162" s="17"/>
      <c r="H162" s="19"/>
    </row>
    <row r="163" spans="2:8" x14ac:dyDescent="0.25">
      <c r="B163" s="18"/>
      <c r="D163" s="16"/>
      <c r="E163" s="16"/>
      <c r="F163" s="17"/>
      <c r="G163" s="17"/>
      <c r="H163" s="19"/>
    </row>
    <row r="164" spans="2:8" x14ac:dyDescent="0.25">
      <c r="B164" s="18"/>
      <c r="D164" s="16"/>
      <c r="E164" s="16"/>
      <c r="F164" s="17"/>
      <c r="G164" s="17"/>
      <c r="H164" s="19"/>
    </row>
    <row r="165" spans="2:8" x14ac:dyDescent="0.25">
      <c r="B165" s="18"/>
      <c r="D165" s="16"/>
      <c r="E165" s="16"/>
      <c r="F165" s="17"/>
      <c r="G165" s="17"/>
      <c r="H165" s="19"/>
    </row>
    <row r="166" spans="2:8" x14ac:dyDescent="0.25">
      <c r="B166" s="18"/>
      <c r="D166" s="16"/>
      <c r="E166" s="16"/>
      <c r="F166" s="17"/>
      <c r="G166" s="17"/>
      <c r="H166" s="19"/>
    </row>
    <row r="167" spans="2:8" x14ac:dyDescent="0.25">
      <c r="B167" s="18"/>
      <c r="D167" s="16"/>
      <c r="E167" s="16"/>
      <c r="F167" s="17"/>
      <c r="G167" s="17"/>
      <c r="H167" s="19"/>
    </row>
    <row r="168" spans="2:8" x14ac:dyDescent="0.25">
      <c r="B168" s="18"/>
      <c r="D168" s="16"/>
      <c r="E168" s="16"/>
      <c r="F168" s="17"/>
      <c r="G168" s="17"/>
      <c r="H168" s="19"/>
    </row>
    <row r="169" spans="2:8" x14ac:dyDescent="0.25">
      <c r="B169" s="18"/>
      <c r="D169" s="16"/>
      <c r="E169" s="16"/>
      <c r="F169" s="17"/>
      <c r="G169" s="17"/>
      <c r="H169" s="19"/>
    </row>
    <row r="170" spans="2:8" x14ac:dyDescent="0.25">
      <c r="B170" s="18"/>
      <c r="D170" s="16"/>
      <c r="E170" s="16"/>
      <c r="F170" s="17"/>
      <c r="G170" s="17"/>
      <c r="H170" s="19"/>
    </row>
    <row r="171" spans="2:8" x14ac:dyDescent="0.25">
      <c r="B171" s="18"/>
      <c r="D171" s="16"/>
      <c r="E171" s="16"/>
      <c r="F171" s="17"/>
      <c r="G171" s="17"/>
      <c r="H171" s="19"/>
    </row>
    <row r="172" spans="2:8" x14ac:dyDescent="0.25">
      <c r="B172" s="18"/>
      <c r="D172" s="16"/>
      <c r="E172" s="16"/>
      <c r="F172" s="17"/>
      <c r="G172" s="17"/>
      <c r="H172" s="19"/>
    </row>
    <row r="173" spans="2:8" x14ac:dyDescent="0.25">
      <c r="B173" s="18"/>
      <c r="D173" s="16"/>
      <c r="E173" s="16"/>
      <c r="F173" s="17"/>
      <c r="G173" s="17"/>
      <c r="H173" s="19"/>
    </row>
    <row r="174" spans="2:8" x14ac:dyDescent="0.25">
      <c r="B174" s="18"/>
      <c r="D174" s="16"/>
      <c r="E174" s="16"/>
      <c r="F174" s="17"/>
      <c r="G174" s="17"/>
      <c r="H174" s="19"/>
    </row>
    <row r="175" spans="2:8" x14ac:dyDescent="0.25">
      <c r="B175" s="18"/>
      <c r="D175" s="16"/>
      <c r="E175" s="16"/>
      <c r="F175" s="17"/>
      <c r="G175" s="17"/>
      <c r="H175" s="19"/>
    </row>
    <row r="176" spans="2:8" x14ac:dyDescent="0.25">
      <c r="B176" s="18"/>
      <c r="D176" s="16"/>
      <c r="E176" s="16"/>
      <c r="F176" s="17"/>
      <c r="G176" s="17"/>
      <c r="H176" s="19"/>
    </row>
    <row r="177" spans="2:8" x14ac:dyDescent="0.25">
      <c r="B177" s="18"/>
      <c r="D177" s="16"/>
      <c r="E177" s="16"/>
      <c r="F177" s="17"/>
      <c r="G177" s="17"/>
      <c r="H177" s="19"/>
    </row>
    <row r="178" spans="2:8" x14ac:dyDescent="0.25">
      <c r="B178" s="18"/>
      <c r="D178" s="16"/>
      <c r="E178" s="16"/>
      <c r="F178" s="17"/>
      <c r="G178" s="17"/>
      <c r="H178" s="19"/>
    </row>
    <row r="179" spans="2:8" x14ac:dyDescent="0.25">
      <c r="B179" s="18"/>
      <c r="D179" s="16"/>
      <c r="E179" s="16"/>
      <c r="F179" s="17"/>
      <c r="G179" s="17"/>
      <c r="H179" s="19"/>
    </row>
    <row r="180" spans="2:8" x14ac:dyDescent="0.25">
      <c r="B180" s="18"/>
      <c r="D180" s="16"/>
      <c r="E180" s="16"/>
      <c r="F180" s="17"/>
      <c r="G180" s="17"/>
      <c r="H180" s="19"/>
    </row>
    <row r="181" spans="2:8" x14ac:dyDescent="0.25">
      <c r="B181" s="18"/>
      <c r="D181" s="16"/>
      <c r="E181" s="16"/>
      <c r="F181" s="17"/>
      <c r="G181" s="17"/>
      <c r="H181" s="19"/>
    </row>
    <row r="182" spans="2:8" x14ac:dyDescent="0.25">
      <c r="B182" s="18"/>
      <c r="D182" s="16"/>
      <c r="E182" s="16"/>
      <c r="F182" s="17"/>
      <c r="G182" s="17"/>
      <c r="H182" s="19"/>
    </row>
    <row r="183" spans="2:8" x14ac:dyDescent="0.25">
      <c r="B183" s="18"/>
      <c r="D183" s="16"/>
      <c r="E183" s="16"/>
      <c r="F183" s="17"/>
      <c r="G183" s="17"/>
      <c r="H183" s="19"/>
    </row>
    <row r="184" spans="2:8" x14ac:dyDescent="0.25">
      <c r="B184" s="18"/>
      <c r="D184" s="16"/>
      <c r="E184" s="16"/>
      <c r="F184" s="17"/>
      <c r="G184" s="17"/>
      <c r="H184" s="19"/>
    </row>
    <row r="185" spans="2:8" x14ac:dyDescent="0.25">
      <c r="B185" s="18"/>
      <c r="D185" s="16"/>
      <c r="E185" s="16"/>
      <c r="F185" s="17"/>
      <c r="G185" s="17"/>
      <c r="H185" s="19"/>
    </row>
    <row r="186" spans="2:8" x14ac:dyDescent="0.25">
      <c r="B186" s="18"/>
      <c r="D186" s="16"/>
      <c r="E186" s="16"/>
      <c r="F186" s="17"/>
      <c r="G186" s="17"/>
      <c r="H186" s="19"/>
    </row>
    <row r="187" spans="2:8" x14ac:dyDescent="0.25">
      <c r="B187" s="18"/>
      <c r="D187" s="16"/>
      <c r="E187" s="16"/>
      <c r="F187" s="17"/>
      <c r="G187" s="17"/>
      <c r="H187" s="19"/>
    </row>
    <row r="188" spans="2:8" x14ac:dyDescent="0.25">
      <c r="B188" s="18"/>
      <c r="D188" s="16"/>
      <c r="E188" s="16"/>
      <c r="F188" s="17"/>
      <c r="G188" s="17"/>
      <c r="H188" s="19"/>
    </row>
    <row r="189" spans="2:8" x14ac:dyDescent="0.25">
      <c r="B189" s="18"/>
      <c r="D189" s="16"/>
      <c r="E189" s="16"/>
      <c r="F189" s="17"/>
      <c r="G189" s="17"/>
      <c r="H189" s="19"/>
    </row>
    <row r="190" spans="2:8" x14ac:dyDescent="0.25">
      <c r="B190" s="18"/>
      <c r="D190" s="16"/>
      <c r="E190" s="16"/>
      <c r="F190" s="17"/>
      <c r="G190" s="17"/>
      <c r="H190" s="19"/>
    </row>
    <row r="191" spans="2:8" x14ac:dyDescent="0.25">
      <c r="B191" s="18"/>
      <c r="D191" s="16"/>
      <c r="E191" s="16"/>
      <c r="F191" s="17"/>
      <c r="G191" s="17"/>
      <c r="H191" s="19"/>
    </row>
    <row r="192" spans="2:8" x14ac:dyDescent="0.25">
      <c r="B192" s="18"/>
      <c r="D192" s="16"/>
      <c r="E192" s="16"/>
      <c r="F192" s="17"/>
      <c r="G192" s="17"/>
      <c r="H192" s="19"/>
    </row>
    <row r="193" spans="2:8" x14ac:dyDescent="0.25">
      <c r="B193" s="18"/>
      <c r="D193" s="16"/>
      <c r="E193" s="16"/>
      <c r="F193" s="17"/>
      <c r="G193" s="17"/>
      <c r="H193" s="19"/>
    </row>
    <row r="194" spans="2:8" x14ac:dyDescent="0.25">
      <c r="B194" s="18"/>
      <c r="D194" s="16"/>
      <c r="E194" s="16"/>
      <c r="F194" s="17"/>
      <c r="G194" s="17"/>
      <c r="H194" s="19"/>
    </row>
    <row r="195" spans="2:8" x14ac:dyDescent="0.25">
      <c r="B195" s="18"/>
      <c r="D195" s="16"/>
      <c r="E195" s="16"/>
      <c r="F195" s="17"/>
      <c r="G195" s="17"/>
      <c r="H195" s="19"/>
    </row>
    <row r="196" spans="2:8" x14ac:dyDescent="0.25">
      <c r="B196" s="18"/>
      <c r="D196" s="16"/>
      <c r="E196" s="16"/>
      <c r="F196" s="17"/>
      <c r="G196" s="17"/>
      <c r="H196" s="19"/>
    </row>
    <row r="197" spans="2:8" x14ac:dyDescent="0.25">
      <c r="B197" s="18"/>
      <c r="D197" s="16"/>
      <c r="E197" s="16"/>
      <c r="F197" s="17"/>
      <c r="G197" s="17"/>
      <c r="H197" s="19"/>
    </row>
    <row r="198" spans="2:8" x14ac:dyDescent="0.25">
      <c r="B198" s="18"/>
      <c r="D198" s="16"/>
      <c r="E198" s="16"/>
      <c r="F198" s="17"/>
      <c r="G198" s="17"/>
      <c r="H198" s="19"/>
    </row>
    <row r="199" spans="2:8" x14ac:dyDescent="0.25">
      <c r="B199" s="18"/>
      <c r="D199" s="16"/>
      <c r="E199" s="16"/>
      <c r="F199" s="17"/>
      <c r="G199" s="17"/>
      <c r="H199" s="19"/>
    </row>
    <row r="200" spans="2:8" x14ac:dyDescent="0.25">
      <c r="B200" s="18"/>
      <c r="D200" s="16"/>
      <c r="E200" s="16"/>
      <c r="F200" s="17"/>
      <c r="G200" s="17"/>
      <c r="H200" s="19"/>
    </row>
    <row r="201" spans="2:8" x14ac:dyDescent="0.25">
      <c r="B201" s="18"/>
      <c r="D201" s="16"/>
      <c r="E201" s="16"/>
      <c r="F201" s="17"/>
      <c r="G201" s="17"/>
      <c r="H201" s="19"/>
    </row>
    <row r="202" spans="2:8" x14ac:dyDescent="0.25">
      <c r="B202" s="18"/>
      <c r="D202" s="16"/>
      <c r="E202" s="16"/>
      <c r="F202" s="17"/>
      <c r="G202" s="17"/>
      <c r="H202" s="19"/>
    </row>
  </sheetData>
  <mergeCells count="1">
    <mergeCell ref="A1:D4"/>
  </mergeCells>
  <pageMargins left="0.7" right="0.7" top="0.75" bottom="0.75" header="0.3" footer="0.3"/>
  <pageSetup paperSize="9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AD8EB-2021-468E-B1B1-3682831BFEC0}">
  <dimension ref="A1:T998"/>
  <sheetViews>
    <sheetView tabSelected="1" workbookViewId="0">
      <selection activeCell="D34" sqref="D34"/>
    </sheetView>
  </sheetViews>
  <sheetFormatPr baseColWidth="10" defaultColWidth="14.42578125" defaultRowHeight="15" x14ac:dyDescent="0.25"/>
  <cols>
    <col min="1" max="1" width="17.140625" customWidth="1"/>
    <col min="2" max="2" width="24" customWidth="1"/>
    <col min="3" max="3" width="19.85546875" customWidth="1"/>
    <col min="4" max="4" width="18.7109375" style="1" customWidth="1"/>
    <col min="5" max="5" width="15.7109375" style="1" customWidth="1"/>
    <col min="6" max="6" width="15.7109375" customWidth="1"/>
    <col min="7" max="7" width="22.42578125" customWidth="1"/>
    <col min="8" max="8" width="21.28515625" customWidth="1"/>
    <col min="9" max="9" width="22.42578125" style="75" customWidth="1"/>
    <col min="10" max="10" width="25.7109375" customWidth="1"/>
    <col min="11" max="11" width="31.5703125" customWidth="1"/>
    <col min="12" max="12" width="34.5703125" customWidth="1"/>
    <col min="13" max="13" width="22" style="46" customWidth="1"/>
    <col min="14" max="14" width="22.85546875" style="46" customWidth="1"/>
    <col min="15" max="15" width="11.5703125" customWidth="1"/>
    <col min="16" max="16" width="25.140625" customWidth="1"/>
    <col min="17" max="17" width="10.7109375" customWidth="1"/>
  </cols>
  <sheetData>
    <row r="1" spans="1:16" ht="15" customHeight="1" x14ac:dyDescent="0.25">
      <c r="A1" s="58" t="s">
        <v>20</v>
      </c>
      <c r="B1" s="59"/>
      <c r="C1" s="59"/>
      <c r="D1" s="59"/>
      <c r="E1" s="59"/>
      <c r="F1" s="59"/>
      <c r="G1" s="60"/>
      <c r="H1" s="20"/>
      <c r="I1" s="69" t="s">
        <v>6</v>
      </c>
      <c r="J1" s="22" t="s">
        <v>7</v>
      </c>
      <c r="K1" s="20"/>
      <c r="L1" s="20"/>
      <c r="M1" s="23"/>
      <c r="N1" s="23"/>
    </row>
    <row r="2" spans="1:16" ht="15.75" customHeight="1" x14ac:dyDescent="0.25">
      <c r="A2" s="61"/>
      <c r="B2" s="62"/>
      <c r="C2" s="62"/>
      <c r="D2" s="62"/>
      <c r="E2" s="62"/>
      <c r="F2" s="62"/>
      <c r="G2" s="63"/>
      <c r="H2" s="20"/>
      <c r="I2" s="70"/>
      <c r="J2" s="20"/>
      <c r="K2" s="20"/>
      <c r="L2" s="20"/>
      <c r="M2" s="23"/>
      <c r="N2" s="23"/>
    </row>
    <row r="3" spans="1:16" x14ac:dyDescent="0.25">
      <c r="A3" s="61"/>
      <c r="B3" s="62"/>
      <c r="C3" s="62"/>
      <c r="D3" s="62"/>
      <c r="E3" s="62"/>
      <c r="F3" s="62"/>
      <c r="G3" s="63"/>
      <c r="H3" s="20"/>
      <c r="I3" s="70" t="s">
        <v>21</v>
      </c>
      <c r="J3" s="20"/>
      <c r="K3" s="20"/>
      <c r="L3" s="20"/>
      <c r="M3" s="23"/>
      <c r="N3" s="23"/>
    </row>
    <row r="4" spans="1:16" ht="15.75" thickBot="1" x14ac:dyDescent="0.3">
      <c r="A4" s="64"/>
      <c r="B4" s="65"/>
      <c r="C4" s="65"/>
      <c r="D4" s="65"/>
      <c r="E4" s="65"/>
      <c r="F4" s="65"/>
      <c r="G4" s="66"/>
      <c r="H4" s="20"/>
      <c r="I4" s="70"/>
      <c r="J4" s="20"/>
      <c r="K4" s="20"/>
      <c r="L4" s="20"/>
      <c r="M4" s="23"/>
      <c r="N4" s="23"/>
    </row>
    <row r="5" spans="1:16" x14ac:dyDescent="0.25">
      <c r="G5" s="20"/>
      <c r="H5" s="20"/>
      <c r="I5" s="71"/>
      <c r="J5" s="24" t="s">
        <v>14</v>
      </c>
      <c r="K5" s="20"/>
      <c r="L5" s="20"/>
      <c r="M5" s="23"/>
      <c r="N5" s="23"/>
    </row>
    <row r="6" spans="1:16" x14ac:dyDescent="0.25">
      <c r="G6" s="20"/>
      <c r="H6" s="20"/>
      <c r="I6" s="72"/>
      <c r="J6" s="24" t="s">
        <v>22</v>
      </c>
      <c r="K6" s="20"/>
      <c r="L6" s="20"/>
      <c r="M6" s="23"/>
      <c r="N6" s="23"/>
    </row>
    <row r="7" spans="1:16" x14ac:dyDescent="0.25">
      <c r="B7" s="26" t="s">
        <v>23</v>
      </c>
      <c r="I7" s="70"/>
      <c r="J7" s="20"/>
      <c r="K7" s="20"/>
      <c r="L7" s="20"/>
      <c r="M7" s="23"/>
      <c r="N7" s="23"/>
    </row>
    <row r="8" spans="1:16" x14ac:dyDescent="0.25">
      <c r="B8" s="27">
        <f ca="1">+TODAY()</f>
        <v>45594</v>
      </c>
      <c r="G8" s="28">
        <v>1</v>
      </c>
      <c r="H8" s="28">
        <v>2</v>
      </c>
      <c r="I8" s="73">
        <v>3</v>
      </c>
      <c r="J8" s="28">
        <v>4</v>
      </c>
      <c r="K8" s="28">
        <v>5</v>
      </c>
      <c r="L8" s="28">
        <v>6</v>
      </c>
      <c r="M8" s="28">
        <v>7</v>
      </c>
      <c r="N8" s="28">
        <v>8</v>
      </c>
      <c r="O8" s="28">
        <v>9</v>
      </c>
      <c r="P8" s="28">
        <v>10</v>
      </c>
    </row>
    <row r="9" spans="1:16" x14ac:dyDescent="0.25">
      <c r="G9" s="29" t="s">
        <v>24</v>
      </c>
      <c r="H9" s="29" t="s">
        <v>5</v>
      </c>
      <c r="I9" s="70"/>
      <c r="J9" s="29" t="s">
        <v>5</v>
      </c>
      <c r="K9" s="20"/>
      <c r="L9" s="20"/>
      <c r="M9" s="30">
        <v>0</v>
      </c>
      <c r="N9" s="30">
        <v>0</v>
      </c>
      <c r="O9" s="30" t="s">
        <v>25</v>
      </c>
      <c r="P9" s="31"/>
    </row>
    <row r="10" spans="1:16" x14ac:dyDescent="0.25">
      <c r="H10" s="21" t="s">
        <v>6</v>
      </c>
      <c r="I10" s="70"/>
      <c r="J10" s="21" t="s">
        <v>6</v>
      </c>
      <c r="K10" s="20"/>
      <c r="L10" s="20"/>
      <c r="M10" s="32"/>
      <c r="N10" s="23"/>
    </row>
    <row r="11" spans="1:16" x14ac:dyDescent="0.25">
      <c r="I11" s="70"/>
      <c r="J11" s="20" t="s">
        <v>26</v>
      </c>
      <c r="K11" s="20"/>
      <c r="L11" s="20"/>
      <c r="M11" s="23"/>
      <c r="N11" s="23"/>
    </row>
    <row r="12" spans="1:16" x14ac:dyDescent="0.25">
      <c r="I12" s="70"/>
      <c r="J12" s="20" t="s">
        <v>27</v>
      </c>
      <c r="K12" s="20"/>
      <c r="L12" s="20"/>
      <c r="M12" s="23"/>
      <c r="N12" s="23"/>
    </row>
    <row r="13" spans="1:16" x14ac:dyDescent="0.25">
      <c r="G13" s="33"/>
      <c r="I13" s="70"/>
      <c r="J13" s="20" t="s">
        <v>28</v>
      </c>
      <c r="K13" s="20"/>
      <c r="L13" s="20"/>
      <c r="M13" s="23"/>
      <c r="N13" s="23"/>
    </row>
    <row r="14" spans="1:16" x14ac:dyDescent="0.25">
      <c r="A14" s="34"/>
      <c r="B14" s="34"/>
      <c r="C14" s="25"/>
      <c r="D14" s="47" t="s">
        <v>29</v>
      </c>
      <c r="E14" s="47" t="s">
        <v>30</v>
      </c>
      <c r="I14" s="70"/>
      <c r="J14" s="20"/>
      <c r="K14" s="20"/>
      <c r="L14" s="20"/>
      <c r="M14" s="23"/>
      <c r="N14" s="23"/>
    </row>
    <row r="15" spans="1:16" x14ac:dyDescent="0.25">
      <c r="A15" s="67" t="s">
        <v>31</v>
      </c>
      <c r="B15" s="67"/>
      <c r="C15" s="67"/>
      <c r="D15" s="67"/>
      <c r="E15" s="68"/>
      <c r="G15" s="35"/>
      <c r="H15" s="35"/>
      <c r="I15" s="72"/>
      <c r="J15" s="35"/>
      <c r="K15" s="25"/>
      <c r="L15" s="25"/>
      <c r="M15" s="36"/>
      <c r="N15" s="36"/>
      <c r="O15" s="35"/>
      <c r="P15" s="25"/>
    </row>
    <row r="16" spans="1:16" x14ac:dyDescent="0.25">
      <c r="A16" s="37" t="s">
        <v>32</v>
      </c>
      <c r="B16" s="37" t="s">
        <v>33</v>
      </c>
      <c r="C16" s="37" t="s">
        <v>8</v>
      </c>
      <c r="D16" s="38" t="s">
        <v>34</v>
      </c>
      <c r="E16" s="38" t="s">
        <v>35</v>
      </c>
      <c r="G16" s="39" t="s">
        <v>36</v>
      </c>
      <c r="H16" s="39" t="s">
        <v>37</v>
      </c>
      <c r="I16" s="74" t="s">
        <v>38</v>
      </c>
      <c r="J16" s="39" t="s">
        <v>39</v>
      </c>
      <c r="K16" s="40" t="s">
        <v>40</v>
      </c>
      <c r="L16" s="40" t="s">
        <v>41</v>
      </c>
      <c r="M16" s="41" t="s">
        <v>42</v>
      </c>
      <c r="N16" s="41" t="s">
        <v>43</v>
      </c>
      <c r="O16" s="39" t="s">
        <v>44</v>
      </c>
      <c r="P16" s="39" t="s">
        <v>45</v>
      </c>
    </row>
    <row r="17" spans="1:16" x14ac:dyDescent="0.25">
      <c r="A17" s="33"/>
      <c r="B17" s="22"/>
      <c r="C17">
        <f>+'Alta de Activo Fijo'!B21</f>
        <v>0</v>
      </c>
      <c r="D17" s="1">
        <f>+'Alta de Activo Fijo'!D21</f>
        <v>0</v>
      </c>
      <c r="E17" s="1">
        <f>+'Alta de Activo Fijo'!E21</f>
        <v>0</v>
      </c>
      <c r="G17" s="33"/>
      <c r="H17" s="33"/>
      <c r="I17" s="70">
        <f>+C17</f>
        <v>0</v>
      </c>
      <c r="J17" s="33" t="s">
        <v>46</v>
      </c>
      <c r="K17" s="42" t="e">
        <f>+D17/B17*P17</f>
        <v>#DIV/0!</v>
      </c>
      <c r="L17" s="42" t="e">
        <f>+E17/B17*P17</f>
        <v>#DIV/0!</v>
      </c>
      <c r="M17" s="43">
        <v>0</v>
      </c>
      <c r="N17" s="43">
        <v>0</v>
      </c>
      <c r="O17" s="44" t="s">
        <v>25</v>
      </c>
      <c r="P17" s="45">
        <f t="shared" ref="P17:P80" si="0">ROUND(IF(B17&lt;(G17-A17)/30,+B17,(G17-A17)/30),0)</f>
        <v>0</v>
      </c>
    </row>
    <row r="18" spans="1:16" x14ac:dyDescent="0.25">
      <c r="A18" s="33"/>
      <c r="B18" s="22"/>
      <c r="C18">
        <f>+'Alta de Activo Fijo'!B22</f>
        <v>0</v>
      </c>
      <c r="D18" s="1">
        <f>+'Alta de Activo Fijo'!D22</f>
        <v>0</v>
      </c>
      <c r="E18" s="1">
        <f>+'Alta de Activo Fijo'!E22</f>
        <v>0</v>
      </c>
      <c r="G18" s="33"/>
      <c r="H18" s="33"/>
      <c r="I18" s="70">
        <f t="shared" ref="I18:I81" si="1">+C18</f>
        <v>0</v>
      </c>
      <c r="J18" s="33" t="s">
        <v>46</v>
      </c>
      <c r="K18" s="42" t="e">
        <f t="shared" ref="K18:K81" si="2">+D18/B18*P18</f>
        <v>#DIV/0!</v>
      </c>
      <c r="L18" s="42" t="e">
        <f t="shared" ref="L18:L81" si="3">+E18/B18*P18</f>
        <v>#DIV/0!</v>
      </c>
      <c r="M18" s="43">
        <v>0</v>
      </c>
      <c r="N18" s="43">
        <v>0</v>
      </c>
      <c r="O18" s="44" t="s">
        <v>25</v>
      </c>
      <c r="P18" s="45">
        <f t="shared" si="0"/>
        <v>0</v>
      </c>
    </row>
    <row r="19" spans="1:16" x14ac:dyDescent="0.25">
      <c r="A19" s="33"/>
      <c r="B19" s="22"/>
      <c r="C19">
        <f>+'Alta de Activo Fijo'!B23</f>
        <v>0</v>
      </c>
      <c r="D19" s="1">
        <f>+'Alta de Activo Fijo'!D23</f>
        <v>0</v>
      </c>
      <c r="E19" s="1">
        <f>+'Alta de Activo Fijo'!E23</f>
        <v>0</v>
      </c>
      <c r="G19" s="33"/>
      <c r="H19" s="33"/>
      <c r="I19" s="70">
        <f t="shared" si="1"/>
        <v>0</v>
      </c>
      <c r="J19" s="33" t="s">
        <v>46</v>
      </c>
      <c r="K19" s="42" t="e">
        <f t="shared" si="2"/>
        <v>#DIV/0!</v>
      </c>
      <c r="L19" s="42" t="e">
        <f t="shared" si="3"/>
        <v>#DIV/0!</v>
      </c>
      <c r="M19" s="43">
        <v>0</v>
      </c>
      <c r="N19" s="43">
        <v>0</v>
      </c>
      <c r="O19" s="44" t="s">
        <v>25</v>
      </c>
      <c r="P19" s="45">
        <f t="shared" si="0"/>
        <v>0</v>
      </c>
    </row>
    <row r="20" spans="1:16" x14ac:dyDescent="0.25">
      <c r="A20" s="33"/>
      <c r="B20" s="22"/>
      <c r="C20">
        <f>+'Alta de Activo Fijo'!B24</f>
        <v>0</v>
      </c>
      <c r="D20" s="1">
        <f>+'Alta de Activo Fijo'!D24</f>
        <v>0</v>
      </c>
      <c r="E20" s="1">
        <f>+'Alta de Activo Fijo'!E24</f>
        <v>0</v>
      </c>
      <c r="G20" s="33"/>
      <c r="H20" s="33"/>
      <c r="I20" s="70">
        <f t="shared" si="1"/>
        <v>0</v>
      </c>
      <c r="J20" s="33" t="s">
        <v>46</v>
      </c>
      <c r="K20" s="42" t="e">
        <f t="shared" si="2"/>
        <v>#DIV/0!</v>
      </c>
      <c r="L20" s="42" t="e">
        <f t="shared" si="3"/>
        <v>#DIV/0!</v>
      </c>
      <c r="M20" s="43">
        <v>0</v>
      </c>
      <c r="N20" s="43">
        <v>0</v>
      </c>
      <c r="O20" s="44" t="s">
        <v>25</v>
      </c>
      <c r="P20" s="45">
        <f t="shared" si="0"/>
        <v>0</v>
      </c>
    </row>
    <row r="21" spans="1:16" x14ac:dyDescent="0.25">
      <c r="A21" s="33"/>
      <c r="B21" s="22"/>
      <c r="C21">
        <f>+'Alta de Activo Fijo'!B25</f>
        <v>0</v>
      </c>
      <c r="D21" s="1">
        <f>+'Alta de Activo Fijo'!D25</f>
        <v>0</v>
      </c>
      <c r="E21" s="1">
        <f>+'Alta de Activo Fijo'!E25</f>
        <v>0</v>
      </c>
      <c r="G21" s="33"/>
      <c r="H21" s="33"/>
      <c r="I21" s="70">
        <f t="shared" si="1"/>
        <v>0</v>
      </c>
      <c r="J21" s="33" t="s">
        <v>46</v>
      </c>
      <c r="K21" s="42" t="e">
        <f t="shared" si="2"/>
        <v>#DIV/0!</v>
      </c>
      <c r="L21" s="42" t="e">
        <f t="shared" si="3"/>
        <v>#DIV/0!</v>
      </c>
      <c r="M21" s="43">
        <v>0</v>
      </c>
      <c r="N21" s="43">
        <v>0</v>
      </c>
      <c r="O21" s="44" t="s">
        <v>25</v>
      </c>
      <c r="P21" s="45">
        <f t="shared" si="0"/>
        <v>0</v>
      </c>
    </row>
    <row r="22" spans="1:16" x14ac:dyDescent="0.25">
      <c r="A22" s="33"/>
      <c r="B22" s="22"/>
      <c r="C22">
        <f>+'Alta de Activo Fijo'!B26</f>
        <v>0</v>
      </c>
      <c r="D22" s="1">
        <f>+'Alta de Activo Fijo'!D26</f>
        <v>0</v>
      </c>
      <c r="E22" s="1">
        <f>+'Alta de Activo Fijo'!E26</f>
        <v>0</v>
      </c>
      <c r="G22" s="33"/>
      <c r="H22" s="33"/>
      <c r="I22" s="70">
        <f t="shared" si="1"/>
        <v>0</v>
      </c>
      <c r="J22" s="33" t="s">
        <v>46</v>
      </c>
      <c r="K22" s="42" t="e">
        <f t="shared" si="2"/>
        <v>#DIV/0!</v>
      </c>
      <c r="L22" s="42" t="e">
        <f t="shared" si="3"/>
        <v>#DIV/0!</v>
      </c>
      <c r="M22" s="43">
        <v>0</v>
      </c>
      <c r="N22" s="43">
        <v>0</v>
      </c>
      <c r="O22" s="44" t="s">
        <v>25</v>
      </c>
      <c r="P22" s="45">
        <f t="shared" si="0"/>
        <v>0</v>
      </c>
    </row>
    <row r="23" spans="1:16" x14ac:dyDescent="0.25">
      <c r="A23" s="33"/>
      <c r="B23" s="22"/>
      <c r="C23">
        <f>+'Alta de Activo Fijo'!B27</f>
        <v>0</v>
      </c>
      <c r="D23" s="1">
        <f>+'Alta de Activo Fijo'!D27</f>
        <v>0</v>
      </c>
      <c r="E23" s="1">
        <f>+'Alta de Activo Fijo'!E27</f>
        <v>0</v>
      </c>
      <c r="G23" s="33"/>
      <c r="H23" s="33"/>
      <c r="I23" s="70">
        <f t="shared" si="1"/>
        <v>0</v>
      </c>
      <c r="J23" s="33" t="s">
        <v>46</v>
      </c>
      <c r="K23" s="42" t="e">
        <f t="shared" si="2"/>
        <v>#DIV/0!</v>
      </c>
      <c r="L23" s="42" t="e">
        <f t="shared" si="3"/>
        <v>#DIV/0!</v>
      </c>
      <c r="M23" s="43">
        <v>0</v>
      </c>
      <c r="N23" s="43">
        <v>0</v>
      </c>
      <c r="O23" s="44" t="s">
        <v>25</v>
      </c>
      <c r="P23" s="45">
        <f t="shared" si="0"/>
        <v>0</v>
      </c>
    </row>
    <row r="24" spans="1:16" x14ac:dyDescent="0.25">
      <c r="A24" s="33"/>
      <c r="B24" s="22"/>
      <c r="C24">
        <f>+'Alta de Activo Fijo'!B28</f>
        <v>0</v>
      </c>
      <c r="D24" s="1">
        <f>+'Alta de Activo Fijo'!D28</f>
        <v>0</v>
      </c>
      <c r="E24" s="1">
        <f>+'Alta de Activo Fijo'!E28</f>
        <v>0</v>
      </c>
      <c r="G24" s="33"/>
      <c r="H24" s="33"/>
      <c r="I24" s="70">
        <f t="shared" si="1"/>
        <v>0</v>
      </c>
      <c r="J24" s="33" t="s">
        <v>46</v>
      </c>
      <c r="K24" s="42" t="e">
        <f t="shared" si="2"/>
        <v>#DIV/0!</v>
      </c>
      <c r="L24" s="42" t="e">
        <f t="shared" si="3"/>
        <v>#DIV/0!</v>
      </c>
      <c r="M24" s="43">
        <v>0</v>
      </c>
      <c r="N24" s="43">
        <v>0</v>
      </c>
      <c r="O24" s="44" t="s">
        <v>25</v>
      </c>
      <c r="P24" s="45">
        <f t="shared" si="0"/>
        <v>0</v>
      </c>
    </row>
    <row r="25" spans="1:16" x14ac:dyDescent="0.25">
      <c r="A25" s="33"/>
      <c r="B25" s="22"/>
      <c r="C25">
        <f>+'Alta de Activo Fijo'!B29</f>
        <v>0</v>
      </c>
      <c r="D25" s="1">
        <f>+'Alta de Activo Fijo'!D29</f>
        <v>0</v>
      </c>
      <c r="E25" s="1">
        <f>+'Alta de Activo Fijo'!E29</f>
        <v>0</v>
      </c>
      <c r="G25" s="33"/>
      <c r="H25" s="33"/>
      <c r="I25" s="70">
        <f t="shared" si="1"/>
        <v>0</v>
      </c>
      <c r="J25" s="33" t="s">
        <v>46</v>
      </c>
      <c r="K25" s="42" t="e">
        <f t="shared" si="2"/>
        <v>#DIV/0!</v>
      </c>
      <c r="L25" s="42" t="e">
        <f t="shared" si="3"/>
        <v>#DIV/0!</v>
      </c>
      <c r="M25" s="43">
        <v>0</v>
      </c>
      <c r="N25" s="43">
        <v>0</v>
      </c>
      <c r="O25" s="44" t="s">
        <v>25</v>
      </c>
      <c r="P25" s="45">
        <f t="shared" si="0"/>
        <v>0</v>
      </c>
    </row>
    <row r="26" spans="1:16" x14ac:dyDescent="0.25">
      <c r="A26" s="33"/>
      <c r="B26" s="22"/>
      <c r="C26">
        <f>+'Alta de Activo Fijo'!B30</f>
        <v>0</v>
      </c>
      <c r="D26" s="1">
        <f>+'Alta de Activo Fijo'!D30</f>
        <v>0</v>
      </c>
      <c r="E26" s="1">
        <f>+'Alta de Activo Fijo'!E30</f>
        <v>0</v>
      </c>
      <c r="G26" s="33"/>
      <c r="H26" s="33"/>
      <c r="I26" s="70">
        <f t="shared" si="1"/>
        <v>0</v>
      </c>
      <c r="J26" s="33" t="s">
        <v>46</v>
      </c>
      <c r="K26" s="42" t="e">
        <f t="shared" si="2"/>
        <v>#DIV/0!</v>
      </c>
      <c r="L26" s="42" t="e">
        <f t="shared" si="3"/>
        <v>#DIV/0!</v>
      </c>
      <c r="M26" s="43">
        <v>0</v>
      </c>
      <c r="N26" s="43">
        <v>0</v>
      </c>
      <c r="O26" s="44" t="s">
        <v>25</v>
      </c>
      <c r="P26" s="45">
        <f t="shared" si="0"/>
        <v>0</v>
      </c>
    </row>
    <row r="27" spans="1:16" x14ac:dyDescent="0.25">
      <c r="A27" s="33"/>
      <c r="B27" s="22"/>
      <c r="C27">
        <f>+'Alta de Activo Fijo'!B31</f>
        <v>0</v>
      </c>
      <c r="D27" s="1">
        <f>+'Alta de Activo Fijo'!D31</f>
        <v>0</v>
      </c>
      <c r="E27" s="1">
        <f>+'Alta de Activo Fijo'!E31</f>
        <v>0</v>
      </c>
      <c r="G27" s="33"/>
      <c r="H27" s="33"/>
      <c r="I27" s="70">
        <f t="shared" si="1"/>
        <v>0</v>
      </c>
      <c r="J27" s="33" t="s">
        <v>46</v>
      </c>
      <c r="K27" s="42" t="e">
        <f t="shared" si="2"/>
        <v>#DIV/0!</v>
      </c>
      <c r="L27" s="42" t="e">
        <f t="shared" si="3"/>
        <v>#DIV/0!</v>
      </c>
      <c r="M27" s="43">
        <v>0</v>
      </c>
      <c r="N27" s="43">
        <v>0</v>
      </c>
      <c r="O27" s="44" t="s">
        <v>25</v>
      </c>
      <c r="P27" s="45">
        <f t="shared" si="0"/>
        <v>0</v>
      </c>
    </row>
    <row r="28" spans="1:16" x14ac:dyDescent="0.25">
      <c r="A28" s="33"/>
      <c r="B28" s="22"/>
      <c r="C28">
        <f>+'Alta de Activo Fijo'!B32</f>
        <v>0</v>
      </c>
      <c r="D28" s="1">
        <f>+'Alta de Activo Fijo'!D32</f>
        <v>0</v>
      </c>
      <c r="E28" s="1">
        <f>+'Alta de Activo Fijo'!E32</f>
        <v>0</v>
      </c>
      <c r="G28" s="33"/>
      <c r="H28" s="33"/>
      <c r="I28" s="70">
        <f t="shared" si="1"/>
        <v>0</v>
      </c>
      <c r="J28" s="33" t="s">
        <v>46</v>
      </c>
      <c r="K28" s="42" t="e">
        <f t="shared" si="2"/>
        <v>#DIV/0!</v>
      </c>
      <c r="L28" s="42" t="e">
        <f t="shared" si="3"/>
        <v>#DIV/0!</v>
      </c>
      <c r="M28" s="43">
        <v>0</v>
      </c>
      <c r="N28" s="43">
        <v>0</v>
      </c>
      <c r="O28" s="44" t="s">
        <v>25</v>
      </c>
      <c r="P28" s="45">
        <f t="shared" si="0"/>
        <v>0</v>
      </c>
    </row>
    <row r="29" spans="1:16" x14ac:dyDescent="0.25">
      <c r="A29" s="33"/>
      <c r="B29" s="22"/>
      <c r="C29">
        <f>+'Alta de Activo Fijo'!B33</f>
        <v>0</v>
      </c>
      <c r="D29" s="1">
        <f>+'Alta de Activo Fijo'!D33</f>
        <v>0</v>
      </c>
      <c r="E29" s="1">
        <f>+'Alta de Activo Fijo'!E33</f>
        <v>0</v>
      </c>
      <c r="G29" s="33"/>
      <c r="H29" s="33"/>
      <c r="I29" s="70">
        <f t="shared" si="1"/>
        <v>0</v>
      </c>
      <c r="J29" s="33" t="s">
        <v>46</v>
      </c>
      <c r="K29" s="42" t="e">
        <f t="shared" si="2"/>
        <v>#DIV/0!</v>
      </c>
      <c r="L29" s="42" t="e">
        <f t="shared" si="3"/>
        <v>#DIV/0!</v>
      </c>
      <c r="M29" s="43">
        <v>0</v>
      </c>
      <c r="N29" s="43">
        <v>0</v>
      </c>
      <c r="O29" s="44" t="s">
        <v>25</v>
      </c>
      <c r="P29" s="45">
        <f t="shared" si="0"/>
        <v>0</v>
      </c>
    </row>
    <row r="30" spans="1:16" x14ac:dyDescent="0.25">
      <c r="A30" s="33"/>
      <c r="B30" s="22"/>
      <c r="C30">
        <f>+'Alta de Activo Fijo'!B34</f>
        <v>0</v>
      </c>
      <c r="D30" s="1">
        <f>+'Alta de Activo Fijo'!D34</f>
        <v>0</v>
      </c>
      <c r="E30" s="1">
        <f>+'Alta de Activo Fijo'!E34</f>
        <v>0</v>
      </c>
      <c r="G30" s="33"/>
      <c r="H30" s="33"/>
      <c r="I30" s="70">
        <f t="shared" si="1"/>
        <v>0</v>
      </c>
      <c r="J30" s="33" t="s">
        <v>46</v>
      </c>
      <c r="K30" s="42" t="e">
        <f t="shared" si="2"/>
        <v>#DIV/0!</v>
      </c>
      <c r="L30" s="42" t="e">
        <f t="shared" si="3"/>
        <v>#DIV/0!</v>
      </c>
      <c r="M30" s="43">
        <v>0</v>
      </c>
      <c r="N30" s="43">
        <v>0</v>
      </c>
      <c r="O30" s="44" t="s">
        <v>25</v>
      </c>
      <c r="P30" s="45">
        <f t="shared" si="0"/>
        <v>0</v>
      </c>
    </row>
    <row r="31" spans="1:16" x14ac:dyDescent="0.25">
      <c r="A31" s="33"/>
      <c r="B31" s="22"/>
      <c r="C31">
        <f>+'Alta de Activo Fijo'!B35</f>
        <v>0</v>
      </c>
      <c r="D31" s="1">
        <f>+'Alta de Activo Fijo'!D35</f>
        <v>0</v>
      </c>
      <c r="E31" s="1">
        <f>+'Alta de Activo Fijo'!E35</f>
        <v>0</v>
      </c>
      <c r="G31" s="33"/>
      <c r="H31" s="33"/>
      <c r="I31" s="70">
        <f t="shared" si="1"/>
        <v>0</v>
      </c>
      <c r="J31" s="33" t="s">
        <v>46</v>
      </c>
      <c r="K31" s="42" t="e">
        <f t="shared" si="2"/>
        <v>#DIV/0!</v>
      </c>
      <c r="L31" s="42" t="e">
        <f t="shared" si="3"/>
        <v>#DIV/0!</v>
      </c>
      <c r="M31" s="43">
        <v>0</v>
      </c>
      <c r="N31" s="43">
        <v>0</v>
      </c>
      <c r="O31" s="44" t="s">
        <v>25</v>
      </c>
      <c r="P31" s="45">
        <f t="shared" si="0"/>
        <v>0</v>
      </c>
    </row>
    <row r="32" spans="1:16" x14ac:dyDescent="0.25">
      <c r="A32" s="33"/>
      <c r="B32" s="22"/>
      <c r="C32">
        <f>+'Alta de Activo Fijo'!B36</f>
        <v>0</v>
      </c>
      <c r="D32" s="1">
        <f>+'Alta de Activo Fijo'!D36</f>
        <v>0</v>
      </c>
      <c r="E32" s="1">
        <f>+'Alta de Activo Fijo'!E36</f>
        <v>0</v>
      </c>
      <c r="G32" s="33"/>
      <c r="H32" s="33"/>
      <c r="I32" s="70">
        <f t="shared" si="1"/>
        <v>0</v>
      </c>
      <c r="J32" s="33" t="s">
        <v>46</v>
      </c>
      <c r="K32" s="42" t="e">
        <f t="shared" si="2"/>
        <v>#DIV/0!</v>
      </c>
      <c r="L32" s="42" t="e">
        <f t="shared" si="3"/>
        <v>#DIV/0!</v>
      </c>
      <c r="M32" s="43">
        <v>0</v>
      </c>
      <c r="N32" s="43">
        <v>0</v>
      </c>
      <c r="O32" s="44" t="s">
        <v>25</v>
      </c>
      <c r="P32" s="45">
        <f t="shared" si="0"/>
        <v>0</v>
      </c>
    </row>
    <row r="33" spans="1:16" x14ac:dyDescent="0.25">
      <c r="A33" s="33"/>
      <c r="B33" s="22"/>
      <c r="C33">
        <f>+'Alta de Activo Fijo'!B37</f>
        <v>0</v>
      </c>
      <c r="D33" s="1">
        <f>+'Alta de Activo Fijo'!D37</f>
        <v>0</v>
      </c>
      <c r="E33" s="1">
        <f>+'Alta de Activo Fijo'!E37</f>
        <v>0</v>
      </c>
      <c r="G33" s="33"/>
      <c r="H33" s="33"/>
      <c r="I33" s="70">
        <f t="shared" si="1"/>
        <v>0</v>
      </c>
      <c r="J33" s="33" t="s">
        <v>46</v>
      </c>
      <c r="K33" s="42" t="e">
        <f t="shared" si="2"/>
        <v>#DIV/0!</v>
      </c>
      <c r="L33" s="42" t="e">
        <f t="shared" si="3"/>
        <v>#DIV/0!</v>
      </c>
      <c r="M33" s="43">
        <v>0</v>
      </c>
      <c r="N33" s="43">
        <v>0</v>
      </c>
      <c r="O33" s="44" t="s">
        <v>25</v>
      </c>
      <c r="P33" s="45">
        <f t="shared" si="0"/>
        <v>0</v>
      </c>
    </row>
    <row r="34" spans="1:16" x14ac:dyDescent="0.25">
      <c r="A34" s="33"/>
      <c r="B34" s="22"/>
      <c r="C34">
        <f>+'Alta de Activo Fijo'!B38</f>
        <v>0</v>
      </c>
      <c r="D34" s="1">
        <f>+'Alta de Activo Fijo'!D38</f>
        <v>0</v>
      </c>
      <c r="E34" s="1">
        <f>+'Alta de Activo Fijo'!E38</f>
        <v>0</v>
      </c>
      <c r="G34" s="33"/>
      <c r="H34" s="33"/>
      <c r="I34" s="70">
        <f t="shared" si="1"/>
        <v>0</v>
      </c>
      <c r="J34" s="33" t="s">
        <v>46</v>
      </c>
      <c r="K34" s="42" t="e">
        <f t="shared" si="2"/>
        <v>#DIV/0!</v>
      </c>
      <c r="L34" s="42" t="e">
        <f t="shared" si="3"/>
        <v>#DIV/0!</v>
      </c>
      <c r="M34" s="43">
        <v>0</v>
      </c>
      <c r="N34" s="43">
        <v>0</v>
      </c>
      <c r="O34" s="44" t="s">
        <v>25</v>
      </c>
      <c r="P34" s="45">
        <f t="shared" si="0"/>
        <v>0</v>
      </c>
    </row>
    <row r="35" spans="1:16" x14ac:dyDescent="0.25">
      <c r="A35" s="33"/>
      <c r="B35" s="22"/>
      <c r="C35">
        <f>+'Alta de Activo Fijo'!B39</f>
        <v>0</v>
      </c>
      <c r="D35" s="1">
        <f>+'Alta de Activo Fijo'!D39</f>
        <v>0</v>
      </c>
      <c r="E35" s="1">
        <f>+'Alta de Activo Fijo'!E39</f>
        <v>0</v>
      </c>
      <c r="G35" s="33"/>
      <c r="H35" s="33"/>
      <c r="I35" s="70">
        <f t="shared" si="1"/>
        <v>0</v>
      </c>
      <c r="J35" s="33" t="s">
        <v>46</v>
      </c>
      <c r="K35" s="42" t="e">
        <f t="shared" si="2"/>
        <v>#DIV/0!</v>
      </c>
      <c r="L35" s="42" t="e">
        <f t="shared" si="3"/>
        <v>#DIV/0!</v>
      </c>
      <c r="M35" s="43">
        <v>0</v>
      </c>
      <c r="N35" s="43">
        <v>0</v>
      </c>
      <c r="O35" s="44" t="s">
        <v>25</v>
      </c>
      <c r="P35" s="45">
        <f t="shared" si="0"/>
        <v>0</v>
      </c>
    </row>
    <row r="36" spans="1:16" x14ac:dyDescent="0.25">
      <c r="A36" s="33"/>
      <c r="B36" s="22"/>
      <c r="C36">
        <f>+'Alta de Activo Fijo'!B40</f>
        <v>0</v>
      </c>
      <c r="D36" s="1">
        <f>+'Alta de Activo Fijo'!D40</f>
        <v>0</v>
      </c>
      <c r="E36" s="1">
        <f>+'Alta de Activo Fijo'!E40</f>
        <v>0</v>
      </c>
      <c r="G36" s="33"/>
      <c r="H36" s="33"/>
      <c r="I36" s="70">
        <f t="shared" si="1"/>
        <v>0</v>
      </c>
      <c r="J36" s="33" t="s">
        <v>46</v>
      </c>
      <c r="K36" s="42" t="e">
        <f t="shared" si="2"/>
        <v>#DIV/0!</v>
      </c>
      <c r="L36" s="42" t="e">
        <f t="shared" si="3"/>
        <v>#DIV/0!</v>
      </c>
      <c r="M36" s="43">
        <v>0</v>
      </c>
      <c r="N36" s="43">
        <v>0</v>
      </c>
      <c r="O36" s="44" t="s">
        <v>25</v>
      </c>
      <c r="P36" s="45">
        <f t="shared" si="0"/>
        <v>0</v>
      </c>
    </row>
    <row r="37" spans="1:16" x14ac:dyDescent="0.25">
      <c r="A37" s="33"/>
      <c r="B37" s="22"/>
      <c r="C37">
        <f>+'Alta de Activo Fijo'!B41</f>
        <v>0</v>
      </c>
      <c r="D37" s="1">
        <f>+'Alta de Activo Fijo'!D41</f>
        <v>0</v>
      </c>
      <c r="E37" s="1">
        <f>+'Alta de Activo Fijo'!E41</f>
        <v>0</v>
      </c>
      <c r="G37" s="33"/>
      <c r="H37" s="33"/>
      <c r="I37" s="70">
        <f t="shared" si="1"/>
        <v>0</v>
      </c>
      <c r="J37" s="33" t="s">
        <v>46</v>
      </c>
      <c r="K37" s="42" t="e">
        <f t="shared" si="2"/>
        <v>#DIV/0!</v>
      </c>
      <c r="L37" s="42" t="e">
        <f t="shared" si="3"/>
        <v>#DIV/0!</v>
      </c>
      <c r="M37" s="43">
        <v>0</v>
      </c>
      <c r="N37" s="43">
        <v>0</v>
      </c>
      <c r="O37" s="44" t="s">
        <v>25</v>
      </c>
      <c r="P37" s="45">
        <f t="shared" si="0"/>
        <v>0</v>
      </c>
    </row>
    <row r="38" spans="1:16" x14ac:dyDescent="0.25">
      <c r="A38" s="33"/>
      <c r="B38" s="22"/>
      <c r="C38">
        <f>+'Alta de Activo Fijo'!B42</f>
        <v>0</v>
      </c>
      <c r="D38" s="1">
        <f>+'Alta de Activo Fijo'!D42</f>
        <v>0</v>
      </c>
      <c r="E38" s="1">
        <f>+'Alta de Activo Fijo'!E42</f>
        <v>0</v>
      </c>
      <c r="G38" s="33"/>
      <c r="H38" s="33"/>
      <c r="I38" s="70">
        <f t="shared" si="1"/>
        <v>0</v>
      </c>
      <c r="J38" s="33" t="s">
        <v>46</v>
      </c>
      <c r="K38" s="42" t="e">
        <f t="shared" si="2"/>
        <v>#DIV/0!</v>
      </c>
      <c r="L38" s="42" t="e">
        <f t="shared" si="3"/>
        <v>#DIV/0!</v>
      </c>
      <c r="M38" s="43">
        <v>0</v>
      </c>
      <c r="N38" s="43">
        <v>0</v>
      </c>
      <c r="O38" s="44" t="s">
        <v>25</v>
      </c>
      <c r="P38" s="45">
        <f t="shared" si="0"/>
        <v>0</v>
      </c>
    </row>
    <row r="39" spans="1:16" x14ac:dyDescent="0.25">
      <c r="A39" s="33"/>
      <c r="B39" s="22"/>
      <c r="C39">
        <f>+'Alta de Activo Fijo'!B43</f>
        <v>0</v>
      </c>
      <c r="D39" s="1">
        <f>+'Alta de Activo Fijo'!D43</f>
        <v>0</v>
      </c>
      <c r="E39" s="1">
        <f>+'Alta de Activo Fijo'!E43</f>
        <v>0</v>
      </c>
      <c r="G39" s="33"/>
      <c r="H39" s="33"/>
      <c r="I39" s="70">
        <f t="shared" si="1"/>
        <v>0</v>
      </c>
      <c r="J39" s="33" t="s">
        <v>46</v>
      </c>
      <c r="K39" s="42" t="e">
        <f t="shared" si="2"/>
        <v>#DIV/0!</v>
      </c>
      <c r="L39" s="42" t="e">
        <f t="shared" si="3"/>
        <v>#DIV/0!</v>
      </c>
      <c r="M39" s="43">
        <v>0</v>
      </c>
      <c r="N39" s="43">
        <v>0</v>
      </c>
      <c r="O39" s="44" t="s">
        <v>25</v>
      </c>
      <c r="P39" s="45">
        <f t="shared" si="0"/>
        <v>0</v>
      </c>
    </row>
    <row r="40" spans="1:16" x14ac:dyDescent="0.25">
      <c r="A40" s="33"/>
      <c r="B40" s="22"/>
      <c r="C40">
        <f>+'Alta de Activo Fijo'!B44</f>
        <v>0</v>
      </c>
      <c r="D40" s="1">
        <f>+'Alta de Activo Fijo'!D44</f>
        <v>0</v>
      </c>
      <c r="E40" s="1">
        <f>+'Alta de Activo Fijo'!E44</f>
        <v>0</v>
      </c>
      <c r="G40" s="33"/>
      <c r="H40" s="33"/>
      <c r="I40" s="70">
        <f t="shared" si="1"/>
        <v>0</v>
      </c>
      <c r="J40" s="33" t="s">
        <v>46</v>
      </c>
      <c r="K40" s="42" t="e">
        <f>+D40/B40*P40</f>
        <v>#DIV/0!</v>
      </c>
      <c r="L40" s="42" t="e">
        <f t="shared" si="3"/>
        <v>#DIV/0!</v>
      </c>
      <c r="M40" s="43">
        <v>0</v>
      </c>
      <c r="N40" s="43">
        <v>0</v>
      </c>
      <c r="O40" s="44" t="s">
        <v>25</v>
      </c>
      <c r="P40" s="45">
        <f t="shared" si="0"/>
        <v>0</v>
      </c>
    </row>
    <row r="41" spans="1:16" x14ac:dyDescent="0.25">
      <c r="A41" s="33"/>
      <c r="B41" s="22"/>
      <c r="C41">
        <f>+'Alta de Activo Fijo'!B45</f>
        <v>0</v>
      </c>
      <c r="D41" s="1">
        <f>+'Alta de Activo Fijo'!D45</f>
        <v>0</v>
      </c>
      <c r="E41" s="1">
        <f>+'Alta de Activo Fijo'!E45</f>
        <v>0</v>
      </c>
      <c r="G41" s="33"/>
      <c r="H41" s="33"/>
      <c r="I41" s="70">
        <f t="shared" si="1"/>
        <v>0</v>
      </c>
      <c r="J41" s="33" t="s">
        <v>46</v>
      </c>
      <c r="K41" s="42" t="e">
        <f t="shared" si="2"/>
        <v>#DIV/0!</v>
      </c>
      <c r="L41" s="42" t="e">
        <f t="shared" si="3"/>
        <v>#DIV/0!</v>
      </c>
      <c r="M41" s="43">
        <v>0</v>
      </c>
      <c r="N41" s="43">
        <v>0</v>
      </c>
      <c r="O41" s="44" t="s">
        <v>25</v>
      </c>
      <c r="P41" s="45">
        <f t="shared" si="0"/>
        <v>0</v>
      </c>
    </row>
    <row r="42" spans="1:16" x14ac:dyDescent="0.25">
      <c r="A42" s="33"/>
      <c r="B42" s="22"/>
      <c r="C42">
        <f>+'Alta de Activo Fijo'!B46</f>
        <v>0</v>
      </c>
      <c r="D42" s="1">
        <f>+'Alta de Activo Fijo'!D46</f>
        <v>0</v>
      </c>
      <c r="E42" s="1">
        <f>+'Alta de Activo Fijo'!E46</f>
        <v>0</v>
      </c>
      <c r="G42" s="33"/>
      <c r="H42" s="33"/>
      <c r="I42" s="70">
        <f t="shared" si="1"/>
        <v>0</v>
      </c>
      <c r="J42" s="33" t="s">
        <v>46</v>
      </c>
      <c r="K42" s="42" t="e">
        <f t="shared" si="2"/>
        <v>#DIV/0!</v>
      </c>
      <c r="L42" s="42" t="e">
        <f t="shared" si="3"/>
        <v>#DIV/0!</v>
      </c>
      <c r="M42" s="43">
        <v>0</v>
      </c>
      <c r="N42" s="43">
        <v>0</v>
      </c>
      <c r="O42" s="44" t="s">
        <v>25</v>
      </c>
      <c r="P42" s="45">
        <f t="shared" si="0"/>
        <v>0</v>
      </c>
    </row>
    <row r="43" spans="1:16" x14ac:dyDescent="0.25">
      <c r="A43" s="33"/>
      <c r="B43" s="22"/>
      <c r="C43">
        <f>+'Alta de Activo Fijo'!B47</f>
        <v>0</v>
      </c>
      <c r="D43" s="1">
        <f>+'Alta de Activo Fijo'!D47</f>
        <v>0</v>
      </c>
      <c r="E43" s="1">
        <f>+'Alta de Activo Fijo'!E47</f>
        <v>0</v>
      </c>
      <c r="G43" s="33"/>
      <c r="H43" s="33"/>
      <c r="I43" s="70">
        <f t="shared" si="1"/>
        <v>0</v>
      </c>
      <c r="J43" s="33" t="s">
        <v>46</v>
      </c>
      <c r="K43" s="42" t="e">
        <f t="shared" si="2"/>
        <v>#DIV/0!</v>
      </c>
      <c r="L43" s="42" t="e">
        <f t="shared" si="3"/>
        <v>#DIV/0!</v>
      </c>
      <c r="M43" s="43">
        <v>0</v>
      </c>
      <c r="N43" s="43">
        <v>0</v>
      </c>
      <c r="O43" s="44" t="s">
        <v>25</v>
      </c>
      <c r="P43" s="45">
        <f t="shared" si="0"/>
        <v>0</v>
      </c>
    </row>
    <row r="44" spans="1:16" x14ac:dyDescent="0.25">
      <c r="A44" s="33"/>
      <c r="B44" s="22"/>
      <c r="C44">
        <f>+'Alta de Activo Fijo'!B48</f>
        <v>0</v>
      </c>
      <c r="D44" s="1">
        <f>+'Alta de Activo Fijo'!D48</f>
        <v>0</v>
      </c>
      <c r="E44" s="1">
        <f>+'Alta de Activo Fijo'!E48</f>
        <v>0</v>
      </c>
      <c r="G44" s="33"/>
      <c r="H44" s="33"/>
      <c r="I44" s="70">
        <f t="shared" si="1"/>
        <v>0</v>
      </c>
      <c r="J44" s="33" t="s">
        <v>46</v>
      </c>
      <c r="K44" s="42" t="e">
        <f t="shared" si="2"/>
        <v>#DIV/0!</v>
      </c>
      <c r="L44" s="42" t="e">
        <f t="shared" si="3"/>
        <v>#DIV/0!</v>
      </c>
      <c r="M44" s="43">
        <v>0</v>
      </c>
      <c r="N44" s="43">
        <v>0</v>
      </c>
      <c r="O44" s="44" t="s">
        <v>25</v>
      </c>
      <c r="P44" s="45">
        <f t="shared" si="0"/>
        <v>0</v>
      </c>
    </row>
    <row r="45" spans="1:16" x14ac:dyDescent="0.25">
      <c r="A45" s="33"/>
      <c r="B45" s="22"/>
      <c r="C45">
        <f>+'Alta de Activo Fijo'!B49</f>
        <v>0</v>
      </c>
      <c r="D45" s="1">
        <f>+'Alta de Activo Fijo'!D49</f>
        <v>0</v>
      </c>
      <c r="E45" s="1">
        <f>+'Alta de Activo Fijo'!E49</f>
        <v>0</v>
      </c>
      <c r="G45" s="33"/>
      <c r="H45" s="33"/>
      <c r="I45" s="70">
        <f t="shared" si="1"/>
        <v>0</v>
      </c>
      <c r="J45" s="33" t="s">
        <v>46</v>
      </c>
      <c r="K45" s="42" t="e">
        <f t="shared" si="2"/>
        <v>#DIV/0!</v>
      </c>
      <c r="L45" s="42" t="e">
        <f t="shared" si="3"/>
        <v>#DIV/0!</v>
      </c>
      <c r="M45" s="43">
        <v>0</v>
      </c>
      <c r="N45" s="43">
        <v>0</v>
      </c>
      <c r="O45" s="44" t="s">
        <v>25</v>
      </c>
      <c r="P45" s="45">
        <f t="shared" si="0"/>
        <v>0</v>
      </c>
    </row>
    <row r="46" spans="1:16" x14ac:dyDescent="0.25">
      <c r="A46" s="33"/>
      <c r="B46" s="22"/>
      <c r="C46">
        <f>+'Alta de Activo Fijo'!B50</f>
        <v>0</v>
      </c>
      <c r="D46" s="1">
        <f>+'Alta de Activo Fijo'!D50</f>
        <v>0</v>
      </c>
      <c r="E46" s="1">
        <f>+'Alta de Activo Fijo'!E50</f>
        <v>0</v>
      </c>
      <c r="G46" s="33"/>
      <c r="H46" s="33"/>
      <c r="I46" s="70">
        <f t="shared" si="1"/>
        <v>0</v>
      </c>
      <c r="J46" s="33" t="s">
        <v>46</v>
      </c>
      <c r="K46" s="42" t="e">
        <f t="shared" si="2"/>
        <v>#DIV/0!</v>
      </c>
      <c r="L46" s="42" t="e">
        <f t="shared" si="3"/>
        <v>#DIV/0!</v>
      </c>
      <c r="M46" s="43">
        <v>0</v>
      </c>
      <c r="N46" s="43">
        <v>0</v>
      </c>
      <c r="O46" s="44" t="s">
        <v>25</v>
      </c>
      <c r="P46" s="45">
        <f t="shared" si="0"/>
        <v>0</v>
      </c>
    </row>
    <row r="47" spans="1:16" x14ac:dyDescent="0.25">
      <c r="A47" s="33"/>
      <c r="B47" s="22"/>
      <c r="C47">
        <f>+'Alta de Activo Fijo'!B51</f>
        <v>0</v>
      </c>
      <c r="D47" s="1">
        <f>+'Alta de Activo Fijo'!D51</f>
        <v>0</v>
      </c>
      <c r="E47" s="1">
        <f>+'Alta de Activo Fijo'!E51</f>
        <v>0</v>
      </c>
      <c r="G47" s="33"/>
      <c r="H47" s="33"/>
      <c r="I47" s="70">
        <f t="shared" si="1"/>
        <v>0</v>
      </c>
      <c r="J47" s="33" t="s">
        <v>46</v>
      </c>
      <c r="K47" s="42" t="e">
        <f t="shared" si="2"/>
        <v>#DIV/0!</v>
      </c>
      <c r="L47" s="42" t="e">
        <f t="shared" si="3"/>
        <v>#DIV/0!</v>
      </c>
      <c r="M47" s="43">
        <v>0</v>
      </c>
      <c r="N47" s="43">
        <v>0</v>
      </c>
      <c r="O47" s="44" t="s">
        <v>25</v>
      </c>
      <c r="P47" s="45">
        <f t="shared" si="0"/>
        <v>0</v>
      </c>
    </row>
    <row r="48" spans="1:16" x14ac:dyDescent="0.25">
      <c r="A48" s="33"/>
      <c r="B48" s="22"/>
      <c r="C48">
        <f>+'Alta de Activo Fijo'!B52</f>
        <v>0</v>
      </c>
      <c r="D48" s="1">
        <f>+'Alta de Activo Fijo'!D52</f>
        <v>0</v>
      </c>
      <c r="E48" s="1">
        <f>+'Alta de Activo Fijo'!E52</f>
        <v>0</v>
      </c>
      <c r="G48" s="33"/>
      <c r="H48" s="33"/>
      <c r="I48" s="70">
        <f t="shared" si="1"/>
        <v>0</v>
      </c>
      <c r="J48" s="33" t="s">
        <v>46</v>
      </c>
      <c r="K48" s="42" t="e">
        <f t="shared" si="2"/>
        <v>#DIV/0!</v>
      </c>
      <c r="L48" s="42" t="e">
        <f t="shared" si="3"/>
        <v>#DIV/0!</v>
      </c>
      <c r="M48" s="43">
        <v>0</v>
      </c>
      <c r="N48" s="43">
        <v>0</v>
      </c>
      <c r="O48" s="44" t="s">
        <v>25</v>
      </c>
      <c r="P48" s="45">
        <f t="shared" si="0"/>
        <v>0</v>
      </c>
    </row>
    <row r="49" spans="1:20" x14ac:dyDescent="0.25">
      <c r="A49" s="33"/>
      <c r="B49" s="22"/>
      <c r="C49">
        <f>+'Alta de Activo Fijo'!B53</f>
        <v>0</v>
      </c>
      <c r="D49" s="1">
        <f>+'Alta de Activo Fijo'!D53</f>
        <v>0</v>
      </c>
      <c r="E49" s="1">
        <f>+'Alta de Activo Fijo'!E53</f>
        <v>0</v>
      </c>
      <c r="G49" s="33"/>
      <c r="H49" s="33"/>
      <c r="I49" s="70">
        <f t="shared" si="1"/>
        <v>0</v>
      </c>
      <c r="J49" s="33" t="s">
        <v>46</v>
      </c>
      <c r="K49" s="42" t="e">
        <f t="shared" si="2"/>
        <v>#DIV/0!</v>
      </c>
      <c r="L49" s="42" t="e">
        <f t="shared" si="3"/>
        <v>#DIV/0!</v>
      </c>
      <c r="M49" s="43">
        <v>0</v>
      </c>
      <c r="N49" s="43">
        <v>0</v>
      </c>
      <c r="O49" s="44" t="s">
        <v>25</v>
      </c>
      <c r="P49" s="45">
        <f t="shared" si="0"/>
        <v>0</v>
      </c>
    </row>
    <row r="50" spans="1:20" x14ac:dyDescent="0.25">
      <c r="A50" s="33"/>
      <c r="B50" s="22"/>
      <c r="C50">
        <f>+'Alta de Activo Fijo'!B54</f>
        <v>0</v>
      </c>
      <c r="D50" s="1">
        <f>+'Alta de Activo Fijo'!D54</f>
        <v>0</v>
      </c>
      <c r="E50" s="1">
        <f>+'Alta de Activo Fijo'!E54</f>
        <v>0</v>
      </c>
      <c r="G50" s="33"/>
      <c r="H50" s="33"/>
      <c r="I50" s="70">
        <f t="shared" si="1"/>
        <v>0</v>
      </c>
      <c r="J50" s="33" t="s">
        <v>46</v>
      </c>
      <c r="K50" s="42" t="e">
        <f t="shared" si="2"/>
        <v>#DIV/0!</v>
      </c>
      <c r="L50" s="42" t="e">
        <f t="shared" si="3"/>
        <v>#DIV/0!</v>
      </c>
      <c r="M50" s="43">
        <v>0</v>
      </c>
      <c r="N50" s="43">
        <v>0</v>
      </c>
      <c r="O50" s="44" t="s">
        <v>25</v>
      </c>
      <c r="P50" s="45">
        <f t="shared" si="0"/>
        <v>0</v>
      </c>
    </row>
    <row r="51" spans="1:20" x14ac:dyDescent="0.25">
      <c r="A51" s="33"/>
      <c r="B51" s="22"/>
      <c r="C51">
        <f>+'Alta de Activo Fijo'!B55</f>
        <v>0</v>
      </c>
      <c r="D51" s="1">
        <f>+'Alta de Activo Fijo'!D55</f>
        <v>0</v>
      </c>
      <c r="E51" s="1">
        <f>+'Alta de Activo Fijo'!E55</f>
        <v>0</v>
      </c>
      <c r="G51" s="33"/>
      <c r="H51" s="33"/>
      <c r="I51" s="70">
        <f t="shared" si="1"/>
        <v>0</v>
      </c>
      <c r="J51" s="33" t="s">
        <v>46</v>
      </c>
      <c r="K51" s="42" t="e">
        <f>+D51/B51*P51</f>
        <v>#DIV/0!</v>
      </c>
      <c r="L51" s="42" t="e">
        <f t="shared" si="3"/>
        <v>#DIV/0!</v>
      </c>
      <c r="M51" s="43">
        <v>0</v>
      </c>
      <c r="N51" s="43">
        <v>0</v>
      </c>
      <c r="O51" s="44" t="s">
        <v>25</v>
      </c>
      <c r="P51" s="45">
        <f t="shared" si="0"/>
        <v>0</v>
      </c>
    </row>
    <row r="52" spans="1:20" x14ac:dyDescent="0.25">
      <c r="A52" s="33"/>
      <c r="B52" s="22"/>
      <c r="C52">
        <f>+'Alta de Activo Fijo'!B56</f>
        <v>0</v>
      </c>
      <c r="D52" s="1">
        <f>+'Alta de Activo Fijo'!D56</f>
        <v>0</v>
      </c>
      <c r="E52" s="1">
        <f>+'Alta de Activo Fijo'!E56</f>
        <v>0</v>
      </c>
      <c r="F52" s="1"/>
      <c r="G52" s="33"/>
      <c r="H52" s="33"/>
      <c r="I52" s="70">
        <f t="shared" si="1"/>
        <v>0</v>
      </c>
      <c r="J52" s="33" t="s">
        <v>46</v>
      </c>
      <c r="K52" s="42" t="e">
        <f t="shared" si="2"/>
        <v>#DIV/0!</v>
      </c>
      <c r="L52" s="42" t="e">
        <f t="shared" si="3"/>
        <v>#DIV/0!</v>
      </c>
      <c r="M52" s="43">
        <v>0</v>
      </c>
      <c r="N52" s="43">
        <v>0</v>
      </c>
      <c r="O52" s="44" t="s">
        <v>25</v>
      </c>
      <c r="P52" s="45">
        <f t="shared" si="0"/>
        <v>0</v>
      </c>
      <c r="S52" s="1"/>
      <c r="T52" s="48"/>
    </row>
    <row r="53" spans="1:20" x14ac:dyDescent="0.25">
      <c r="A53" s="33"/>
      <c r="B53" s="22"/>
      <c r="C53">
        <f>+'Alta de Activo Fijo'!B57</f>
        <v>0</v>
      </c>
      <c r="D53" s="1">
        <f>+'Alta de Activo Fijo'!D57</f>
        <v>0</v>
      </c>
      <c r="E53" s="1">
        <f>+'Alta de Activo Fijo'!E57</f>
        <v>0</v>
      </c>
      <c r="G53" s="33"/>
      <c r="H53" s="33"/>
      <c r="I53" s="70">
        <f t="shared" si="1"/>
        <v>0</v>
      </c>
      <c r="J53" s="33" t="s">
        <v>46</v>
      </c>
      <c r="K53" s="42" t="e">
        <f t="shared" si="2"/>
        <v>#DIV/0!</v>
      </c>
      <c r="L53" s="42" t="e">
        <f t="shared" si="3"/>
        <v>#DIV/0!</v>
      </c>
      <c r="M53" s="43">
        <v>0</v>
      </c>
      <c r="N53" s="43">
        <v>0</v>
      </c>
      <c r="O53" s="44" t="s">
        <v>25</v>
      </c>
      <c r="P53" s="45">
        <f t="shared" si="0"/>
        <v>0</v>
      </c>
    </row>
    <row r="54" spans="1:20" x14ac:dyDescent="0.25">
      <c r="A54" s="33"/>
      <c r="B54" s="22"/>
      <c r="C54">
        <f>+'Alta de Activo Fijo'!B58</f>
        <v>0</v>
      </c>
      <c r="D54" s="1">
        <f>+'Alta de Activo Fijo'!D58</f>
        <v>0</v>
      </c>
      <c r="E54" s="1">
        <f>+'Alta de Activo Fijo'!E58</f>
        <v>0</v>
      </c>
      <c r="G54" s="33"/>
      <c r="H54" s="33"/>
      <c r="I54" s="70">
        <f t="shared" si="1"/>
        <v>0</v>
      </c>
      <c r="J54" s="33" t="s">
        <v>46</v>
      </c>
      <c r="K54" s="42" t="e">
        <f t="shared" si="2"/>
        <v>#DIV/0!</v>
      </c>
      <c r="L54" s="42" t="e">
        <f t="shared" si="3"/>
        <v>#DIV/0!</v>
      </c>
      <c r="M54" s="43">
        <v>0</v>
      </c>
      <c r="N54" s="43">
        <v>0</v>
      </c>
      <c r="O54" s="44" t="s">
        <v>25</v>
      </c>
      <c r="P54" s="45">
        <f t="shared" si="0"/>
        <v>0</v>
      </c>
    </row>
    <row r="55" spans="1:20" x14ac:dyDescent="0.25">
      <c r="A55" s="33"/>
      <c r="B55" s="22"/>
      <c r="C55">
        <f>+'Alta de Activo Fijo'!B59</f>
        <v>0</v>
      </c>
      <c r="D55" s="1">
        <f>+'Alta de Activo Fijo'!D59</f>
        <v>0</v>
      </c>
      <c r="E55" s="1">
        <f>+'Alta de Activo Fijo'!E59</f>
        <v>0</v>
      </c>
      <c r="G55" s="33"/>
      <c r="H55" s="33"/>
      <c r="I55" s="70">
        <f t="shared" si="1"/>
        <v>0</v>
      </c>
      <c r="J55" s="33" t="s">
        <v>46</v>
      </c>
      <c r="K55" s="42" t="e">
        <f t="shared" si="2"/>
        <v>#DIV/0!</v>
      </c>
      <c r="L55" s="42" t="e">
        <f t="shared" si="3"/>
        <v>#DIV/0!</v>
      </c>
      <c r="M55" s="43">
        <v>0</v>
      </c>
      <c r="N55" s="43">
        <v>0</v>
      </c>
      <c r="O55" s="44" t="s">
        <v>25</v>
      </c>
      <c r="P55" s="45">
        <f t="shared" si="0"/>
        <v>0</v>
      </c>
    </row>
    <row r="56" spans="1:20" x14ac:dyDescent="0.25">
      <c r="A56" s="33"/>
      <c r="B56" s="22"/>
      <c r="C56">
        <f>+'Alta de Activo Fijo'!B60</f>
        <v>0</v>
      </c>
      <c r="D56" s="1">
        <f>+'Alta de Activo Fijo'!D60</f>
        <v>0</v>
      </c>
      <c r="E56" s="1">
        <f>+'Alta de Activo Fijo'!E60</f>
        <v>0</v>
      </c>
      <c r="G56" s="33"/>
      <c r="H56" s="33"/>
      <c r="I56" s="70">
        <f t="shared" si="1"/>
        <v>0</v>
      </c>
      <c r="J56" s="33" t="s">
        <v>46</v>
      </c>
      <c r="K56" s="42" t="e">
        <f t="shared" si="2"/>
        <v>#DIV/0!</v>
      </c>
      <c r="L56" s="42" t="e">
        <f t="shared" si="3"/>
        <v>#DIV/0!</v>
      </c>
      <c r="M56" s="43">
        <v>0</v>
      </c>
      <c r="N56" s="43">
        <v>0</v>
      </c>
      <c r="O56" s="44" t="s">
        <v>25</v>
      </c>
      <c r="P56" s="45">
        <f t="shared" si="0"/>
        <v>0</v>
      </c>
    </row>
    <row r="57" spans="1:20" x14ac:dyDescent="0.25">
      <c r="A57" s="33"/>
      <c r="B57" s="22"/>
      <c r="C57">
        <f>+'Alta de Activo Fijo'!B61</f>
        <v>0</v>
      </c>
      <c r="D57" s="1">
        <f>+'Alta de Activo Fijo'!D61</f>
        <v>0</v>
      </c>
      <c r="E57" s="1">
        <f>+'Alta de Activo Fijo'!E61</f>
        <v>0</v>
      </c>
      <c r="G57" s="33"/>
      <c r="H57" s="33"/>
      <c r="I57" s="70">
        <f t="shared" si="1"/>
        <v>0</v>
      </c>
      <c r="J57" s="33" t="s">
        <v>46</v>
      </c>
      <c r="K57" s="42" t="e">
        <f t="shared" si="2"/>
        <v>#DIV/0!</v>
      </c>
      <c r="L57" s="42" t="e">
        <f t="shared" si="3"/>
        <v>#DIV/0!</v>
      </c>
      <c r="M57" s="43">
        <v>0</v>
      </c>
      <c r="N57" s="43">
        <v>0</v>
      </c>
      <c r="O57" s="44" t="s">
        <v>25</v>
      </c>
      <c r="P57" s="45">
        <f t="shared" si="0"/>
        <v>0</v>
      </c>
    </row>
    <row r="58" spans="1:20" x14ac:dyDescent="0.25">
      <c r="A58" s="33"/>
      <c r="B58" s="22"/>
      <c r="C58">
        <f>+'Alta de Activo Fijo'!B62</f>
        <v>0</v>
      </c>
      <c r="D58" s="1">
        <f>+'Alta de Activo Fijo'!D62</f>
        <v>0</v>
      </c>
      <c r="E58" s="1">
        <f>+'Alta de Activo Fijo'!E62</f>
        <v>0</v>
      </c>
      <c r="G58" s="33"/>
      <c r="H58" s="33"/>
      <c r="I58" s="70">
        <f t="shared" si="1"/>
        <v>0</v>
      </c>
      <c r="J58" s="33" t="s">
        <v>46</v>
      </c>
      <c r="K58" s="42" t="e">
        <f t="shared" si="2"/>
        <v>#DIV/0!</v>
      </c>
      <c r="L58" s="42" t="e">
        <f t="shared" si="3"/>
        <v>#DIV/0!</v>
      </c>
      <c r="M58" s="43">
        <v>0</v>
      </c>
      <c r="N58" s="43">
        <v>0</v>
      </c>
      <c r="O58" s="44" t="s">
        <v>25</v>
      </c>
      <c r="P58" s="45">
        <f t="shared" si="0"/>
        <v>0</v>
      </c>
    </row>
    <row r="59" spans="1:20" x14ac:dyDescent="0.25">
      <c r="A59" s="33"/>
      <c r="B59" s="22"/>
      <c r="C59">
        <f>+'Alta de Activo Fijo'!B63</f>
        <v>0</v>
      </c>
      <c r="D59" s="1">
        <f>+'Alta de Activo Fijo'!D63</f>
        <v>0</v>
      </c>
      <c r="E59" s="1">
        <f>+'Alta de Activo Fijo'!E63</f>
        <v>0</v>
      </c>
      <c r="G59" s="33"/>
      <c r="H59" s="33"/>
      <c r="I59" s="70">
        <f t="shared" si="1"/>
        <v>0</v>
      </c>
      <c r="J59" s="33" t="s">
        <v>46</v>
      </c>
      <c r="K59" s="42" t="e">
        <f t="shared" si="2"/>
        <v>#DIV/0!</v>
      </c>
      <c r="L59" s="42" t="e">
        <f t="shared" si="3"/>
        <v>#DIV/0!</v>
      </c>
      <c r="M59" s="43">
        <v>0</v>
      </c>
      <c r="N59" s="43">
        <v>0</v>
      </c>
      <c r="O59" s="44" t="s">
        <v>25</v>
      </c>
      <c r="P59" s="45">
        <f t="shared" si="0"/>
        <v>0</v>
      </c>
    </row>
    <row r="60" spans="1:20" x14ac:dyDescent="0.25">
      <c r="A60" s="33"/>
      <c r="B60" s="22"/>
      <c r="C60">
        <f>+'Alta de Activo Fijo'!B64</f>
        <v>0</v>
      </c>
      <c r="D60" s="1">
        <f>+'Alta de Activo Fijo'!D64</f>
        <v>0</v>
      </c>
      <c r="E60" s="1">
        <f>+'Alta de Activo Fijo'!E64</f>
        <v>0</v>
      </c>
      <c r="G60" s="33"/>
      <c r="H60" s="33"/>
      <c r="I60" s="70">
        <f t="shared" si="1"/>
        <v>0</v>
      </c>
      <c r="J60" s="33" t="s">
        <v>46</v>
      </c>
      <c r="K60" s="42" t="e">
        <f t="shared" si="2"/>
        <v>#DIV/0!</v>
      </c>
      <c r="L60" s="42" t="e">
        <f t="shared" si="3"/>
        <v>#DIV/0!</v>
      </c>
      <c r="M60" s="43">
        <v>0</v>
      </c>
      <c r="N60" s="43">
        <v>0</v>
      </c>
      <c r="O60" s="44" t="s">
        <v>25</v>
      </c>
      <c r="P60" s="45">
        <f t="shared" si="0"/>
        <v>0</v>
      </c>
    </row>
    <row r="61" spans="1:20" x14ac:dyDescent="0.25">
      <c r="A61" s="33"/>
      <c r="B61" s="22"/>
      <c r="C61">
        <f>+'Alta de Activo Fijo'!B65</f>
        <v>0</v>
      </c>
      <c r="D61" s="1">
        <f>+'Alta de Activo Fijo'!D65</f>
        <v>0</v>
      </c>
      <c r="E61" s="1">
        <f>+'Alta de Activo Fijo'!E65</f>
        <v>0</v>
      </c>
      <c r="G61" s="33"/>
      <c r="H61" s="33"/>
      <c r="I61" s="70">
        <f t="shared" si="1"/>
        <v>0</v>
      </c>
      <c r="J61" s="33" t="s">
        <v>46</v>
      </c>
      <c r="K61" s="42" t="e">
        <f t="shared" si="2"/>
        <v>#DIV/0!</v>
      </c>
      <c r="L61" s="42" t="e">
        <f t="shared" si="3"/>
        <v>#DIV/0!</v>
      </c>
      <c r="M61" s="43">
        <v>0</v>
      </c>
      <c r="N61" s="43">
        <v>0</v>
      </c>
      <c r="O61" s="44" t="s">
        <v>25</v>
      </c>
      <c r="P61" s="45">
        <f t="shared" si="0"/>
        <v>0</v>
      </c>
    </row>
    <row r="62" spans="1:20" x14ac:dyDescent="0.25">
      <c r="A62" s="33"/>
      <c r="B62" s="22"/>
      <c r="C62">
        <f>+'Alta de Activo Fijo'!B66</f>
        <v>0</v>
      </c>
      <c r="D62" s="1">
        <f>+'Alta de Activo Fijo'!D66</f>
        <v>0</v>
      </c>
      <c r="E62" s="1">
        <f>+'Alta de Activo Fijo'!E66</f>
        <v>0</v>
      </c>
      <c r="G62" s="33"/>
      <c r="H62" s="33"/>
      <c r="I62" s="70">
        <f t="shared" si="1"/>
        <v>0</v>
      </c>
      <c r="J62" s="33" t="s">
        <v>46</v>
      </c>
      <c r="K62" s="42" t="e">
        <f t="shared" si="2"/>
        <v>#DIV/0!</v>
      </c>
      <c r="L62" s="42" t="e">
        <f t="shared" si="3"/>
        <v>#DIV/0!</v>
      </c>
      <c r="M62" s="43">
        <v>0</v>
      </c>
      <c r="N62" s="43">
        <v>0</v>
      </c>
      <c r="O62" s="44" t="s">
        <v>25</v>
      </c>
      <c r="P62" s="45">
        <f t="shared" si="0"/>
        <v>0</v>
      </c>
    </row>
    <row r="63" spans="1:20" x14ac:dyDescent="0.25">
      <c r="A63" s="33"/>
      <c r="B63" s="22"/>
      <c r="C63">
        <f>+'Alta de Activo Fijo'!B67</f>
        <v>0</v>
      </c>
      <c r="D63" s="1">
        <f>+'Alta de Activo Fijo'!D67</f>
        <v>0</v>
      </c>
      <c r="E63" s="1">
        <f>+'Alta de Activo Fijo'!E67</f>
        <v>0</v>
      </c>
      <c r="G63" s="33"/>
      <c r="H63" s="33"/>
      <c r="I63" s="70">
        <f t="shared" si="1"/>
        <v>0</v>
      </c>
      <c r="J63" s="33" t="s">
        <v>46</v>
      </c>
      <c r="K63" s="42" t="e">
        <f t="shared" si="2"/>
        <v>#DIV/0!</v>
      </c>
      <c r="L63" s="42" t="e">
        <f t="shared" si="3"/>
        <v>#DIV/0!</v>
      </c>
      <c r="M63" s="43">
        <v>0</v>
      </c>
      <c r="N63" s="43">
        <v>0</v>
      </c>
      <c r="O63" s="44" t="s">
        <v>25</v>
      </c>
      <c r="P63" s="45">
        <f t="shared" si="0"/>
        <v>0</v>
      </c>
    </row>
    <row r="64" spans="1:20" x14ac:dyDescent="0.25">
      <c r="A64" s="33"/>
      <c r="B64" s="22"/>
      <c r="C64">
        <f>+'Alta de Activo Fijo'!B68</f>
        <v>0</v>
      </c>
      <c r="D64" s="1">
        <f>+'Alta de Activo Fijo'!D68</f>
        <v>0</v>
      </c>
      <c r="E64" s="1">
        <f>+'Alta de Activo Fijo'!E68</f>
        <v>0</v>
      </c>
      <c r="G64" s="33"/>
      <c r="H64" s="33"/>
      <c r="I64" s="70">
        <f t="shared" si="1"/>
        <v>0</v>
      </c>
      <c r="J64" s="33" t="s">
        <v>46</v>
      </c>
      <c r="K64" s="42" t="e">
        <f t="shared" si="2"/>
        <v>#DIV/0!</v>
      </c>
      <c r="L64" s="42" t="e">
        <f t="shared" si="3"/>
        <v>#DIV/0!</v>
      </c>
      <c r="M64" s="43">
        <v>0</v>
      </c>
      <c r="N64" s="43">
        <v>0</v>
      </c>
      <c r="O64" s="44" t="s">
        <v>25</v>
      </c>
      <c r="P64" s="45">
        <f t="shared" si="0"/>
        <v>0</v>
      </c>
    </row>
    <row r="65" spans="1:16" x14ac:dyDescent="0.25">
      <c r="A65" s="33"/>
      <c r="B65" s="22"/>
      <c r="C65">
        <f>+'Alta de Activo Fijo'!B69</f>
        <v>0</v>
      </c>
      <c r="D65" s="1">
        <f>+'Alta de Activo Fijo'!D69</f>
        <v>0</v>
      </c>
      <c r="E65" s="1">
        <f>+'Alta de Activo Fijo'!E69</f>
        <v>0</v>
      </c>
      <c r="G65" s="33"/>
      <c r="H65" s="33"/>
      <c r="I65" s="70">
        <f t="shared" si="1"/>
        <v>0</v>
      </c>
      <c r="J65" s="33" t="s">
        <v>46</v>
      </c>
      <c r="K65" s="42" t="e">
        <f t="shared" si="2"/>
        <v>#DIV/0!</v>
      </c>
      <c r="L65" s="42" t="e">
        <f t="shared" si="3"/>
        <v>#DIV/0!</v>
      </c>
      <c r="M65" s="43">
        <v>0</v>
      </c>
      <c r="N65" s="43">
        <v>0</v>
      </c>
      <c r="O65" s="44" t="s">
        <v>25</v>
      </c>
      <c r="P65" s="45">
        <f t="shared" si="0"/>
        <v>0</v>
      </c>
    </row>
    <row r="66" spans="1:16" x14ac:dyDescent="0.25">
      <c r="A66" s="33"/>
      <c r="B66" s="22"/>
      <c r="C66">
        <f>+'Alta de Activo Fijo'!B70</f>
        <v>0</v>
      </c>
      <c r="D66" s="1">
        <f>+'Alta de Activo Fijo'!D70</f>
        <v>0</v>
      </c>
      <c r="E66" s="1">
        <f>+'Alta de Activo Fijo'!E70</f>
        <v>0</v>
      </c>
      <c r="G66" s="33"/>
      <c r="H66" s="33"/>
      <c r="I66" s="70">
        <f t="shared" si="1"/>
        <v>0</v>
      </c>
      <c r="J66" s="33" t="s">
        <v>46</v>
      </c>
      <c r="K66" s="42" t="e">
        <f t="shared" si="2"/>
        <v>#DIV/0!</v>
      </c>
      <c r="L66" s="42" t="e">
        <f t="shared" si="3"/>
        <v>#DIV/0!</v>
      </c>
      <c r="M66" s="43">
        <v>0</v>
      </c>
      <c r="N66" s="43">
        <v>0</v>
      </c>
      <c r="O66" s="44" t="s">
        <v>25</v>
      </c>
      <c r="P66" s="45">
        <f t="shared" si="0"/>
        <v>0</v>
      </c>
    </row>
    <row r="67" spans="1:16" x14ac:dyDescent="0.25">
      <c r="A67" s="33"/>
      <c r="B67" s="22"/>
      <c r="C67">
        <f>+'Alta de Activo Fijo'!B71</f>
        <v>0</v>
      </c>
      <c r="D67" s="1">
        <f>+'Alta de Activo Fijo'!D71</f>
        <v>0</v>
      </c>
      <c r="E67" s="1">
        <f>+'Alta de Activo Fijo'!E71</f>
        <v>0</v>
      </c>
      <c r="G67" s="33"/>
      <c r="H67" s="33"/>
      <c r="I67" s="70">
        <f t="shared" si="1"/>
        <v>0</v>
      </c>
      <c r="J67" s="33" t="s">
        <v>46</v>
      </c>
      <c r="K67" s="42" t="e">
        <f t="shared" si="2"/>
        <v>#DIV/0!</v>
      </c>
      <c r="L67" s="42" t="e">
        <f t="shared" si="3"/>
        <v>#DIV/0!</v>
      </c>
      <c r="M67" s="43">
        <v>0</v>
      </c>
      <c r="N67" s="43">
        <v>0</v>
      </c>
      <c r="O67" s="44" t="s">
        <v>25</v>
      </c>
      <c r="P67" s="45">
        <f t="shared" si="0"/>
        <v>0</v>
      </c>
    </row>
    <row r="68" spans="1:16" x14ac:dyDescent="0.25">
      <c r="A68" s="33"/>
      <c r="B68" s="22"/>
      <c r="C68">
        <f>+'Alta de Activo Fijo'!B72</f>
        <v>0</v>
      </c>
      <c r="D68" s="1">
        <f>+'Alta de Activo Fijo'!D72</f>
        <v>0</v>
      </c>
      <c r="E68" s="1">
        <f>+'Alta de Activo Fijo'!E72</f>
        <v>0</v>
      </c>
      <c r="G68" s="33"/>
      <c r="H68" s="33"/>
      <c r="I68" s="70">
        <f t="shared" si="1"/>
        <v>0</v>
      </c>
      <c r="J68" s="33" t="s">
        <v>46</v>
      </c>
      <c r="K68" s="42" t="e">
        <f t="shared" si="2"/>
        <v>#DIV/0!</v>
      </c>
      <c r="L68" s="42" t="e">
        <f t="shared" si="3"/>
        <v>#DIV/0!</v>
      </c>
      <c r="M68" s="43">
        <v>0</v>
      </c>
      <c r="N68" s="43">
        <v>0</v>
      </c>
      <c r="O68" s="44" t="s">
        <v>25</v>
      </c>
      <c r="P68" s="45">
        <f t="shared" si="0"/>
        <v>0</v>
      </c>
    </row>
    <row r="69" spans="1:16" x14ac:dyDescent="0.25">
      <c r="A69" s="33"/>
      <c r="B69" s="22"/>
      <c r="C69">
        <f>+'Alta de Activo Fijo'!B73</f>
        <v>0</v>
      </c>
      <c r="D69" s="1">
        <f>+'Alta de Activo Fijo'!D73</f>
        <v>0</v>
      </c>
      <c r="E69" s="1">
        <f>+'Alta de Activo Fijo'!E73</f>
        <v>0</v>
      </c>
      <c r="G69" s="33"/>
      <c r="H69" s="33"/>
      <c r="I69" s="70">
        <f t="shared" si="1"/>
        <v>0</v>
      </c>
      <c r="J69" s="33" t="s">
        <v>46</v>
      </c>
      <c r="K69" s="42" t="e">
        <f t="shared" si="2"/>
        <v>#DIV/0!</v>
      </c>
      <c r="L69" s="42" t="e">
        <f t="shared" si="3"/>
        <v>#DIV/0!</v>
      </c>
      <c r="M69" s="43">
        <v>0</v>
      </c>
      <c r="N69" s="43">
        <v>0</v>
      </c>
      <c r="O69" s="44" t="s">
        <v>25</v>
      </c>
      <c r="P69" s="45">
        <f t="shared" si="0"/>
        <v>0</v>
      </c>
    </row>
    <row r="70" spans="1:16" x14ac:dyDescent="0.25">
      <c r="A70" s="33"/>
      <c r="B70" s="22"/>
      <c r="C70">
        <f>+'Alta de Activo Fijo'!B74</f>
        <v>0</v>
      </c>
      <c r="D70" s="1">
        <f>+'Alta de Activo Fijo'!D74</f>
        <v>0</v>
      </c>
      <c r="E70" s="1">
        <f>+'Alta de Activo Fijo'!E74</f>
        <v>0</v>
      </c>
      <c r="G70" s="33"/>
      <c r="H70" s="33"/>
      <c r="I70" s="70">
        <f t="shared" si="1"/>
        <v>0</v>
      </c>
      <c r="J70" s="33" t="s">
        <v>46</v>
      </c>
      <c r="K70" s="42" t="e">
        <f t="shared" si="2"/>
        <v>#DIV/0!</v>
      </c>
      <c r="L70" s="42" t="e">
        <f t="shared" si="3"/>
        <v>#DIV/0!</v>
      </c>
      <c r="M70" s="43">
        <v>0</v>
      </c>
      <c r="N70" s="43">
        <v>0</v>
      </c>
      <c r="O70" s="44" t="s">
        <v>25</v>
      </c>
      <c r="P70" s="45">
        <f t="shared" si="0"/>
        <v>0</v>
      </c>
    </row>
    <row r="71" spans="1:16" x14ac:dyDescent="0.25">
      <c r="A71" s="33"/>
      <c r="B71" s="22"/>
      <c r="C71">
        <f>+'Alta de Activo Fijo'!B75</f>
        <v>0</v>
      </c>
      <c r="D71" s="1">
        <f>+'Alta de Activo Fijo'!D75</f>
        <v>0</v>
      </c>
      <c r="E71" s="1">
        <f>+'Alta de Activo Fijo'!E75</f>
        <v>0</v>
      </c>
      <c r="G71" s="33"/>
      <c r="H71" s="33"/>
      <c r="I71" s="70">
        <f t="shared" si="1"/>
        <v>0</v>
      </c>
      <c r="J71" s="33" t="s">
        <v>46</v>
      </c>
      <c r="K71" s="42" t="e">
        <f t="shared" si="2"/>
        <v>#DIV/0!</v>
      </c>
      <c r="L71" s="42" t="e">
        <f t="shared" si="3"/>
        <v>#DIV/0!</v>
      </c>
      <c r="M71" s="43">
        <v>0</v>
      </c>
      <c r="N71" s="43">
        <v>0</v>
      </c>
      <c r="O71" s="44" t="s">
        <v>25</v>
      </c>
      <c r="P71" s="45">
        <f t="shared" si="0"/>
        <v>0</v>
      </c>
    </row>
    <row r="72" spans="1:16" x14ac:dyDescent="0.25">
      <c r="A72" s="33"/>
      <c r="B72" s="22"/>
      <c r="C72">
        <f>+'Alta de Activo Fijo'!B76</f>
        <v>0</v>
      </c>
      <c r="D72" s="1">
        <f>+'Alta de Activo Fijo'!D76</f>
        <v>0</v>
      </c>
      <c r="E72" s="1">
        <f>+'Alta de Activo Fijo'!E76</f>
        <v>0</v>
      </c>
      <c r="G72" s="33"/>
      <c r="H72" s="33"/>
      <c r="I72" s="70">
        <f t="shared" si="1"/>
        <v>0</v>
      </c>
      <c r="J72" s="33" t="s">
        <v>46</v>
      </c>
      <c r="K72" s="42" t="e">
        <f t="shared" si="2"/>
        <v>#DIV/0!</v>
      </c>
      <c r="L72" s="42" t="e">
        <f t="shared" si="3"/>
        <v>#DIV/0!</v>
      </c>
      <c r="M72" s="43">
        <v>0</v>
      </c>
      <c r="N72" s="43">
        <v>0</v>
      </c>
      <c r="O72" s="44" t="s">
        <v>25</v>
      </c>
      <c r="P72" s="45">
        <f t="shared" si="0"/>
        <v>0</v>
      </c>
    </row>
    <row r="73" spans="1:16" x14ac:dyDescent="0.25">
      <c r="A73" s="33"/>
      <c r="B73" s="22"/>
      <c r="C73">
        <f>+'Alta de Activo Fijo'!B77</f>
        <v>0</v>
      </c>
      <c r="D73" s="1">
        <f>+'Alta de Activo Fijo'!D77</f>
        <v>0</v>
      </c>
      <c r="E73" s="1">
        <f>+'Alta de Activo Fijo'!E77</f>
        <v>0</v>
      </c>
      <c r="G73" s="33"/>
      <c r="H73" s="33"/>
      <c r="I73" s="70">
        <f t="shared" si="1"/>
        <v>0</v>
      </c>
      <c r="J73" s="33" t="s">
        <v>46</v>
      </c>
      <c r="K73" s="42" t="e">
        <f t="shared" si="2"/>
        <v>#DIV/0!</v>
      </c>
      <c r="L73" s="42" t="e">
        <f t="shared" si="3"/>
        <v>#DIV/0!</v>
      </c>
      <c r="M73" s="43">
        <v>0</v>
      </c>
      <c r="N73" s="43">
        <v>0</v>
      </c>
      <c r="O73" s="44" t="s">
        <v>25</v>
      </c>
      <c r="P73" s="45">
        <f t="shared" si="0"/>
        <v>0</v>
      </c>
    </row>
    <row r="74" spans="1:16" x14ac:dyDescent="0.25">
      <c r="A74" s="33"/>
      <c r="B74" s="22"/>
      <c r="C74">
        <f>+'Alta de Activo Fijo'!B78</f>
        <v>0</v>
      </c>
      <c r="D74" s="1">
        <f>+'Alta de Activo Fijo'!D78</f>
        <v>0</v>
      </c>
      <c r="E74" s="1">
        <f>+'Alta de Activo Fijo'!E78</f>
        <v>0</v>
      </c>
      <c r="G74" s="33"/>
      <c r="H74" s="33"/>
      <c r="I74" s="70">
        <f t="shared" si="1"/>
        <v>0</v>
      </c>
      <c r="J74" s="33" t="s">
        <v>46</v>
      </c>
      <c r="K74" s="42" t="e">
        <f t="shared" si="2"/>
        <v>#DIV/0!</v>
      </c>
      <c r="L74" s="42" t="e">
        <f t="shared" si="3"/>
        <v>#DIV/0!</v>
      </c>
      <c r="M74" s="43">
        <v>0</v>
      </c>
      <c r="N74" s="43">
        <v>0</v>
      </c>
      <c r="O74" s="44" t="s">
        <v>25</v>
      </c>
      <c r="P74" s="45">
        <f t="shared" si="0"/>
        <v>0</v>
      </c>
    </row>
    <row r="75" spans="1:16" x14ac:dyDescent="0.25">
      <c r="A75" s="33"/>
      <c r="B75" s="22"/>
      <c r="C75">
        <f>+'Alta de Activo Fijo'!B79</f>
        <v>0</v>
      </c>
      <c r="D75" s="1">
        <f>+'Alta de Activo Fijo'!D79</f>
        <v>0</v>
      </c>
      <c r="E75" s="1">
        <f>+'Alta de Activo Fijo'!E79</f>
        <v>0</v>
      </c>
      <c r="G75" s="33"/>
      <c r="H75" s="33"/>
      <c r="I75" s="70">
        <f t="shared" si="1"/>
        <v>0</v>
      </c>
      <c r="J75" s="33" t="s">
        <v>46</v>
      </c>
      <c r="K75" s="42" t="e">
        <f t="shared" si="2"/>
        <v>#DIV/0!</v>
      </c>
      <c r="L75" s="42" t="e">
        <f t="shared" si="3"/>
        <v>#DIV/0!</v>
      </c>
      <c r="M75" s="43">
        <v>0</v>
      </c>
      <c r="N75" s="43">
        <v>0</v>
      </c>
      <c r="O75" s="44" t="s">
        <v>25</v>
      </c>
      <c r="P75" s="45">
        <f t="shared" si="0"/>
        <v>0</v>
      </c>
    </row>
    <row r="76" spans="1:16" x14ac:dyDescent="0.25">
      <c r="A76" s="33"/>
      <c r="B76" s="22"/>
      <c r="C76">
        <f>+'Alta de Activo Fijo'!B80</f>
        <v>0</v>
      </c>
      <c r="D76" s="1">
        <f>+'Alta de Activo Fijo'!D80</f>
        <v>0</v>
      </c>
      <c r="E76" s="1">
        <f>+'Alta de Activo Fijo'!E80</f>
        <v>0</v>
      </c>
      <c r="G76" s="33"/>
      <c r="H76" s="33"/>
      <c r="I76" s="70">
        <f t="shared" si="1"/>
        <v>0</v>
      </c>
      <c r="J76" s="33" t="s">
        <v>46</v>
      </c>
      <c r="K76" s="42" t="e">
        <f t="shared" si="2"/>
        <v>#DIV/0!</v>
      </c>
      <c r="L76" s="42" t="e">
        <f t="shared" si="3"/>
        <v>#DIV/0!</v>
      </c>
      <c r="M76" s="43">
        <v>0</v>
      </c>
      <c r="N76" s="43">
        <v>0</v>
      </c>
      <c r="O76" s="44" t="s">
        <v>25</v>
      </c>
      <c r="P76" s="45">
        <f t="shared" si="0"/>
        <v>0</v>
      </c>
    </row>
    <row r="77" spans="1:16" x14ac:dyDescent="0.25">
      <c r="A77" s="33"/>
      <c r="B77" s="22"/>
      <c r="C77">
        <f>+'Alta de Activo Fijo'!B81</f>
        <v>0</v>
      </c>
      <c r="D77" s="1">
        <f>+'Alta de Activo Fijo'!D81</f>
        <v>0</v>
      </c>
      <c r="E77" s="1">
        <f>+'Alta de Activo Fijo'!E81</f>
        <v>0</v>
      </c>
      <c r="G77" s="33"/>
      <c r="H77" s="33"/>
      <c r="I77" s="70">
        <f t="shared" si="1"/>
        <v>0</v>
      </c>
      <c r="J77" s="33" t="s">
        <v>46</v>
      </c>
      <c r="K77" s="42" t="e">
        <f t="shared" si="2"/>
        <v>#DIV/0!</v>
      </c>
      <c r="L77" s="42" t="e">
        <f t="shared" si="3"/>
        <v>#DIV/0!</v>
      </c>
      <c r="M77" s="43">
        <v>0</v>
      </c>
      <c r="N77" s="43">
        <v>0</v>
      </c>
      <c r="O77" s="44" t="s">
        <v>25</v>
      </c>
      <c r="P77" s="45">
        <f t="shared" si="0"/>
        <v>0</v>
      </c>
    </row>
    <row r="78" spans="1:16" x14ac:dyDescent="0.25">
      <c r="A78" s="33"/>
      <c r="B78" s="22"/>
      <c r="C78">
        <f>+'Alta de Activo Fijo'!B82</f>
        <v>0</v>
      </c>
      <c r="D78" s="1">
        <f>+'Alta de Activo Fijo'!D82</f>
        <v>0</v>
      </c>
      <c r="E78" s="1">
        <f>+'Alta de Activo Fijo'!E82</f>
        <v>0</v>
      </c>
      <c r="G78" s="33"/>
      <c r="H78" s="33"/>
      <c r="I78" s="70">
        <f t="shared" si="1"/>
        <v>0</v>
      </c>
      <c r="J78" s="33" t="s">
        <v>46</v>
      </c>
      <c r="K78" s="42" t="e">
        <f t="shared" si="2"/>
        <v>#DIV/0!</v>
      </c>
      <c r="L78" s="42" t="e">
        <f t="shared" si="3"/>
        <v>#DIV/0!</v>
      </c>
      <c r="M78" s="43">
        <v>0</v>
      </c>
      <c r="N78" s="43">
        <v>0</v>
      </c>
      <c r="O78" s="44" t="s">
        <v>25</v>
      </c>
      <c r="P78" s="45">
        <f t="shared" si="0"/>
        <v>0</v>
      </c>
    </row>
    <row r="79" spans="1:16" x14ac:dyDescent="0.25">
      <c r="A79" s="33"/>
      <c r="B79" s="22"/>
      <c r="C79">
        <f>+'Alta de Activo Fijo'!B83</f>
        <v>0</v>
      </c>
      <c r="D79" s="1">
        <f>+'Alta de Activo Fijo'!D83</f>
        <v>0</v>
      </c>
      <c r="E79" s="1">
        <f>+'Alta de Activo Fijo'!E83</f>
        <v>0</v>
      </c>
      <c r="G79" s="33"/>
      <c r="H79" s="33"/>
      <c r="I79" s="70">
        <f t="shared" si="1"/>
        <v>0</v>
      </c>
      <c r="J79" s="33" t="s">
        <v>46</v>
      </c>
      <c r="K79" s="42" t="e">
        <f t="shared" si="2"/>
        <v>#DIV/0!</v>
      </c>
      <c r="L79" s="42" t="e">
        <f t="shared" si="3"/>
        <v>#DIV/0!</v>
      </c>
      <c r="M79" s="43">
        <v>0</v>
      </c>
      <c r="N79" s="43">
        <v>0</v>
      </c>
      <c r="O79" s="44" t="s">
        <v>25</v>
      </c>
      <c r="P79" s="45">
        <f t="shared" si="0"/>
        <v>0</v>
      </c>
    </row>
    <row r="80" spans="1:16" x14ac:dyDescent="0.25">
      <c r="A80" s="33"/>
      <c r="B80" s="22"/>
      <c r="C80">
        <f>+'Alta de Activo Fijo'!B84</f>
        <v>0</v>
      </c>
      <c r="D80" s="1">
        <f>+'Alta de Activo Fijo'!D84</f>
        <v>0</v>
      </c>
      <c r="E80" s="1">
        <f>+'Alta de Activo Fijo'!E84</f>
        <v>0</v>
      </c>
      <c r="G80" s="33"/>
      <c r="H80" s="33"/>
      <c r="I80" s="70">
        <f t="shared" si="1"/>
        <v>0</v>
      </c>
      <c r="J80" s="33" t="s">
        <v>46</v>
      </c>
      <c r="K80" s="42" t="e">
        <f t="shared" si="2"/>
        <v>#DIV/0!</v>
      </c>
      <c r="L80" s="42" t="e">
        <f t="shared" si="3"/>
        <v>#DIV/0!</v>
      </c>
      <c r="M80" s="43">
        <v>0</v>
      </c>
      <c r="N80" s="43">
        <v>0</v>
      </c>
      <c r="O80" s="44" t="s">
        <v>25</v>
      </c>
      <c r="P80" s="45">
        <f t="shared" si="0"/>
        <v>0</v>
      </c>
    </row>
    <row r="81" spans="1:16" x14ac:dyDescent="0.25">
      <c r="A81" s="33"/>
      <c r="B81" s="22"/>
      <c r="C81">
        <f>+'Alta de Activo Fijo'!B85</f>
        <v>0</v>
      </c>
      <c r="D81" s="1">
        <f>+'Alta de Activo Fijo'!D85</f>
        <v>0</v>
      </c>
      <c r="E81" s="1">
        <f>+'Alta de Activo Fijo'!E85</f>
        <v>0</v>
      </c>
      <c r="G81" s="33"/>
      <c r="H81" s="33"/>
      <c r="I81" s="70">
        <f t="shared" si="1"/>
        <v>0</v>
      </c>
      <c r="J81" s="33" t="s">
        <v>46</v>
      </c>
      <c r="K81" s="42" t="e">
        <f t="shared" si="2"/>
        <v>#DIV/0!</v>
      </c>
      <c r="L81" s="42" t="e">
        <f t="shared" si="3"/>
        <v>#DIV/0!</v>
      </c>
      <c r="M81" s="43">
        <v>0</v>
      </c>
      <c r="N81" s="43">
        <v>0</v>
      </c>
      <c r="O81" s="44" t="s">
        <v>25</v>
      </c>
      <c r="P81" s="45">
        <f t="shared" ref="P81:P144" si="4">ROUND(IF(B81&lt;(G81-A81)/30,+B81,(G81-A81)/30),0)</f>
        <v>0</v>
      </c>
    </row>
    <row r="82" spans="1:16" x14ac:dyDescent="0.25">
      <c r="A82" s="33"/>
      <c r="B82" s="22"/>
      <c r="C82">
        <f>+'Alta de Activo Fijo'!B86</f>
        <v>0</v>
      </c>
      <c r="D82" s="1">
        <f>+'Alta de Activo Fijo'!D86</f>
        <v>0</v>
      </c>
      <c r="E82" s="1">
        <f>+'Alta de Activo Fijo'!E86</f>
        <v>0</v>
      </c>
      <c r="G82" s="33"/>
      <c r="H82" s="33"/>
      <c r="I82" s="70">
        <f t="shared" ref="I82:I145" si="5">+C82</f>
        <v>0</v>
      </c>
      <c r="J82" s="33" t="s">
        <v>46</v>
      </c>
      <c r="K82" s="42" t="e">
        <f t="shared" ref="K82:K145" si="6">+D82/B82*P82</f>
        <v>#DIV/0!</v>
      </c>
      <c r="L82" s="42" t="e">
        <f t="shared" ref="L82:L145" si="7">+E82/B82*P82</f>
        <v>#DIV/0!</v>
      </c>
      <c r="M82" s="43">
        <v>0</v>
      </c>
      <c r="N82" s="43">
        <v>0</v>
      </c>
      <c r="O82" s="44" t="s">
        <v>25</v>
      </c>
      <c r="P82" s="45">
        <f t="shared" si="4"/>
        <v>0</v>
      </c>
    </row>
    <row r="83" spans="1:16" x14ac:dyDescent="0.25">
      <c r="A83" s="33"/>
      <c r="B83" s="22"/>
      <c r="C83">
        <f>+'Alta de Activo Fijo'!B87</f>
        <v>0</v>
      </c>
      <c r="D83" s="1">
        <f>+'Alta de Activo Fijo'!D87</f>
        <v>0</v>
      </c>
      <c r="E83" s="1">
        <f>+'Alta de Activo Fijo'!E87</f>
        <v>0</v>
      </c>
      <c r="G83" s="33"/>
      <c r="H83" s="33"/>
      <c r="I83" s="70">
        <f t="shared" si="5"/>
        <v>0</v>
      </c>
      <c r="J83" s="33" t="s">
        <v>46</v>
      </c>
      <c r="K83" s="42" t="e">
        <f t="shared" si="6"/>
        <v>#DIV/0!</v>
      </c>
      <c r="L83" s="42" t="e">
        <f t="shared" si="7"/>
        <v>#DIV/0!</v>
      </c>
      <c r="M83" s="43">
        <v>0</v>
      </c>
      <c r="N83" s="43">
        <v>0</v>
      </c>
      <c r="O83" s="44" t="s">
        <v>25</v>
      </c>
      <c r="P83" s="45">
        <f t="shared" si="4"/>
        <v>0</v>
      </c>
    </row>
    <row r="84" spans="1:16" x14ac:dyDescent="0.25">
      <c r="A84" s="33"/>
      <c r="B84" s="22"/>
      <c r="C84">
        <f>+'Alta de Activo Fijo'!B88</f>
        <v>0</v>
      </c>
      <c r="D84" s="1">
        <f>+'Alta de Activo Fijo'!D88</f>
        <v>0</v>
      </c>
      <c r="E84" s="1">
        <f>+'Alta de Activo Fijo'!E88</f>
        <v>0</v>
      </c>
      <c r="G84" s="33"/>
      <c r="H84" s="33"/>
      <c r="I84" s="70">
        <f t="shared" si="5"/>
        <v>0</v>
      </c>
      <c r="J84" s="33" t="s">
        <v>46</v>
      </c>
      <c r="K84" s="42" t="e">
        <f t="shared" si="6"/>
        <v>#DIV/0!</v>
      </c>
      <c r="L84" s="42" t="e">
        <f t="shared" si="7"/>
        <v>#DIV/0!</v>
      </c>
      <c r="M84" s="43">
        <v>0</v>
      </c>
      <c r="N84" s="43">
        <v>0</v>
      </c>
      <c r="O84" s="44" t="s">
        <v>25</v>
      </c>
      <c r="P84" s="45">
        <f t="shared" si="4"/>
        <v>0</v>
      </c>
    </row>
    <row r="85" spans="1:16" x14ac:dyDescent="0.25">
      <c r="A85" s="33"/>
      <c r="B85" s="22"/>
      <c r="C85">
        <f>+'Alta de Activo Fijo'!B89</f>
        <v>0</v>
      </c>
      <c r="D85" s="1">
        <f>+'Alta de Activo Fijo'!D89</f>
        <v>0</v>
      </c>
      <c r="E85" s="1">
        <f>+'Alta de Activo Fijo'!E89</f>
        <v>0</v>
      </c>
      <c r="G85" s="33"/>
      <c r="H85" s="33"/>
      <c r="I85" s="70">
        <f t="shared" si="5"/>
        <v>0</v>
      </c>
      <c r="J85" s="33" t="s">
        <v>46</v>
      </c>
      <c r="K85" s="42" t="e">
        <f t="shared" si="6"/>
        <v>#DIV/0!</v>
      </c>
      <c r="L85" s="42" t="e">
        <f t="shared" si="7"/>
        <v>#DIV/0!</v>
      </c>
      <c r="M85" s="43">
        <v>0</v>
      </c>
      <c r="N85" s="43">
        <v>0</v>
      </c>
      <c r="O85" s="44" t="s">
        <v>25</v>
      </c>
      <c r="P85" s="45">
        <f t="shared" si="4"/>
        <v>0</v>
      </c>
    </row>
    <row r="86" spans="1:16" x14ac:dyDescent="0.25">
      <c r="A86" s="33"/>
      <c r="B86" s="22"/>
      <c r="C86">
        <f>+'Alta de Activo Fijo'!B90</f>
        <v>0</v>
      </c>
      <c r="D86" s="1">
        <f>+'Alta de Activo Fijo'!D90</f>
        <v>0</v>
      </c>
      <c r="E86" s="1">
        <f>+'Alta de Activo Fijo'!E90</f>
        <v>0</v>
      </c>
      <c r="G86" s="33"/>
      <c r="H86" s="33"/>
      <c r="I86" s="70">
        <f t="shared" si="5"/>
        <v>0</v>
      </c>
      <c r="J86" s="33" t="s">
        <v>46</v>
      </c>
      <c r="K86" s="42" t="e">
        <f t="shared" si="6"/>
        <v>#DIV/0!</v>
      </c>
      <c r="L86" s="42" t="e">
        <f t="shared" si="7"/>
        <v>#DIV/0!</v>
      </c>
      <c r="M86" s="43">
        <v>0</v>
      </c>
      <c r="N86" s="43">
        <v>0</v>
      </c>
      <c r="O86" s="44" t="s">
        <v>25</v>
      </c>
      <c r="P86" s="45">
        <f t="shared" si="4"/>
        <v>0</v>
      </c>
    </row>
    <row r="87" spans="1:16" x14ac:dyDescent="0.25">
      <c r="A87" s="33"/>
      <c r="B87" s="22"/>
      <c r="C87">
        <f>+'Alta de Activo Fijo'!B91</f>
        <v>0</v>
      </c>
      <c r="D87" s="1">
        <f>+'Alta de Activo Fijo'!D91</f>
        <v>0</v>
      </c>
      <c r="E87" s="1">
        <f>+'Alta de Activo Fijo'!E91</f>
        <v>0</v>
      </c>
      <c r="G87" s="33"/>
      <c r="H87" s="33"/>
      <c r="I87" s="70">
        <f t="shared" si="5"/>
        <v>0</v>
      </c>
      <c r="J87" s="33" t="s">
        <v>46</v>
      </c>
      <c r="K87" s="42" t="e">
        <f t="shared" si="6"/>
        <v>#DIV/0!</v>
      </c>
      <c r="L87" s="42" t="e">
        <f t="shared" si="7"/>
        <v>#DIV/0!</v>
      </c>
      <c r="M87" s="43">
        <v>0</v>
      </c>
      <c r="N87" s="43">
        <v>0</v>
      </c>
      <c r="O87" s="44" t="s">
        <v>25</v>
      </c>
      <c r="P87" s="45">
        <f t="shared" si="4"/>
        <v>0</v>
      </c>
    </row>
    <row r="88" spans="1:16" x14ac:dyDescent="0.25">
      <c r="A88" s="33"/>
      <c r="B88" s="22"/>
      <c r="C88">
        <f>+'Alta de Activo Fijo'!B92</f>
        <v>0</v>
      </c>
      <c r="D88" s="1">
        <f>+'Alta de Activo Fijo'!D92</f>
        <v>0</v>
      </c>
      <c r="E88" s="1">
        <f>+'Alta de Activo Fijo'!E92</f>
        <v>0</v>
      </c>
      <c r="G88" s="33"/>
      <c r="H88" s="33"/>
      <c r="I88" s="70">
        <f t="shared" si="5"/>
        <v>0</v>
      </c>
      <c r="J88" s="33" t="s">
        <v>46</v>
      </c>
      <c r="K88" s="42" t="e">
        <f t="shared" si="6"/>
        <v>#DIV/0!</v>
      </c>
      <c r="L88" s="42" t="e">
        <f t="shared" si="7"/>
        <v>#DIV/0!</v>
      </c>
      <c r="M88" s="43">
        <v>0</v>
      </c>
      <c r="N88" s="43">
        <v>0</v>
      </c>
      <c r="O88" s="44" t="s">
        <v>25</v>
      </c>
      <c r="P88" s="45">
        <f t="shared" si="4"/>
        <v>0</v>
      </c>
    </row>
    <row r="89" spans="1:16" x14ac:dyDescent="0.25">
      <c r="A89" s="33"/>
      <c r="B89" s="22"/>
      <c r="C89">
        <f>+'Alta de Activo Fijo'!B93</f>
        <v>0</v>
      </c>
      <c r="D89" s="1">
        <f>+'Alta de Activo Fijo'!D93</f>
        <v>0</v>
      </c>
      <c r="E89" s="1">
        <f>+'Alta de Activo Fijo'!E93</f>
        <v>0</v>
      </c>
      <c r="G89" s="33"/>
      <c r="H89" s="33"/>
      <c r="I89" s="70">
        <f t="shared" si="5"/>
        <v>0</v>
      </c>
      <c r="J89" s="33" t="s">
        <v>46</v>
      </c>
      <c r="K89" s="42" t="e">
        <f t="shared" si="6"/>
        <v>#DIV/0!</v>
      </c>
      <c r="L89" s="42" t="e">
        <f t="shared" si="7"/>
        <v>#DIV/0!</v>
      </c>
      <c r="M89" s="43">
        <v>0</v>
      </c>
      <c r="N89" s="43">
        <v>0</v>
      </c>
      <c r="O89" s="44" t="s">
        <v>25</v>
      </c>
      <c r="P89" s="45">
        <f t="shared" si="4"/>
        <v>0</v>
      </c>
    </row>
    <row r="90" spans="1:16" x14ac:dyDescent="0.25">
      <c r="A90" s="33"/>
      <c r="B90" s="22"/>
      <c r="C90">
        <f>+'Alta de Activo Fijo'!B94</f>
        <v>0</v>
      </c>
      <c r="D90" s="1">
        <f>+'Alta de Activo Fijo'!D94</f>
        <v>0</v>
      </c>
      <c r="E90" s="1">
        <f>+'Alta de Activo Fijo'!E94</f>
        <v>0</v>
      </c>
      <c r="G90" s="33"/>
      <c r="H90" s="33"/>
      <c r="I90" s="70">
        <f t="shared" si="5"/>
        <v>0</v>
      </c>
      <c r="J90" s="33" t="s">
        <v>46</v>
      </c>
      <c r="K90" s="42" t="e">
        <f t="shared" si="6"/>
        <v>#DIV/0!</v>
      </c>
      <c r="L90" s="42" t="e">
        <f t="shared" si="7"/>
        <v>#DIV/0!</v>
      </c>
      <c r="M90" s="43">
        <v>0</v>
      </c>
      <c r="N90" s="43">
        <v>0</v>
      </c>
      <c r="O90" s="44" t="s">
        <v>25</v>
      </c>
      <c r="P90" s="45">
        <f t="shared" si="4"/>
        <v>0</v>
      </c>
    </row>
    <row r="91" spans="1:16" x14ac:dyDescent="0.25">
      <c r="A91" s="33"/>
      <c r="B91" s="22"/>
      <c r="C91">
        <f>+'Alta de Activo Fijo'!B95</f>
        <v>0</v>
      </c>
      <c r="D91" s="1">
        <f>+'Alta de Activo Fijo'!D95</f>
        <v>0</v>
      </c>
      <c r="E91" s="1">
        <f>+'Alta de Activo Fijo'!E95</f>
        <v>0</v>
      </c>
      <c r="G91" s="33"/>
      <c r="H91" s="33"/>
      <c r="I91" s="70">
        <f t="shared" si="5"/>
        <v>0</v>
      </c>
      <c r="J91" s="33" t="s">
        <v>46</v>
      </c>
      <c r="K91" s="42" t="e">
        <f t="shared" si="6"/>
        <v>#DIV/0!</v>
      </c>
      <c r="L91" s="42" t="e">
        <f t="shared" si="7"/>
        <v>#DIV/0!</v>
      </c>
      <c r="M91" s="43">
        <v>0</v>
      </c>
      <c r="N91" s="43">
        <v>0</v>
      </c>
      <c r="O91" s="44" t="s">
        <v>25</v>
      </c>
      <c r="P91" s="45">
        <f t="shared" si="4"/>
        <v>0</v>
      </c>
    </row>
    <row r="92" spans="1:16" x14ac:dyDescent="0.25">
      <c r="A92" s="33"/>
      <c r="B92" s="22"/>
      <c r="C92">
        <f>+'Alta de Activo Fijo'!B96</f>
        <v>0</v>
      </c>
      <c r="D92" s="1">
        <f>+'Alta de Activo Fijo'!D96</f>
        <v>0</v>
      </c>
      <c r="E92" s="1">
        <f>+'Alta de Activo Fijo'!E96</f>
        <v>0</v>
      </c>
      <c r="G92" s="33"/>
      <c r="H92" s="33"/>
      <c r="I92" s="70">
        <f t="shared" si="5"/>
        <v>0</v>
      </c>
      <c r="J92" s="33" t="s">
        <v>46</v>
      </c>
      <c r="K92" s="42" t="e">
        <f t="shared" si="6"/>
        <v>#DIV/0!</v>
      </c>
      <c r="L92" s="42" t="e">
        <f t="shared" si="7"/>
        <v>#DIV/0!</v>
      </c>
      <c r="M92" s="43">
        <v>0</v>
      </c>
      <c r="N92" s="43">
        <v>0</v>
      </c>
      <c r="O92" s="44" t="s">
        <v>25</v>
      </c>
      <c r="P92" s="45">
        <f t="shared" si="4"/>
        <v>0</v>
      </c>
    </row>
    <row r="93" spans="1:16" x14ac:dyDescent="0.25">
      <c r="A93" s="33"/>
      <c r="B93" s="22"/>
      <c r="C93">
        <f>+'Alta de Activo Fijo'!B97</f>
        <v>0</v>
      </c>
      <c r="D93" s="1">
        <f>+'Alta de Activo Fijo'!D97</f>
        <v>0</v>
      </c>
      <c r="E93" s="1">
        <f>+'Alta de Activo Fijo'!E97</f>
        <v>0</v>
      </c>
      <c r="G93" s="33"/>
      <c r="H93" s="33"/>
      <c r="I93" s="70">
        <f t="shared" si="5"/>
        <v>0</v>
      </c>
      <c r="J93" s="33" t="s">
        <v>46</v>
      </c>
      <c r="K93" s="42" t="e">
        <f t="shared" si="6"/>
        <v>#DIV/0!</v>
      </c>
      <c r="L93" s="42" t="e">
        <f t="shared" si="7"/>
        <v>#DIV/0!</v>
      </c>
      <c r="M93" s="43">
        <v>0</v>
      </c>
      <c r="N93" s="43">
        <v>0</v>
      </c>
      <c r="O93" s="44" t="s">
        <v>25</v>
      </c>
      <c r="P93" s="45">
        <f t="shared" si="4"/>
        <v>0</v>
      </c>
    </row>
    <row r="94" spans="1:16" x14ac:dyDescent="0.25">
      <c r="A94" s="33"/>
      <c r="B94" s="22"/>
      <c r="C94">
        <f>+'Alta de Activo Fijo'!B98</f>
        <v>0</v>
      </c>
      <c r="D94" s="1">
        <f>+'Alta de Activo Fijo'!D98</f>
        <v>0</v>
      </c>
      <c r="E94" s="1">
        <f>+'Alta de Activo Fijo'!E98</f>
        <v>0</v>
      </c>
      <c r="G94" s="33"/>
      <c r="H94" s="33"/>
      <c r="I94" s="70">
        <f t="shared" si="5"/>
        <v>0</v>
      </c>
      <c r="J94" s="33" t="s">
        <v>46</v>
      </c>
      <c r="K94" s="42" t="e">
        <f t="shared" si="6"/>
        <v>#DIV/0!</v>
      </c>
      <c r="L94" s="42" t="e">
        <f t="shared" si="7"/>
        <v>#DIV/0!</v>
      </c>
      <c r="M94" s="43">
        <v>0</v>
      </c>
      <c r="N94" s="43">
        <v>0</v>
      </c>
      <c r="O94" s="44" t="s">
        <v>25</v>
      </c>
      <c r="P94" s="45">
        <f t="shared" si="4"/>
        <v>0</v>
      </c>
    </row>
    <row r="95" spans="1:16" x14ac:dyDescent="0.25">
      <c r="A95" s="33"/>
      <c r="B95" s="22"/>
      <c r="C95">
        <f>+'Alta de Activo Fijo'!B99</f>
        <v>0</v>
      </c>
      <c r="D95" s="1">
        <f>+'Alta de Activo Fijo'!D99</f>
        <v>0</v>
      </c>
      <c r="E95" s="1">
        <f>+'Alta de Activo Fijo'!E99</f>
        <v>0</v>
      </c>
      <c r="G95" s="33"/>
      <c r="H95" s="33"/>
      <c r="I95" s="70">
        <f t="shared" si="5"/>
        <v>0</v>
      </c>
      <c r="J95" s="33" t="s">
        <v>46</v>
      </c>
      <c r="K95" s="42" t="e">
        <f t="shared" si="6"/>
        <v>#DIV/0!</v>
      </c>
      <c r="L95" s="42" t="e">
        <f t="shared" si="7"/>
        <v>#DIV/0!</v>
      </c>
      <c r="M95" s="43">
        <v>0</v>
      </c>
      <c r="N95" s="43">
        <v>0</v>
      </c>
      <c r="O95" s="44" t="s">
        <v>25</v>
      </c>
      <c r="P95" s="45">
        <f t="shared" si="4"/>
        <v>0</v>
      </c>
    </row>
    <row r="96" spans="1:16" x14ac:dyDescent="0.25">
      <c r="A96" s="33"/>
      <c r="B96" s="22"/>
      <c r="C96">
        <f>+'Alta de Activo Fijo'!B100</f>
        <v>0</v>
      </c>
      <c r="D96" s="1">
        <f>+'Alta de Activo Fijo'!D100</f>
        <v>0</v>
      </c>
      <c r="E96" s="1">
        <f>+'Alta de Activo Fijo'!E100</f>
        <v>0</v>
      </c>
      <c r="G96" s="33"/>
      <c r="H96" s="33"/>
      <c r="I96" s="70">
        <f t="shared" si="5"/>
        <v>0</v>
      </c>
      <c r="J96" s="33" t="s">
        <v>46</v>
      </c>
      <c r="K96" s="42" t="e">
        <f t="shared" si="6"/>
        <v>#DIV/0!</v>
      </c>
      <c r="L96" s="42" t="e">
        <f t="shared" si="7"/>
        <v>#DIV/0!</v>
      </c>
      <c r="M96" s="43">
        <v>0</v>
      </c>
      <c r="N96" s="43">
        <v>0</v>
      </c>
      <c r="O96" s="44" t="s">
        <v>25</v>
      </c>
      <c r="P96" s="45">
        <f t="shared" si="4"/>
        <v>0</v>
      </c>
    </row>
    <row r="97" spans="1:16" x14ac:dyDescent="0.25">
      <c r="A97" s="33"/>
      <c r="B97" s="22"/>
      <c r="C97">
        <f>+'Alta de Activo Fijo'!B101</f>
        <v>0</v>
      </c>
      <c r="D97" s="1">
        <f>+'Alta de Activo Fijo'!D101</f>
        <v>0</v>
      </c>
      <c r="E97" s="1">
        <f>+'Alta de Activo Fijo'!E101</f>
        <v>0</v>
      </c>
      <c r="G97" s="33"/>
      <c r="H97" s="33"/>
      <c r="I97" s="70">
        <f t="shared" si="5"/>
        <v>0</v>
      </c>
      <c r="J97" s="33" t="s">
        <v>46</v>
      </c>
      <c r="K97" s="42" t="e">
        <f t="shared" si="6"/>
        <v>#DIV/0!</v>
      </c>
      <c r="L97" s="42" t="e">
        <f t="shared" si="7"/>
        <v>#DIV/0!</v>
      </c>
      <c r="M97" s="43">
        <v>0</v>
      </c>
      <c r="N97" s="43">
        <v>0</v>
      </c>
      <c r="O97" s="44" t="s">
        <v>25</v>
      </c>
      <c r="P97" s="45">
        <f t="shared" si="4"/>
        <v>0</v>
      </c>
    </row>
    <row r="98" spans="1:16" x14ac:dyDescent="0.25">
      <c r="A98" s="33"/>
      <c r="B98" s="22"/>
      <c r="C98">
        <f>+'Alta de Activo Fijo'!B102</f>
        <v>0</v>
      </c>
      <c r="D98" s="1">
        <f>+'Alta de Activo Fijo'!D102</f>
        <v>0</v>
      </c>
      <c r="E98" s="1">
        <f>+'Alta de Activo Fijo'!E102</f>
        <v>0</v>
      </c>
      <c r="G98" s="33"/>
      <c r="H98" s="33"/>
      <c r="I98" s="70">
        <f t="shared" si="5"/>
        <v>0</v>
      </c>
      <c r="J98" s="33" t="s">
        <v>46</v>
      </c>
      <c r="K98" s="42" t="e">
        <f t="shared" si="6"/>
        <v>#DIV/0!</v>
      </c>
      <c r="L98" s="42" t="e">
        <f t="shared" si="7"/>
        <v>#DIV/0!</v>
      </c>
      <c r="M98" s="43">
        <v>0</v>
      </c>
      <c r="N98" s="43">
        <v>0</v>
      </c>
      <c r="O98" s="44" t="s">
        <v>25</v>
      </c>
      <c r="P98" s="45">
        <f t="shared" si="4"/>
        <v>0</v>
      </c>
    </row>
    <row r="99" spans="1:16" x14ac:dyDescent="0.25">
      <c r="A99" s="33"/>
      <c r="B99" s="22"/>
      <c r="C99">
        <f>+'Alta de Activo Fijo'!B103</f>
        <v>0</v>
      </c>
      <c r="D99" s="1">
        <f>+'Alta de Activo Fijo'!D103</f>
        <v>0</v>
      </c>
      <c r="E99" s="1">
        <f>+'Alta de Activo Fijo'!E103</f>
        <v>0</v>
      </c>
      <c r="G99" s="33"/>
      <c r="H99" s="33"/>
      <c r="I99" s="70">
        <f t="shared" si="5"/>
        <v>0</v>
      </c>
      <c r="J99" s="33" t="s">
        <v>46</v>
      </c>
      <c r="K99" s="42" t="e">
        <f t="shared" si="6"/>
        <v>#DIV/0!</v>
      </c>
      <c r="L99" s="42" t="e">
        <f t="shared" si="7"/>
        <v>#DIV/0!</v>
      </c>
      <c r="M99" s="43">
        <v>0</v>
      </c>
      <c r="N99" s="43">
        <v>0</v>
      </c>
      <c r="O99" s="44" t="s">
        <v>25</v>
      </c>
      <c r="P99" s="45">
        <f t="shared" si="4"/>
        <v>0</v>
      </c>
    </row>
    <row r="100" spans="1:16" x14ac:dyDescent="0.25">
      <c r="A100" s="33"/>
      <c r="B100" s="22"/>
      <c r="C100">
        <f>+'Alta de Activo Fijo'!B104</f>
        <v>0</v>
      </c>
      <c r="D100" s="1">
        <f>+'Alta de Activo Fijo'!D104</f>
        <v>0</v>
      </c>
      <c r="E100" s="1">
        <f>+'Alta de Activo Fijo'!E104</f>
        <v>0</v>
      </c>
      <c r="G100" s="33"/>
      <c r="H100" s="33"/>
      <c r="I100" s="70">
        <f t="shared" si="5"/>
        <v>0</v>
      </c>
      <c r="J100" s="33" t="s">
        <v>46</v>
      </c>
      <c r="K100" s="42" t="e">
        <f t="shared" si="6"/>
        <v>#DIV/0!</v>
      </c>
      <c r="L100" s="42" t="e">
        <f t="shared" si="7"/>
        <v>#DIV/0!</v>
      </c>
      <c r="M100" s="43">
        <v>0</v>
      </c>
      <c r="N100" s="43">
        <v>0</v>
      </c>
      <c r="O100" s="44" t="s">
        <v>25</v>
      </c>
      <c r="P100" s="45">
        <f t="shared" si="4"/>
        <v>0</v>
      </c>
    </row>
    <row r="101" spans="1:16" x14ac:dyDescent="0.25">
      <c r="A101" s="33"/>
      <c r="B101" s="22"/>
      <c r="C101">
        <f>+'Alta de Activo Fijo'!B105</f>
        <v>0</v>
      </c>
      <c r="D101" s="1">
        <f>+'Alta de Activo Fijo'!D105</f>
        <v>0</v>
      </c>
      <c r="E101" s="1">
        <f>+'Alta de Activo Fijo'!E105</f>
        <v>0</v>
      </c>
      <c r="G101" s="33"/>
      <c r="H101" s="33"/>
      <c r="I101" s="70">
        <f t="shared" si="5"/>
        <v>0</v>
      </c>
      <c r="J101" s="33" t="s">
        <v>46</v>
      </c>
      <c r="K101" s="42" t="e">
        <f t="shared" si="6"/>
        <v>#DIV/0!</v>
      </c>
      <c r="L101" s="42" t="e">
        <f t="shared" si="7"/>
        <v>#DIV/0!</v>
      </c>
      <c r="M101" s="43">
        <v>0</v>
      </c>
      <c r="N101" s="43">
        <v>0</v>
      </c>
      <c r="O101" s="44" t="s">
        <v>25</v>
      </c>
      <c r="P101" s="45">
        <f t="shared" si="4"/>
        <v>0</v>
      </c>
    </row>
    <row r="102" spans="1:16" x14ac:dyDescent="0.25">
      <c r="A102" s="33"/>
      <c r="B102" s="22"/>
      <c r="C102">
        <f>+'Alta de Activo Fijo'!B106</f>
        <v>0</v>
      </c>
      <c r="D102" s="1">
        <f>+'Alta de Activo Fijo'!D106</f>
        <v>0</v>
      </c>
      <c r="E102" s="1">
        <f>+'Alta de Activo Fijo'!E106</f>
        <v>0</v>
      </c>
      <c r="G102" s="33"/>
      <c r="H102" s="33"/>
      <c r="I102" s="70">
        <f t="shared" si="5"/>
        <v>0</v>
      </c>
      <c r="J102" s="33" t="s">
        <v>46</v>
      </c>
      <c r="K102" s="42" t="e">
        <f t="shared" si="6"/>
        <v>#DIV/0!</v>
      </c>
      <c r="L102" s="42" t="e">
        <f t="shared" si="7"/>
        <v>#DIV/0!</v>
      </c>
      <c r="M102" s="43">
        <v>0</v>
      </c>
      <c r="N102" s="43">
        <v>0</v>
      </c>
      <c r="O102" s="44" t="s">
        <v>25</v>
      </c>
      <c r="P102" s="45">
        <f t="shared" si="4"/>
        <v>0</v>
      </c>
    </row>
    <row r="103" spans="1:16" x14ac:dyDescent="0.25">
      <c r="A103" s="33"/>
      <c r="B103" s="22"/>
      <c r="C103">
        <f>+'Alta de Activo Fijo'!B107</f>
        <v>0</v>
      </c>
      <c r="D103" s="1">
        <f>+'Alta de Activo Fijo'!D107</f>
        <v>0</v>
      </c>
      <c r="E103" s="1">
        <f>+'Alta de Activo Fijo'!E107</f>
        <v>0</v>
      </c>
      <c r="G103" s="33"/>
      <c r="H103" s="33"/>
      <c r="I103" s="70">
        <f t="shared" si="5"/>
        <v>0</v>
      </c>
      <c r="J103" s="33" t="s">
        <v>46</v>
      </c>
      <c r="K103" s="42" t="e">
        <f t="shared" si="6"/>
        <v>#DIV/0!</v>
      </c>
      <c r="L103" s="42" t="e">
        <f t="shared" si="7"/>
        <v>#DIV/0!</v>
      </c>
      <c r="M103" s="43">
        <v>0</v>
      </c>
      <c r="N103" s="43">
        <v>0</v>
      </c>
      <c r="O103" s="44" t="s">
        <v>25</v>
      </c>
      <c r="P103" s="45">
        <f t="shared" si="4"/>
        <v>0</v>
      </c>
    </row>
    <row r="104" spans="1:16" x14ac:dyDescent="0.25">
      <c r="A104" s="33"/>
      <c r="B104" s="22"/>
      <c r="C104">
        <f>+'Alta de Activo Fijo'!B108</f>
        <v>0</v>
      </c>
      <c r="D104" s="1">
        <f>+'Alta de Activo Fijo'!D108</f>
        <v>0</v>
      </c>
      <c r="E104" s="1">
        <f>+'Alta de Activo Fijo'!E108</f>
        <v>0</v>
      </c>
      <c r="G104" s="33"/>
      <c r="H104" s="33"/>
      <c r="I104" s="70">
        <f t="shared" si="5"/>
        <v>0</v>
      </c>
      <c r="J104" s="33" t="s">
        <v>46</v>
      </c>
      <c r="K104" s="42" t="e">
        <f t="shared" si="6"/>
        <v>#DIV/0!</v>
      </c>
      <c r="L104" s="42" t="e">
        <f t="shared" si="7"/>
        <v>#DIV/0!</v>
      </c>
      <c r="M104" s="43">
        <v>0</v>
      </c>
      <c r="N104" s="43">
        <v>0</v>
      </c>
      <c r="O104" s="44" t="s">
        <v>25</v>
      </c>
      <c r="P104" s="45">
        <f t="shared" si="4"/>
        <v>0</v>
      </c>
    </row>
    <row r="105" spans="1:16" x14ac:dyDescent="0.25">
      <c r="A105" s="33"/>
      <c r="B105" s="22"/>
      <c r="C105">
        <f>+'Alta de Activo Fijo'!B109</f>
        <v>0</v>
      </c>
      <c r="D105" s="1">
        <f>+'Alta de Activo Fijo'!D109</f>
        <v>0</v>
      </c>
      <c r="E105" s="1">
        <f>+'Alta de Activo Fijo'!E109</f>
        <v>0</v>
      </c>
      <c r="G105" s="33"/>
      <c r="H105" s="33"/>
      <c r="I105" s="70">
        <f t="shared" si="5"/>
        <v>0</v>
      </c>
      <c r="J105" s="33" t="s">
        <v>46</v>
      </c>
      <c r="K105" s="42" t="e">
        <f t="shared" si="6"/>
        <v>#DIV/0!</v>
      </c>
      <c r="L105" s="42" t="e">
        <f t="shared" si="7"/>
        <v>#DIV/0!</v>
      </c>
      <c r="M105" s="43">
        <v>0</v>
      </c>
      <c r="N105" s="43">
        <v>0</v>
      </c>
      <c r="O105" s="44" t="s">
        <v>25</v>
      </c>
      <c r="P105" s="45">
        <f t="shared" si="4"/>
        <v>0</v>
      </c>
    </row>
    <row r="106" spans="1:16" x14ac:dyDescent="0.25">
      <c r="A106" s="33"/>
      <c r="B106" s="22"/>
      <c r="C106">
        <f>+'Alta de Activo Fijo'!B110</f>
        <v>0</v>
      </c>
      <c r="D106" s="1">
        <f>+'Alta de Activo Fijo'!D110</f>
        <v>0</v>
      </c>
      <c r="E106" s="1">
        <f>+'Alta de Activo Fijo'!E110</f>
        <v>0</v>
      </c>
      <c r="G106" s="33"/>
      <c r="H106" s="33"/>
      <c r="I106" s="70">
        <f t="shared" si="5"/>
        <v>0</v>
      </c>
      <c r="J106" s="33" t="s">
        <v>46</v>
      </c>
      <c r="K106" s="42" t="e">
        <f t="shared" si="6"/>
        <v>#DIV/0!</v>
      </c>
      <c r="L106" s="42" t="e">
        <f t="shared" si="7"/>
        <v>#DIV/0!</v>
      </c>
      <c r="M106" s="43">
        <v>0</v>
      </c>
      <c r="N106" s="43">
        <v>0</v>
      </c>
      <c r="O106" s="44" t="s">
        <v>25</v>
      </c>
      <c r="P106" s="45">
        <f t="shared" si="4"/>
        <v>0</v>
      </c>
    </row>
    <row r="107" spans="1:16" x14ac:dyDescent="0.25">
      <c r="A107" s="33"/>
      <c r="B107" s="22"/>
      <c r="C107">
        <f>+'Alta de Activo Fijo'!B111</f>
        <v>0</v>
      </c>
      <c r="D107" s="1">
        <f>+'Alta de Activo Fijo'!D111</f>
        <v>0</v>
      </c>
      <c r="E107" s="1">
        <f>+'Alta de Activo Fijo'!E111</f>
        <v>0</v>
      </c>
      <c r="G107" s="33"/>
      <c r="H107" s="33"/>
      <c r="I107" s="70">
        <f t="shared" si="5"/>
        <v>0</v>
      </c>
      <c r="J107" s="33" t="s">
        <v>46</v>
      </c>
      <c r="K107" s="42" t="e">
        <f t="shared" si="6"/>
        <v>#DIV/0!</v>
      </c>
      <c r="L107" s="42" t="e">
        <f t="shared" si="7"/>
        <v>#DIV/0!</v>
      </c>
      <c r="M107" s="43">
        <v>0</v>
      </c>
      <c r="N107" s="43">
        <v>0</v>
      </c>
      <c r="O107" s="44" t="s">
        <v>25</v>
      </c>
      <c r="P107" s="45">
        <f t="shared" si="4"/>
        <v>0</v>
      </c>
    </row>
    <row r="108" spans="1:16" x14ac:dyDescent="0.25">
      <c r="A108" s="33"/>
      <c r="B108" s="22"/>
      <c r="C108">
        <f>+'Alta de Activo Fijo'!B112</f>
        <v>0</v>
      </c>
      <c r="D108" s="1">
        <f>+'Alta de Activo Fijo'!D112</f>
        <v>0</v>
      </c>
      <c r="E108" s="1">
        <f>+'Alta de Activo Fijo'!E112</f>
        <v>0</v>
      </c>
      <c r="G108" s="33"/>
      <c r="H108" s="33"/>
      <c r="I108" s="70">
        <f t="shared" si="5"/>
        <v>0</v>
      </c>
      <c r="J108" s="33" t="s">
        <v>46</v>
      </c>
      <c r="K108" s="42" t="e">
        <f t="shared" si="6"/>
        <v>#DIV/0!</v>
      </c>
      <c r="L108" s="42" t="e">
        <f t="shared" si="7"/>
        <v>#DIV/0!</v>
      </c>
      <c r="M108" s="43">
        <v>0</v>
      </c>
      <c r="N108" s="43">
        <v>0</v>
      </c>
      <c r="O108" s="44" t="s">
        <v>25</v>
      </c>
      <c r="P108" s="45">
        <f t="shared" si="4"/>
        <v>0</v>
      </c>
    </row>
    <row r="109" spans="1:16" x14ac:dyDescent="0.25">
      <c r="A109" s="33"/>
      <c r="B109" s="22"/>
      <c r="C109">
        <f>+'Alta de Activo Fijo'!B113</f>
        <v>0</v>
      </c>
      <c r="D109" s="1">
        <f>+'Alta de Activo Fijo'!D113</f>
        <v>0</v>
      </c>
      <c r="E109" s="1">
        <f>+'Alta de Activo Fijo'!E113</f>
        <v>0</v>
      </c>
      <c r="G109" s="33"/>
      <c r="H109" s="33"/>
      <c r="I109" s="70">
        <f t="shared" si="5"/>
        <v>0</v>
      </c>
      <c r="J109" s="33" t="s">
        <v>46</v>
      </c>
      <c r="K109" s="42" t="e">
        <f t="shared" si="6"/>
        <v>#DIV/0!</v>
      </c>
      <c r="L109" s="42" t="e">
        <f t="shared" si="7"/>
        <v>#DIV/0!</v>
      </c>
      <c r="M109" s="43">
        <v>0</v>
      </c>
      <c r="N109" s="43">
        <v>0</v>
      </c>
      <c r="O109" s="44" t="s">
        <v>25</v>
      </c>
      <c r="P109" s="45">
        <f t="shared" si="4"/>
        <v>0</v>
      </c>
    </row>
    <row r="110" spans="1:16" x14ac:dyDescent="0.25">
      <c r="A110" s="33"/>
      <c r="B110" s="22"/>
      <c r="C110">
        <f>+'Alta de Activo Fijo'!B114</f>
        <v>0</v>
      </c>
      <c r="D110" s="1">
        <f>+'Alta de Activo Fijo'!D114</f>
        <v>0</v>
      </c>
      <c r="E110" s="1">
        <f>+'Alta de Activo Fijo'!E114</f>
        <v>0</v>
      </c>
      <c r="G110" s="33"/>
      <c r="H110" s="33"/>
      <c r="I110" s="70">
        <f t="shared" si="5"/>
        <v>0</v>
      </c>
      <c r="J110" s="33" t="s">
        <v>46</v>
      </c>
      <c r="K110" s="42" t="e">
        <f t="shared" si="6"/>
        <v>#DIV/0!</v>
      </c>
      <c r="L110" s="42" t="e">
        <f t="shared" si="7"/>
        <v>#DIV/0!</v>
      </c>
      <c r="M110" s="43">
        <v>0</v>
      </c>
      <c r="N110" s="43">
        <v>0</v>
      </c>
      <c r="O110" s="44" t="s">
        <v>25</v>
      </c>
      <c r="P110" s="45">
        <f t="shared" si="4"/>
        <v>0</v>
      </c>
    </row>
    <row r="111" spans="1:16" x14ac:dyDescent="0.25">
      <c r="A111" s="33"/>
      <c r="B111" s="22"/>
      <c r="C111">
        <f>+'Alta de Activo Fijo'!B115</f>
        <v>0</v>
      </c>
      <c r="D111" s="1">
        <f>+'Alta de Activo Fijo'!D115</f>
        <v>0</v>
      </c>
      <c r="E111" s="1">
        <f>+'Alta de Activo Fijo'!E115</f>
        <v>0</v>
      </c>
      <c r="G111" s="33"/>
      <c r="H111" s="33"/>
      <c r="I111" s="70">
        <f t="shared" si="5"/>
        <v>0</v>
      </c>
      <c r="J111" s="33" t="s">
        <v>46</v>
      </c>
      <c r="K111" s="42" t="e">
        <f t="shared" si="6"/>
        <v>#DIV/0!</v>
      </c>
      <c r="L111" s="42" t="e">
        <f t="shared" si="7"/>
        <v>#DIV/0!</v>
      </c>
      <c r="M111" s="43">
        <v>0</v>
      </c>
      <c r="N111" s="43">
        <v>0</v>
      </c>
      <c r="O111" s="44" t="s">
        <v>25</v>
      </c>
      <c r="P111" s="45">
        <f t="shared" si="4"/>
        <v>0</v>
      </c>
    </row>
    <row r="112" spans="1:16" x14ac:dyDescent="0.25">
      <c r="A112" s="33"/>
      <c r="B112" s="22"/>
      <c r="C112">
        <f>+'Alta de Activo Fijo'!B116</f>
        <v>0</v>
      </c>
      <c r="D112" s="1">
        <f>+'Alta de Activo Fijo'!D116</f>
        <v>0</v>
      </c>
      <c r="E112" s="1">
        <f>+'Alta de Activo Fijo'!E116</f>
        <v>0</v>
      </c>
      <c r="G112" s="33"/>
      <c r="H112" s="33"/>
      <c r="I112" s="70">
        <f t="shared" si="5"/>
        <v>0</v>
      </c>
      <c r="J112" s="33" t="s">
        <v>46</v>
      </c>
      <c r="K112" s="42" t="e">
        <f t="shared" si="6"/>
        <v>#DIV/0!</v>
      </c>
      <c r="L112" s="42" t="e">
        <f t="shared" si="7"/>
        <v>#DIV/0!</v>
      </c>
      <c r="M112" s="43">
        <v>0</v>
      </c>
      <c r="N112" s="43">
        <v>0</v>
      </c>
      <c r="O112" s="44" t="s">
        <v>25</v>
      </c>
      <c r="P112" s="45">
        <f t="shared" si="4"/>
        <v>0</v>
      </c>
    </row>
    <row r="113" spans="1:16" x14ac:dyDescent="0.25">
      <c r="A113" s="33"/>
      <c r="B113" s="22"/>
      <c r="C113">
        <f>+'Alta de Activo Fijo'!B117</f>
        <v>0</v>
      </c>
      <c r="D113" s="1">
        <f>+'Alta de Activo Fijo'!D117</f>
        <v>0</v>
      </c>
      <c r="E113" s="1">
        <f>+'Alta de Activo Fijo'!E117</f>
        <v>0</v>
      </c>
      <c r="G113" s="33"/>
      <c r="H113" s="33"/>
      <c r="I113" s="70">
        <f t="shared" si="5"/>
        <v>0</v>
      </c>
      <c r="J113" s="33" t="s">
        <v>46</v>
      </c>
      <c r="K113" s="42" t="e">
        <f t="shared" si="6"/>
        <v>#DIV/0!</v>
      </c>
      <c r="L113" s="42" t="e">
        <f t="shared" si="7"/>
        <v>#DIV/0!</v>
      </c>
      <c r="M113" s="43">
        <v>0</v>
      </c>
      <c r="N113" s="43">
        <v>0</v>
      </c>
      <c r="O113" s="44" t="s">
        <v>25</v>
      </c>
      <c r="P113" s="45">
        <f t="shared" si="4"/>
        <v>0</v>
      </c>
    </row>
    <row r="114" spans="1:16" x14ac:dyDescent="0.25">
      <c r="A114" s="33"/>
      <c r="B114" s="22"/>
      <c r="C114">
        <f>+'Alta de Activo Fijo'!B118</f>
        <v>0</v>
      </c>
      <c r="D114" s="1">
        <f>+'Alta de Activo Fijo'!D118</f>
        <v>0</v>
      </c>
      <c r="E114" s="1">
        <f>+'Alta de Activo Fijo'!E118</f>
        <v>0</v>
      </c>
      <c r="G114" s="33"/>
      <c r="H114" s="33"/>
      <c r="I114" s="70">
        <f t="shared" si="5"/>
        <v>0</v>
      </c>
      <c r="J114" s="33" t="s">
        <v>46</v>
      </c>
      <c r="K114" s="42" t="e">
        <f t="shared" si="6"/>
        <v>#DIV/0!</v>
      </c>
      <c r="L114" s="42" t="e">
        <f t="shared" si="7"/>
        <v>#DIV/0!</v>
      </c>
      <c r="M114" s="43">
        <v>0</v>
      </c>
      <c r="N114" s="43">
        <v>0</v>
      </c>
      <c r="O114" s="44" t="s">
        <v>25</v>
      </c>
      <c r="P114" s="45">
        <f t="shared" si="4"/>
        <v>0</v>
      </c>
    </row>
    <row r="115" spans="1:16" x14ac:dyDescent="0.25">
      <c r="A115" s="33"/>
      <c r="B115" s="22"/>
      <c r="C115">
        <f>+'Alta de Activo Fijo'!B119</f>
        <v>0</v>
      </c>
      <c r="D115" s="1">
        <f>+'Alta de Activo Fijo'!D119</f>
        <v>0</v>
      </c>
      <c r="E115" s="1">
        <f>+'Alta de Activo Fijo'!E119</f>
        <v>0</v>
      </c>
      <c r="G115" s="33"/>
      <c r="H115" s="33"/>
      <c r="I115" s="70">
        <f t="shared" si="5"/>
        <v>0</v>
      </c>
      <c r="J115" s="33" t="s">
        <v>46</v>
      </c>
      <c r="K115" s="42" t="e">
        <f t="shared" si="6"/>
        <v>#DIV/0!</v>
      </c>
      <c r="L115" s="42" t="e">
        <f t="shared" si="7"/>
        <v>#DIV/0!</v>
      </c>
      <c r="M115" s="43">
        <v>0</v>
      </c>
      <c r="N115" s="43">
        <v>0</v>
      </c>
      <c r="O115" s="44" t="s">
        <v>25</v>
      </c>
      <c r="P115" s="45">
        <f t="shared" si="4"/>
        <v>0</v>
      </c>
    </row>
    <row r="116" spans="1:16" x14ac:dyDescent="0.25">
      <c r="A116" s="33"/>
      <c r="B116" s="22"/>
      <c r="C116">
        <f>+'Alta de Activo Fijo'!B120</f>
        <v>0</v>
      </c>
      <c r="D116" s="1">
        <f>+'Alta de Activo Fijo'!D120</f>
        <v>0</v>
      </c>
      <c r="E116" s="1">
        <f>+'Alta de Activo Fijo'!E120</f>
        <v>0</v>
      </c>
      <c r="G116" s="33"/>
      <c r="H116" s="33"/>
      <c r="I116" s="70">
        <f t="shared" si="5"/>
        <v>0</v>
      </c>
      <c r="J116" s="33" t="s">
        <v>46</v>
      </c>
      <c r="K116" s="42" t="e">
        <f t="shared" si="6"/>
        <v>#DIV/0!</v>
      </c>
      <c r="L116" s="42" t="e">
        <f t="shared" si="7"/>
        <v>#DIV/0!</v>
      </c>
      <c r="M116" s="43">
        <v>0</v>
      </c>
      <c r="N116" s="43">
        <v>0</v>
      </c>
      <c r="O116" s="44" t="s">
        <v>25</v>
      </c>
      <c r="P116" s="45">
        <f t="shared" si="4"/>
        <v>0</v>
      </c>
    </row>
    <row r="117" spans="1:16" x14ac:dyDescent="0.25">
      <c r="A117" s="33"/>
      <c r="B117" s="22"/>
      <c r="C117">
        <f>+'Alta de Activo Fijo'!B121</f>
        <v>0</v>
      </c>
      <c r="D117" s="1">
        <f>+'Alta de Activo Fijo'!D121</f>
        <v>0</v>
      </c>
      <c r="E117" s="1">
        <f>+'Alta de Activo Fijo'!E121</f>
        <v>0</v>
      </c>
      <c r="G117" s="33"/>
      <c r="H117" s="33"/>
      <c r="I117" s="70">
        <f t="shared" si="5"/>
        <v>0</v>
      </c>
      <c r="J117" s="33" t="s">
        <v>46</v>
      </c>
      <c r="K117" s="42" t="e">
        <f t="shared" si="6"/>
        <v>#DIV/0!</v>
      </c>
      <c r="L117" s="42" t="e">
        <f t="shared" si="7"/>
        <v>#DIV/0!</v>
      </c>
      <c r="M117" s="43">
        <v>0</v>
      </c>
      <c r="N117" s="43">
        <v>0</v>
      </c>
      <c r="O117" s="44" t="s">
        <v>25</v>
      </c>
      <c r="P117" s="45">
        <f t="shared" si="4"/>
        <v>0</v>
      </c>
    </row>
    <row r="118" spans="1:16" x14ac:dyDescent="0.25">
      <c r="A118" s="33"/>
      <c r="B118" s="22"/>
      <c r="C118">
        <f>+'Alta de Activo Fijo'!B122</f>
        <v>0</v>
      </c>
      <c r="D118" s="1">
        <f>+'Alta de Activo Fijo'!D122</f>
        <v>0</v>
      </c>
      <c r="E118" s="1">
        <f>+'Alta de Activo Fijo'!E122</f>
        <v>0</v>
      </c>
      <c r="G118" s="33"/>
      <c r="H118" s="33"/>
      <c r="I118" s="70">
        <f t="shared" si="5"/>
        <v>0</v>
      </c>
      <c r="J118" s="33" t="s">
        <v>46</v>
      </c>
      <c r="K118" s="42" t="e">
        <f t="shared" si="6"/>
        <v>#DIV/0!</v>
      </c>
      <c r="L118" s="42" t="e">
        <f t="shared" si="7"/>
        <v>#DIV/0!</v>
      </c>
      <c r="M118" s="43">
        <v>0</v>
      </c>
      <c r="N118" s="43">
        <v>0</v>
      </c>
      <c r="O118" s="44" t="s">
        <v>25</v>
      </c>
      <c r="P118" s="45">
        <f t="shared" si="4"/>
        <v>0</v>
      </c>
    </row>
    <row r="119" spans="1:16" x14ac:dyDescent="0.25">
      <c r="A119" s="33"/>
      <c r="B119" s="22"/>
      <c r="C119">
        <f>+'Alta de Activo Fijo'!B123</f>
        <v>0</v>
      </c>
      <c r="D119" s="1">
        <f>+'Alta de Activo Fijo'!D123</f>
        <v>0</v>
      </c>
      <c r="E119" s="1">
        <f>+'Alta de Activo Fijo'!E123</f>
        <v>0</v>
      </c>
      <c r="G119" s="33"/>
      <c r="H119" s="33"/>
      <c r="I119" s="70">
        <f t="shared" si="5"/>
        <v>0</v>
      </c>
      <c r="J119" s="33" t="s">
        <v>46</v>
      </c>
      <c r="K119" s="42" t="e">
        <f t="shared" si="6"/>
        <v>#DIV/0!</v>
      </c>
      <c r="L119" s="42" t="e">
        <f t="shared" si="7"/>
        <v>#DIV/0!</v>
      </c>
      <c r="M119" s="43">
        <v>0</v>
      </c>
      <c r="N119" s="43">
        <v>0</v>
      </c>
      <c r="O119" s="44" t="s">
        <v>25</v>
      </c>
      <c r="P119" s="45">
        <f t="shared" si="4"/>
        <v>0</v>
      </c>
    </row>
    <row r="120" spans="1:16" x14ac:dyDescent="0.25">
      <c r="A120" s="33"/>
      <c r="B120" s="22"/>
      <c r="C120">
        <f>+'Alta de Activo Fijo'!B124</f>
        <v>0</v>
      </c>
      <c r="D120" s="1">
        <f>+'Alta de Activo Fijo'!D124</f>
        <v>0</v>
      </c>
      <c r="E120" s="1">
        <f>+'Alta de Activo Fijo'!E124</f>
        <v>0</v>
      </c>
      <c r="G120" s="33"/>
      <c r="H120" s="33"/>
      <c r="I120" s="70">
        <f t="shared" si="5"/>
        <v>0</v>
      </c>
      <c r="J120" s="33" t="s">
        <v>46</v>
      </c>
      <c r="K120" s="42" t="e">
        <f t="shared" si="6"/>
        <v>#DIV/0!</v>
      </c>
      <c r="L120" s="42" t="e">
        <f t="shared" si="7"/>
        <v>#DIV/0!</v>
      </c>
      <c r="M120" s="43">
        <v>0</v>
      </c>
      <c r="N120" s="43">
        <v>0</v>
      </c>
      <c r="O120" s="44" t="s">
        <v>25</v>
      </c>
      <c r="P120" s="45">
        <f t="shared" si="4"/>
        <v>0</v>
      </c>
    </row>
    <row r="121" spans="1:16" x14ac:dyDescent="0.25">
      <c r="A121" s="33"/>
      <c r="B121" s="22"/>
      <c r="C121">
        <f>+'Alta de Activo Fijo'!B125</f>
        <v>0</v>
      </c>
      <c r="D121" s="1">
        <f>+'Alta de Activo Fijo'!D125</f>
        <v>0</v>
      </c>
      <c r="E121" s="1">
        <f>+'Alta de Activo Fijo'!E125</f>
        <v>0</v>
      </c>
      <c r="G121" s="33"/>
      <c r="H121" s="33"/>
      <c r="I121" s="70">
        <f t="shared" si="5"/>
        <v>0</v>
      </c>
      <c r="J121" s="33" t="s">
        <v>46</v>
      </c>
      <c r="K121" s="42" t="e">
        <f t="shared" si="6"/>
        <v>#DIV/0!</v>
      </c>
      <c r="L121" s="42" t="e">
        <f t="shared" si="7"/>
        <v>#DIV/0!</v>
      </c>
      <c r="M121" s="43">
        <v>0</v>
      </c>
      <c r="N121" s="43">
        <v>0</v>
      </c>
      <c r="O121" s="44" t="s">
        <v>25</v>
      </c>
      <c r="P121" s="45">
        <f t="shared" si="4"/>
        <v>0</v>
      </c>
    </row>
    <row r="122" spans="1:16" x14ac:dyDescent="0.25">
      <c r="A122" s="33"/>
      <c r="B122" s="22"/>
      <c r="C122">
        <f>+'Alta de Activo Fijo'!B126</f>
        <v>0</v>
      </c>
      <c r="D122" s="1">
        <f>+'Alta de Activo Fijo'!D126</f>
        <v>0</v>
      </c>
      <c r="E122" s="1">
        <f>+'Alta de Activo Fijo'!E126</f>
        <v>0</v>
      </c>
      <c r="G122" s="33"/>
      <c r="H122" s="33"/>
      <c r="I122" s="70">
        <f t="shared" si="5"/>
        <v>0</v>
      </c>
      <c r="J122" s="33" t="s">
        <v>46</v>
      </c>
      <c r="K122" s="42" t="e">
        <f t="shared" si="6"/>
        <v>#DIV/0!</v>
      </c>
      <c r="L122" s="42" t="e">
        <f t="shared" si="7"/>
        <v>#DIV/0!</v>
      </c>
      <c r="M122" s="43">
        <v>0</v>
      </c>
      <c r="N122" s="43">
        <v>0</v>
      </c>
      <c r="O122" s="44" t="s">
        <v>25</v>
      </c>
      <c r="P122" s="45">
        <f t="shared" si="4"/>
        <v>0</v>
      </c>
    </row>
    <row r="123" spans="1:16" x14ac:dyDescent="0.25">
      <c r="A123" s="33"/>
      <c r="B123" s="22"/>
      <c r="C123">
        <f>+'Alta de Activo Fijo'!B127</f>
        <v>0</v>
      </c>
      <c r="D123" s="1">
        <f>+'Alta de Activo Fijo'!D127</f>
        <v>0</v>
      </c>
      <c r="E123" s="1">
        <f>+'Alta de Activo Fijo'!E127</f>
        <v>0</v>
      </c>
      <c r="G123" s="33"/>
      <c r="H123" s="33"/>
      <c r="I123" s="70">
        <f t="shared" si="5"/>
        <v>0</v>
      </c>
      <c r="J123" s="33" t="s">
        <v>46</v>
      </c>
      <c r="K123" s="42" t="e">
        <f t="shared" si="6"/>
        <v>#DIV/0!</v>
      </c>
      <c r="L123" s="42" t="e">
        <f t="shared" si="7"/>
        <v>#DIV/0!</v>
      </c>
      <c r="M123" s="43">
        <v>0</v>
      </c>
      <c r="N123" s="43">
        <v>0</v>
      </c>
      <c r="O123" s="44" t="s">
        <v>25</v>
      </c>
      <c r="P123" s="45">
        <f t="shared" si="4"/>
        <v>0</v>
      </c>
    </row>
    <row r="124" spans="1:16" x14ac:dyDescent="0.25">
      <c r="A124" s="33"/>
      <c r="B124" s="22"/>
      <c r="C124">
        <f>+'Alta de Activo Fijo'!B128</f>
        <v>0</v>
      </c>
      <c r="D124" s="1">
        <f>+'Alta de Activo Fijo'!D128</f>
        <v>0</v>
      </c>
      <c r="E124" s="1">
        <f>+'Alta de Activo Fijo'!E128</f>
        <v>0</v>
      </c>
      <c r="G124" s="33"/>
      <c r="H124" s="33"/>
      <c r="I124" s="70">
        <f t="shared" si="5"/>
        <v>0</v>
      </c>
      <c r="J124" s="33" t="s">
        <v>46</v>
      </c>
      <c r="K124" s="42" t="e">
        <f t="shared" si="6"/>
        <v>#DIV/0!</v>
      </c>
      <c r="L124" s="42" t="e">
        <f t="shared" si="7"/>
        <v>#DIV/0!</v>
      </c>
      <c r="M124" s="43">
        <v>0</v>
      </c>
      <c r="N124" s="43">
        <v>0</v>
      </c>
      <c r="O124" s="44" t="s">
        <v>25</v>
      </c>
      <c r="P124" s="45">
        <f t="shared" si="4"/>
        <v>0</v>
      </c>
    </row>
    <row r="125" spans="1:16" x14ac:dyDescent="0.25">
      <c r="A125" s="33"/>
      <c r="B125" s="22"/>
      <c r="C125">
        <f>+'Alta de Activo Fijo'!B129</f>
        <v>0</v>
      </c>
      <c r="D125" s="1">
        <f>+'Alta de Activo Fijo'!D129</f>
        <v>0</v>
      </c>
      <c r="E125" s="1">
        <f>+'Alta de Activo Fijo'!E129</f>
        <v>0</v>
      </c>
      <c r="G125" s="33"/>
      <c r="H125" s="33"/>
      <c r="I125" s="70">
        <f t="shared" si="5"/>
        <v>0</v>
      </c>
      <c r="J125" s="33" t="s">
        <v>46</v>
      </c>
      <c r="K125" s="42" t="e">
        <f t="shared" si="6"/>
        <v>#DIV/0!</v>
      </c>
      <c r="L125" s="42" t="e">
        <f t="shared" si="7"/>
        <v>#DIV/0!</v>
      </c>
      <c r="M125" s="43">
        <v>0</v>
      </c>
      <c r="N125" s="43">
        <v>0</v>
      </c>
      <c r="O125" s="44" t="s">
        <v>25</v>
      </c>
      <c r="P125" s="45">
        <f t="shared" si="4"/>
        <v>0</v>
      </c>
    </row>
    <row r="126" spans="1:16" x14ac:dyDescent="0.25">
      <c r="A126" s="33"/>
      <c r="B126" s="22"/>
      <c r="C126">
        <f>+'Alta de Activo Fijo'!B130</f>
        <v>0</v>
      </c>
      <c r="D126" s="1">
        <f>+'Alta de Activo Fijo'!D130</f>
        <v>0</v>
      </c>
      <c r="E126" s="1">
        <f>+'Alta de Activo Fijo'!E130</f>
        <v>0</v>
      </c>
      <c r="G126" s="33"/>
      <c r="H126" s="33"/>
      <c r="I126" s="70">
        <f t="shared" si="5"/>
        <v>0</v>
      </c>
      <c r="J126" s="33" t="s">
        <v>46</v>
      </c>
      <c r="K126" s="42" t="e">
        <f t="shared" si="6"/>
        <v>#DIV/0!</v>
      </c>
      <c r="L126" s="42" t="e">
        <f t="shared" si="7"/>
        <v>#DIV/0!</v>
      </c>
      <c r="M126" s="43">
        <v>0</v>
      </c>
      <c r="N126" s="43">
        <v>0</v>
      </c>
      <c r="O126" s="44" t="s">
        <v>25</v>
      </c>
      <c r="P126" s="45">
        <f t="shared" si="4"/>
        <v>0</v>
      </c>
    </row>
    <row r="127" spans="1:16" x14ac:dyDescent="0.25">
      <c r="A127" s="33"/>
      <c r="B127" s="22"/>
      <c r="C127">
        <f>+'Alta de Activo Fijo'!B131</f>
        <v>0</v>
      </c>
      <c r="D127" s="1">
        <f>+'Alta de Activo Fijo'!D131</f>
        <v>0</v>
      </c>
      <c r="E127" s="1">
        <f>+'Alta de Activo Fijo'!E131</f>
        <v>0</v>
      </c>
      <c r="G127" s="33"/>
      <c r="H127" s="33"/>
      <c r="I127" s="70">
        <f t="shared" si="5"/>
        <v>0</v>
      </c>
      <c r="J127" s="33" t="s">
        <v>46</v>
      </c>
      <c r="K127" s="42" t="e">
        <f t="shared" si="6"/>
        <v>#DIV/0!</v>
      </c>
      <c r="L127" s="42" t="e">
        <f t="shared" si="7"/>
        <v>#DIV/0!</v>
      </c>
      <c r="M127" s="43">
        <v>0</v>
      </c>
      <c r="N127" s="43">
        <v>0</v>
      </c>
      <c r="O127" s="44" t="s">
        <v>25</v>
      </c>
      <c r="P127" s="45">
        <f t="shared" si="4"/>
        <v>0</v>
      </c>
    </row>
    <row r="128" spans="1:16" x14ac:dyDescent="0.25">
      <c r="A128" s="33"/>
      <c r="B128" s="22"/>
      <c r="C128">
        <f>+'Alta de Activo Fijo'!B132</f>
        <v>0</v>
      </c>
      <c r="D128" s="1">
        <f>+'Alta de Activo Fijo'!D132</f>
        <v>0</v>
      </c>
      <c r="E128" s="1">
        <f>+'Alta de Activo Fijo'!E132</f>
        <v>0</v>
      </c>
      <c r="G128" s="33"/>
      <c r="H128" s="33"/>
      <c r="I128" s="70">
        <f t="shared" si="5"/>
        <v>0</v>
      </c>
      <c r="J128" s="33" t="s">
        <v>46</v>
      </c>
      <c r="K128" s="42" t="e">
        <f t="shared" si="6"/>
        <v>#DIV/0!</v>
      </c>
      <c r="L128" s="42" t="e">
        <f t="shared" si="7"/>
        <v>#DIV/0!</v>
      </c>
      <c r="M128" s="43">
        <v>0</v>
      </c>
      <c r="N128" s="43">
        <v>0</v>
      </c>
      <c r="O128" s="44" t="s">
        <v>25</v>
      </c>
      <c r="P128" s="45">
        <f t="shared" si="4"/>
        <v>0</v>
      </c>
    </row>
    <row r="129" spans="1:16" x14ac:dyDescent="0.25">
      <c r="A129" s="33"/>
      <c r="B129" s="22"/>
      <c r="C129">
        <f>+'Alta de Activo Fijo'!B133</f>
        <v>0</v>
      </c>
      <c r="D129" s="1">
        <f>+'Alta de Activo Fijo'!D133</f>
        <v>0</v>
      </c>
      <c r="E129" s="1">
        <f>+'Alta de Activo Fijo'!E133</f>
        <v>0</v>
      </c>
      <c r="G129" s="33"/>
      <c r="H129" s="33"/>
      <c r="I129" s="70">
        <f t="shared" si="5"/>
        <v>0</v>
      </c>
      <c r="J129" s="33" t="s">
        <v>46</v>
      </c>
      <c r="K129" s="42" t="e">
        <f t="shared" si="6"/>
        <v>#DIV/0!</v>
      </c>
      <c r="L129" s="42" t="e">
        <f t="shared" si="7"/>
        <v>#DIV/0!</v>
      </c>
      <c r="M129" s="43">
        <v>0</v>
      </c>
      <c r="N129" s="43">
        <v>0</v>
      </c>
      <c r="O129" s="44" t="s">
        <v>25</v>
      </c>
      <c r="P129" s="45">
        <f t="shared" si="4"/>
        <v>0</v>
      </c>
    </row>
    <row r="130" spans="1:16" x14ac:dyDescent="0.25">
      <c r="A130" s="33"/>
      <c r="B130" s="22"/>
      <c r="C130">
        <f>+'Alta de Activo Fijo'!B134</f>
        <v>0</v>
      </c>
      <c r="D130" s="1">
        <f>+'Alta de Activo Fijo'!D134</f>
        <v>0</v>
      </c>
      <c r="E130" s="1">
        <f>+'Alta de Activo Fijo'!E134</f>
        <v>0</v>
      </c>
      <c r="G130" s="33"/>
      <c r="H130" s="33"/>
      <c r="I130" s="70">
        <f t="shared" si="5"/>
        <v>0</v>
      </c>
      <c r="J130" s="33" t="s">
        <v>46</v>
      </c>
      <c r="K130" s="42" t="e">
        <f t="shared" si="6"/>
        <v>#DIV/0!</v>
      </c>
      <c r="L130" s="42" t="e">
        <f t="shared" si="7"/>
        <v>#DIV/0!</v>
      </c>
      <c r="M130" s="43">
        <v>0</v>
      </c>
      <c r="N130" s="43">
        <v>0</v>
      </c>
      <c r="O130" s="44" t="s">
        <v>25</v>
      </c>
      <c r="P130" s="45">
        <f t="shared" si="4"/>
        <v>0</v>
      </c>
    </row>
    <row r="131" spans="1:16" x14ac:dyDescent="0.25">
      <c r="A131" s="33"/>
      <c r="B131" s="22"/>
      <c r="C131">
        <f>+'Alta de Activo Fijo'!B135</f>
        <v>0</v>
      </c>
      <c r="D131" s="1">
        <f>+'Alta de Activo Fijo'!D135</f>
        <v>0</v>
      </c>
      <c r="E131" s="1">
        <f>+'Alta de Activo Fijo'!E135</f>
        <v>0</v>
      </c>
      <c r="G131" s="33"/>
      <c r="H131" s="33"/>
      <c r="I131" s="70">
        <f t="shared" si="5"/>
        <v>0</v>
      </c>
      <c r="J131" s="33" t="s">
        <v>46</v>
      </c>
      <c r="K131" s="42" t="e">
        <f t="shared" si="6"/>
        <v>#DIV/0!</v>
      </c>
      <c r="L131" s="42" t="e">
        <f t="shared" si="7"/>
        <v>#DIV/0!</v>
      </c>
      <c r="M131" s="43">
        <v>0</v>
      </c>
      <c r="N131" s="43">
        <v>0</v>
      </c>
      <c r="O131" s="44" t="s">
        <v>25</v>
      </c>
      <c r="P131" s="45">
        <f t="shared" si="4"/>
        <v>0</v>
      </c>
    </row>
    <row r="132" spans="1:16" x14ac:dyDescent="0.25">
      <c r="A132" s="33"/>
      <c r="B132" s="22"/>
      <c r="C132">
        <f>+'Alta de Activo Fijo'!B136</f>
        <v>0</v>
      </c>
      <c r="D132" s="1">
        <f>+'Alta de Activo Fijo'!D136</f>
        <v>0</v>
      </c>
      <c r="E132" s="1">
        <f>+'Alta de Activo Fijo'!E136</f>
        <v>0</v>
      </c>
      <c r="G132" s="33"/>
      <c r="H132" s="33"/>
      <c r="I132" s="70">
        <f t="shared" si="5"/>
        <v>0</v>
      </c>
      <c r="J132" s="33" t="s">
        <v>46</v>
      </c>
      <c r="K132" s="42" t="e">
        <f t="shared" si="6"/>
        <v>#DIV/0!</v>
      </c>
      <c r="L132" s="42" t="e">
        <f t="shared" si="7"/>
        <v>#DIV/0!</v>
      </c>
      <c r="M132" s="43">
        <v>0</v>
      </c>
      <c r="N132" s="43">
        <v>0</v>
      </c>
      <c r="O132" s="44" t="s">
        <v>25</v>
      </c>
      <c r="P132" s="45">
        <f t="shared" si="4"/>
        <v>0</v>
      </c>
    </row>
    <row r="133" spans="1:16" x14ac:dyDescent="0.25">
      <c r="A133" s="33"/>
      <c r="B133" s="22"/>
      <c r="C133">
        <f>+'Alta de Activo Fijo'!B137</f>
        <v>0</v>
      </c>
      <c r="D133" s="1">
        <f>+'Alta de Activo Fijo'!D137</f>
        <v>0</v>
      </c>
      <c r="E133" s="1">
        <f>+'Alta de Activo Fijo'!E137</f>
        <v>0</v>
      </c>
      <c r="G133" s="33"/>
      <c r="H133" s="33"/>
      <c r="I133" s="70">
        <f t="shared" si="5"/>
        <v>0</v>
      </c>
      <c r="J133" s="33" t="s">
        <v>46</v>
      </c>
      <c r="K133" s="42" t="e">
        <f t="shared" si="6"/>
        <v>#DIV/0!</v>
      </c>
      <c r="L133" s="42" t="e">
        <f t="shared" si="7"/>
        <v>#DIV/0!</v>
      </c>
      <c r="M133" s="43">
        <v>0</v>
      </c>
      <c r="N133" s="43">
        <v>0</v>
      </c>
      <c r="O133" s="44" t="s">
        <v>25</v>
      </c>
      <c r="P133" s="45">
        <f t="shared" si="4"/>
        <v>0</v>
      </c>
    </row>
    <row r="134" spans="1:16" x14ac:dyDescent="0.25">
      <c r="A134" s="33"/>
      <c r="B134" s="22"/>
      <c r="C134">
        <f>+'Alta de Activo Fijo'!B138</f>
        <v>0</v>
      </c>
      <c r="D134" s="1">
        <f>+'Alta de Activo Fijo'!D138</f>
        <v>0</v>
      </c>
      <c r="E134" s="1">
        <f>+'Alta de Activo Fijo'!E138</f>
        <v>0</v>
      </c>
      <c r="G134" s="33"/>
      <c r="H134" s="33"/>
      <c r="I134" s="70">
        <f t="shared" si="5"/>
        <v>0</v>
      </c>
      <c r="J134" s="33" t="s">
        <v>46</v>
      </c>
      <c r="K134" s="42" t="e">
        <f t="shared" si="6"/>
        <v>#DIV/0!</v>
      </c>
      <c r="L134" s="42" t="e">
        <f t="shared" si="7"/>
        <v>#DIV/0!</v>
      </c>
      <c r="M134" s="43">
        <v>0</v>
      </c>
      <c r="N134" s="43">
        <v>0</v>
      </c>
      <c r="O134" s="44" t="s">
        <v>25</v>
      </c>
      <c r="P134" s="45">
        <f t="shared" si="4"/>
        <v>0</v>
      </c>
    </row>
    <row r="135" spans="1:16" x14ac:dyDescent="0.25">
      <c r="A135" s="33"/>
      <c r="B135" s="22"/>
      <c r="C135">
        <f>+'Alta de Activo Fijo'!B139</f>
        <v>0</v>
      </c>
      <c r="D135" s="1">
        <f>+'Alta de Activo Fijo'!D139</f>
        <v>0</v>
      </c>
      <c r="E135" s="1">
        <f>+'Alta de Activo Fijo'!E139</f>
        <v>0</v>
      </c>
      <c r="G135" s="33"/>
      <c r="H135" s="33"/>
      <c r="I135" s="70">
        <f t="shared" si="5"/>
        <v>0</v>
      </c>
      <c r="J135" s="33" t="s">
        <v>46</v>
      </c>
      <c r="K135" s="42" t="e">
        <f t="shared" si="6"/>
        <v>#DIV/0!</v>
      </c>
      <c r="L135" s="42" t="e">
        <f t="shared" si="7"/>
        <v>#DIV/0!</v>
      </c>
      <c r="M135" s="43">
        <v>0</v>
      </c>
      <c r="N135" s="43">
        <v>0</v>
      </c>
      <c r="O135" s="44" t="s">
        <v>25</v>
      </c>
      <c r="P135" s="45">
        <f t="shared" si="4"/>
        <v>0</v>
      </c>
    </row>
    <row r="136" spans="1:16" x14ac:dyDescent="0.25">
      <c r="A136" s="33"/>
      <c r="B136" s="22"/>
      <c r="C136">
        <f>+'Alta de Activo Fijo'!B140</f>
        <v>0</v>
      </c>
      <c r="D136" s="1">
        <f>+'Alta de Activo Fijo'!D140</f>
        <v>0</v>
      </c>
      <c r="E136" s="1">
        <f>+'Alta de Activo Fijo'!E140</f>
        <v>0</v>
      </c>
      <c r="G136" s="33"/>
      <c r="H136" s="33"/>
      <c r="I136" s="70">
        <f t="shared" si="5"/>
        <v>0</v>
      </c>
      <c r="J136" s="33" t="s">
        <v>46</v>
      </c>
      <c r="K136" s="42" t="e">
        <f t="shared" si="6"/>
        <v>#DIV/0!</v>
      </c>
      <c r="L136" s="42" t="e">
        <f t="shared" si="7"/>
        <v>#DIV/0!</v>
      </c>
      <c r="M136" s="43">
        <v>0</v>
      </c>
      <c r="N136" s="43">
        <v>0</v>
      </c>
      <c r="O136" s="44" t="s">
        <v>25</v>
      </c>
      <c r="P136" s="45">
        <f t="shared" si="4"/>
        <v>0</v>
      </c>
    </row>
    <row r="137" spans="1:16" x14ac:dyDescent="0.25">
      <c r="A137" s="33"/>
      <c r="B137" s="22"/>
      <c r="C137">
        <f>+'Alta de Activo Fijo'!B141</f>
        <v>0</v>
      </c>
      <c r="D137" s="1">
        <f>+'Alta de Activo Fijo'!D141</f>
        <v>0</v>
      </c>
      <c r="E137" s="1">
        <f>+'Alta de Activo Fijo'!E141</f>
        <v>0</v>
      </c>
      <c r="G137" s="33"/>
      <c r="H137" s="33"/>
      <c r="I137" s="70">
        <f t="shared" si="5"/>
        <v>0</v>
      </c>
      <c r="J137" s="33" t="s">
        <v>46</v>
      </c>
      <c r="K137" s="42" t="e">
        <f t="shared" si="6"/>
        <v>#DIV/0!</v>
      </c>
      <c r="L137" s="42" t="e">
        <f t="shared" si="7"/>
        <v>#DIV/0!</v>
      </c>
      <c r="M137" s="43">
        <v>0</v>
      </c>
      <c r="N137" s="43">
        <v>0</v>
      </c>
      <c r="O137" s="44" t="s">
        <v>25</v>
      </c>
      <c r="P137" s="45">
        <f t="shared" si="4"/>
        <v>0</v>
      </c>
    </row>
    <row r="138" spans="1:16" x14ac:dyDescent="0.25">
      <c r="A138" s="33"/>
      <c r="B138" s="22"/>
      <c r="C138">
        <f>+'Alta de Activo Fijo'!B142</f>
        <v>0</v>
      </c>
      <c r="D138" s="1">
        <f>+'Alta de Activo Fijo'!D142</f>
        <v>0</v>
      </c>
      <c r="E138" s="1">
        <f>+'Alta de Activo Fijo'!E142</f>
        <v>0</v>
      </c>
      <c r="G138" s="33"/>
      <c r="H138" s="33"/>
      <c r="I138" s="70">
        <f t="shared" si="5"/>
        <v>0</v>
      </c>
      <c r="J138" s="33" t="s">
        <v>46</v>
      </c>
      <c r="K138" s="42" t="e">
        <f t="shared" si="6"/>
        <v>#DIV/0!</v>
      </c>
      <c r="L138" s="42" t="e">
        <f t="shared" si="7"/>
        <v>#DIV/0!</v>
      </c>
      <c r="M138" s="43">
        <v>0</v>
      </c>
      <c r="N138" s="43">
        <v>0</v>
      </c>
      <c r="O138" s="44" t="s">
        <v>25</v>
      </c>
      <c r="P138" s="45">
        <f t="shared" si="4"/>
        <v>0</v>
      </c>
    </row>
    <row r="139" spans="1:16" x14ac:dyDescent="0.25">
      <c r="A139" s="33"/>
      <c r="B139" s="22"/>
      <c r="C139">
        <f>+'Alta de Activo Fijo'!B143</f>
        <v>0</v>
      </c>
      <c r="D139" s="1">
        <f>+'Alta de Activo Fijo'!D143</f>
        <v>0</v>
      </c>
      <c r="E139" s="1">
        <f>+'Alta de Activo Fijo'!E143</f>
        <v>0</v>
      </c>
      <c r="G139" s="33"/>
      <c r="H139" s="33"/>
      <c r="I139" s="70">
        <f t="shared" si="5"/>
        <v>0</v>
      </c>
      <c r="J139" s="33" t="s">
        <v>46</v>
      </c>
      <c r="K139" s="42" t="e">
        <f t="shared" si="6"/>
        <v>#DIV/0!</v>
      </c>
      <c r="L139" s="42" t="e">
        <f t="shared" si="7"/>
        <v>#DIV/0!</v>
      </c>
      <c r="M139" s="43">
        <v>0</v>
      </c>
      <c r="N139" s="43">
        <v>0</v>
      </c>
      <c r="O139" s="44" t="s">
        <v>25</v>
      </c>
      <c r="P139" s="45">
        <f t="shared" si="4"/>
        <v>0</v>
      </c>
    </row>
    <row r="140" spans="1:16" x14ac:dyDescent="0.25">
      <c r="A140" s="33"/>
      <c r="B140" s="22"/>
      <c r="C140">
        <f>+'Alta de Activo Fijo'!B144</f>
        <v>0</v>
      </c>
      <c r="D140" s="1">
        <f>+'Alta de Activo Fijo'!D144</f>
        <v>0</v>
      </c>
      <c r="E140" s="1">
        <f>+'Alta de Activo Fijo'!E144</f>
        <v>0</v>
      </c>
      <c r="G140" s="33"/>
      <c r="H140" s="33"/>
      <c r="I140" s="70">
        <f t="shared" si="5"/>
        <v>0</v>
      </c>
      <c r="J140" s="33" t="s">
        <v>46</v>
      </c>
      <c r="K140" s="42" t="e">
        <f t="shared" si="6"/>
        <v>#DIV/0!</v>
      </c>
      <c r="L140" s="42" t="e">
        <f t="shared" si="7"/>
        <v>#DIV/0!</v>
      </c>
      <c r="M140" s="43">
        <v>0</v>
      </c>
      <c r="N140" s="43">
        <v>0</v>
      </c>
      <c r="O140" s="44" t="s">
        <v>25</v>
      </c>
      <c r="P140" s="45">
        <f t="shared" si="4"/>
        <v>0</v>
      </c>
    </row>
    <row r="141" spans="1:16" x14ac:dyDescent="0.25">
      <c r="A141" s="33"/>
      <c r="B141" s="22"/>
      <c r="C141">
        <f>+'Alta de Activo Fijo'!B145</f>
        <v>0</v>
      </c>
      <c r="D141" s="1">
        <f>+'Alta de Activo Fijo'!D145</f>
        <v>0</v>
      </c>
      <c r="E141" s="1">
        <f>+'Alta de Activo Fijo'!E145</f>
        <v>0</v>
      </c>
      <c r="G141" s="33"/>
      <c r="H141" s="33"/>
      <c r="I141" s="70">
        <f t="shared" si="5"/>
        <v>0</v>
      </c>
      <c r="J141" s="33" t="s">
        <v>46</v>
      </c>
      <c r="K141" s="42" t="e">
        <f t="shared" si="6"/>
        <v>#DIV/0!</v>
      </c>
      <c r="L141" s="42" t="e">
        <f t="shared" si="7"/>
        <v>#DIV/0!</v>
      </c>
      <c r="M141" s="43">
        <v>0</v>
      </c>
      <c r="N141" s="43">
        <v>0</v>
      </c>
      <c r="O141" s="44" t="s">
        <v>25</v>
      </c>
      <c r="P141" s="45">
        <f t="shared" si="4"/>
        <v>0</v>
      </c>
    </row>
    <row r="142" spans="1:16" x14ac:dyDescent="0.25">
      <c r="A142" s="33"/>
      <c r="B142" s="22"/>
      <c r="C142">
        <f>+'Alta de Activo Fijo'!B146</f>
        <v>0</v>
      </c>
      <c r="D142" s="1">
        <f>+'Alta de Activo Fijo'!D146</f>
        <v>0</v>
      </c>
      <c r="E142" s="1">
        <f>+'Alta de Activo Fijo'!E146</f>
        <v>0</v>
      </c>
      <c r="G142" s="33"/>
      <c r="H142" s="33"/>
      <c r="I142" s="70">
        <f t="shared" si="5"/>
        <v>0</v>
      </c>
      <c r="J142" s="33" t="s">
        <v>46</v>
      </c>
      <c r="K142" s="42" t="e">
        <f t="shared" si="6"/>
        <v>#DIV/0!</v>
      </c>
      <c r="L142" s="42" t="e">
        <f t="shared" si="7"/>
        <v>#DIV/0!</v>
      </c>
      <c r="M142" s="43">
        <v>0</v>
      </c>
      <c r="N142" s="43">
        <v>0</v>
      </c>
      <c r="O142" s="44" t="s">
        <v>25</v>
      </c>
      <c r="P142" s="45">
        <f t="shared" si="4"/>
        <v>0</v>
      </c>
    </row>
    <row r="143" spans="1:16" x14ac:dyDescent="0.25">
      <c r="A143" s="33"/>
      <c r="B143" s="22"/>
      <c r="C143">
        <f>+'Alta de Activo Fijo'!B147</f>
        <v>0</v>
      </c>
      <c r="D143" s="1">
        <f>+'Alta de Activo Fijo'!D147</f>
        <v>0</v>
      </c>
      <c r="E143" s="1">
        <f>+'Alta de Activo Fijo'!E147</f>
        <v>0</v>
      </c>
      <c r="G143" s="33"/>
      <c r="H143" s="33"/>
      <c r="I143" s="70">
        <f t="shared" si="5"/>
        <v>0</v>
      </c>
      <c r="J143" s="33" t="s">
        <v>46</v>
      </c>
      <c r="K143" s="42" t="e">
        <f t="shared" si="6"/>
        <v>#DIV/0!</v>
      </c>
      <c r="L143" s="42" t="e">
        <f t="shared" si="7"/>
        <v>#DIV/0!</v>
      </c>
      <c r="M143" s="43">
        <v>0</v>
      </c>
      <c r="N143" s="43">
        <v>0</v>
      </c>
      <c r="O143" s="44" t="s">
        <v>25</v>
      </c>
      <c r="P143" s="45">
        <f t="shared" si="4"/>
        <v>0</v>
      </c>
    </row>
    <row r="144" spans="1:16" x14ac:dyDescent="0.25">
      <c r="A144" s="33"/>
      <c r="B144" s="22"/>
      <c r="C144">
        <f>+'Alta de Activo Fijo'!B148</f>
        <v>0</v>
      </c>
      <c r="D144" s="1">
        <f>+'Alta de Activo Fijo'!D148</f>
        <v>0</v>
      </c>
      <c r="E144" s="1">
        <f>+'Alta de Activo Fijo'!E148</f>
        <v>0</v>
      </c>
      <c r="G144" s="33"/>
      <c r="H144" s="33"/>
      <c r="I144" s="70">
        <f t="shared" si="5"/>
        <v>0</v>
      </c>
      <c r="J144" s="33" t="s">
        <v>46</v>
      </c>
      <c r="K144" s="42" t="e">
        <f t="shared" si="6"/>
        <v>#DIV/0!</v>
      </c>
      <c r="L144" s="42" t="e">
        <f t="shared" si="7"/>
        <v>#DIV/0!</v>
      </c>
      <c r="M144" s="43">
        <v>0</v>
      </c>
      <c r="N144" s="43">
        <v>0</v>
      </c>
      <c r="O144" s="44" t="s">
        <v>25</v>
      </c>
      <c r="P144" s="45">
        <f t="shared" si="4"/>
        <v>0</v>
      </c>
    </row>
    <row r="145" spans="1:16" x14ac:dyDescent="0.25">
      <c r="A145" s="33"/>
      <c r="B145" s="22"/>
      <c r="C145">
        <f>+'Alta de Activo Fijo'!B149</f>
        <v>0</v>
      </c>
      <c r="D145" s="1">
        <f>+'Alta de Activo Fijo'!D149</f>
        <v>0</v>
      </c>
      <c r="E145" s="1">
        <f>+'Alta de Activo Fijo'!E149</f>
        <v>0</v>
      </c>
      <c r="G145" s="33"/>
      <c r="H145" s="33"/>
      <c r="I145" s="70">
        <f t="shared" si="5"/>
        <v>0</v>
      </c>
      <c r="J145" s="33" t="s">
        <v>46</v>
      </c>
      <c r="K145" s="42" t="e">
        <f t="shared" si="6"/>
        <v>#DIV/0!</v>
      </c>
      <c r="L145" s="42" t="e">
        <f t="shared" si="7"/>
        <v>#DIV/0!</v>
      </c>
      <c r="M145" s="43">
        <v>0</v>
      </c>
      <c r="N145" s="43">
        <v>0</v>
      </c>
      <c r="O145" s="44" t="s">
        <v>25</v>
      </c>
      <c r="P145" s="45">
        <f t="shared" ref="P145:P198" si="8">ROUND(IF(B145&lt;(G145-A145)/30,+B145,(G145-A145)/30),0)</f>
        <v>0</v>
      </c>
    </row>
    <row r="146" spans="1:16" x14ac:dyDescent="0.25">
      <c r="A146" s="33"/>
      <c r="B146" s="22"/>
      <c r="C146">
        <f>+'Alta de Activo Fijo'!B150</f>
        <v>0</v>
      </c>
      <c r="D146" s="1">
        <f>+'Alta de Activo Fijo'!D150</f>
        <v>0</v>
      </c>
      <c r="E146" s="1">
        <f>+'Alta de Activo Fijo'!E150</f>
        <v>0</v>
      </c>
      <c r="G146" s="33"/>
      <c r="H146" s="33"/>
      <c r="I146" s="70">
        <f t="shared" ref="I146:I198" si="9">+C146</f>
        <v>0</v>
      </c>
      <c r="J146" s="33" t="s">
        <v>46</v>
      </c>
      <c r="K146" s="42" t="e">
        <f t="shared" ref="K146:K198" si="10">+D146/B146*P146</f>
        <v>#DIV/0!</v>
      </c>
      <c r="L146" s="42" t="e">
        <f t="shared" ref="L146:L198" si="11">+E146/B146*P146</f>
        <v>#DIV/0!</v>
      </c>
      <c r="M146" s="43">
        <v>0</v>
      </c>
      <c r="N146" s="43">
        <v>0</v>
      </c>
      <c r="O146" s="44" t="s">
        <v>25</v>
      </c>
      <c r="P146" s="45">
        <f t="shared" si="8"/>
        <v>0</v>
      </c>
    </row>
    <row r="147" spans="1:16" x14ac:dyDescent="0.25">
      <c r="A147" s="33"/>
      <c r="B147" s="22"/>
      <c r="C147">
        <f>+'Alta de Activo Fijo'!B151</f>
        <v>0</v>
      </c>
      <c r="D147" s="1">
        <f>+'Alta de Activo Fijo'!D151</f>
        <v>0</v>
      </c>
      <c r="E147" s="1">
        <f>+'Alta de Activo Fijo'!E151</f>
        <v>0</v>
      </c>
      <c r="G147" s="33"/>
      <c r="H147" s="33"/>
      <c r="I147" s="70">
        <f t="shared" si="9"/>
        <v>0</v>
      </c>
      <c r="J147" s="33" t="s">
        <v>46</v>
      </c>
      <c r="K147" s="42" t="e">
        <f t="shared" si="10"/>
        <v>#DIV/0!</v>
      </c>
      <c r="L147" s="42" t="e">
        <f t="shared" si="11"/>
        <v>#DIV/0!</v>
      </c>
      <c r="M147" s="43">
        <v>0</v>
      </c>
      <c r="N147" s="43">
        <v>0</v>
      </c>
      <c r="O147" s="44" t="s">
        <v>25</v>
      </c>
      <c r="P147" s="45">
        <f t="shared" si="8"/>
        <v>0</v>
      </c>
    </row>
    <row r="148" spans="1:16" x14ac:dyDescent="0.25">
      <c r="A148" s="33"/>
      <c r="B148" s="22"/>
      <c r="C148">
        <f>+'Alta de Activo Fijo'!B152</f>
        <v>0</v>
      </c>
      <c r="D148" s="1">
        <f>+'Alta de Activo Fijo'!D152</f>
        <v>0</v>
      </c>
      <c r="E148" s="1">
        <f>+'Alta de Activo Fijo'!E152</f>
        <v>0</v>
      </c>
      <c r="G148" s="33"/>
      <c r="H148" s="33"/>
      <c r="I148" s="70">
        <f t="shared" si="9"/>
        <v>0</v>
      </c>
      <c r="J148" s="33" t="s">
        <v>46</v>
      </c>
      <c r="K148" s="42" t="e">
        <f t="shared" si="10"/>
        <v>#DIV/0!</v>
      </c>
      <c r="L148" s="42" t="e">
        <f t="shared" si="11"/>
        <v>#DIV/0!</v>
      </c>
      <c r="M148" s="43">
        <v>0</v>
      </c>
      <c r="N148" s="43">
        <v>0</v>
      </c>
      <c r="O148" s="44" t="s">
        <v>25</v>
      </c>
      <c r="P148" s="45">
        <f t="shared" si="8"/>
        <v>0</v>
      </c>
    </row>
    <row r="149" spans="1:16" x14ac:dyDescent="0.25">
      <c r="A149" s="33"/>
      <c r="B149" s="22"/>
      <c r="C149">
        <f>+'Alta de Activo Fijo'!B153</f>
        <v>0</v>
      </c>
      <c r="D149" s="1">
        <f>+'Alta de Activo Fijo'!D153</f>
        <v>0</v>
      </c>
      <c r="E149" s="1">
        <f>+'Alta de Activo Fijo'!E153</f>
        <v>0</v>
      </c>
      <c r="G149" s="33"/>
      <c r="H149" s="33"/>
      <c r="I149" s="70">
        <f t="shared" si="9"/>
        <v>0</v>
      </c>
      <c r="J149" s="33" t="s">
        <v>46</v>
      </c>
      <c r="K149" s="42" t="e">
        <f t="shared" si="10"/>
        <v>#DIV/0!</v>
      </c>
      <c r="L149" s="42" t="e">
        <f t="shared" si="11"/>
        <v>#DIV/0!</v>
      </c>
      <c r="M149" s="43">
        <v>0</v>
      </c>
      <c r="N149" s="43">
        <v>0</v>
      </c>
      <c r="O149" s="44" t="s">
        <v>25</v>
      </c>
      <c r="P149" s="45">
        <f t="shared" si="8"/>
        <v>0</v>
      </c>
    </row>
    <row r="150" spans="1:16" x14ac:dyDescent="0.25">
      <c r="A150" s="33"/>
      <c r="B150" s="22"/>
      <c r="C150">
        <f>+'Alta de Activo Fijo'!B154</f>
        <v>0</v>
      </c>
      <c r="D150" s="1">
        <f>+'Alta de Activo Fijo'!D154</f>
        <v>0</v>
      </c>
      <c r="E150" s="1">
        <f>+'Alta de Activo Fijo'!E154</f>
        <v>0</v>
      </c>
      <c r="G150" s="33"/>
      <c r="H150" s="33"/>
      <c r="I150" s="70">
        <f t="shared" si="9"/>
        <v>0</v>
      </c>
      <c r="J150" s="33" t="s">
        <v>46</v>
      </c>
      <c r="K150" s="42" t="e">
        <f t="shared" si="10"/>
        <v>#DIV/0!</v>
      </c>
      <c r="L150" s="42" t="e">
        <f t="shared" si="11"/>
        <v>#DIV/0!</v>
      </c>
      <c r="M150" s="43">
        <v>0</v>
      </c>
      <c r="N150" s="43">
        <v>0</v>
      </c>
      <c r="O150" s="44" t="s">
        <v>25</v>
      </c>
      <c r="P150" s="45">
        <f t="shared" si="8"/>
        <v>0</v>
      </c>
    </row>
    <row r="151" spans="1:16" x14ac:dyDescent="0.25">
      <c r="A151" s="33"/>
      <c r="B151" s="22"/>
      <c r="C151">
        <f>+'Alta de Activo Fijo'!B155</f>
        <v>0</v>
      </c>
      <c r="D151" s="1">
        <f>+'Alta de Activo Fijo'!D155</f>
        <v>0</v>
      </c>
      <c r="E151" s="1">
        <f>+'Alta de Activo Fijo'!E155</f>
        <v>0</v>
      </c>
      <c r="G151" s="33"/>
      <c r="H151" s="33"/>
      <c r="I151" s="70">
        <f t="shared" si="9"/>
        <v>0</v>
      </c>
      <c r="J151" s="33" t="s">
        <v>46</v>
      </c>
      <c r="K151" s="42" t="e">
        <f t="shared" si="10"/>
        <v>#DIV/0!</v>
      </c>
      <c r="L151" s="42" t="e">
        <f t="shared" si="11"/>
        <v>#DIV/0!</v>
      </c>
      <c r="M151" s="43">
        <v>0</v>
      </c>
      <c r="N151" s="43">
        <v>0</v>
      </c>
      <c r="O151" s="44" t="s">
        <v>25</v>
      </c>
      <c r="P151" s="45">
        <f t="shared" si="8"/>
        <v>0</v>
      </c>
    </row>
    <row r="152" spans="1:16" x14ac:dyDescent="0.25">
      <c r="A152" s="33"/>
      <c r="B152" s="22"/>
      <c r="C152">
        <f>+'Alta de Activo Fijo'!B156</f>
        <v>0</v>
      </c>
      <c r="D152" s="1">
        <f>+'Alta de Activo Fijo'!D156</f>
        <v>0</v>
      </c>
      <c r="E152" s="1">
        <f>+'Alta de Activo Fijo'!E156</f>
        <v>0</v>
      </c>
      <c r="G152" s="33"/>
      <c r="H152" s="33"/>
      <c r="I152" s="70">
        <f t="shared" si="9"/>
        <v>0</v>
      </c>
      <c r="J152" s="33" t="s">
        <v>46</v>
      </c>
      <c r="K152" s="42" t="e">
        <f t="shared" si="10"/>
        <v>#DIV/0!</v>
      </c>
      <c r="L152" s="42" t="e">
        <f t="shared" si="11"/>
        <v>#DIV/0!</v>
      </c>
      <c r="M152" s="43">
        <v>0</v>
      </c>
      <c r="N152" s="43">
        <v>0</v>
      </c>
      <c r="O152" s="44" t="s">
        <v>25</v>
      </c>
      <c r="P152" s="45">
        <f t="shared" si="8"/>
        <v>0</v>
      </c>
    </row>
    <row r="153" spans="1:16" x14ac:dyDescent="0.25">
      <c r="A153" s="33"/>
      <c r="B153" s="22"/>
      <c r="C153">
        <f>+'Alta de Activo Fijo'!B157</f>
        <v>0</v>
      </c>
      <c r="D153" s="1">
        <f>+'Alta de Activo Fijo'!D157</f>
        <v>0</v>
      </c>
      <c r="E153" s="1">
        <f>+'Alta de Activo Fijo'!E157</f>
        <v>0</v>
      </c>
      <c r="G153" s="33"/>
      <c r="H153" s="33"/>
      <c r="I153" s="70">
        <f t="shared" si="9"/>
        <v>0</v>
      </c>
      <c r="J153" s="33" t="s">
        <v>46</v>
      </c>
      <c r="K153" s="42" t="e">
        <f t="shared" si="10"/>
        <v>#DIV/0!</v>
      </c>
      <c r="L153" s="42" t="e">
        <f t="shared" si="11"/>
        <v>#DIV/0!</v>
      </c>
      <c r="M153" s="43">
        <v>0</v>
      </c>
      <c r="N153" s="43">
        <v>0</v>
      </c>
      <c r="O153" s="44" t="s">
        <v>25</v>
      </c>
      <c r="P153" s="45">
        <f t="shared" si="8"/>
        <v>0</v>
      </c>
    </row>
    <row r="154" spans="1:16" x14ac:dyDescent="0.25">
      <c r="A154" s="33"/>
      <c r="B154" s="22"/>
      <c r="C154">
        <f>+'Alta de Activo Fijo'!B158</f>
        <v>0</v>
      </c>
      <c r="D154" s="1">
        <f>+'Alta de Activo Fijo'!D158</f>
        <v>0</v>
      </c>
      <c r="E154" s="1">
        <f>+'Alta de Activo Fijo'!E158</f>
        <v>0</v>
      </c>
      <c r="G154" s="33"/>
      <c r="H154" s="33"/>
      <c r="I154" s="70">
        <f t="shared" si="9"/>
        <v>0</v>
      </c>
      <c r="J154" s="33" t="s">
        <v>46</v>
      </c>
      <c r="K154" s="42" t="e">
        <f t="shared" si="10"/>
        <v>#DIV/0!</v>
      </c>
      <c r="L154" s="42" t="e">
        <f t="shared" si="11"/>
        <v>#DIV/0!</v>
      </c>
      <c r="M154" s="43">
        <v>0</v>
      </c>
      <c r="N154" s="43">
        <v>0</v>
      </c>
      <c r="O154" s="44" t="s">
        <v>25</v>
      </c>
      <c r="P154" s="45">
        <f t="shared" si="8"/>
        <v>0</v>
      </c>
    </row>
    <row r="155" spans="1:16" x14ac:dyDescent="0.25">
      <c r="A155" s="33"/>
      <c r="B155" s="22"/>
      <c r="C155">
        <f>+'Alta de Activo Fijo'!B159</f>
        <v>0</v>
      </c>
      <c r="D155" s="1">
        <f>+'Alta de Activo Fijo'!D159</f>
        <v>0</v>
      </c>
      <c r="E155" s="1">
        <f>+'Alta de Activo Fijo'!E159</f>
        <v>0</v>
      </c>
      <c r="G155" s="33"/>
      <c r="H155" s="33"/>
      <c r="I155" s="70">
        <f t="shared" si="9"/>
        <v>0</v>
      </c>
      <c r="J155" s="33" t="s">
        <v>46</v>
      </c>
      <c r="K155" s="42" t="e">
        <f t="shared" si="10"/>
        <v>#DIV/0!</v>
      </c>
      <c r="L155" s="42" t="e">
        <f t="shared" si="11"/>
        <v>#DIV/0!</v>
      </c>
      <c r="M155" s="43">
        <v>0</v>
      </c>
      <c r="N155" s="43">
        <v>0</v>
      </c>
      <c r="O155" s="44" t="s">
        <v>25</v>
      </c>
      <c r="P155" s="45">
        <f t="shared" si="8"/>
        <v>0</v>
      </c>
    </row>
    <row r="156" spans="1:16" x14ac:dyDescent="0.25">
      <c r="A156" s="33"/>
      <c r="B156" s="22"/>
      <c r="C156">
        <f>+'Alta de Activo Fijo'!B160</f>
        <v>0</v>
      </c>
      <c r="D156" s="1">
        <f>+'Alta de Activo Fijo'!D160</f>
        <v>0</v>
      </c>
      <c r="E156" s="1">
        <f>+'Alta de Activo Fijo'!E160</f>
        <v>0</v>
      </c>
      <c r="G156" s="33"/>
      <c r="H156" s="33"/>
      <c r="I156" s="70">
        <f t="shared" si="9"/>
        <v>0</v>
      </c>
      <c r="J156" s="33" t="s">
        <v>46</v>
      </c>
      <c r="K156" s="42" t="e">
        <f t="shared" si="10"/>
        <v>#DIV/0!</v>
      </c>
      <c r="L156" s="42" t="e">
        <f t="shared" si="11"/>
        <v>#DIV/0!</v>
      </c>
      <c r="M156" s="43">
        <v>0</v>
      </c>
      <c r="N156" s="43">
        <v>0</v>
      </c>
      <c r="O156" s="44" t="s">
        <v>25</v>
      </c>
      <c r="P156" s="45">
        <f t="shared" si="8"/>
        <v>0</v>
      </c>
    </row>
    <row r="157" spans="1:16" x14ac:dyDescent="0.25">
      <c r="A157" s="33"/>
      <c r="B157" s="22"/>
      <c r="C157">
        <f>+'Alta de Activo Fijo'!B161</f>
        <v>0</v>
      </c>
      <c r="D157" s="1">
        <f>+'Alta de Activo Fijo'!D161</f>
        <v>0</v>
      </c>
      <c r="E157" s="1">
        <f>+'Alta de Activo Fijo'!E161</f>
        <v>0</v>
      </c>
      <c r="G157" s="33"/>
      <c r="H157" s="33"/>
      <c r="I157" s="70">
        <f t="shared" si="9"/>
        <v>0</v>
      </c>
      <c r="J157" s="33" t="s">
        <v>46</v>
      </c>
      <c r="K157" s="42" t="e">
        <f t="shared" si="10"/>
        <v>#DIV/0!</v>
      </c>
      <c r="L157" s="42" t="e">
        <f t="shared" si="11"/>
        <v>#DIV/0!</v>
      </c>
      <c r="M157" s="43">
        <v>0</v>
      </c>
      <c r="N157" s="43">
        <v>0</v>
      </c>
      <c r="O157" s="44" t="s">
        <v>25</v>
      </c>
      <c r="P157" s="45">
        <f t="shared" si="8"/>
        <v>0</v>
      </c>
    </row>
    <row r="158" spans="1:16" x14ac:dyDescent="0.25">
      <c r="A158" s="33"/>
      <c r="B158" s="22"/>
      <c r="C158">
        <f>+'Alta de Activo Fijo'!B162</f>
        <v>0</v>
      </c>
      <c r="D158" s="1">
        <f>+'Alta de Activo Fijo'!D162</f>
        <v>0</v>
      </c>
      <c r="E158" s="1">
        <f>+'Alta de Activo Fijo'!E162</f>
        <v>0</v>
      </c>
      <c r="G158" s="33"/>
      <c r="H158" s="33"/>
      <c r="I158" s="70">
        <f t="shared" si="9"/>
        <v>0</v>
      </c>
      <c r="J158" s="33" t="s">
        <v>46</v>
      </c>
      <c r="K158" s="42" t="e">
        <f t="shared" si="10"/>
        <v>#DIV/0!</v>
      </c>
      <c r="L158" s="42" t="e">
        <f t="shared" si="11"/>
        <v>#DIV/0!</v>
      </c>
      <c r="M158" s="43">
        <v>0</v>
      </c>
      <c r="N158" s="43">
        <v>0</v>
      </c>
      <c r="O158" s="44" t="s">
        <v>25</v>
      </c>
      <c r="P158" s="45">
        <f t="shared" si="8"/>
        <v>0</v>
      </c>
    </row>
    <row r="159" spans="1:16" x14ac:dyDescent="0.25">
      <c r="A159" s="33"/>
      <c r="B159" s="22"/>
      <c r="C159">
        <f>+'Alta de Activo Fijo'!B163</f>
        <v>0</v>
      </c>
      <c r="D159" s="1">
        <f>+'Alta de Activo Fijo'!D163</f>
        <v>0</v>
      </c>
      <c r="E159" s="1">
        <f>+'Alta de Activo Fijo'!E163</f>
        <v>0</v>
      </c>
      <c r="G159" s="33"/>
      <c r="H159" s="33"/>
      <c r="I159" s="70">
        <f t="shared" si="9"/>
        <v>0</v>
      </c>
      <c r="J159" s="33" t="s">
        <v>46</v>
      </c>
      <c r="K159" s="42" t="e">
        <f t="shared" si="10"/>
        <v>#DIV/0!</v>
      </c>
      <c r="L159" s="42" t="e">
        <f t="shared" si="11"/>
        <v>#DIV/0!</v>
      </c>
      <c r="M159" s="43">
        <v>0</v>
      </c>
      <c r="N159" s="43">
        <v>0</v>
      </c>
      <c r="O159" s="44" t="s">
        <v>25</v>
      </c>
      <c r="P159" s="45">
        <f t="shared" si="8"/>
        <v>0</v>
      </c>
    </row>
    <row r="160" spans="1:16" x14ac:dyDescent="0.25">
      <c r="A160" s="33"/>
      <c r="B160" s="22"/>
      <c r="C160">
        <f>+'Alta de Activo Fijo'!B164</f>
        <v>0</v>
      </c>
      <c r="D160" s="1">
        <f>+'Alta de Activo Fijo'!D164</f>
        <v>0</v>
      </c>
      <c r="E160" s="1">
        <f>+'Alta de Activo Fijo'!E164</f>
        <v>0</v>
      </c>
      <c r="G160" s="33"/>
      <c r="H160" s="33"/>
      <c r="I160" s="70">
        <f t="shared" si="9"/>
        <v>0</v>
      </c>
      <c r="J160" s="33" t="s">
        <v>46</v>
      </c>
      <c r="K160" s="42" t="e">
        <f t="shared" si="10"/>
        <v>#DIV/0!</v>
      </c>
      <c r="L160" s="42" t="e">
        <f t="shared" si="11"/>
        <v>#DIV/0!</v>
      </c>
      <c r="M160" s="43">
        <v>0</v>
      </c>
      <c r="N160" s="43">
        <v>0</v>
      </c>
      <c r="O160" s="44" t="s">
        <v>25</v>
      </c>
      <c r="P160" s="45">
        <f t="shared" si="8"/>
        <v>0</v>
      </c>
    </row>
    <row r="161" spans="1:16" x14ac:dyDescent="0.25">
      <c r="A161" s="33"/>
      <c r="B161" s="22"/>
      <c r="C161">
        <f>+'Alta de Activo Fijo'!B165</f>
        <v>0</v>
      </c>
      <c r="D161" s="1">
        <f>+'Alta de Activo Fijo'!D165</f>
        <v>0</v>
      </c>
      <c r="E161" s="1">
        <f>+'Alta de Activo Fijo'!E165</f>
        <v>0</v>
      </c>
      <c r="G161" s="33"/>
      <c r="H161" s="33"/>
      <c r="I161" s="70">
        <f t="shared" si="9"/>
        <v>0</v>
      </c>
      <c r="J161" s="33" t="s">
        <v>46</v>
      </c>
      <c r="K161" s="42" t="e">
        <f t="shared" si="10"/>
        <v>#DIV/0!</v>
      </c>
      <c r="L161" s="42" t="e">
        <f t="shared" si="11"/>
        <v>#DIV/0!</v>
      </c>
      <c r="M161" s="43">
        <v>0</v>
      </c>
      <c r="N161" s="43">
        <v>0</v>
      </c>
      <c r="O161" s="44" t="s">
        <v>25</v>
      </c>
      <c r="P161" s="45">
        <f t="shared" si="8"/>
        <v>0</v>
      </c>
    </row>
    <row r="162" spans="1:16" x14ac:dyDescent="0.25">
      <c r="A162" s="33"/>
      <c r="B162" s="22"/>
      <c r="C162">
        <f>+'Alta de Activo Fijo'!B166</f>
        <v>0</v>
      </c>
      <c r="D162" s="1">
        <f>+'Alta de Activo Fijo'!D166</f>
        <v>0</v>
      </c>
      <c r="E162" s="1">
        <f>+'Alta de Activo Fijo'!E166</f>
        <v>0</v>
      </c>
      <c r="G162" s="33"/>
      <c r="H162" s="33"/>
      <c r="I162" s="70">
        <f t="shared" si="9"/>
        <v>0</v>
      </c>
      <c r="J162" s="33" t="s">
        <v>46</v>
      </c>
      <c r="K162" s="42" t="e">
        <f t="shared" si="10"/>
        <v>#DIV/0!</v>
      </c>
      <c r="L162" s="42" t="e">
        <f t="shared" si="11"/>
        <v>#DIV/0!</v>
      </c>
      <c r="M162" s="43">
        <v>0</v>
      </c>
      <c r="N162" s="43">
        <v>0</v>
      </c>
      <c r="O162" s="44" t="s">
        <v>25</v>
      </c>
      <c r="P162" s="45">
        <f t="shared" si="8"/>
        <v>0</v>
      </c>
    </row>
    <row r="163" spans="1:16" x14ac:dyDescent="0.25">
      <c r="A163" s="33"/>
      <c r="B163" s="22"/>
      <c r="C163">
        <f>+'Alta de Activo Fijo'!B167</f>
        <v>0</v>
      </c>
      <c r="D163" s="1">
        <f>+'Alta de Activo Fijo'!D167</f>
        <v>0</v>
      </c>
      <c r="E163" s="1">
        <f>+'Alta de Activo Fijo'!E167</f>
        <v>0</v>
      </c>
      <c r="G163" s="33"/>
      <c r="H163" s="33"/>
      <c r="I163" s="70">
        <f t="shared" si="9"/>
        <v>0</v>
      </c>
      <c r="J163" s="33" t="s">
        <v>46</v>
      </c>
      <c r="K163" s="42" t="e">
        <f t="shared" si="10"/>
        <v>#DIV/0!</v>
      </c>
      <c r="L163" s="42" t="e">
        <f t="shared" si="11"/>
        <v>#DIV/0!</v>
      </c>
      <c r="M163" s="43">
        <v>0</v>
      </c>
      <c r="N163" s="43">
        <v>0</v>
      </c>
      <c r="O163" s="44" t="s">
        <v>25</v>
      </c>
      <c r="P163" s="45">
        <f t="shared" si="8"/>
        <v>0</v>
      </c>
    </row>
    <row r="164" spans="1:16" x14ac:dyDescent="0.25">
      <c r="A164" s="33"/>
      <c r="B164" s="22"/>
      <c r="C164">
        <f>+'Alta de Activo Fijo'!B168</f>
        <v>0</v>
      </c>
      <c r="D164" s="1">
        <f>+'Alta de Activo Fijo'!D168</f>
        <v>0</v>
      </c>
      <c r="E164" s="1">
        <f>+'Alta de Activo Fijo'!E168</f>
        <v>0</v>
      </c>
      <c r="G164" s="33"/>
      <c r="H164" s="33"/>
      <c r="I164" s="70">
        <f t="shared" si="9"/>
        <v>0</v>
      </c>
      <c r="J164" s="33" t="s">
        <v>46</v>
      </c>
      <c r="K164" s="42" t="e">
        <f t="shared" si="10"/>
        <v>#DIV/0!</v>
      </c>
      <c r="L164" s="42" t="e">
        <f t="shared" si="11"/>
        <v>#DIV/0!</v>
      </c>
      <c r="M164" s="43">
        <v>0</v>
      </c>
      <c r="N164" s="43">
        <v>0</v>
      </c>
      <c r="O164" s="44" t="s">
        <v>25</v>
      </c>
      <c r="P164" s="45">
        <f t="shared" si="8"/>
        <v>0</v>
      </c>
    </row>
    <row r="165" spans="1:16" x14ac:dyDescent="0.25">
      <c r="A165" s="33"/>
      <c r="B165" s="22"/>
      <c r="C165">
        <f>+'Alta de Activo Fijo'!B169</f>
        <v>0</v>
      </c>
      <c r="D165" s="1">
        <f>+'Alta de Activo Fijo'!D169</f>
        <v>0</v>
      </c>
      <c r="E165" s="1">
        <f>+'Alta de Activo Fijo'!E169</f>
        <v>0</v>
      </c>
      <c r="G165" s="33"/>
      <c r="H165" s="33"/>
      <c r="I165" s="70">
        <f t="shared" si="9"/>
        <v>0</v>
      </c>
      <c r="J165" s="33" t="s">
        <v>46</v>
      </c>
      <c r="K165" s="42" t="e">
        <f t="shared" si="10"/>
        <v>#DIV/0!</v>
      </c>
      <c r="L165" s="42" t="e">
        <f t="shared" si="11"/>
        <v>#DIV/0!</v>
      </c>
      <c r="M165" s="43">
        <v>0</v>
      </c>
      <c r="N165" s="43">
        <v>0</v>
      </c>
      <c r="O165" s="44" t="s">
        <v>25</v>
      </c>
      <c r="P165" s="45">
        <f t="shared" si="8"/>
        <v>0</v>
      </c>
    </row>
    <row r="166" spans="1:16" x14ac:dyDescent="0.25">
      <c r="A166" s="33"/>
      <c r="B166" s="22"/>
      <c r="C166">
        <f>+'Alta de Activo Fijo'!B170</f>
        <v>0</v>
      </c>
      <c r="D166" s="1">
        <f>+'Alta de Activo Fijo'!D170</f>
        <v>0</v>
      </c>
      <c r="E166" s="1">
        <f>+'Alta de Activo Fijo'!E170</f>
        <v>0</v>
      </c>
      <c r="G166" s="33"/>
      <c r="H166" s="33"/>
      <c r="I166" s="70">
        <f t="shared" si="9"/>
        <v>0</v>
      </c>
      <c r="J166" s="33" t="s">
        <v>46</v>
      </c>
      <c r="K166" s="42" t="e">
        <f t="shared" si="10"/>
        <v>#DIV/0!</v>
      </c>
      <c r="L166" s="42" t="e">
        <f t="shared" si="11"/>
        <v>#DIV/0!</v>
      </c>
      <c r="M166" s="43">
        <v>0</v>
      </c>
      <c r="N166" s="43">
        <v>0</v>
      </c>
      <c r="O166" s="44" t="s">
        <v>25</v>
      </c>
      <c r="P166" s="45">
        <f t="shared" si="8"/>
        <v>0</v>
      </c>
    </row>
    <row r="167" spans="1:16" x14ac:dyDescent="0.25">
      <c r="A167" s="33"/>
      <c r="B167" s="22"/>
      <c r="C167">
        <f>+'Alta de Activo Fijo'!B171</f>
        <v>0</v>
      </c>
      <c r="D167" s="1">
        <f>+'Alta de Activo Fijo'!D171</f>
        <v>0</v>
      </c>
      <c r="E167" s="1">
        <f>+'Alta de Activo Fijo'!E171</f>
        <v>0</v>
      </c>
      <c r="G167" s="33"/>
      <c r="H167" s="33"/>
      <c r="I167" s="70">
        <f t="shared" si="9"/>
        <v>0</v>
      </c>
      <c r="J167" s="33" t="s">
        <v>46</v>
      </c>
      <c r="K167" s="42" t="e">
        <f t="shared" si="10"/>
        <v>#DIV/0!</v>
      </c>
      <c r="L167" s="42" t="e">
        <f t="shared" si="11"/>
        <v>#DIV/0!</v>
      </c>
      <c r="M167" s="43">
        <v>0</v>
      </c>
      <c r="N167" s="43">
        <v>0</v>
      </c>
      <c r="O167" s="44" t="s">
        <v>25</v>
      </c>
      <c r="P167" s="45">
        <f t="shared" si="8"/>
        <v>0</v>
      </c>
    </row>
    <row r="168" spans="1:16" x14ac:dyDescent="0.25">
      <c r="A168" s="33"/>
      <c r="B168" s="22"/>
      <c r="C168">
        <f>+'Alta de Activo Fijo'!B172</f>
        <v>0</v>
      </c>
      <c r="D168" s="1">
        <f>+'Alta de Activo Fijo'!D172</f>
        <v>0</v>
      </c>
      <c r="E168" s="1">
        <f>+'Alta de Activo Fijo'!E172</f>
        <v>0</v>
      </c>
      <c r="G168" s="33"/>
      <c r="H168" s="33"/>
      <c r="I168" s="70">
        <f t="shared" si="9"/>
        <v>0</v>
      </c>
      <c r="J168" s="33" t="s">
        <v>46</v>
      </c>
      <c r="K168" s="42" t="e">
        <f t="shared" si="10"/>
        <v>#DIV/0!</v>
      </c>
      <c r="L168" s="42" t="e">
        <f t="shared" si="11"/>
        <v>#DIV/0!</v>
      </c>
      <c r="M168" s="43">
        <v>0</v>
      </c>
      <c r="N168" s="43">
        <v>0</v>
      </c>
      <c r="O168" s="44" t="s">
        <v>25</v>
      </c>
      <c r="P168" s="45">
        <f t="shared" si="8"/>
        <v>0</v>
      </c>
    </row>
    <row r="169" spans="1:16" x14ac:dyDescent="0.25">
      <c r="A169" s="33"/>
      <c r="B169" s="22"/>
      <c r="C169">
        <f>+'Alta de Activo Fijo'!B173</f>
        <v>0</v>
      </c>
      <c r="D169" s="1">
        <f>+'Alta de Activo Fijo'!D173</f>
        <v>0</v>
      </c>
      <c r="E169" s="1">
        <f>+'Alta de Activo Fijo'!E173</f>
        <v>0</v>
      </c>
      <c r="G169" s="33"/>
      <c r="H169" s="33"/>
      <c r="I169" s="70">
        <f t="shared" si="9"/>
        <v>0</v>
      </c>
      <c r="J169" s="33" t="s">
        <v>46</v>
      </c>
      <c r="K169" s="42" t="e">
        <f t="shared" si="10"/>
        <v>#DIV/0!</v>
      </c>
      <c r="L169" s="42" t="e">
        <f t="shared" si="11"/>
        <v>#DIV/0!</v>
      </c>
      <c r="M169" s="43">
        <v>0</v>
      </c>
      <c r="N169" s="43">
        <v>0</v>
      </c>
      <c r="O169" s="44" t="s">
        <v>25</v>
      </c>
      <c r="P169" s="45">
        <f t="shared" si="8"/>
        <v>0</v>
      </c>
    </row>
    <row r="170" spans="1:16" x14ac:dyDescent="0.25">
      <c r="A170" s="33"/>
      <c r="B170" s="22"/>
      <c r="C170">
        <f>+'Alta de Activo Fijo'!B174</f>
        <v>0</v>
      </c>
      <c r="D170" s="1">
        <f>+'Alta de Activo Fijo'!D174</f>
        <v>0</v>
      </c>
      <c r="E170" s="1">
        <f>+'Alta de Activo Fijo'!E174</f>
        <v>0</v>
      </c>
      <c r="G170" s="33"/>
      <c r="H170" s="33"/>
      <c r="I170" s="70">
        <f t="shared" si="9"/>
        <v>0</v>
      </c>
      <c r="J170" s="33" t="s">
        <v>46</v>
      </c>
      <c r="K170" s="42" t="e">
        <f t="shared" si="10"/>
        <v>#DIV/0!</v>
      </c>
      <c r="L170" s="42" t="e">
        <f t="shared" si="11"/>
        <v>#DIV/0!</v>
      </c>
      <c r="M170" s="43">
        <v>0</v>
      </c>
      <c r="N170" s="43">
        <v>0</v>
      </c>
      <c r="O170" s="44" t="s">
        <v>25</v>
      </c>
      <c r="P170" s="45">
        <f t="shared" si="8"/>
        <v>0</v>
      </c>
    </row>
    <row r="171" spans="1:16" x14ac:dyDescent="0.25">
      <c r="A171" s="33"/>
      <c r="B171" s="22"/>
      <c r="C171">
        <f>+'Alta de Activo Fijo'!B175</f>
        <v>0</v>
      </c>
      <c r="D171" s="1">
        <f>+'Alta de Activo Fijo'!D175</f>
        <v>0</v>
      </c>
      <c r="E171" s="1">
        <f>+'Alta de Activo Fijo'!E175</f>
        <v>0</v>
      </c>
      <c r="G171" s="33"/>
      <c r="H171" s="33"/>
      <c r="I171" s="70">
        <f t="shared" si="9"/>
        <v>0</v>
      </c>
      <c r="J171" s="33" t="s">
        <v>46</v>
      </c>
      <c r="K171" s="42" t="e">
        <f t="shared" si="10"/>
        <v>#DIV/0!</v>
      </c>
      <c r="L171" s="42" t="e">
        <f t="shared" si="11"/>
        <v>#DIV/0!</v>
      </c>
      <c r="M171" s="43">
        <v>0</v>
      </c>
      <c r="N171" s="43">
        <v>0</v>
      </c>
      <c r="O171" s="44" t="s">
        <v>25</v>
      </c>
      <c r="P171" s="45">
        <f t="shared" si="8"/>
        <v>0</v>
      </c>
    </row>
    <row r="172" spans="1:16" x14ac:dyDescent="0.25">
      <c r="A172" s="33"/>
      <c r="B172" s="22"/>
      <c r="C172">
        <f>+'Alta de Activo Fijo'!B176</f>
        <v>0</v>
      </c>
      <c r="D172" s="1">
        <f>+'Alta de Activo Fijo'!D176</f>
        <v>0</v>
      </c>
      <c r="E172" s="1">
        <f>+'Alta de Activo Fijo'!E176</f>
        <v>0</v>
      </c>
      <c r="G172" s="33"/>
      <c r="H172" s="33"/>
      <c r="I172" s="70">
        <f t="shared" si="9"/>
        <v>0</v>
      </c>
      <c r="J172" s="33" t="s">
        <v>46</v>
      </c>
      <c r="K172" s="42" t="e">
        <f t="shared" si="10"/>
        <v>#DIV/0!</v>
      </c>
      <c r="L172" s="42" t="e">
        <f t="shared" si="11"/>
        <v>#DIV/0!</v>
      </c>
      <c r="M172" s="43">
        <v>0</v>
      </c>
      <c r="N172" s="43">
        <v>0</v>
      </c>
      <c r="O172" s="44" t="s">
        <v>25</v>
      </c>
      <c r="P172" s="45">
        <f t="shared" si="8"/>
        <v>0</v>
      </c>
    </row>
    <row r="173" spans="1:16" x14ac:dyDescent="0.25">
      <c r="A173" s="33"/>
      <c r="B173" s="22"/>
      <c r="C173">
        <f>+'Alta de Activo Fijo'!B177</f>
        <v>0</v>
      </c>
      <c r="D173" s="1">
        <f>+'Alta de Activo Fijo'!D177</f>
        <v>0</v>
      </c>
      <c r="E173" s="1">
        <f>+'Alta de Activo Fijo'!E177</f>
        <v>0</v>
      </c>
      <c r="G173" s="33"/>
      <c r="H173" s="33"/>
      <c r="I173" s="70">
        <f t="shared" si="9"/>
        <v>0</v>
      </c>
      <c r="J173" s="33" t="s">
        <v>46</v>
      </c>
      <c r="K173" s="42" t="e">
        <f t="shared" si="10"/>
        <v>#DIV/0!</v>
      </c>
      <c r="L173" s="42" t="e">
        <f t="shared" si="11"/>
        <v>#DIV/0!</v>
      </c>
      <c r="M173" s="43">
        <v>0</v>
      </c>
      <c r="N173" s="43">
        <v>0</v>
      </c>
      <c r="O173" s="44" t="s">
        <v>25</v>
      </c>
      <c r="P173" s="45">
        <f t="shared" si="8"/>
        <v>0</v>
      </c>
    </row>
    <row r="174" spans="1:16" x14ac:dyDescent="0.25">
      <c r="A174" s="33"/>
      <c r="B174" s="22"/>
      <c r="C174">
        <f>+'Alta de Activo Fijo'!B178</f>
        <v>0</v>
      </c>
      <c r="D174" s="1">
        <f>+'Alta de Activo Fijo'!D178</f>
        <v>0</v>
      </c>
      <c r="E174" s="1">
        <f>+'Alta de Activo Fijo'!E178</f>
        <v>0</v>
      </c>
      <c r="G174" s="33"/>
      <c r="H174" s="33"/>
      <c r="I174" s="70">
        <f t="shared" si="9"/>
        <v>0</v>
      </c>
      <c r="J174" s="33" t="s">
        <v>46</v>
      </c>
      <c r="K174" s="42" t="e">
        <f t="shared" si="10"/>
        <v>#DIV/0!</v>
      </c>
      <c r="L174" s="42" t="e">
        <f t="shared" si="11"/>
        <v>#DIV/0!</v>
      </c>
      <c r="M174" s="43">
        <v>0</v>
      </c>
      <c r="N174" s="43">
        <v>0</v>
      </c>
      <c r="O174" s="44" t="s">
        <v>25</v>
      </c>
      <c r="P174" s="45">
        <f t="shared" si="8"/>
        <v>0</v>
      </c>
    </row>
    <row r="175" spans="1:16" x14ac:dyDescent="0.25">
      <c r="A175" s="33"/>
      <c r="B175" s="22"/>
      <c r="C175">
        <f>+'Alta de Activo Fijo'!B179</f>
        <v>0</v>
      </c>
      <c r="D175" s="1">
        <f>+'Alta de Activo Fijo'!D179</f>
        <v>0</v>
      </c>
      <c r="E175" s="1">
        <f>+'Alta de Activo Fijo'!E179</f>
        <v>0</v>
      </c>
      <c r="G175" s="33"/>
      <c r="H175" s="33"/>
      <c r="I175" s="70">
        <f t="shared" si="9"/>
        <v>0</v>
      </c>
      <c r="J175" s="33" t="s">
        <v>46</v>
      </c>
      <c r="K175" s="42" t="e">
        <f t="shared" si="10"/>
        <v>#DIV/0!</v>
      </c>
      <c r="L175" s="42" t="e">
        <f t="shared" si="11"/>
        <v>#DIV/0!</v>
      </c>
      <c r="M175" s="43">
        <v>0</v>
      </c>
      <c r="N175" s="43">
        <v>0</v>
      </c>
      <c r="O175" s="44" t="s">
        <v>25</v>
      </c>
      <c r="P175" s="45">
        <f t="shared" si="8"/>
        <v>0</v>
      </c>
    </row>
    <row r="176" spans="1:16" x14ac:dyDescent="0.25">
      <c r="A176" s="33"/>
      <c r="B176" s="22"/>
      <c r="C176">
        <f>+'Alta de Activo Fijo'!B180</f>
        <v>0</v>
      </c>
      <c r="D176" s="1">
        <f>+'Alta de Activo Fijo'!D180</f>
        <v>0</v>
      </c>
      <c r="E176" s="1">
        <f>+'Alta de Activo Fijo'!E180</f>
        <v>0</v>
      </c>
      <c r="G176" s="33"/>
      <c r="H176" s="33"/>
      <c r="I176" s="70">
        <f t="shared" si="9"/>
        <v>0</v>
      </c>
      <c r="J176" s="33" t="s">
        <v>46</v>
      </c>
      <c r="K176" s="42" t="e">
        <f t="shared" si="10"/>
        <v>#DIV/0!</v>
      </c>
      <c r="L176" s="42" t="e">
        <f t="shared" si="11"/>
        <v>#DIV/0!</v>
      </c>
      <c r="M176" s="43">
        <v>0</v>
      </c>
      <c r="N176" s="43">
        <v>0</v>
      </c>
      <c r="O176" s="44" t="s">
        <v>25</v>
      </c>
      <c r="P176" s="45">
        <f t="shared" si="8"/>
        <v>0</v>
      </c>
    </row>
    <row r="177" spans="1:16" x14ac:dyDescent="0.25">
      <c r="A177" s="33"/>
      <c r="B177" s="22"/>
      <c r="C177">
        <f>+'Alta de Activo Fijo'!B181</f>
        <v>0</v>
      </c>
      <c r="D177" s="1">
        <f>+'Alta de Activo Fijo'!D181</f>
        <v>0</v>
      </c>
      <c r="E177" s="1">
        <f>+'Alta de Activo Fijo'!E181</f>
        <v>0</v>
      </c>
      <c r="G177" s="33"/>
      <c r="H177" s="33"/>
      <c r="I177" s="70">
        <f t="shared" si="9"/>
        <v>0</v>
      </c>
      <c r="J177" s="33" t="s">
        <v>46</v>
      </c>
      <c r="K177" s="42" t="e">
        <f t="shared" si="10"/>
        <v>#DIV/0!</v>
      </c>
      <c r="L177" s="42" t="e">
        <f t="shared" si="11"/>
        <v>#DIV/0!</v>
      </c>
      <c r="M177" s="43">
        <v>0</v>
      </c>
      <c r="N177" s="43">
        <v>0</v>
      </c>
      <c r="O177" s="44" t="s">
        <v>25</v>
      </c>
      <c r="P177" s="45">
        <f t="shared" si="8"/>
        <v>0</v>
      </c>
    </row>
    <row r="178" spans="1:16" x14ac:dyDescent="0.25">
      <c r="A178" s="33"/>
      <c r="B178" s="22"/>
      <c r="C178">
        <f>+'Alta de Activo Fijo'!B182</f>
        <v>0</v>
      </c>
      <c r="D178" s="1">
        <f>+'Alta de Activo Fijo'!D182</f>
        <v>0</v>
      </c>
      <c r="E178" s="1">
        <f>+'Alta de Activo Fijo'!E182</f>
        <v>0</v>
      </c>
      <c r="G178" s="33"/>
      <c r="H178" s="33"/>
      <c r="I178" s="70">
        <f t="shared" si="9"/>
        <v>0</v>
      </c>
      <c r="J178" s="33" t="s">
        <v>46</v>
      </c>
      <c r="K178" s="42" t="e">
        <f t="shared" si="10"/>
        <v>#DIV/0!</v>
      </c>
      <c r="L178" s="42" t="e">
        <f t="shared" si="11"/>
        <v>#DIV/0!</v>
      </c>
      <c r="M178" s="43">
        <v>0</v>
      </c>
      <c r="N178" s="43">
        <v>0</v>
      </c>
      <c r="O178" s="44" t="s">
        <v>25</v>
      </c>
      <c r="P178" s="45">
        <f t="shared" si="8"/>
        <v>0</v>
      </c>
    </row>
    <row r="179" spans="1:16" x14ac:dyDescent="0.25">
      <c r="A179" s="33"/>
      <c r="B179" s="22"/>
      <c r="C179">
        <f>+'Alta de Activo Fijo'!B183</f>
        <v>0</v>
      </c>
      <c r="D179" s="1">
        <f>+'Alta de Activo Fijo'!D183</f>
        <v>0</v>
      </c>
      <c r="E179" s="1">
        <f>+'Alta de Activo Fijo'!E183</f>
        <v>0</v>
      </c>
      <c r="G179" s="33"/>
      <c r="H179" s="33"/>
      <c r="I179" s="70">
        <f t="shared" si="9"/>
        <v>0</v>
      </c>
      <c r="J179" s="33" t="s">
        <v>46</v>
      </c>
      <c r="K179" s="42" t="e">
        <f t="shared" si="10"/>
        <v>#DIV/0!</v>
      </c>
      <c r="L179" s="42" t="e">
        <f t="shared" si="11"/>
        <v>#DIV/0!</v>
      </c>
      <c r="M179" s="43">
        <v>0</v>
      </c>
      <c r="N179" s="43">
        <v>0</v>
      </c>
      <c r="O179" s="44" t="s">
        <v>25</v>
      </c>
      <c r="P179" s="45">
        <f t="shared" si="8"/>
        <v>0</v>
      </c>
    </row>
    <row r="180" spans="1:16" x14ac:dyDescent="0.25">
      <c r="A180" s="33"/>
      <c r="B180" s="22"/>
      <c r="C180">
        <f>+'Alta de Activo Fijo'!B184</f>
        <v>0</v>
      </c>
      <c r="D180" s="1">
        <f>+'Alta de Activo Fijo'!D184</f>
        <v>0</v>
      </c>
      <c r="E180" s="1">
        <f>+'Alta de Activo Fijo'!E184</f>
        <v>0</v>
      </c>
      <c r="G180" s="33"/>
      <c r="H180" s="33"/>
      <c r="I180" s="70">
        <f t="shared" si="9"/>
        <v>0</v>
      </c>
      <c r="J180" s="33" t="s">
        <v>46</v>
      </c>
      <c r="K180" s="42" t="e">
        <f t="shared" si="10"/>
        <v>#DIV/0!</v>
      </c>
      <c r="L180" s="42" t="e">
        <f t="shared" si="11"/>
        <v>#DIV/0!</v>
      </c>
      <c r="M180" s="43">
        <v>0</v>
      </c>
      <c r="N180" s="43">
        <v>0</v>
      </c>
      <c r="O180" s="44" t="s">
        <v>25</v>
      </c>
      <c r="P180" s="45">
        <f t="shared" si="8"/>
        <v>0</v>
      </c>
    </row>
    <row r="181" spans="1:16" x14ac:dyDescent="0.25">
      <c r="A181" s="33"/>
      <c r="B181" s="22"/>
      <c r="C181">
        <f>+'Alta de Activo Fijo'!B185</f>
        <v>0</v>
      </c>
      <c r="D181" s="1">
        <f>+'Alta de Activo Fijo'!D185</f>
        <v>0</v>
      </c>
      <c r="E181" s="1">
        <f>+'Alta de Activo Fijo'!E185</f>
        <v>0</v>
      </c>
      <c r="G181" s="33"/>
      <c r="H181" s="33"/>
      <c r="I181" s="70">
        <f t="shared" si="9"/>
        <v>0</v>
      </c>
      <c r="J181" s="33" t="s">
        <v>46</v>
      </c>
      <c r="K181" s="42" t="e">
        <f t="shared" si="10"/>
        <v>#DIV/0!</v>
      </c>
      <c r="L181" s="42" t="e">
        <f t="shared" si="11"/>
        <v>#DIV/0!</v>
      </c>
      <c r="M181" s="43">
        <v>0</v>
      </c>
      <c r="N181" s="43">
        <v>0</v>
      </c>
      <c r="O181" s="44" t="s">
        <v>25</v>
      </c>
      <c r="P181" s="45">
        <f t="shared" si="8"/>
        <v>0</v>
      </c>
    </row>
    <row r="182" spans="1:16" x14ac:dyDescent="0.25">
      <c r="A182" s="33"/>
      <c r="B182" s="22"/>
      <c r="C182">
        <f>+'Alta de Activo Fijo'!B186</f>
        <v>0</v>
      </c>
      <c r="D182" s="1">
        <f>+'Alta de Activo Fijo'!D186</f>
        <v>0</v>
      </c>
      <c r="E182" s="1">
        <f>+'Alta de Activo Fijo'!E186</f>
        <v>0</v>
      </c>
      <c r="G182" s="33"/>
      <c r="H182" s="33"/>
      <c r="I182" s="70">
        <f t="shared" si="9"/>
        <v>0</v>
      </c>
      <c r="J182" s="33" t="s">
        <v>46</v>
      </c>
      <c r="K182" s="42" t="e">
        <f t="shared" si="10"/>
        <v>#DIV/0!</v>
      </c>
      <c r="L182" s="42" t="e">
        <f t="shared" si="11"/>
        <v>#DIV/0!</v>
      </c>
      <c r="M182" s="43">
        <v>0</v>
      </c>
      <c r="N182" s="43">
        <v>0</v>
      </c>
      <c r="O182" s="44" t="s">
        <v>25</v>
      </c>
      <c r="P182" s="45">
        <f t="shared" si="8"/>
        <v>0</v>
      </c>
    </row>
    <row r="183" spans="1:16" x14ac:dyDescent="0.25">
      <c r="A183" s="33"/>
      <c r="B183" s="22"/>
      <c r="C183">
        <f>+'Alta de Activo Fijo'!B187</f>
        <v>0</v>
      </c>
      <c r="D183" s="1">
        <f>+'Alta de Activo Fijo'!D187</f>
        <v>0</v>
      </c>
      <c r="E183" s="1">
        <f>+'Alta de Activo Fijo'!E187</f>
        <v>0</v>
      </c>
      <c r="G183" s="33"/>
      <c r="H183" s="33"/>
      <c r="I183" s="70">
        <f t="shared" si="9"/>
        <v>0</v>
      </c>
      <c r="J183" s="33" t="s">
        <v>46</v>
      </c>
      <c r="K183" s="42" t="e">
        <f t="shared" si="10"/>
        <v>#DIV/0!</v>
      </c>
      <c r="L183" s="42" t="e">
        <f t="shared" si="11"/>
        <v>#DIV/0!</v>
      </c>
      <c r="M183" s="43">
        <v>0</v>
      </c>
      <c r="N183" s="43">
        <v>0</v>
      </c>
      <c r="O183" s="44" t="s">
        <v>25</v>
      </c>
      <c r="P183" s="45">
        <f t="shared" si="8"/>
        <v>0</v>
      </c>
    </row>
    <row r="184" spans="1:16" x14ac:dyDescent="0.25">
      <c r="A184" s="33"/>
      <c r="B184" s="22"/>
      <c r="C184">
        <f>+'Alta de Activo Fijo'!B188</f>
        <v>0</v>
      </c>
      <c r="D184" s="1">
        <f>+'Alta de Activo Fijo'!D188</f>
        <v>0</v>
      </c>
      <c r="E184" s="1">
        <f>+'Alta de Activo Fijo'!E188</f>
        <v>0</v>
      </c>
      <c r="G184" s="33"/>
      <c r="H184" s="33"/>
      <c r="I184" s="70">
        <f t="shared" si="9"/>
        <v>0</v>
      </c>
      <c r="J184" s="33" t="s">
        <v>46</v>
      </c>
      <c r="K184" s="42" t="e">
        <f t="shared" si="10"/>
        <v>#DIV/0!</v>
      </c>
      <c r="L184" s="42" t="e">
        <f t="shared" si="11"/>
        <v>#DIV/0!</v>
      </c>
      <c r="M184" s="43">
        <v>0</v>
      </c>
      <c r="N184" s="43">
        <v>0</v>
      </c>
      <c r="O184" s="44" t="s">
        <v>25</v>
      </c>
      <c r="P184" s="45">
        <f t="shared" si="8"/>
        <v>0</v>
      </c>
    </row>
    <row r="185" spans="1:16" x14ac:dyDescent="0.25">
      <c r="A185" s="33"/>
      <c r="B185" s="22"/>
      <c r="C185">
        <f>+'Alta de Activo Fijo'!B189</f>
        <v>0</v>
      </c>
      <c r="D185" s="1">
        <f>+'Alta de Activo Fijo'!D189</f>
        <v>0</v>
      </c>
      <c r="E185" s="1">
        <f>+'Alta de Activo Fijo'!E189</f>
        <v>0</v>
      </c>
      <c r="G185" s="33"/>
      <c r="H185" s="33"/>
      <c r="I185" s="70">
        <f t="shared" si="9"/>
        <v>0</v>
      </c>
      <c r="J185" s="33" t="s">
        <v>46</v>
      </c>
      <c r="K185" s="42" t="e">
        <f t="shared" si="10"/>
        <v>#DIV/0!</v>
      </c>
      <c r="L185" s="42" t="e">
        <f t="shared" si="11"/>
        <v>#DIV/0!</v>
      </c>
      <c r="M185" s="43">
        <v>0</v>
      </c>
      <c r="N185" s="43">
        <v>0</v>
      </c>
      <c r="O185" s="44" t="s">
        <v>25</v>
      </c>
      <c r="P185" s="45">
        <f t="shared" si="8"/>
        <v>0</v>
      </c>
    </row>
    <row r="186" spans="1:16" x14ac:dyDescent="0.25">
      <c r="A186" s="33"/>
      <c r="B186" s="22"/>
      <c r="C186">
        <f>+'Alta de Activo Fijo'!B190</f>
        <v>0</v>
      </c>
      <c r="D186" s="1">
        <f>+'Alta de Activo Fijo'!D190</f>
        <v>0</v>
      </c>
      <c r="E186" s="1">
        <f>+'Alta de Activo Fijo'!E190</f>
        <v>0</v>
      </c>
      <c r="G186" s="33"/>
      <c r="H186" s="33"/>
      <c r="I186" s="70">
        <f t="shared" si="9"/>
        <v>0</v>
      </c>
      <c r="J186" s="33" t="s">
        <v>46</v>
      </c>
      <c r="K186" s="42" t="e">
        <f t="shared" si="10"/>
        <v>#DIV/0!</v>
      </c>
      <c r="L186" s="42" t="e">
        <f t="shared" si="11"/>
        <v>#DIV/0!</v>
      </c>
      <c r="M186" s="43">
        <v>0</v>
      </c>
      <c r="N186" s="43">
        <v>0</v>
      </c>
      <c r="O186" s="44" t="s">
        <v>25</v>
      </c>
      <c r="P186" s="45">
        <f t="shared" si="8"/>
        <v>0</v>
      </c>
    </row>
    <row r="187" spans="1:16" x14ac:dyDescent="0.25">
      <c r="A187" s="33"/>
      <c r="B187" s="22"/>
      <c r="C187">
        <f>+'Alta de Activo Fijo'!B191</f>
        <v>0</v>
      </c>
      <c r="D187" s="1">
        <f>+'Alta de Activo Fijo'!D191</f>
        <v>0</v>
      </c>
      <c r="E187" s="1">
        <f>+'Alta de Activo Fijo'!E191</f>
        <v>0</v>
      </c>
      <c r="G187" s="33"/>
      <c r="H187" s="33"/>
      <c r="I187" s="70">
        <f t="shared" si="9"/>
        <v>0</v>
      </c>
      <c r="J187" s="33" t="s">
        <v>46</v>
      </c>
      <c r="K187" s="42" t="e">
        <f t="shared" si="10"/>
        <v>#DIV/0!</v>
      </c>
      <c r="L187" s="42" t="e">
        <f t="shared" si="11"/>
        <v>#DIV/0!</v>
      </c>
      <c r="M187" s="43">
        <v>0</v>
      </c>
      <c r="N187" s="43">
        <v>0</v>
      </c>
      <c r="O187" s="44" t="s">
        <v>25</v>
      </c>
      <c r="P187" s="45">
        <f t="shared" si="8"/>
        <v>0</v>
      </c>
    </row>
    <row r="188" spans="1:16" x14ac:dyDescent="0.25">
      <c r="A188" s="33"/>
      <c r="B188" s="22"/>
      <c r="C188">
        <f>+'Alta de Activo Fijo'!B192</f>
        <v>0</v>
      </c>
      <c r="D188" s="1">
        <f>+'Alta de Activo Fijo'!D192</f>
        <v>0</v>
      </c>
      <c r="E188" s="1">
        <f>+'Alta de Activo Fijo'!E192</f>
        <v>0</v>
      </c>
      <c r="G188" s="33"/>
      <c r="H188" s="33"/>
      <c r="I188" s="70">
        <f t="shared" si="9"/>
        <v>0</v>
      </c>
      <c r="J188" s="33" t="s">
        <v>46</v>
      </c>
      <c r="K188" s="42" t="e">
        <f t="shared" si="10"/>
        <v>#DIV/0!</v>
      </c>
      <c r="L188" s="42" t="e">
        <f t="shared" si="11"/>
        <v>#DIV/0!</v>
      </c>
      <c r="M188" s="43">
        <v>0</v>
      </c>
      <c r="N188" s="43">
        <v>0</v>
      </c>
      <c r="O188" s="44" t="s">
        <v>25</v>
      </c>
      <c r="P188" s="45">
        <f t="shared" si="8"/>
        <v>0</v>
      </c>
    </row>
    <row r="189" spans="1:16" x14ac:dyDescent="0.25">
      <c r="A189" s="33"/>
      <c r="B189" s="22"/>
      <c r="C189">
        <f>+'Alta de Activo Fijo'!B193</f>
        <v>0</v>
      </c>
      <c r="D189" s="1">
        <f>+'Alta de Activo Fijo'!D193</f>
        <v>0</v>
      </c>
      <c r="E189" s="1">
        <f>+'Alta de Activo Fijo'!E193</f>
        <v>0</v>
      </c>
      <c r="G189" s="33"/>
      <c r="H189" s="33"/>
      <c r="I189" s="70">
        <f t="shared" si="9"/>
        <v>0</v>
      </c>
      <c r="J189" s="33" t="s">
        <v>46</v>
      </c>
      <c r="K189" s="42" t="e">
        <f t="shared" si="10"/>
        <v>#DIV/0!</v>
      </c>
      <c r="L189" s="42" t="e">
        <f t="shared" si="11"/>
        <v>#DIV/0!</v>
      </c>
      <c r="M189" s="43">
        <v>0</v>
      </c>
      <c r="N189" s="43">
        <v>0</v>
      </c>
      <c r="O189" s="44" t="s">
        <v>25</v>
      </c>
      <c r="P189" s="45">
        <f t="shared" si="8"/>
        <v>0</v>
      </c>
    </row>
    <row r="190" spans="1:16" x14ac:dyDescent="0.25">
      <c r="A190" s="33"/>
      <c r="B190" s="22"/>
      <c r="C190">
        <f>+'Alta de Activo Fijo'!B194</f>
        <v>0</v>
      </c>
      <c r="D190" s="1">
        <f>+'Alta de Activo Fijo'!D194</f>
        <v>0</v>
      </c>
      <c r="E190" s="1">
        <f>+'Alta de Activo Fijo'!E194</f>
        <v>0</v>
      </c>
      <c r="G190" s="33"/>
      <c r="H190" s="33"/>
      <c r="I190" s="70">
        <f t="shared" si="9"/>
        <v>0</v>
      </c>
      <c r="J190" s="33" t="s">
        <v>46</v>
      </c>
      <c r="K190" s="42" t="e">
        <f t="shared" si="10"/>
        <v>#DIV/0!</v>
      </c>
      <c r="L190" s="42" t="e">
        <f t="shared" si="11"/>
        <v>#DIV/0!</v>
      </c>
      <c r="M190" s="43">
        <v>0</v>
      </c>
      <c r="N190" s="43">
        <v>0</v>
      </c>
      <c r="O190" s="44" t="s">
        <v>25</v>
      </c>
      <c r="P190" s="45">
        <f t="shared" si="8"/>
        <v>0</v>
      </c>
    </row>
    <row r="191" spans="1:16" x14ac:dyDescent="0.25">
      <c r="A191" s="33"/>
      <c r="B191" s="22"/>
      <c r="C191">
        <f>+'Alta de Activo Fijo'!B195</f>
        <v>0</v>
      </c>
      <c r="D191" s="1">
        <f>+'Alta de Activo Fijo'!D195</f>
        <v>0</v>
      </c>
      <c r="E191" s="1">
        <f>+'Alta de Activo Fijo'!E195</f>
        <v>0</v>
      </c>
      <c r="G191" s="33"/>
      <c r="H191" s="33"/>
      <c r="I191" s="70">
        <f t="shared" si="9"/>
        <v>0</v>
      </c>
      <c r="J191" s="33" t="s">
        <v>46</v>
      </c>
      <c r="K191" s="42" t="e">
        <f t="shared" si="10"/>
        <v>#DIV/0!</v>
      </c>
      <c r="L191" s="42" t="e">
        <f t="shared" si="11"/>
        <v>#DIV/0!</v>
      </c>
      <c r="M191" s="43">
        <v>0</v>
      </c>
      <c r="N191" s="43">
        <v>0</v>
      </c>
      <c r="O191" s="44" t="s">
        <v>25</v>
      </c>
      <c r="P191" s="45">
        <f t="shared" si="8"/>
        <v>0</v>
      </c>
    </row>
    <row r="192" spans="1:16" x14ac:dyDescent="0.25">
      <c r="A192" s="33"/>
      <c r="B192" s="22"/>
      <c r="C192">
        <f>+'Alta de Activo Fijo'!B196</f>
        <v>0</v>
      </c>
      <c r="D192" s="1">
        <f>+'Alta de Activo Fijo'!D196</f>
        <v>0</v>
      </c>
      <c r="E192" s="1">
        <f>+'Alta de Activo Fijo'!E196</f>
        <v>0</v>
      </c>
      <c r="G192" s="33"/>
      <c r="H192" s="33"/>
      <c r="I192" s="70">
        <f t="shared" si="9"/>
        <v>0</v>
      </c>
      <c r="J192" s="33" t="s">
        <v>46</v>
      </c>
      <c r="K192" s="42" t="e">
        <f t="shared" si="10"/>
        <v>#DIV/0!</v>
      </c>
      <c r="L192" s="42" t="e">
        <f t="shared" si="11"/>
        <v>#DIV/0!</v>
      </c>
      <c r="M192" s="43">
        <v>0</v>
      </c>
      <c r="N192" s="43">
        <v>0</v>
      </c>
      <c r="O192" s="44" t="s">
        <v>25</v>
      </c>
      <c r="P192" s="45">
        <f t="shared" si="8"/>
        <v>0</v>
      </c>
    </row>
    <row r="193" spans="1:16" x14ac:dyDescent="0.25">
      <c r="A193" s="33"/>
      <c r="B193" s="22"/>
      <c r="C193">
        <f>+'Alta de Activo Fijo'!B197</f>
        <v>0</v>
      </c>
      <c r="D193" s="1">
        <f>+'Alta de Activo Fijo'!D197</f>
        <v>0</v>
      </c>
      <c r="E193" s="1">
        <f>+'Alta de Activo Fijo'!E197</f>
        <v>0</v>
      </c>
      <c r="G193" s="33"/>
      <c r="H193" s="33"/>
      <c r="I193" s="70">
        <f t="shared" si="9"/>
        <v>0</v>
      </c>
      <c r="J193" s="33" t="s">
        <v>46</v>
      </c>
      <c r="K193" s="42" t="e">
        <f t="shared" si="10"/>
        <v>#DIV/0!</v>
      </c>
      <c r="L193" s="42" t="e">
        <f t="shared" si="11"/>
        <v>#DIV/0!</v>
      </c>
      <c r="M193" s="43">
        <v>0</v>
      </c>
      <c r="N193" s="43">
        <v>0</v>
      </c>
      <c r="O193" s="44" t="s">
        <v>25</v>
      </c>
      <c r="P193" s="45">
        <f t="shared" si="8"/>
        <v>0</v>
      </c>
    </row>
    <row r="194" spans="1:16" x14ac:dyDescent="0.25">
      <c r="A194" s="33"/>
      <c r="B194" s="22"/>
      <c r="C194">
        <f>+'Alta de Activo Fijo'!B198</f>
        <v>0</v>
      </c>
      <c r="D194" s="1">
        <f>+'Alta de Activo Fijo'!D198</f>
        <v>0</v>
      </c>
      <c r="E194" s="1">
        <f>+'Alta de Activo Fijo'!E198</f>
        <v>0</v>
      </c>
      <c r="G194" s="33"/>
      <c r="H194" s="33"/>
      <c r="I194" s="70">
        <f t="shared" si="9"/>
        <v>0</v>
      </c>
      <c r="J194" s="33" t="s">
        <v>46</v>
      </c>
      <c r="K194" s="42" t="e">
        <f t="shared" si="10"/>
        <v>#DIV/0!</v>
      </c>
      <c r="L194" s="42" t="e">
        <f t="shared" si="11"/>
        <v>#DIV/0!</v>
      </c>
      <c r="M194" s="43">
        <v>0</v>
      </c>
      <c r="N194" s="43">
        <v>0</v>
      </c>
      <c r="O194" s="44" t="s">
        <v>25</v>
      </c>
      <c r="P194" s="45">
        <f t="shared" si="8"/>
        <v>0</v>
      </c>
    </row>
    <row r="195" spans="1:16" x14ac:dyDescent="0.25">
      <c r="A195" s="33"/>
      <c r="B195" s="22"/>
      <c r="C195">
        <f>+'Alta de Activo Fijo'!B199</f>
        <v>0</v>
      </c>
      <c r="D195" s="1">
        <f>+'Alta de Activo Fijo'!D199</f>
        <v>0</v>
      </c>
      <c r="E195" s="1">
        <f>+'Alta de Activo Fijo'!E199</f>
        <v>0</v>
      </c>
      <c r="G195" s="33"/>
      <c r="H195" s="33"/>
      <c r="I195" s="70">
        <f t="shared" si="9"/>
        <v>0</v>
      </c>
      <c r="J195" s="33" t="s">
        <v>46</v>
      </c>
      <c r="K195" s="42" t="e">
        <f t="shared" si="10"/>
        <v>#DIV/0!</v>
      </c>
      <c r="L195" s="42" t="e">
        <f t="shared" si="11"/>
        <v>#DIV/0!</v>
      </c>
      <c r="M195" s="43">
        <v>0</v>
      </c>
      <c r="N195" s="43">
        <v>0</v>
      </c>
      <c r="O195" s="44" t="s">
        <v>25</v>
      </c>
      <c r="P195" s="45">
        <f t="shared" si="8"/>
        <v>0</v>
      </c>
    </row>
    <row r="196" spans="1:16" x14ac:dyDescent="0.25">
      <c r="A196" s="33"/>
      <c r="B196" s="22"/>
      <c r="C196">
        <f>+'Alta de Activo Fijo'!B200</f>
        <v>0</v>
      </c>
      <c r="D196" s="1">
        <f>+'Alta de Activo Fijo'!D200</f>
        <v>0</v>
      </c>
      <c r="E196" s="1">
        <f>+'Alta de Activo Fijo'!E200</f>
        <v>0</v>
      </c>
      <c r="G196" s="33"/>
      <c r="H196" s="33"/>
      <c r="I196" s="70">
        <f t="shared" si="9"/>
        <v>0</v>
      </c>
      <c r="J196" s="33" t="s">
        <v>46</v>
      </c>
      <c r="K196" s="42" t="e">
        <f t="shared" si="10"/>
        <v>#DIV/0!</v>
      </c>
      <c r="L196" s="42" t="e">
        <f t="shared" si="11"/>
        <v>#DIV/0!</v>
      </c>
      <c r="M196" s="43">
        <v>0</v>
      </c>
      <c r="N196" s="43">
        <v>0</v>
      </c>
      <c r="O196" s="44" t="s">
        <v>25</v>
      </c>
      <c r="P196" s="45">
        <f t="shared" si="8"/>
        <v>0</v>
      </c>
    </row>
    <row r="197" spans="1:16" x14ac:dyDescent="0.25">
      <c r="A197" s="33"/>
      <c r="B197" s="22"/>
      <c r="C197">
        <f>+'Alta de Activo Fijo'!B201</f>
        <v>0</v>
      </c>
      <c r="D197" s="1">
        <f>+'Alta de Activo Fijo'!D201</f>
        <v>0</v>
      </c>
      <c r="E197" s="1">
        <f>+'Alta de Activo Fijo'!E201</f>
        <v>0</v>
      </c>
      <c r="G197" s="33"/>
      <c r="H197" s="33"/>
      <c r="I197" s="70">
        <f t="shared" si="9"/>
        <v>0</v>
      </c>
      <c r="J197" s="33" t="s">
        <v>46</v>
      </c>
      <c r="K197" s="42" t="e">
        <f t="shared" si="10"/>
        <v>#DIV/0!</v>
      </c>
      <c r="L197" s="42" t="e">
        <f t="shared" si="11"/>
        <v>#DIV/0!</v>
      </c>
      <c r="M197" s="43">
        <v>0</v>
      </c>
      <c r="N197" s="43">
        <v>0</v>
      </c>
      <c r="O197" s="44" t="s">
        <v>25</v>
      </c>
      <c r="P197" s="45">
        <f t="shared" si="8"/>
        <v>0</v>
      </c>
    </row>
    <row r="198" spans="1:16" x14ac:dyDescent="0.25">
      <c r="A198" s="33"/>
      <c r="B198" s="22"/>
      <c r="C198">
        <f>+'Alta de Activo Fijo'!B202</f>
        <v>0</v>
      </c>
      <c r="D198" s="1">
        <f>+'Alta de Activo Fijo'!D202</f>
        <v>0</v>
      </c>
      <c r="E198" s="1">
        <f>+'Alta de Activo Fijo'!E202</f>
        <v>0</v>
      </c>
      <c r="G198" s="33"/>
      <c r="H198" s="33"/>
      <c r="I198" s="70">
        <f t="shared" si="9"/>
        <v>0</v>
      </c>
      <c r="J198" s="33" t="s">
        <v>46</v>
      </c>
      <c r="K198" s="42" t="e">
        <f t="shared" si="10"/>
        <v>#DIV/0!</v>
      </c>
      <c r="L198" s="42" t="e">
        <f t="shared" si="11"/>
        <v>#DIV/0!</v>
      </c>
      <c r="M198" s="43">
        <v>0</v>
      </c>
      <c r="N198" s="43">
        <v>0</v>
      </c>
      <c r="O198" s="44" t="s">
        <v>25</v>
      </c>
      <c r="P198" s="45">
        <f t="shared" si="8"/>
        <v>0</v>
      </c>
    </row>
    <row r="199" spans="1:16" ht="15.75" customHeight="1" x14ac:dyDescent="0.25">
      <c r="G199" s="20"/>
      <c r="H199" s="20"/>
      <c r="I199" s="70"/>
      <c r="J199" s="20"/>
      <c r="K199" s="20"/>
      <c r="L199" s="20"/>
      <c r="M199" s="23"/>
      <c r="N199" s="23"/>
    </row>
    <row r="200" spans="1:16" ht="15.75" customHeight="1" x14ac:dyDescent="0.25">
      <c r="G200" s="20"/>
      <c r="H200" s="20"/>
      <c r="I200" s="70"/>
      <c r="J200" s="20"/>
      <c r="K200" s="20"/>
      <c r="L200" s="20"/>
      <c r="M200" s="23"/>
      <c r="N200" s="23"/>
    </row>
    <row r="201" spans="1:16" ht="15.75" customHeight="1" x14ac:dyDescent="0.25">
      <c r="G201" s="20"/>
      <c r="H201" s="20"/>
      <c r="I201" s="70"/>
      <c r="J201" s="20"/>
      <c r="K201" s="20"/>
      <c r="L201" s="20"/>
      <c r="M201" s="23"/>
      <c r="N201" s="23"/>
    </row>
    <row r="202" spans="1:16" ht="15.75" customHeight="1" x14ac:dyDescent="0.25">
      <c r="G202" s="20"/>
      <c r="H202" s="20"/>
      <c r="I202" s="70"/>
      <c r="J202" s="20"/>
      <c r="K202" s="20"/>
      <c r="L202" s="20"/>
      <c r="M202" s="23"/>
      <c r="N202" s="23"/>
    </row>
    <row r="203" spans="1:16" ht="15.75" customHeight="1" x14ac:dyDescent="0.25">
      <c r="G203" s="20"/>
      <c r="H203" s="20"/>
      <c r="I203" s="70"/>
      <c r="J203" s="20"/>
      <c r="K203" s="20"/>
      <c r="L203" s="20"/>
      <c r="M203" s="23"/>
      <c r="N203" s="23"/>
    </row>
    <row r="204" spans="1:16" ht="15.75" customHeight="1" x14ac:dyDescent="0.25">
      <c r="G204" s="20"/>
      <c r="H204" s="20"/>
      <c r="I204" s="70"/>
      <c r="J204" s="20"/>
      <c r="K204" s="20"/>
      <c r="L204" s="20"/>
      <c r="M204" s="23"/>
      <c r="N204" s="23"/>
    </row>
    <row r="205" spans="1:16" ht="15.75" customHeight="1" x14ac:dyDescent="0.25">
      <c r="G205" s="20"/>
      <c r="H205" s="20"/>
      <c r="I205" s="70"/>
      <c r="J205" s="20"/>
      <c r="K205" s="20"/>
      <c r="L205" s="20"/>
      <c r="M205" s="23"/>
      <c r="N205" s="23"/>
    </row>
    <row r="206" spans="1:16" ht="15.75" customHeight="1" x14ac:dyDescent="0.25">
      <c r="G206" s="20"/>
      <c r="H206" s="20"/>
      <c r="I206" s="70"/>
      <c r="J206" s="20"/>
      <c r="K206" s="20"/>
      <c r="L206" s="20"/>
      <c r="M206" s="23"/>
      <c r="N206" s="23"/>
    </row>
    <row r="207" spans="1:16" ht="15.75" customHeight="1" x14ac:dyDescent="0.25">
      <c r="G207" s="20"/>
      <c r="H207" s="20"/>
      <c r="I207" s="70"/>
      <c r="J207" s="20"/>
      <c r="K207" s="20"/>
      <c r="L207" s="20"/>
      <c r="M207" s="23"/>
      <c r="N207" s="23"/>
    </row>
    <row r="208" spans="1:16" ht="15.75" customHeight="1" x14ac:dyDescent="0.25">
      <c r="G208" s="20"/>
      <c r="H208" s="20"/>
      <c r="I208" s="70"/>
      <c r="J208" s="20"/>
      <c r="K208" s="20"/>
      <c r="L208" s="20"/>
      <c r="M208" s="23"/>
      <c r="N208" s="23"/>
    </row>
    <row r="209" spans="7:14" ht="15.75" customHeight="1" x14ac:dyDescent="0.25">
      <c r="G209" s="20"/>
      <c r="H209" s="20"/>
      <c r="I209" s="70"/>
      <c r="J209" s="20"/>
      <c r="K209" s="20"/>
      <c r="L209" s="20"/>
      <c r="M209" s="23"/>
      <c r="N209" s="23"/>
    </row>
    <row r="210" spans="7:14" ht="15.75" customHeight="1" x14ac:dyDescent="0.25">
      <c r="G210" s="20"/>
      <c r="H210" s="20"/>
      <c r="I210" s="70"/>
      <c r="J210" s="20"/>
      <c r="K210" s="20"/>
      <c r="L210" s="20"/>
      <c r="M210" s="23"/>
      <c r="N210" s="23"/>
    </row>
    <row r="211" spans="7:14" ht="15.75" customHeight="1" x14ac:dyDescent="0.25">
      <c r="G211" s="20"/>
      <c r="H211" s="20"/>
      <c r="I211" s="70"/>
      <c r="J211" s="20"/>
      <c r="K211" s="20"/>
      <c r="L211" s="20"/>
      <c r="M211" s="23"/>
      <c r="N211" s="23"/>
    </row>
    <row r="212" spans="7:14" ht="15.75" customHeight="1" x14ac:dyDescent="0.25">
      <c r="G212" s="20"/>
      <c r="H212" s="20"/>
      <c r="I212" s="70"/>
      <c r="J212" s="20"/>
      <c r="K212" s="20"/>
      <c r="L212" s="20"/>
      <c r="M212" s="23"/>
      <c r="N212" s="23"/>
    </row>
    <row r="213" spans="7:14" ht="15.75" customHeight="1" x14ac:dyDescent="0.25">
      <c r="G213" s="20"/>
      <c r="H213" s="20"/>
      <c r="I213" s="70"/>
      <c r="J213" s="20"/>
      <c r="K213" s="20"/>
      <c r="L213" s="20"/>
      <c r="M213" s="23"/>
      <c r="N213" s="23"/>
    </row>
    <row r="214" spans="7:14" ht="15.75" customHeight="1" x14ac:dyDescent="0.25">
      <c r="G214" s="20"/>
      <c r="H214" s="20"/>
      <c r="I214" s="70"/>
      <c r="J214" s="20"/>
      <c r="K214" s="20"/>
      <c r="L214" s="20"/>
      <c r="M214" s="23"/>
      <c r="N214" s="23"/>
    </row>
    <row r="215" spans="7:14" ht="15.75" customHeight="1" x14ac:dyDescent="0.25">
      <c r="G215" s="20"/>
      <c r="H215" s="20"/>
      <c r="I215" s="70"/>
      <c r="J215" s="20"/>
      <c r="K215" s="20"/>
      <c r="L215" s="20"/>
      <c r="M215" s="23"/>
      <c r="N215" s="23"/>
    </row>
    <row r="216" spans="7:14" ht="15.75" customHeight="1" x14ac:dyDescent="0.25">
      <c r="G216" s="20"/>
      <c r="H216" s="20"/>
      <c r="I216" s="70"/>
      <c r="J216" s="20"/>
      <c r="K216" s="20"/>
      <c r="L216" s="20"/>
      <c r="M216" s="23"/>
      <c r="N216" s="23"/>
    </row>
    <row r="217" spans="7:14" ht="15.75" customHeight="1" x14ac:dyDescent="0.25">
      <c r="G217" s="20"/>
      <c r="H217" s="20"/>
      <c r="I217" s="70"/>
      <c r="J217" s="20"/>
      <c r="K217" s="20"/>
      <c r="L217" s="20"/>
      <c r="M217" s="23"/>
      <c r="N217" s="23"/>
    </row>
    <row r="218" spans="7:14" ht="15.75" customHeight="1" x14ac:dyDescent="0.25">
      <c r="G218" s="20"/>
      <c r="H218" s="20"/>
      <c r="I218" s="70"/>
      <c r="J218" s="20"/>
      <c r="K218" s="20"/>
      <c r="L218" s="20"/>
      <c r="M218" s="23"/>
      <c r="N218" s="23"/>
    </row>
    <row r="219" spans="7:14" ht="15.75" customHeight="1" x14ac:dyDescent="0.25">
      <c r="G219" s="20"/>
      <c r="H219" s="20"/>
      <c r="I219" s="70"/>
      <c r="J219" s="20"/>
      <c r="K219" s="20"/>
      <c r="L219" s="20"/>
      <c r="M219" s="23"/>
      <c r="N219" s="23"/>
    </row>
    <row r="220" spans="7:14" ht="15.75" customHeight="1" x14ac:dyDescent="0.25">
      <c r="G220" s="20"/>
      <c r="H220" s="20"/>
      <c r="I220" s="70"/>
      <c r="J220" s="20"/>
      <c r="K220" s="20"/>
      <c r="L220" s="20"/>
      <c r="M220" s="23"/>
      <c r="N220" s="23"/>
    </row>
    <row r="221" spans="7:14" ht="15.75" customHeight="1" x14ac:dyDescent="0.25">
      <c r="G221" s="20"/>
      <c r="H221" s="20"/>
      <c r="I221" s="70"/>
      <c r="J221" s="20"/>
      <c r="K221" s="20"/>
      <c r="L221" s="20"/>
      <c r="M221" s="23"/>
      <c r="N221" s="23"/>
    </row>
    <row r="222" spans="7:14" ht="15.75" customHeight="1" x14ac:dyDescent="0.25">
      <c r="G222" s="20"/>
      <c r="H222" s="20"/>
      <c r="I222" s="70"/>
      <c r="J222" s="20"/>
      <c r="K222" s="20"/>
      <c r="L222" s="20"/>
      <c r="M222" s="23"/>
      <c r="N222" s="23"/>
    </row>
    <row r="223" spans="7:14" ht="15.75" customHeight="1" x14ac:dyDescent="0.25">
      <c r="G223" s="20"/>
      <c r="H223" s="20"/>
      <c r="I223" s="70"/>
      <c r="J223" s="20"/>
      <c r="K223" s="20"/>
      <c r="L223" s="20"/>
      <c r="M223" s="23"/>
      <c r="N223" s="23"/>
    </row>
    <row r="224" spans="7:14" ht="15.75" customHeight="1" x14ac:dyDescent="0.25">
      <c r="G224" s="20"/>
      <c r="H224" s="20"/>
      <c r="I224" s="70"/>
      <c r="J224" s="20"/>
      <c r="K224" s="20"/>
      <c r="L224" s="20"/>
      <c r="M224" s="23"/>
      <c r="N224" s="23"/>
    </row>
    <row r="225" spans="7:14" ht="15.75" customHeight="1" x14ac:dyDescent="0.25">
      <c r="G225" s="20"/>
      <c r="H225" s="20"/>
      <c r="I225" s="70"/>
      <c r="J225" s="20"/>
      <c r="K225" s="20"/>
      <c r="L225" s="20"/>
      <c r="M225" s="23"/>
      <c r="N225" s="23"/>
    </row>
    <row r="226" spans="7:14" ht="15.75" customHeight="1" x14ac:dyDescent="0.25">
      <c r="G226" s="20"/>
      <c r="H226" s="20"/>
      <c r="I226" s="70"/>
      <c r="J226" s="20"/>
      <c r="K226" s="20"/>
      <c r="L226" s="20"/>
      <c r="M226" s="23"/>
      <c r="N226" s="23"/>
    </row>
    <row r="227" spans="7:14" ht="15.75" customHeight="1" x14ac:dyDescent="0.25">
      <c r="G227" s="20"/>
      <c r="H227" s="20"/>
      <c r="I227" s="70"/>
      <c r="J227" s="20"/>
      <c r="K227" s="20"/>
      <c r="L227" s="20"/>
      <c r="M227" s="23"/>
      <c r="N227" s="23"/>
    </row>
    <row r="228" spans="7:14" ht="15.75" customHeight="1" x14ac:dyDescent="0.25">
      <c r="G228" s="20"/>
      <c r="H228" s="20"/>
      <c r="I228" s="70"/>
      <c r="J228" s="20"/>
      <c r="K228" s="20"/>
      <c r="L228" s="20"/>
      <c r="M228" s="23"/>
      <c r="N228" s="23"/>
    </row>
    <row r="229" spans="7:14" ht="15.75" customHeight="1" x14ac:dyDescent="0.25">
      <c r="G229" s="20"/>
      <c r="H229" s="20"/>
      <c r="I229" s="70"/>
      <c r="J229" s="20"/>
      <c r="K229" s="20"/>
      <c r="L229" s="20"/>
      <c r="M229" s="23"/>
      <c r="N229" s="23"/>
    </row>
    <row r="230" spans="7:14" ht="15.75" customHeight="1" x14ac:dyDescent="0.25">
      <c r="G230" s="20"/>
      <c r="H230" s="20"/>
      <c r="I230" s="70"/>
      <c r="J230" s="20"/>
      <c r="K230" s="20"/>
      <c r="L230" s="20"/>
      <c r="M230" s="23"/>
      <c r="N230" s="23"/>
    </row>
    <row r="231" spans="7:14" ht="15.75" customHeight="1" x14ac:dyDescent="0.25">
      <c r="G231" s="20"/>
      <c r="H231" s="20"/>
      <c r="I231" s="70"/>
      <c r="J231" s="20"/>
      <c r="K231" s="20"/>
      <c r="L231" s="20"/>
      <c r="M231" s="23"/>
      <c r="N231" s="23"/>
    </row>
    <row r="232" spans="7:14" ht="15.75" customHeight="1" x14ac:dyDescent="0.25">
      <c r="G232" s="20"/>
      <c r="H232" s="20"/>
      <c r="I232" s="70"/>
      <c r="J232" s="20"/>
      <c r="K232" s="20"/>
      <c r="L232" s="20"/>
      <c r="M232" s="23"/>
      <c r="N232" s="23"/>
    </row>
    <row r="233" spans="7:14" ht="15.75" customHeight="1" x14ac:dyDescent="0.25">
      <c r="G233" s="20"/>
      <c r="H233" s="20"/>
      <c r="I233" s="70"/>
      <c r="J233" s="20"/>
      <c r="K233" s="20"/>
      <c r="L233" s="20"/>
      <c r="M233" s="23"/>
      <c r="N233" s="23"/>
    </row>
    <row r="234" spans="7:14" ht="15.75" customHeight="1" x14ac:dyDescent="0.25">
      <c r="G234" s="20"/>
      <c r="H234" s="20"/>
      <c r="I234" s="70"/>
      <c r="J234" s="20"/>
      <c r="K234" s="20"/>
      <c r="L234" s="20"/>
      <c r="M234" s="23"/>
      <c r="N234" s="23"/>
    </row>
    <row r="235" spans="7:14" ht="15.75" customHeight="1" x14ac:dyDescent="0.25">
      <c r="G235" s="20"/>
      <c r="H235" s="20"/>
      <c r="I235" s="70"/>
      <c r="J235" s="20"/>
      <c r="K235" s="20"/>
      <c r="L235" s="20"/>
      <c r="M235" s="23"/>
      <c r="N235" s="23"/>
    </row>
    <row r="236" spans="7:14" ht="15.75" customHeight="1" x14ac:dyDescent="0.25">
      <c r="G236" s="20"/>
      <c r="H236" s="20"/>
      <c r="I236" s="70"/>
      <c r="J236" s="20"/>
      <c r="K236" s="20"/>
      <c r="L236" s="20"/>
      <c r="M236" s="23"/>
      <c r="N236" s="23"/>
    </row>
    <row r="237" spans="7:14" ht="15.75" customHeight="1" x14ac:dyDescent="0.25">
      <c r="G237" s="20"/>
      <c r="H237" s="20"/>
      <c r="I237" s="70"/>
      <c r="J237" s="20"/>
      <c r="K237" s="20"/>
      <c r="L237" s="20"/>
      <c r="M237" s="23"/>
      <c r="N237" s="23"/>
    </row>
    <row r="238" spans="7:14" ht="15.75" customHeight="1" x14ac:dyDescent="0.25">
      <c r="G238" s="20"/>
      <c r="H238" s="20"/>
      <c r="I238" s="70"/>
      <c r="J238" s="20"/>
      <c r="K238" s="20"/>
      <c r="L238" s="20"/>
      <c r="M238" s="23"/>
      <c r="N238" s="23"/>
    </row>
    <row r="239" spans="7:14" ht="15.75" customHeight="1" x14ac:dyDescent="0.25">
      <c r="G239" s="20"/>
      <c r="H239" s="20"/>
      <c r="I239" s="70"/>
      <c r="J239" s="20"/>
      <c r="K239" s="20"/>
      <c r="L239" s="20"/>
      <c r="M239" s="23"/>
      <c r="N239" s="23"/>
    </row>
    <row r="240" spans="7:14" ht="15.75" customHeight="1" x14ac:dyDescent="0.25">
      <c r="G240" s="20"/>
      <c r="H240" s="20"/>
      <c r="I240" s="70"/>
      <c r="J240" s="20"/>
      <c r="K240" s="20"/>
      <c r="L240" s="20"/>
      <c r="M240" s="23"/>
      <c r="N240" s="23"/>
    </row>
    <row r="241" spans="7:14" ht="15.75" customHeight="1" x14ac:dyDescent="0.25">
      <c r="G241" s="20"/>
      <c r="H241" s="20"/>
      <c r="I241" s="70"/>
      <c r="J241" s="20"/>
      <c r="K241" s="20"/>
      <c r="L241" s="20"/>
      <c r="M241" s="23"/>
      <c r="N241" s="23"/>
    </row>
    <row r="242" spans="7:14" ht="15.75" customHeight="1" x14ac:dyDescent="0.25">
      <c r="G242" s="20"/>
      <c r="H242" s="20"/>
      <c r="I242" s="70"/>
      <c r="J242" s="20"/>
      <c r="K242" s="20"/>
      <c r="L242" s="20"/>
      <c r="M242" s="23"/>
      <c r="N242" s="23"/>
    </row>
    <row r="243" spans="7:14" ht="15.75" customHeight="1" x14ac:dyDescent="0.25">
      <c r="G243" s="20"/>
      <c r="H243" s="20"/>
      <c r="I243" s="70"/>
      <c r="J243" s="20"/>
      <c r="K243" s="20"/>
      <c r="L243" s="20"/>
      <c r="M243" s="23"/>
      <c r="N243" s="23"/>
    </row>
    <row r="244" spans="7:14" ht="15.75" customHeight="1" x14ac:dyDescent="0.25">
      <c r="G244" s="20"/>
      <c r="H244" s="20"/>
      <c r="I244" s="70"/>
      <c r="J244" s="20"/>
      <c r="K244" s="20"/>
      <c r="L244" s="20"/>
      <c r="M244" s="23"/>
      <c r="N244" s="23"/>
    </row>
    <row r="245" spans="7:14" ht="15.75" customHeight="1" x14ac:dyDescent="0.25">
      <c r="G245" s="20"/>
      <c r="H245" s="20"/>
      <c r="I245" s="70"/>
      <c r="J245" s="20"/>
      <c r="K245" s="20"/>
      <c r="L245" s="20"/>
      <c r="M245" s="23"/>
      <c r="N245" s="23"/>
    </row>
    <row r="246" spans="7:14" ht="15.75" customHeight="1" x14ac:dyDescent="0.25">
      <c r="G246" s="20"/>
      <c r="H246" s="20"/>
      <c r="I246" s="70"/>
      <c r="J246" s="20"/>
      <c r="K246" s="20"/>
      <c r="L246" s="20"/>
      <c r="M246" s="23"/>
      <c r="N246" s="23"/>
    </row>
    <row r="247" spans="7:14" ht="15.75" customHeight="1" x14ac:dyDescent="0.25">
      <c r="G247" s="20"/>
      <c r="H247" s="20"/>
      <c r="I247" s="70"/>
      <c r="J247" s="20"/>
      <c r="K247" s="20"/>
      <c r="L247" s="20"/>
      <c r="M247" s="23"/>
      <c r="N247" s="23"/>
    </row>
    <row r="248" spans="7:14" ht="15.75" customHeight="1" x14ac:dyDescent="0.25">
      <c r="G248" s="20"/>
      <c r="H248" s="20"/>
      <c r="I248" s="70"/>
      <c r="J248" s="20"/>
      <c r="K248" s="20"/>
      <c r="L248" s="20"/>
      <c r="M248" s="23"/>
      <c r="N248" s="23"/>
    </row>
    <row r="249" spans="7:14" ht="15.75" customHeight="1" x14ac:dyDescent="0.25">
      <c r="G249" s="20"/>
      <c r="H249" s="20"/>
      <c r="I249" s="70"/>
      <c r="J249" s="20"/>
      <c r="K249" s="20"/>
      <c r="L249" s="20"/>
      <c r="M249" s="23"/>
      <c r="N249" s="23"/>
    </row>
    <row r="250" spans="7:14" ht="15.75" customHeight="1" x14ac:dyDescent="0.25">
      <c r="G250" s="20"/>
      <c r="H250" s="20"/>
      <c r="I250" s="70"/>
      <c r="J250" s="20"/>
      <c r="K250" s="20"/>
      <c r="L250" s="20"/>
      <c r="M250" s="23"/>
      <c r="N250" s="23"/>
    </row>
    <row r="251" spans="7:14" ht="15.75" customHeight="1" x14ac:dyDescent="0.25">
      <c r="G251" s="20"/>
      <c r="H251" s="20"/>
      <c r="I251" s="70"/>
      <c r="J251" s="20"/>
      <c r="K251" s="20"/>
      <c r="L251" s="20"/>
      <c r="M251" s="23"/>
      <c r="N251" s="23"/>
    </row>
    <row r="252" spans="7:14" ht="15.75" customHeight="1" x14ac:dyDescent="0.25">
      <c r="G252" s="20"/>
      <c r="H252" s="20"/>
      <c r="I252" s="70"/>
      <c r="J252" s="20"/>
      <c r="K252" s="20"/>
      <c r="L252" s="20"/>
      <c r="M252" s="23"/>
      <c r="N252" s="23"/>
    </row>
    <row r="253" spans="7:14" ht="15.75" customHeight="1" x14ac:dyDescent="0.25">
      <c r="G253" s="20"/>
      <c r="H253" s="20"/>
      <c r="I253" s="70"/>
      <c r="J253" s="20"/>
      <c r="K253" s="20"/>
      <c r="L253" s="20"/>
      <c r="M253" s="23"/>
      <c r="N253" s="23"/>
    </row>
    <row r="254" spans="7:14" ht="15.75" customHeight="1" x14ac:dyDescent="0.25">
      <c r="G254" s="20"/>
      <c r="H254" s="20"/>
      <c r="I254" s="70"/>
      <c r="J254" s="20"/>
      <c r="K254" s="20"/>
      <c r="L254" s="20"/>
      <c r="M254" s="23"/>
      <c r="N254" s="23"/>
    </row>
    <row r="255" spans="7:14" ht="15.75" customHeight="1" x14ac:dyDescent="0.25">
      <c r="G255" s="20"/>
      <c r="H255" s="20"/>
      <c r="I255" s="70"/>
      <c r="J255" s="20"/>
      <c r="K255" s="20"/>
      <c r="L255" s="20"/>
      <c r="M255" s="23"/>
      <c r="N255" s="23"/>
    </row>
    <row r="256" spans="7:14" ht="15.75" customHeight="1" x14ac:dyDescent="0.25">
      <c r="G256" s="20"/>
      <c r="H256" s="20"/>
      <c r="I256" s="70"/>
      <c r="J256" s="20"/>
      <c r="K256" s="20"/>
      <c r="L256" s="20"/>
      <c r="M256" s="23"/>
      <c r="N256" s="23"/>
    </row>
    <row r="257" spans="7:14" ht="15.75" customHeight="1" x14ac:dyDescent="0.25">
      <c r="G257" s="20"/>
      <c r="H257" s="20"/>
      <c r="I257" s="70"/>
      <c r="J257" s="20"/>
      <c r="K257" s="20"/>
      <c r="L257" s="20"/>
      <c r="M257" s="23"/>
      <c r="N257" s="23"/>
    </row>
    <row r="258" spans="7:14" ht="15.75" customHeight="1" x14ac:dyDescent="0.25">
      <c r="G258" s="20"/>
      <c r="H258" s="20"/>
      <c r="I258" s="70"/>
      <c r="J258" s="20"/>
      <c r="K258" s="20"/>
      <c r="L258" s="20"/>
      <c r="M258" s="23"/>
      <c r="N258" s="23"/>
    </row>
    <row r="259" spans="7:14" ht="15.75" customHeight="1" x14ac:dyDescent="0.25">
      <c r="G259" s="20"/>
      <c r="H259" s="20"/>
      <c r="I259" s="70"/>
      <c r="J259" s="20"/>
      <c r="K259" s="20"/>
      <c r="L259" s="20"/>
      <c r="M259" s="23"/>
      <c r="N259" s="23"/>
    </row>
    <row r="260" spans="7:14" ht="15.75" customHeight="1" x14ac:dyDescent="0.25">
      <c r="G260" s="20"/>
      <c r="H260" s="20"/>
      <c r="I260" s="70"/>
      <c r="J260" s="20"/>
      <c r="K260" s="20"/>
      <c r="L260" s="20"/>
      <c r="M260" s="23"/>
      <c r="N260" s="23"/>
    </row>
    <row r="261" spans="7:14" ht="15.75" customHeight="1" x14ac:dyDescent="0.25">
      <c r="G261" s="20"/>
      <c r="H261" s="20"/>
      <c r="I261" s="70"/>
      <c r="J261" s="20"/>
      <c r="K261" s="20"/>
      <c r="L261" s="20"/>
      <c r="M261" s="23"/>
      <c r="N261" s="23"/>
    </row>
    <row r="262" spans="7:14" ht="15.75" customHeight="1" x14ac:dyDescent="0.25">
      <c r="G262" s="20"/>
      <c r="H262" s="20"/>
      <c r="I262" s="70"/>
      <c r="J262" s="20"/>
      <c r="K262" s="20"/>
      <c r="L262" s="20"/>
      <c r="M262" s="23"/>
      <c r="N262" s="23"/>
    </row>
    <row r="263" spans="7:14" ht="15.75" customHeight="1" x14ac:dyDescent="0.25">
      <c r="G263" s="20"/>
      <c r="H263" s="20"/>
      <c r="I263" s="70"/>
      <c r="J263" s="20"/>
      <c r="K263" s="20"/>
      <c r="L263" s="20"/>
      <c r="M263" s="23"/>
      <c r="N263" s="23"/>
    </row>
    <row r="264" spans="7:14" ht="15.75" customHeight="1" x14ac:dyDescent="0.25">
      <c r="G264" s="20"/>
      <c r="H264" s="20"/>
      <c r="I264" s="70"/>
      <c r="J264" s="20"/>
      <c r="K264" s="20"/>
      <c r="L264" s="20"/>
      <c r="M264" s="23"/>
      <c r="N264" s="23"/>
    </row>
    <row r="265" spans="7:14" ht="15.75" customHeight="1" x14ac:dyDescent="0.25">
      <c r="G265" s="20"/>
      <c r="H265" s="20"/>
      <c r="I265" s="70"/>
      <c r="J265" s="20"/>
      <c r="K265" s="20"/>
      <c r="L265" s="20"/>
      <c r="M265" s="23"/>
      <c r="N265" s="23"/>
    </row>
    <row r="266" spans="7:14" ht="15.75" customHeight="1" x14ac:dyDescent="0.25">
      <c r="G266" s="20"/>
      <c r="H266" s="20"/>
      <c r="I266" s="70"/>
      <c r="J266" s="20"/>
      <c r="K266" s="20"/>
      <c r="L266" s="20"/>
      <c r="M266" s="23"/>
      <c r="N266" s="23"/>
    </row>
    <row r="267" spans="7:14" ht="15.75" customHeight="1" x14ac:dyDescent="0.25">
      <c r="G267" s="20"/>
      <c r="H267" s="20"/>
      <c r="I267" s="70"/>
      <c r="J267" s="20"/>
      <c r="K267" s="20"/>
      <c r="L267" s="20"/>
      <c r="M267" s="23"/>
      <c r="N267" s="23"/>
    </row>
    <row r="268" spans="7:14" ht="15.75" customHeight="1" x14ac:dyDescent="0.25">
      <c r="G268" s="20"/>
      <c r="H268" s="20"/>
      <c r="I268" s="70"/>
      <c r="J268" s="20"/>
      <c r="K268" s="20"/>
      <c r="L268" s="20"/>
      <c r="M268" s="23"/>
      <c r="N268" s="23"/>
    </row>
    <row r="269" spans="7:14" ht="15.75" customHeight="1" x14ac:dyDescent="0.25">
      <c r="G269" s="20"/>
      <c r="H269" s="20"/>
      <c r="I269" s="70"/>
      <c r="J269" s="20"/>
      <c r="K269" s="20"/>
      <c r="L269" s="20"/>
      <c r="M269" s="23"/>
      <c r="N269" s="23"/>
    </row>
    <row r="270" spans="7:14" ht="15.75" customHeight="1" x14ac:dyDescent="0.25">
      <c r="G270" s="20"/>
      <c r="H270" s="20"/>
      <c r="I270" s="70"/>
      <c r="J270" s="20"/>
      <c r="K270" s="20"/>
      <c r="L270" s="20"/>
      <c r="M270" s="23"/>
      <c r="N270" s="23"/>
    </row>
    <row r="271" spans="7:14" ht="15.75" customHeight="1" x14ac:dyDescent="0.25">
      <c r="G271" s="20"/>
      <c r="H271" s="20"/>
      <c r="I271" s="70"/>
      <c r="J271" s="20"/>
      <c r="K271" s="20"/>
      <c r="L271" s="20"/>
      <c r="M271" s="23"/>
      <c r="N271" s="23"/>
    </row>
    <row r="272" spans="7:14" ht="15.75" customHeight="1" x14ac:dyDescent="0.25">
      <c r="G272" s="20"/>
      <c r="H272" s="20"/>
      <c r="I272" s="70"/>
      <c r="J272" s="20"/>
      <c r="K272" s="20"/>
      <c r="L272" s="20"/>
      <c r="M272" s="23"/>
      <c r="N272" s="23"/>
    </row>
    <row r="273" spans="7:14" ht="15.75" customHeight="1" x14ac:dyDescent="0.25">
      <c r="G273" s="20"/>
      <c r="H273" s="20"/>
      <c r="I273" s="70"/>
      <c r="J273" s="20"/>
      <c r="K273" s="20"/>
      <c r="L273" s="20"/>
      <c r="M273" s="23"/>
      <c r="N273" s="23"/>
    </row>
    <row r="274" spans="7:14" ht="15.75" customHeight="1" x14ac:dyDescent="0.25">
      <c r="G274" s="20"/>
      <c r="H274" s="20"/>
      <c r="I274" s="70"/>
      <c r="J274" s="20"/>
      <c r="K274" s="20"/>
      <c r="L274" s="20"/>
      <c r="M274" s="23"/>
      <c r="N274" s="23"/>
    </row>
    <row r="275" spans="7:14" ht="15.75" customHeight="1" x14ac:dyDescent="0.25">
      <c r="G275" s="20"/>
      <c r="H275" s="20"/>
      <c r="I275" s="70"/>
      <c r="J275" s="20"/>
      <c r="K275" s="20"/>
      <c r="L275" s="20"/>
      <c r="M275" s="23"/>
      <c r="N275" s="23"/>
    </row>
    <row r="276" spans="7:14" ht="15.75" customHeight="1" x14ac:dyDescent="0.25">
      <c r="G276" s="20"/>
      <c r="H276" s="20"/>
      <c r="I276" s="70"/>
      <c r="J276" s="20"/>
      <c r="K276" s="20"/>
      <c r="L276" s="20"/>
      <c r="M276" s="23"/>
      <c r="N276" s="23"/>
    </row>
    <row r="277" spans="7:14" ht="15.75" customHeight="1" x14ac:dyDescent="0.25">
      <c r="G277" s="20"/>
      <c r="H277" s="20"/>
      <c r="I277" s="70"/>
      <c r="J277" s="20"/>
      <c r="K277" s="20"/>
      <c r="L277" s="20"/>
      <c r="M277" s="23"/>
      <c r="N277" s="23"/>
    </row>
    <row r="278" spans="7:14" ht="15.75" customHeight="1" x14ac:dyDescent="0.25">
      <c r="G278" s="20"/>
      <c r="H278" s="20"/>
      <c r="I278" s="70"/>
      <c r="J278" s="20"/>
      <c r="K278" s="20"/>
      <c r="L278" s="20"/>
      <c r="M278" s="23"/>
      <c r="N278" s="23"/>
    </row>
    <row r="279" spans="7:14" ht="15.75" customHeight="1" x14ac:dyDescent="0.25">
      <c r="G279" s="20"/>
      <c r="H279" s="20"/>
      <c r="I279" s="70"/>
      <c r="J279" s="20"/>
      <c r="K279" s="20"/>
      <c r="L279" s="20"/>
      <c r="M279" s="23"/>
      <c r="N279" s="23"/>
    </row>
    <row r="280" spans="7:14" ht="15.75" customHeight="1" x14ac:dyDescent="0.25">
      <c r="G280" s="20"/>
      <c r="H280" s="20"/>
      <c r="I280" s="70"/>
      <c r="J280" s="20"/>
      <c r="K280" s="20"/>
      <c r="L280" s="20"/>
      <c r="M280" s="23"/>
      <c r="N280" s="23"/>
    </row>
    <row r="281" spans="7:14" ht="15.75" customHeight="1" x14ac:dyDescent="0.25">
      <c r="G281" s="20"/>
      <c r="H281" s="20"/>
      <c r="I281" s="70"/>
      <c r="J281" s="20"/>
      <c r="K281" s="20"/>
      <c r="L281" s="20"/>
      <c r="M281" s="23"/>
      <c r="N281" s="23"/>
    </row>
    <row r="282" spans="7:14" ht="15.75" customHeight="1" x14ac:dyDescent="0.25">
      <c r="G282" s="20"/>
      <c r="H282" s="20"/>
      <c r="I282" s="70"/>
      <c r="J282" s="20"/>
      <c r="K282" s="20"/>
      <c r="L282" s="20"/>
      <c r="M282" s="23"/>
      <c r="N282" s="23"/>
    </row>
    <row r="283" spans="7:14" ht="15.75" customHeight="1" x14ac:dyDescent="0.25">
      <c r="G283" s="20"/>
      <c r="H283" s="20"/>
      <c r="I283" s="70"/>
      <c r="J283" s="20"/>
      <c r="K283" s="20"/>
      <c r="L283" s="20"/>
      <c r="M283" s="23"/>
      <c r="N283" s="23"/>
    </row>
    <row r="284" spans="7:14" ht="15.75" customHeight="1" x14ac:dyDescent="0.25">
      <c r="G284" s="20"/>
      <c r="H284" s="20"/>
      <c r="I284" s="70"/>
      <c r="J284" s="20"/>
      <c r="K284" s="20"/>
      <c r="L284" s="20"/>
      <c r="M284" s="23"/>
      <c r="N284" s="23"/>
    </row>
    <row r="285" spans="7:14" ht="15.75" customHeight="1" x14ac:dyDescent="0.25">
      <c r="G285" s="20"/>
      <c r="H285" s="20"/>
      <c r="I285" s="70"/>
      <c r="J285" s="20"/>
      <c r="K285" s="20"/>
      <c r="L285" s="20"/>
      <c r="M285" s="23"/>
      <c r="N285" s="23"/>
    </row>
    <row r="286" spans="7:14" ht="15.75" customHeight="1" x14ac:dyDescent="0.25">
      <c r="G286" s="20"/>
      <c r="H286" s="20"/>
      <c r="I286" s="70"/>
      <c r="J286" s="20"/>
      <c r="K286" s="20"/>
      <c r="L286" s="20"/>
      <c r="M286" s="23"/>
      <c r="N286" s="23"/>
    </row>
    <row r="287" spans="7:14" ht="15.75" customHeight="1" x14ac:dyDescent="0.25">
      <c r="G287" s="20"/>
      <c r="H287" s="20"/>
      <c r="I287" s="70"/>
      <c r="J287" s="20"/>
      <c r="K287" s="20"/>
      <c r="L287" s="20"/>
      <c r="M287" s="23"/>
      <c r="N287" s="23"/>
    </row>
    <row r="288" spans="7:14" ht="15.75" customHeight="1" x14ac:dyDescent="0.25">
      <c r="G288" s="20"/>
      <c r="H288" s="20"/>
      <c r="I288" s="70"/>
      <c r="J288" s="20"/>
      <c r="K288" s="20"/>
      <c r="L288" s="20"/>
      <c r="M288" s="23"/>
      <c r="N288" s="23"/>
    </row>
    <row r="289" spans="7:14" ht="15.75" customHeight="1" x14ac:dyDescent="0.25">
      <c r="G289" s="20"/>
      <c r="H289" s="20"/>
      <c r="I289" s="70"/>
      <c r="J289" s="20"/>
      <c r="K289" s="20"/>
      <c r="L289" s="20"/>
      <c r="M289" s="23"/>
      <c r="N289" s="23"/>
    </row>
    <row r="290" spans="7:14" ht="15.75" customHeight="1" x14ac:dyDescent="0.25">
      <c r="G290" s="20"/>
      <c r="H290" s="20"/>
      <c r="I290" s="70"/>
      <c r="J290" s="20"/>
      <c r="K290" s="20"/>
      <c r="L290" s="20"/>
      <c r="M290" s="23"/>
      <c r="N290" s="23"/>
    </row>
    <row r="291" spans="7:14" ht="15.75" customHeight="1" x14ac:dyDescent="0.25">
      <c r="G291" s="20"/>
      <c r="H291" s="20"/>
      <c r="I291" s="70"/>
      <c r="J291" s="20"/>
      <c r="K291" s="20"/>
      <c r="L291" s="20"/>
      <c r="M291" s="23"/>
      <c r="N291" s="23"/>
    </row>
    <row r="292" spans="7:14" ht="15.75" customHeight="1" x14ac:dyDescent="0.25">
      <c r="G292" s="20"/>
      <c r="H292" s="20"/>
      <c r="I292" s="70"/>
      <c r="J292" s="20"/>
      <c r="K292" s="20"/>
      <c r="L292" s="20"/>
      <c r="M292" s="23"/>
      <c r="N292" s="23"/>
    </row>
    <row r="293" spans="7:14" ht="15.75" customHeight="1" x14ac:dyDescent="0.25">
      <c r="G293" s="20"/>
      <c r="H293" s="20"/>
      <c r="I293" s="70"/>
      <c r="J293" s="20"/>
      <c r="K293" s="20"/>
      <c r="L293" s="20"/>
      <c r="M293" s="23"/>
      <c r="N293" s="23"/>
    </row>
    <row r="294" spans="7:14" ht="15.75" customHeight="1" x14ac:dyDescent="0.25">
      <c r="G294" s="20"/>
      <c r="H294" s="20"/>
      <c r="I294" s="70"/>
      <c r="J294" s="20"/>
      <c r="K294" s="20"/>
      <c r="L294" s="20"/>
      <c r="M294" s="23"/>
      <c r="N294" s="23"/>
    </row>
    <row r="295" spans="7:14" ht="15.75" customHeight="1" x14ac:dyDescent="0.25">
      <c r="G295" s="20"/>
      <c r="H295" s="20"/>
      <c r="I295" s="70"/>
      <c r="J295" s="20"/>
      <c r="K295" s="20"/>
      <c r="L295" s="20"/>
      <c r="M295" s="23"/>
      <c r="N295" s="23"/>
    </row>
    <row r="296" spans="7:14" ht="15.75" customHeight="1" x14ac:dyDescent="0.25">
      <c r="G296" s="20"/>
      <c r="H296" s="20"/>
      <c r="I296" s="70"/>
      <c r="J296" s="20"/>
      <c r="K296" s="20"/>
      <c r="L296" s="20"/>
      <c r="M296" s="23"/>
      <c r="N296" s="23"/>
    </row>
    <row r="297" spans="7:14" ht="15.75" customHeight="1" x14ac:dyDescent="0.25">
      <c r="G297" s="20"/>
      <c r="H297" s="20"/>
      <c r="I297" s="70"/>
      <c r="J297" s="20"/>
      <c r="K297" s="20"/>
      <c r="L297" s="20"/>
      <c r="M297" s="23"/>
      <c r="N297" s="23"/>
    </row>
    <row r="298" spans="7:14" ht="15.75" customHeight="1" x14ac:dyDescent="0.25">
      <c r="G298" s="20"/>
      <c r="H298" s="20"/>
      <c r="I298" s="70"/>
      <c r="J298" s="20"/>
      <c r="K298" s="20"/>
      <c r="L298" s="20"/>
      <c r="M298" s="23"/>
      <c r="N298" s="23"/>
    </row>
    <row r="299" spans="7:14" ht="15.75" customHeight="1" x14ac:dyDescent="0.25">
      <c r="G299" s="20"/>
      <c r="H299" s="20"/>
      <c r="I299" s="70"/>
      <c r="J299" s="20"/>
      <c r="K299" s="20"/>
      <c r="L299" s="20"/>
      <c r="M299" s="23"/>
      <c r="N299" s="23"/>
    </row>
    <row r="300" spans="7:14" ht="15.75" customHeight="1" x14ac:dyDescent="0.25">
      <c r="G300" s="20"/>
      <c r="H300" s="20"/>
      <c r="I300" s="70"/>
      <c r="J300" s="20"/>
      <c r="K300" s="20"/>
      <c r="L300" s="20"/>
      <c r="M300" s="23"/>
      <c r="N300" s="23"/>
    </row>
    <row r="301" spans="7:14" ht="15.75" customHeight="1" x14ac:dyDescent="0.25">
      <c r="G301" s="20"/>
      <c r="H301" s="20"/>
      <c r="I301" s="70"/>
      <c r="J301" s="20"/>
      <c r="K301" s="20"/>
      <c r="L301" s="20"/>
      <c r="M301" s="23"/>
      <c r="N301" s="23"/>
    </row>
    <row r="302" spans="7:14" ht="15.75" customHeight="1" x14ac:dyDescent="0.25">
      <c r="G302" s="20"/>
      <c r="H302" s="20"/>
      <c r="I302" s="70"/>
      <c r="J302" s="20"/>
      <c r="K302" s="20"/>
      <c r="L302" s="20"/>
      <c r="M302" s="23"/>
      <c r="N302" s="23"/>
    </row>
    <row r="303" spans="7:14" ht="15.75" customHeight="1" x14ac:dyDescent="0.25">
      <c r="G303" s="20"/>
      <c r="H303" s="20"/>
      <c r="I303" s="70"/>
      <c r="J303" s="20"/>
      <c r="K303" s="20"/>
      <c r="L303" s="20"/>
      <c r="M303" s="23"/>
      <c r="N303" s="23"/>
    </row>
    <row r="304" spans="7:14" ht="15.75" customHeight="1" x14ac:dyDescent="0.25">
      <c r="G304" s="20"/>
      <c r="H304" s="20"/>
      <c r="I304" s="70"/>
      <c r="J304" s="20"/>
      <c r="K304" s="20"/>
      <c r="L304" s="20"/>
      <c r="M304" s="23"/>
      <c r="N304" s="23"/>
    </row>
    <row r="305" spans="7:14" ht="15.75" customHeight="1" x14ac:dyDescent="0.25">
      <c r="G305" s="20"/>
      <c r="H305" s="20"/>
      <c r="I305" s="70"/>
      <c r="J305" s="20"/>
      <c r="K305" s="20"/>
      <c r="L305" s="20"/>
      <c r="M305" s="23"/>
      <c r="N305" s="23"/>
    </row>
    <row r="306" spans="7:14" ht="15.75" customHeight="1" x14ac:dyDescent="0.25">
      <c r="G306" s="20"/>
      <c r="H306" s="20"/>
      <c r="I306" s="70"/>
      <c r="J306" s="20"/>
      <c r="K306" s="20"/>
      <c r="L306" s="20"/>
      <c r="M306" s="23"/>
      <c r="N306" s="23"/>
    </row>
    <row r="307" spans="7:14" ht="15.75" customHeight="1" x14ac:dyDescent="0.25">
      <c r="G307" s="20"/>
      <c r="H307" s="20"/>
      <c r="I307" s="70"/>
      <c r="J307" s="20"/>
      <c r="K307" s="20"/>
      <c r="L307" s="20"/>
      <c r="M307" s="23"/>
      <c r="N307" s="23"/>
    </row>
    <row r="308" spans="7:14" ht="15.75" customHeight="1" x14ac:dyDescent="0.25">
      <c r="G308" s="20"/>
      <c r="H308" s="20"/>
      <c r="I308" s="70"/>
      <c r="J308" s="20"/>
      <c r="K308" s="20"/>
      <c r="L308" s="20"/>
      <c r="M308" s="23"/>
      <c r="N308" s="23"/>
    </row>
    <row r="309" spans="7:14" ht="15.75" customHeight="1" x14ac:dyDescent="0.25">
      <c r="G309" s="20"/>
      <c r="H309" s="20"/>
      <c r="I309" s="70"/>
      <c r="J309" s="20"/>
      <c r="K309" s="20"/>
      <c r="L309" s="20"/>
      <c r="M309" s="23"/>
      <c r="N309" s="23"/>
    </row>
    <row r="310" spans="7:14" ht="15.75" customHeight="1" x14ac:dyDescent="0.25">
      <c r="G310" s="20"/>
      <c r="H310" s="20"/>
      <c r="I310" s="70"/>
      <c r="J310" s="20"/>
      <c r="K310" s="20"/>
      <c r="L310" s="20"/>
      <c r="M310" s="23"/>
      <c r="N310" s="23"/>
    </row>
    <row r="311" spans="7:14" ht="15.75" customHeight="1" x14ac:dyDescent="0.25">
      <c r="G311" s="20"/>
      <c r="H311" s="20"/>
      <c r="I311" s="70"/>
      <c r="J311" s="20"/>
      <c r="K311" s="20"/>
      <c r="L311" s="20"/>
      <c r="M311" s="23"/>
      <c r="N311" s="23"/>
    </row>
    <row r="312" spans="7:14" ht="15.75" customHeight="1" x14ac:dyDescent="0.25">
      <c r="G312" s="20"/>
      <c r="H312" s="20"/>
      <c r="I312" s="70"/>
      <c r="J312" s="20"/>
      <c r="K312" s="20"/>
      <c r="L312" s="20"/>
      <c r="M312" s="23"/>
      <c r="N312" s="23"/>
    </row>
    <row r="313" spans="7:14" ht="15.75" customHeight="1" x14ac:dyDescent="0.25">
      <c r="G313" s="20"/>
      <c r="H313" s="20"/>
      <c r="I313" s="70"/>
      <c r="J313" s="20"/>
      <c r="K313" s="20"/>
      <c r="L313" s="20"/>
      <c r="M313" s="23"/>
      <c r="N313" s="23"/>
    </row>
    <row r="314" spans="7:14" ht="15.75" customHeight="1" x14ac:dyDescent="0.25">
      <c r="G314" s="20"/>
      <c r="H314" s="20"/>
      <c r="I314" s="70"/>
      <c r="J314" s="20"/>
      <c r="K314" s="20"/>
      <c r="L314" s="20"/>
      <c r="M314" s="23"/>
      <c r="N314" s="23"/>
    </row>
    <row r="315" spans="7:14" ht="15.75" customHeight="1" x14ac:dyDescent="0.25">
      <c r="G315" s="20"/>
      <c r="H315" s="20"/>
      <c r="I315" s="70"/>
      <c r="J315" s="20"/>
      <c r="K315" s="20"/>
      <c r="L315" s="20"/>
      <c r="M315" s="23"/>
      <c r="N315" s="23"/>
    </row>
    <row r="316" spans="7:14" ht="15.75" customHeight="1" x14ac:dyDescent="0.25">
      <c r="G316" s="20"/>
      <c r="H316" s="20"/>
      <c r="I316" s="70"/>
      <c r="J316" s="20"/>
      <c r="K316" s="20"/>
      <c r="L316" s="20"/>
      <c r="M316" s="23"/>
      <c r="N316" s="23"/>
    </row>
    <row r="317" spans="7:14" ht="15.75" customHeight="1" x14ac:dyDescent="0.25">
      <c r="G317" s="20"/>
      <c r="H317" s="20"/>
      <c r="I317" s="70"/>
      <c r="J317" s="20"/>
      <c r="K317" s="20"/>
      <c r="L317" s="20"/>
      <c r="M317" s="23"/>
      <c r="N317" s="23"/>
    </row>
    <row r="318" spans="7:14" ht="15.75" customHeight="1" x14ac:dyDescent="0.25">
      <c r="G318" s="20"/>
      <c r="H318" s="20"/>
      <c r="I318" s="70"/>
      <c r="J318" s="20"/>
      <c r="K318" s="20"/>
      <c r="L318" s="20"/>
      <c r="M318" s="23"/>
      <c r="N318" s="23"/>
    </row>
    <row r="319" spans="7:14" ht="15.75" customHeight="1" x14ac:dyDescent="0.25">
      <c r="G319" s="20"/>
      <c r="H319" s="20"/>
      <c r="I319" s="70"/>
      <c r="J319" s="20"/>
      <c r="K319" s="20"/>
      <c r="L319" s="20"/>
      <c r="M319" s="23"/>
      <c r="N319" s="23"/>
    </row>
    <row r="320" spans="7:14" ht="15.75" customHeight="1" x14ac:dyDescent="0.25">
      <c r="G320" s="20"/>
      <c r="H320" s="20"/>
      <c r="I320" s="70"/>
      <c r="J320" s="20"/>
      <c r="K320" s="20"/>
      <c r="L320" s="20"/>
      <c r="M320" s="23"/>
      <c r="N320" s="23"/>
    </row>
    <row r="321" spans="7:14" ht="15.75" customHeight="1" x14ac:dyDescent="0.25">
      <c r="G321" s="20"/>
      <c r="H321" s="20"/>
      <c r="I321" s="70"/>
      <c r="J321" s="20"/>
      <c r="K321" s="20"/>
      <c r="L321" s="20"/>
      <c r="M321" s="23"/>
      <c r="N321" s="23"/>
    </row>
    <row r="322" spans="7:14" ht="15.75" customHeight="1" x14ac:dyDescent="0.25">
      <c r="G322" s="20"/>
      <c r="H322" s="20"/>
      <c r="I322" s="70"/>
      <c r="J322" s="20"/>
      <c r="K322" s="20"/>
      <c r="L322" s="20"/>
      <c r="M322" s="23"/>
      <c r="N322" s="23"/>
    </row>
    <row r="323" spans="7:14" ht="15.75" customHeight="1" x14ac:dyDescent="0.25">
      <c r="G323" s="20"/>
      <c r="H323" s="20"/>
      <c r="I323" s="70"/>
      <c r="J323" s="20"/>
      <c r="K323" s="20"/>
      <c r="L323" s="20"/>
      <c r="M323" s="23"/>
      <c r="N323" s="23"/>
    </row>
    <row r="324" spans="7:14" ht="15.75" customHeight="1" x14ac:dyDescent="0.25">
      <c r="G324" s="20"/>
      <c r="H324" s="20"/>
      <c r="I324" s="70"/>
      <c r="J324" s="20"/>
      <c r="K324" s="20"/>
      <c r="L324" s="20"/>
      <c r="M324" s="23"/>
      <c r="N324" s="23"/>
    </row>
    <row r="325" spans="7:14" ht="15.75" customHeight="1" x14ac:dyDescent="0.25">
      <c r="G325" s="20"/>
      <c r="H325" s="20"/>
      <c r="I325" s="70"/>
      <c r="J325" s="20"/>
      <c r="K325" s="20"/>
      <c r="L325" s="20"/>
      <c r="M325" s="23"/>
      <c r="N325" s="23"/>
    </row>
    <row r="326" spans="7:14" ht="15.75" customHeight="1" x14ac:dyDescent="0.25">
      <c r="G326" s="20"/>
      <c r="H326" s="20"/>
      <c r="I326" s="70"/>
      <c r="J326" s="20"/>
      <c r="K326" s="20"/>
      <c r="L326" s="20"/>
      <c r="M326" s="23"/>
      <c r="N326" s="23"/>
    </row>
    <row r="327" spans="7:14" ht="15.75" customHeight="1" x14ac:dyDescent="0.25">
      <c r="G327" s="20"/>
      <c r="H327" s="20"/>
      <c r="I327" s="70"/>
      <c r="J327" s="20"/>
      <c r="K327" s="20"/>
      <c r="L327" s="20"/>
      <c r="M327" s="23"/>
      <c r="N327" s="23"/>
    </row>
    <row r="328" spans="7:14" ht="15.75" customHeight="1" x14ac:dyDescent="0.25">
      <c r="G328" s="20"/>
      <c r="H328" s="20"/>
      <c r="I328" s="70"/>
      <c r="J328" s="20"/>
      <c r="K328" s="20"/>
      <c r="L328" s="20"/>
      <c r="M328" s="23"/>
      <c r="N328" s="23"/>
    </row>
    <row r="329" spans="7:14" ht="15.75" customHeight="1" x14ac:dyDescent="0.25">
      <c r="G329" s="20"/>
      <c r="H329" s="20"/>
      <c r="I329" s="70"/>
      <c r="J329" s="20"/>
      <c r="K329" s="20"/>
      <c r="L329" s="20"/>
      <c r="M329" s="23"/>
      <c r="N329" s="23"/>
    </row>
    <row r="330" spans="7:14" ht="15.75" customHeight="1" x14ac:dyDescent="0.25">
      <c r="G330" s="20"/>
      <c r="H330" s="20"/>
      <c r="I330" s="70"/>
      <c r="J330" s="20"/>
      <c r="K330" s="20"/>
      <c r="L330" s="20"/>
      <c r="M330" s="23"/>
      <c r="N330" s="23"/>
    </row>
    <row r="331" spans="7:14" ht="15.75" customHeight="1" x14ac:dyDescent="0.25">
      <c r="G331" s="20"/>
      <c r="H331" s="20"/>
      <c r="I331" s="70"/>
      <c r="J331" s="20"/>
      <c r="K331" s="20"/>
      <c r="L331" s="20"/>
      <c r="M331" s="23"/>
      <c r="N331" s="23"/>
    </row>
    <row r="332" spans="7:14" ht="15.75" customHeight="1" x14ac:dyDescent="0.25">
      <c r="G332" s="20"/>
      <c r="H332" s="20"/>
      <c r="I332" s="70"/>
      <c r="J332" s="20"/>
      <c r="K332" s="20"/>
      <c r="L332" s="20"/>
      <c r="M332" s="23"/>
      <c r="N332" s="23"/>
    </row>
    <row r="333" spans="7:14" ht="15.75" customHeight="1" x14ac:dyDescent="0.25">
      <c r="G333" s="20"/>
      <c r="H333" s="20"/>
      <c r="I333" s="70"/>
      <c r="J333" s="20"/>
      <c r="K333" s="20"/>
      <c r="L333" s="20"/>
      <c r="M333" s="23"/>
      <c r="N333" s="23"/>
    </row>
    <row r="334" spans="7:14" ht="15.75" customHeight="1" x14ac:dyDescent="0.25">
      <c r="G334" s="20"/>
      <c r="H334" s="20"/>
      <c r="I334" s="70"/>
      <c r="J334" s="20"/>
      <c r="K334" s="20"/>
      <c r="L334" s="20"/>
      <c r="M334" s="23"/>
      <c r="N334" s="23"/>
    </row>
    <row r="335" spans="7:14" ht="15.75" customHeight="1" x14ac:dyDescent="0.25">
      <c r="G335" s="20"/>
      <c r="H335" s="20"/>
      <c r="I335" s="70"/>
      <c r="J335" s="20"/>
      <c r="K335" s="20"/>
      <c r="L335" s="20"/>
      <c r="M335" s="23"/>
      <c r="N335" s="23"/>
    </row>
    <row r="336" spans="7:14" ht="15.75" customHeight="1" x14ac:dyDescent="0.25">
      <c r="G336" s="20"/>
      <c r="H336" s="20"/>
      <c r="I336" s="70"/>
      <c r="J336" s="20"/>
      <c r="K336" s="20"/>
      <c r="L336" s="20"/>
      <c r="M336" s="23"/>
      <c r="N336" s="23"/>
    </row>
    <row r="337" spans="7:14" ht="15.75" customHeight="1" x14ac:dyDescent="0.25">
      <c r="G337" s="20"/>
      <c r="H337" s="20"/>
      <c r="I337" s="70"/>
      <c r="J337" s="20"/>
      <c r="K337" s="20"/>
      <c r="L337" s="20"/>
      <c r="M337" s="23"/>
      <c r="N337" s="23"/>
    </row>
    <row r="338" spans="7:14" ht="15.75" customHeight="1" x14ac:dyDescent="0.25">
      <c r="G338" s="20"/>
      <c r="H338" s="20"/>
      <c r="I338" s="70"/>
      <c r="J338" s="20"/>
      <c r="K338" s="20"/>
      <c r="L338" s="20"/>
      <c r="M338" s="23"/>
      <c r="N338" s="23"/>
    </row>
    <row r="339" spans="7:14" ht="15.75" customHeight="1" x14ac:dyDescent="0.25">
      <c r="G339" s="20"/>
      <c r="H339" s="20"/>
      <c r="I339" s="70"/>
      <c r="J339" s="20"/>
      <c r="K339" s="20"/>
      <c r="L339" s="20"/>
      <c r="M339" s="23"/>
      <c r="N339" s="23"/>
    </row>
    <row r="340" spans="7:14" ht="15.75" customHeight="1" x14ac:dyDescent="0.25">
      <c r="G340" s="20"/>
      <c r="H340" s="20"/>
      <c r="I340" s="70"/>
      <c r="J340" s="20"/>
      <c r="K340" s="20"/>
      <c r="L340" s="20"/>
      <c r="M340" s="23"/>
      <c r="N340" s="23"/>
    </row>
    <row r="341" spans="7:14" ht="15.75" customHeight="1" x14ac:dyDescent="0.25">
      <c r="G341" s="20"/>
      <c r="H341" s="20"/>
      <c r="I341" s="70"/>
      <c r="J341" s="20"/>
      <c r="K341" s="20"/>
      <c r="L341" s="20"/>
      <c r="M341" s="23"/>
      <c r="N341" s="23"/>
    </row>
    <row r="342" spans="7:14" ht="15.75" customHeight="1" x14ac:dyDescent="0.25">
      <c r="G342" s="20"/>
      <c r="H342" s="20"/>
      <c r="I342" s="70"/>
      <c r="J342" s="20"/>
      <c r="K342" s="20"/>
      <c r="L342" s="20"/>
      <c r="M342" s="23"/>
      <c r="N342" s="23"/>
    </row>
    <row r="343" spans="7:14" ht="15.75" customHeight="1" x14ac:dyDescent="0.25">
      <c r="G343" s="20"/>
      <c r="H343" s="20"/>
      <c r="I343" s="70"/>
      <c r="J343" s="20"/>
      <c r="K343" s="20"/>
      <c r="L343" s="20"/>
      <c r="M343" s="23"/>
      <c r="N343" s="23"/>
    </row>
    <row r="344" spans="7:14" ht="15.75" customHeight="1" x14ac:dyDescent="0.25">
      <c r="G344" s="20"/>
      <c r="H344" s="20"/>
      <c r="I344" s="70"/>
      <c r="J344" s="20"/>
      <c r="K344" s="20"/>
      <c r="L344" s="20"/>
      <c r="M344" s="23"/>
      <c r="N344" s="23"/>
    </row>
    <row r="345" spans="7:14" ht="15.75" customHeight="1" x14ac:dyDescent="0.25">
      <c r="G345" s="20"/>
      <c r="H345" s="20"/>
      <c r="I345" s="70"/>
      <c r="J345" s="20"/>
      <c r="K345" s="20"/>
      <c r="L345" s="20"/>
      <c r="M345" s="23"/>
      <c r="N345" s="23"/>
    </row>
    <row r="346" spans="7:14" ht="15.75" customHeight="1" x14ac:dyDescent="0.25">
      <c r="G346" s="20"/>
      <c r="H346" s="20"/>
      <c r="I346" s="70"/>
      <c r="J346" s="20"/>
      <c r="K346" s="20"/>
      <c r="L346" s="20"/>
      <c r="M346" s="23"/>
      <c r="N346" s="23"/>
    </row>
    <row r="347" spans="7:14" ht="15.75" customHeight="1" x14ac:dyDescent="0.25">
      <c r="G347" s="20"/>
      <c r="H347" s="20"/>
      <c r="I347" s="70"/>
      <c r="J347" s="20"/>
      <c r="K347" s="20"/>
      <c r="L347" s="20"/>
      <c r="M347" s="23"/>
      <c r="N347" s="23"/>
    </row>
    <row r="348" spans="7:14" ht="15.75" customHeight="1" x14ac:dyDescent="0.25">
      <c r="G348" s="20"/>
      <c r="H348" s="20"/>
      <c r="I348" s="70"/>
      <c r="J348" s="20"/>
      <c r="K348" s="20"/>
      <c r="L348" s="20"/>
      <c r="M348" s="23"/>
      <c r="N348" s="23"/>
    </row>
    <row r="349" spans="7:14" ht="15.75" customHeight="1" x14ac:dyDescent="0.25">
      <c r="G349" s="20"/>
      <c r="H349" s="20"/>
      <c r="I349" s="70"/>
      <c r="J349" s="20"/>
      <c r="K349" s="20"/>
      <c r="L349" s="20"/>
      <c r="M349" s="23"/>
      <c r="N349" s="23"/>
    </row>
    <row r="350" spans="7:14" ht="15.75" customHeight="1" x14ac:dyDescent="0.25">
      <c r="G350" s="20"/>
      <c r="H350" s="20"/>
      <c r="I350" s="70"/>
      <c r="J350" s="20"/>
      <c r="K350" s="20"/>
      <c r="L350" s="20"/>
      <c r="M350" s="23"/>
      <c r="N350" s="23"/>
    </row>
    <row r="351" spans="7:14" ht="15.75" customHeight="1" x14ac:dyDescent="0.25">
      <c r="G351" s="20"/>
      <c r="H351" s="20"/>
      <c r="I351" s="70"/>
      <c r="J351" s="20"/>
      <c r="K351" s="20"/>
      <c r="L351" s="20"/>
      <c r="M351" s="23"/>
      <c r="N351" s="23"/>
    </row>
    <row r="352" spans="7:14" ht="15.75" customHeight="1" x14ac:dyDescent="0.25">
      <c r="G352" s="20"/>
      <c r="H352" s="20"/>
      <c r="I352" s="70"/>
      <c r="J352" s="20"/>
      <c r="K352" s="20"/>
      <c r="L352" s="20"/>
      <c r="M352" s="23"/>
      <c r="N352" s="23"/>
    </row>
    <row r="353" spans="7:14" ht="15.75" customHeight="1" x14ac:dyDescent="0.25">
      <c r="G353" s="20"/>
      <c r="H353" s="20"/>
      <c r="I353" s="70"/>
      <c r="J353" s="20"/>
      <c r="K353" s="20"/>
      <c r="L353" s="20"/>
      <c r="M353" s="23"/>
      <c r="N353" s="23"/>
    </row>
    <row r="354" spans="7:14" ht="15.75" customHeight="1" x14ac:dyDescent="0.25">
      <c r="G354" s="20"/>
      <c r="H354" s="20"/>
      <c r="I354" s="70"/>
      <c r="J354" s="20"/>
      <c r="K354" s="20"/>
      <c r="L354" s="20"/>
      <c r="M354" s="23"/>
      <c r="N354" s="23"/>
    </row>
    <row r="355" spans="7:14" ht="15.75" customHeight="1" x14ac:dyDescent="0.25">
      <c r="G355" s="20"/>
      <c r="H355" s="20"/>
      <c r="I355" s="70"/>
      <c r="J355" s="20"/>
      <c r="K355" s="20"/>
      <c r="L355" s="20"/>
      <c r="M355" s="23"/>
      <c r="N355" s="23"/>
    </row>
    <row r="356" spans="7:14" ht="15.75" customHeight="1" x14ac:dyDescent="0.25">
      <c r="G356" s="20"/>
      <c r="H356" s="20"/>
      <c r="I356" s="70"/>
      <c r="J356" s="20"/>
      <c r="K356" s="20"/>
      <c r="L356" s="20"/>
      <c r="M356" s="23"/>
      <c r="N356" s="23"/>
    </row>
    <row r="357" spans="7:14" ht="15.75" customHeight="1" x14ac:dyDescent="0.25">
      <c r="G357" s="20"/>
      <c r="H357" s="20"/>
      <c r="I357" s="70"/>
      <c r="J357" s="20"/>
      <c r="K357" s="20"/>
      <c r="L357" s="20"/>
      <c r="M357" s="23"/>
      <c r="N357" s="23"/>
    </row>
    <row r="358" spans="7:14" ht="15.75" customHeight="1" x14ac:dyDescent="0.25">
      <c r="G358" s="20"/>
      <c r="H358" s="20"/>
      <c r="I358" s="70"/>
      <c r="J358" s="20"/>
      <c r="K358" s="20"/>
      <c r="L358" s="20"/>
      <c r="M358" s="23"/>
      <c r="N358" s="23"/>
    </row>
    <row r="359" spans="7:14" ht="15.75" customHeight="1" x14ac:dyDescent="0.25">
      <c r="G359" s="20"/>
      <c r="H359" s="20"/>
      <c r="I359" s="70"/>
      <c r="J359" s="20"/>
      <c r="K359" s="20"/>
      <c r="L359" s="20"/>
      <c r="M359" s="23"/>
      <c r="N359" s="23"/>
    </row>
    <row r="360" spans="7:14" ht="15.75" customHeight="1" x14ac:dyDescent="0.25">
      <c r="G360" s="20"/>
      <c r="H360" s="20"/>
      <c r="I360" s="70"/>
      <c r="J360" s="20"/>
      <c r="K360" s="20"/>
      <c r="L360" s="20"/>
      <c r="M360" s="23"/>
      <c r="N360" s="23"/>
    </row>
    <row r="361" spans="7:14" ht="15.75" customHeight="1" x14ac:dyDescent="0.25">
      <c r="G361" s="20"/>
      <c r="H361" s="20"/>
      <c r="I361" s="70"/>
      <c r="J361" s="20"/>
      <c r="K361" s="20"/>
      <c r="L361" s="20"/>
      <c r="M361" s="23"/>
      <c r="N361" s="23"/>
    </row>
    <row r="362" spans="7:14" ht="15.75" customHeight="1" x14ac:dyDescent="0.25">
      <c r="G362" s="20"/>
      <c r="H362" s="20"/>
      <c r="I362" s="70"/>
      <c r="J362" s="20"/>
      <c r="K362" s="20"/>
      <c r="L362" s="20"/>
      <c r="M362" s="23"/>
      <c r="N362" s="23"/>
    </row>
    <row r="363" spans="7:14" ht="15.75" customHeight="1" x14ac:dyDescent="0.25">
      <c r="G363" s="20"/>
      <c r="H363" s="20"/>
      <c r="I363" s="70"/>
      <c r="J363" s="20"/>
      <c r="K363" s="20"/>
      <c r="L363" s="20"/>
      <c r="M363" s="23"/>
      <c r="N363" s="23"/>
    </row>
    <row r="364" spans="7:14" ht="15.75" customHeight="1" x14ac:dyDescent="0.25">
      <c r="G364" s="20"/>
      <c r="H364" s="20"/>
      <c r="I364" s="70"/>
      <c r="J364" s="20"/>
      <c r="K364" s="20"/>
      <c r="L364" s="20"/>
      <c r="M364" s="23"/>
      <c r="N364" s="23"/>
    </row>
    <row r="365" spans="7:14" ht="15.75" customHeight="1" x14ac:dyDescent="0.25">
      <c r="G365" s="20"/>
      <c r="H365" s="20"/>
      <c r="I365" s="70"/>
      <c r="J365" s="20"/>
      <c r="K365" s="20"/>
      <c r="L365" s="20"/>
      <c r="M365" s="23"/>
      <c r="N365" s="23"/>
    </row>
    <row r="366" spans="7:14" ht="15.75" customHeight="1" x14ac:dyDescent="0.25">
      <c r="G366" s="20"/>
      <c r="H366" s="20"/>
      <c r="I366" s="70"/>
      <c r="J366" s="20"/>
      <c r="K366" s="20"/>
      <c r="L366" s="20"/>
      <c r="M366" s="23"/>
      <c r="N366" s="23"/>
    </row>
    <row r="367" spans="7:14" ht="15.75" customHeight="1" x14ac:dyDescent="0.25">
      <c r="G367" s="20"/>
      <c r="H367" s="20"/>
      <c r="I367" s="70"/>
      <c r="J367" s="20"/>
      <c r="K367" s="20"/>
      <c r="L367" s="20"/>
      <c r="M367" s="23"/>
      <c r="N367" s="23"/>
    </row>
    <row r="368" spans="7:14" ht="15.75" customHeight="1" x14ac:dyDescent="0.25">
      <c r="G368" s="20"/>
      <c r="H368" s="20"/>
      <c r="I368" s="70"/>
      <c r="J368" s="20"/>
      <c r="K368" s="20"/>
      <c r="L368" s="20"/>
      <c r="M368" s="23"/>
      <c r="N368" s="23"/>
    </row>
    <row r="369" spans="7:14" ht="15.75" customHeight="1" x14ac:dyDescent="0.25">
      <c r="G369" s="20"/>
      <c r="H369" s="20"/>
      <c r="I369" s="70"/>
      <c r="J369" s="20"/>
      <c r="K369" s="20"/>
      <c r="L369" s="20"/>
      <c r="M369" s="23"/>
      <c r="N369" s="23"/>
    </row>
    <row r="370" spans="7:14" ht="15.75" customHeight="1" x14ac:dyDescent="0.25">
      <c r="G370" s="20"/>
      <c r="H370" s="20"/>
      <c r="I370" s="70"/>
      <c r="J370" s="20"/>
      <c r="K370" s="20"/>
      <c r="L370" s="20"/>
      <c r="M370" s="23"/>
      <c r="N370" s="23"/>
    </row>
    <row r="371" spans="7:14" ht="15.75" customHeight="1" x14ac:dyDescent="0.25">
      <c r="G371" s="20"/>
      <c r="H371" s="20"/>
      <c r="I371" s="70"/>
      <c r="J371" s="20"/>
      <c r="K371" s="20"/>
      <c r="L371" s="20"/>
      <c r="M371" s="23"/>
      <c r="N371" s="23"/>
    </row>
    <row r="372" spans="7:14" ht="15.75" customHeight="1" x14ac:dyDescent="0.25">
      <c r="G372" s="20"/>
      <c r="H372" s="20"/>
      <c r="I372" s="70"/>
      <c r="J372" s="20"/>
      <c r="K372" s="20"/>
      <c r="L372" s="20"/>
      <c r="M372" s="23"/>
      <c r="N372" s="23"/>
    </row>
    <row r="373" spans="7:14" ht="15.75" customHeight="1" x14ac:dyDescent="0.25">
      <c r="G373" s="20"/>
      <c r="H373" s="20"/>
      <c r="I373" s="70"/>
      <c r="J373" s="20"/>
      <c r="K373" s="20"/>
      <c r="L373" s="20"/>
      <c r="M373" s="23"/>
      <c r="N373" s="23"/>
    </row>
    <row r="374" spans="7:14" ht="15.75" customHeight="1" x14ac:dyDescent="0.25">
      <c r="G374" s="20"/>
      <c r="H374" s="20"/>
      <c r="I374" s="70"/>
      <c r="J374" s="20"/>
      <c r="K374" s="20"/>
      <c r="L374" s="20"/>
      <c r="M374" s="23"/>
      <c r="N374" s="23"/>
    </row>
    <row r="375" spans="7:14" ht="15.75" customHeight="1" x14ac:dyDescent="0.25">
      <c r="G375" s="20"/>
      <c r="H375" s="20"/>
      <c r="I375" s="70"/>
      <c r="J375" s="20"/>
      <c r="K375" s="20"/>
      <c r="L375" s="20"/>
      <c r="M375" s="23"/>
      <c r="N375" s="23"/>
    </row>
    <row r="376" spans="7:14" ht="15.75" customHeight="1" x14ac:dyDescent="0.25">
      <c r="G376" s="20"/>
      <c r="H376" s="20"/>
      <c r="I376" s="70"/>
      <c r="J376" s="20"/>
      <c r="K376" s="20"/>
      <c r="L376" s="20"/>
      <c r="M376" s="23"/>
      <c r="N376" s="23"/>
    </row>
    <row r="377" spans="7:14" ht="15.75" customHeight="1" x14ac:dyDescent="0.25">
      <c r="G377" s="20"/>
      <c r="H377" s="20"/>
      <c r="I377" s="70"/>
      <c r="J377" s="20"/>
      <c r="K377" s="20"/>
      <c r="L377" s="20"/>
      <c r="M377" s="23"/>
      <c r="N377" s="23"/>
    </row>
    <row r="378" spans="7:14" ht="15.75" customHeight="1" x14ac:dyDescent="0.25">
      <c r="G378" s="20"/>
      <c r="H378" s="20"/>
      <c r="I378" s="70"/>
      <c r="J378" s="20"/>
      <c r="K378" s="20"/>
      <c r="L378" s="20"/>
      <c r="M378" s="23"/>
      <c r="N378" s="23"/>
    </row>
    <row r="379" spans="7:14" ht="15.75" customHeight="1" x14ac:dyDescent="0.25">
      <c r="G379" s="20"/>
      <c r="H379" s="20"/>
      <c r="I379" s="70"/>
      <c r="J379" s="20"/>
      <c r="K379" s="20"/>
      <c r="L379" s="20"/>
      <c r="M379" s="23"/>
      <c r="N379" s="23"/>
    </row>
    <row r="380" spans="7:14" ht="15.75" customHeight="1" x14ac:dyDescent="0.25">
      <c r="G380" s="20"/>
      <c r="H380" s="20"/>
      <c r="I380" s="70"/>
      <c r="J380" s="20"/>
      <c r="K380" s="20"/>
      <c r="L380" s="20"/>
      <c r="M380" s="23"/>
      <c r="N380" s="23"/>
    </row>
    <row r="381" spans="7:14" ht="15.75" customHeight="1" x14ac:dyDescent="0.25">
      <c r="G381" s="20"/>
      <c r="H381" s="20"/>
      <c r="I381" s="70"/>
      <c r="J381" s="20"/>
      <c r="K381" s="20"/>
      <c r="L381" s="20"/>
      <c r="M381" s="23"/>
      <c r="N381" s="23"/>
    </row>
    <row r="382" spans="7:14" ht="15.75" customHeight="1" x14ac:dyDescent="0.25">
      <c r="G382" s="20"/>
      <c r="H382" s="20"/>
      <c r="I382" s="70"/>
      <c r="J382" s="20"/>
      <c r="K382" s="20"/>
      <c r="L382" s="20"/>
      <c r="M382" s="23"/>
      <c r="N382" s="23"/>
    </row>
    <row r="383" spans="7:14" ht="15.75" customHeight="1" x14ac:dyDescent="0.25">
      <c r="G383" s="20"/>
      <c r="H383" s="20"/>
      <c r="I383" s="70"/>
      <c r="J383" s="20"/>
      <c r="K383" s="20"/>
      <c r="L383" s="20"/>
      <c r="M383" s="23"/>
      <c r="N383" s="23"/>
    </row>
    <row r="384" spans="7:14" ht="15.75" customHeight="1" x14ac:dyDescent="0.25">
      <c r="G384" s="20"/>
      <c r="H384" s="20"/>
      <c r="I384" s="70"/>
      <c r="J384" s="20"/>
      <c r="K384" s="20"/>
      <c r="L384" s="20"/>
      <c r="M384" s="23"/>
      <c r="N384" s="23"/>
    </row>
    <row r="385" spans="7:14" ht="15.75" customHeight="1" x14ac:dyDescent="0.25">
      <c r="G385" s="20"/>
      <c r="H385" s="20"/>
      <c r="I385" s="70"/>
      <c r="J385" s="20"/>
      <c r="K385" s="20"/>
      <c r="L385" s="20"/>
      <c r="M385" s="23"/>
      <c r="N385" s="23"/>
    </row>
    <row r="386" spans="7:14" ht="15.75" customHeight="1" x14ac:dyDescent="0.25">
      <c r="G386" s="20"/>
      <c r="H386" s="20"/>
      <c r="I386" s="70"/>
      <c r="J386" s="20"/>
      <c r="K386" s="20"/>
      <c r="L386" s="20"/>
      <c r="M386" s="23"/>
      <c r="N386" s="23"/>
    </row>
    <row r="387" spans="7:14" ht="15.75" customHeight="1" x14ac:dyDescent="0.25">
      <c r="G387" s="20"/>
      <c r="H387" s="20"/>
      <c r="I387" s="70"/>
      <c r="J387" s="20"/>
      <c r="K387" s="20"/>
      <c r="L387" s="20"/>
      <c r="M387" s="23"/>
      <c r="N387" s="23"/>
    </row>
    <row r="388" spans="7:14" ht="15.75" customHeight="1" x14ac:dyDescent="0.25">
      <c r="G388" s="20"/>
      <c r="H388" s="20"/>
      <c r="I388" s="70"/>
      <c r="J388" s="20"/>
      <c r="K388" s="20"/>
      <c r="L388" s="20"/>
      <c r="M388" s="23"/>
      <c r="N388" s="23"/>
    </row>
    <row r="389" spans="7:14" ht="15.75" customHeight="1" x14ac:dyDescent="0.25">
      <c r="G389" s="20"/>
      <c r="H389" s="20"/>
      <c r="I389" s="70"/>
      <c r="J389" s="20"/>
      <c r="K389" s="20"/>
      <c r="L389" s="20"/>
      <c r="M389" s="23"/>
      <c r="N389" s="23"/>
    </row>
    <row r="390" spans="7:14" ht="15.75" customHeight="1" x14ac:dyDescent="0.25">
      <c r="G390" s="20"/>
      <c r="H390" s="20"/>
      <c r="I390" s="70"/>
      <c r="J390" s="20"/>
      <c r="K390" s="20"/>
      <c r="L390" s="20"/>
      <c r="M390" s="23"/>
      <c r="N390" s="23"/>
    </row>
    <row r="391" spans="7:14" ht="15.75" customHeight="1" x14ac:dyDescent="0.25">
      <c r="G391" s="20"/>
      <c r="H391" s="20"/>
      <c r="I391" s="70"/>
      <c r="J391" s="20"/>
      <c r="K391" s="20"/>
      <c r="L391" s="20"/>
      <c r="M391" s="23"/>
      <c r="N391" s="23"/>
    </row>
    <row r="392" spans="7:14" ht="15.75" customHeight="1" x14ac:dyDescent="0.25">
      <c r="G392" s="20"/>
      <c r="H392" s="20"/>
      <c r="I392" s="70"/>
      <c r="J392" s="20"/>
      <c r="K392" s="20"/>
      <c r="L392" s="20"/>
      <c r="M392" s="23"/>
      <c r="N392" s="23"/>
    </row>
    <row r="393" spans="7:14" ht="15.75" customHeight="1" x14ac:dyDescent="0.25">
      <c r="G393" s="20"/>
      <c r="H393" s="20"/>
      <c r="I393" s="70"/>
      <c r="J393" s="20"/>
      <c r="K393" s="20"/>
      <c r="L393" s="20"/>
      <c r="M393" s="23"/>
      <c r="N393" s="23"/>
    </row>
    <row r="394" spans="7:14" ht="15.75" customHeight="1" x14ac:dyDescent="0.25">
      <c r="G394" s="20"/>
      <c r="H394" s="20"/>
      <c r="I394" s="70"/>
      <c r="J394" s="20"/>
      <c r="K394" s="20"/>
      <c r="L394" s="20"/>
      <c r="M394" s="23"/>
      <c r="N394" s="23"/>
    </row>
    <row r="395" spans="7:14" ht="15.75" customHeight="1" x14ac:dyDescent="0.25">
      <c r="G395" s="20"/>
      <c r="H395" s="20"/>
      <c r="I395" s="70"/>
      <c r="J395" s="20"/>
      <c r="K395" s="20"/>
      <c r="L395" s="20"/>
      <c r="M395" s="23"/>
      <c r="N395" s="23"/>
    </row>
    <row r="396" spans="7:14" ht="15.75" customHeight="1" x14ac:dyDescent="0.25">
      <c r="G396" s="20"/>
      <c r="H396" s="20"/>
      <c r="I396" s="70"/>
      <c r="J396" s="20"/>
      <c r="K396" s="20"/>
      <c r="L396" s="20"/>
      <c r="M396" s="23"/>
      <c r="N396" s="23"/>
    </row>
    <row r="397" spans="7:14" ht="15.75" customHeight="1" x14ac:dyDescent="0.25">
      <c r="G397" s="20"/>
      <c r="H397" s="20"/>
      <c r="I397" s="70"/>
      <c r="J397" s="20"/>
      <c r="K397" s="20"/>
      <c r="L397" s="20"/>
      <c r="M397" s="23"/>
      <c r="N397" s="23"/>
    </row>
    <row r="398" spans="7:14" ht="15.75" customHeight="1" x14ac:dyDescent="0.25">
      <c r="G398" s="20"/>
      <c r="H398" s="20"/>
      <c r="I398" s="70"/>
      <c r="J398" s="20"/>
      <c r="K398" s="20"/>
      <c r="L398" s="20"/>
      <c r="M398" s="23"/>
      <c r="N398" s="23"/>
    </row>
    <row r="399" spans="7:14" ht="15.75" customHeight="1" x14ac:dyDescent="0.25">
      <c r="G399" s="20"/>
      <c r="H399" s="20"/>
      <c r="I399" s="70"/>
      <c r="J399" s="20"/>
      <c r="K399" s="20"/>
      <c r="L399" s="20"/>
      <c r="M399" s="23"/>
      <c r="N399" s="23"/>
    </row>
    <row r="400" spans="7:14" ht="15.75" customHeight="1" x14ac:dyDescent="0.25">
      <c r="G400" s="20"/>
      <c r="H400" s="20"/>
      <c r="I400" s="70"/>
      <c r="J400" s="20"/>
      <c r="K400" s="20"/>
      <c r="L400" s="20"/>
      <c r="M400" s="23"/>
      <c r="N400" s="23"/>
    </row>
    <row r="401" spans="7:14" ht="15.75" customHeight="1" x14ac:dyDescent="0.25">
      <c r="G401" s="20"/>
      <c r="H401" s="20"/>
      <c r="I401" s="70"/>
      <c r="J401" s="20"/>
      <c r="K401" s="20"/>
      <c r="L401" s="20"/>
      <c r="M401" s="23"/>
      <c r="N401" s="23"/>
    </row>
    <row r="402" spans="7:14" ht="15.75" customHeight="1" x14ac:dyDescent="0.25">
      <c r="G402" s="20"/>
      <c r="H402" s="20"/>
      <c r="I402" s="70"/>
      <c r="J402" s="20"/>
      <c r="K402" s="20"/>
      <c r="L402" s="20"/>
      <c r="M402" s="23"/>
      <c r="N402" s="23"/>
    </row>
    <row r="403" spans="7:14" ht="15.75" customHeight="1" x14ac:dyDescent="0.25">
      <c r="G403" s="20"/>
      <c r="H403" s="20"/>
      <c r="I403" s="70"/>
      <c r="J403" s="20"/>
      <c r="K403" s="20"/>
      <c r="L403" s="20"/>
      <c r="M403" s="23"/>
      <c r="N403" s="23"/>
    </row>
    <row r="404" spans="7:14" ht="15.75" customHeight="1" x14ac:dyDescent="0.25">
      <c r="G404" s="20"/>
      <c r="H404" s="20"/>
      <c r="I404" s="70"/>
      <c r="J404" s="20"/>
      <c r="K404" s="20"/>
      <c r="L404" s="20"/>
      <c r="M404" s="23"/>
      <c r="N404" s="23"/>
    </row>
    <row r="405" spans="7:14" ht="15.75" customHeight="1" x14ac:dyDescent="0.25">
      <c r="G405" s="20"/>
      <c r="H405" s="20"/>
      <c r="I405" s="70"/>
      <c r="J405" s="20"/>
      <c r="K405" s="20"/>
      <c r="L405" s="20"/>
      <c r="M405" s="23"/>
      <c r="N405" s="23"/>
    </row>
    <row r="406" spans="7:14" ht="15.75" customHeight="1" x14ac:dyDescent="0.25">
      <c r="G406" s="20"/>
      <c r="H406" s="20"/>
      <c r="I406" s="70"/>
      <c r="J406" s="20"/>
      <c r="K406" s="20"/>
      <c r="L406" s="20"/>
      <c r="M406" s="23"/>
      <c r="N406" s="23"/>
    </row>
    <row r="407" spans="7:14" ht="15.75" customHeight="1" x14ac:dyDescent="0.25">
      <c r="G407" s="20"/>
      <c r="H407" s="20"/>
      <c r="I407" s="70"/>
      <c r="J407" s="20"/>
      <c r="K407" s="20"/>
      <c r="L407" s="20"/>
      <c r="M407" s="23"/>
      <c r="N407" s="23"/>
    </row>
    <row r="408" spans="7:14" ht="15.75" customHeight="1" x14ac:dyDescent="0.25">
      <c r="G408" s="20"/>
      <c r="H408" s="20"/>
      <c r="I408" s="70"/>
      <c r="J408" s="20"/>
      <c r="K408" s="20"/>
      <c r="L408" s="20"/>
      <c r="M408" s="23"/>
      <c r="N408" s="23"/>
    </row>
    <row r="409" spans="7:14" ht="15.75" customHeight="1" x14ac:dyDescent="0.25">
      <c r="G409" s="20"/>
      <c r="H409" s="20"/>
      <c r="I409" s="70"/>
      <c r="J409" s="20"/>
      <c r="K409" s="20"/>
      <c r="L409" s="20"/>
      <c r="M409" s="23"/>
      <c r="N409" s="23"/>
    </row>
    <row r="410" spans="7:14" ht="15.75" customHeight="1" x14ac:dyDescent="0.25">
      <c r="G410" s="20"/>
      <c r="H410" s="20"/>
      <c r="I410" s="70"/>
      <c r="J410" s="20"/>
      <c r="K410" s="20"/>
      <c r="L410" s="20"/>
      <c r="M410" s="23"/>
      <c r="N410" s="23"/>
    </row>
    <row r="411" spans="7:14" ht="15.75" customHeight="1" x14ac:dyDescent="0.25">
      <c r="G411" s="20"/>
      <c r="H411" s="20"/>
      <c r="I411" s="70"/>
      <c r="J411" s="20"/>
      <c r="K411" s="20"/>
      <c r="L411" s="20"/>
      <c r="M411" s="23"/>
      <c r="N411" s="23"/>
    </row>
    <row r="412" spans="7:14" ht="15.75" customHeight="1" x14ac:dyDescent="0.25">
      <c r="G412" s="20"/>
      <c r="H412" s="20"/>
      <c r="I412" s="70"/>
      <c r="J412" s="20"/>
      <c r="K412" s="20"/>
      <c r="L412" s="20"/>
      <c r="M412" s="23"/>
      <c r="N412" s="23"/>
    </row>
    <row r="413" spans="7:14" ht="15.75" customHeight="1" x14ac:dyDescent="0.25">
      <c r="G413" s="20"/>
      <c r="H413" s="20"/>
      <c r="I413" s="70"/>
      <c r="J413" s="20"/>
      <c r="K413" s="20"/>
      <c r="L413" s="20"/>
      <c r="M413" s="23"/>
      <c r="N413" s="23"/>
    </row>
    <row r="414" spans="7:14" ht="15.75" customHeight="1" x14ac:dyDescent="0.25">
      <c r="G414" s="20"/>
      <c r="H414" s="20"/>
      <c r="I414" s="70"/>
      <c r="J414" s="20"/>
      <c r="K414" s="20"/>
      <c r="L414" s="20"/>
      <c r="M414" s="23"/>
      <c r="N414" s="23"/>
    </row>
    <row r="415" spans="7:14" ht="15.75" customHeight="1" x14ac:dyDescent="0.25">
      <c r="G415" s="20"/>
      <c r="H415" s="20"/>
      <c r="I415" s="70"/>
      <c r="J415" s="20"/>
      <c r="K415" s="20"/>
      <c r="L415" s="20"/>
      <c r="M415" s="23"/>
      <c r="N415" s="23"/>
    </row>
    <row r="416" spans="7:14" ht="15.75" customHeight="1" x14ac:dyDescent="0.25">
      <c r="G416" s="20"/>
      <c r="H416" s="20"/>
      <c r="I416" s="70"/>
      <c r="J416" s="20"/>
      <c r="K416" s="20"/>
      <c r="L416" s="20"/>
      <c r="M416" s="23"/>
      <c r="N416" s="23"/>
    </row>
    <row r="417" spans="7:14" ht="15.75" customHeight="1" x14ac:dyDescent="0.25">
      <c r="G417" s="20"/>
      <c r="H417" s="20"/>
      <c r="I417" s="70"/>
      <c r="J417" s="20"/>
      <c r="K417" s="20"/>
      <c r="L417" s="20"/>
      <c r="M417" s="23"/>
      <c r="N417" s="23"/>
    </row>
    <row r="418" spans="7:14" ht="15.75" customHeight="1" x14ac:dyDescent="0.25">
      <c r="G418" s="20"/>
      <c r="H418" s="20"/>
      <c r="I418" s="70"/>
      <c r="J418" s="20"/>
      <c r="K418" s="20"/>
      <c r="L418" s="20"/>
      <c r="M418" s="23"/>
      <c r="N418" s="23"/>
    </row>
    <row r="419" spans="7:14" ht="15.75" customHeight="1" x14ac:dyDescent="0.25">
      <c r="G419" s="20"/>
      <c r="H419" s="20"/>
      <c r="I419" s="70"/>
      <c r="J419" s="20"/>
      <c r="K419" s="20"/>
      <c r="L419" s="20"/>
      <c r="M419" s="23"/>
      <c r="N419" s="23"/>
    </row>
    <row r="420" spans="7:14" ht="15.75" customHeight="1" x14ac:dyDescent="0.25">
      <c r="G420" s="20"/>
      <c r="H420" s="20"/>
      <c r="I420" s="70"/>
      <c r="J420" s="20"/>
      <c r="K420" s="20"/>
      <c r="L420" s="20"/>
      <c r="M420" s="23"/>
      <c r="N420" s="23"/>
    </row>
    <row r="421" spans="7:14" ht="15.75" customHeight="1" x14ac:dyDescent="0.25">
      <c r="G421" s="20"/>
      <c r="H421" s="20"/>
      <c r="I421" s="70"/>
      <c r="J421" s="20"/>
      <c r="K421" s="20"/>
      <c r="L421" s="20"/>
      <c r="M421" s="23"/>
      <c r="N421" s="23"/>
    </row>
    <row r="422" spans="7:14" ht="15.75" customHeight="1" x14ac:dyDescent="0.25">
      <c r="G422" s="20"/>
      <c r="H422" s="20"/>
      <c r="I422" s="70"/>
      <c r="J422" s="20"/>
      <c r="K422" s="20"/>
      <c r="L422" s="20"/>
      <c r="M422" s="23"/>
      <c r="N422" s="23"/>
    </row>
    <row r="423" spans="7:14" ht="15.75" customHeight="1" x14ac:dyDescent="0.25">
      <c r="G423" s="20"/>
      <c r="H423" s="20"/>
      <c r="I423" s="70"/>
      <c r="J423" s="20"/>
      <c r="K423" s="20"/>
      <c r="L423" s="20"/>
      <c r="M423" s="23"/>
      <c r="N423" s="23"/>
    </row>
    <row r="424" spans="7:14" ht="15.75" customHeight="1" x14ac:dyDescent="0.25">
      <c r="G424" s="20"/>
      <c r="H424" s="20"/>
      <c r="I424" s="70"/>
      <c r="J424" s="20"/>
      <c r="K424" s="20"/>
      <c r="L424" s="20"/>
      <c r="M424" s="23"/>
      <c r="N424" s="23"/>
    </row>
    <row r="425" spans="7:14" ht="15.75" customHeight="1" x14ac:dyDescent="0.25">
      <c r="G425" s="20"/>
      <c r="H425" s="20"/>
      <c r="I425" s="70"/>
      <c r="J425" s="20"/>
      <c r="K425" s="20"/>
      <c r="L425" s="20"/>
      <c r="M425" s="23"/>
      <c r="N425" s="23"/>
    </row>
    <row r="426" spans="7:14" ht="15.75" customHeight="1" x14ac:dyDescent="0.25">
      <c r="G426" s="20"/>
      <c r="H426" s="20"/>
      <c r="I426" s="70"/>
      <c r="J426" s="20"/>
      <c r="K426" s="20"/>
      <c r="L426" s="20"/>
      <c r="M426" s="23"/>
      <c r="N426" s="23"/>
    </row>
    <row r="427" spans="7:14" ht="15.75" customHeight="1" x14ac:dyDescent="0.25">
      <c r="G427" s="20"/>
      <c r="H427" s="20"/>
      <c r="I427" s="70"/>
      <c r="J427" s="20"/>
      <c r="K427" s="20"/>
      <c r="L427" s="20"/>
      <c r="M427" s="23"/>
      <c r="N427" s="23"/>
    </row>
    <row r="428" spans="7:14" ht="15.75" customHeight="1" x14ac:dyDescent="0.25">
      <c r="G428" s="20"/>
      <c r="H428" s="20"/>
      <c r="I428" s="70"/>
      <c r="J428" s="20"/>
      <c r="K428" s="20"/>
      <c r="L428" s="20"/>
      <c r="M428" s="23"/>
      <c r="N428" s="23"/>
    </row>
    <row r="429" spans="7:14" ht="15.75" customHeight="1" x14ac:dyDescent="0.25">
      <c r="G429" s="20"/>
      <c r="H429" s="20"/>
      <c r="I429" s="70"/>
      <c r="J429" s="20"/>
      <c r="K429" s="20"/>
      <c r="L429" s="20"/>
      <c r="M429" s="23"/>
      <c r="N429" s="23"/>
    </row>
    <row r="430" spans="7:14" ht="15.75" customHeight="1" x14ac:dyDescent="0.25">
      <c r="G430" s="20"/>
      <c r="H430" s="20"/>
      <c r="I430" s="70"/>
      <c r="J430" s="20"/>
      <c r="K430" s="20"/>
      <c r="L430" s="20"/>
      <c r="M430" s="23"/>
      <c r="N430" s="23"/>
    </row>
    <row r="431" spans="7:14" ht="15.75" customHeight="1" x14ac:dyDescent="0.25">
      <c r="G431" s="20"/>
      <c r="H431" s="20"/>
      <c r="I431" s="70"/>
      <c r="J431" s="20"/>
      <c r="K431" s="20"/>
      <c r="L431" s="20"/>
      <c r="M431" s="23"/>
      <c r="N431" s="23"/>
    </row>
    <row r="432" spans="7:14" ht="15.75" customHeight="1" x14ac:dyDescent="0.25">
      <c r="G432" s="20"/>
      <c r="H432" s="20"/>
      <c r="I432" s="70"/>
      <c r="J432" s="20"/>
      <c r="K432" s="20"/>
      <c r="L432" s="20"/>
      <c r="M432" s="23"/>
      <c r="N432" s="23"/>
    </row>
    <row r="433" spans="7:14" ht="15.75" customHeight="1" x14ac:dyDescent="0.25">
      <c r="G433" s="20"/>
      <c r="H433" s="20"/>
      <c r="I433" s="70"/>
      <c r="J433" s="20"/>
      <c r="K433" s="20"/>
      <c r="L433" s="20"/>
      <c r="M433" s="23"/>
      <c r="N433" s="23"/>
    </row>
    <row r="434" spans="7:14" ht="15.75" customHeight="1" x14ac:dyDescent="0.25">
      <c r="G434" s="20"/>
      <c r="H434" s="20"/>
      <c r="I434" s="70"/>
      <c r="J434" s="20"/>
      <c r="K434" s="20"/>
      <c r="L434" s="20"/>
      <c r="M434" s="23"/>
      <c r="N434" s="23"/>
    </row>
    <row r="435" spans="7:14" ht="15.75" customHeight="1" x14ac:dyDescent="0.25">
      <c r="G435" s="20"/>
      <c r="H435" s="20"/>
      <c r="I435" s="70"/>
      <c r="J435" s="20"/>
      <c r="K435" s="20"/>
      <c r="L435" s="20"/>
      <c r="M435" s="23"/>
      <c r="N435" s="23"/>
    </row>
    <row r="436" spans="7:14" ht="15.75" customHeight="1" x14ac:dyDescent="0.25">
      <c r="G436" s="20"/>
      <c r="H436" s="20"/>
      <c r="I436" s="70"/>
      <c r="J436" s="20"/>
      <c r="K436" s="20"/>
      <c r="L436" s="20"/>
      <c r="M436" s="23"/>
      <c r="N436" s="23"/>
    </row>
    <row r="437" spans="7:14" ht="15.75" customHeight="1" x14ac:dyDescent="0.25">
      <c r="G437" s="20"/>
      <c r="H437" s="20"/>
      <c r="I437" s="70"/>
      <c r="J437" s="20"/>
      <c r="K437" s="20"/>
      <c r="L437" s="20"/>
      <c r="M437" s="23"/>
      <c r="N437" s="23"/>
    </row>
    <row r="438" spans="7:14" ht="15.75" customHeight="1" x14ac:dyDescent="0.25">
      <c r="G438" s="20"/>
      <c r="H438" s="20"/>
      <c r="I438" s="70"/>
      <c r="J438" s="20"/>
      <c r="K438" s="20"/>
      <c r="L438" s="20"/>
      <c r="M438" s="23"/>
      <c r="N438" s="23"/>
    </row>
    <row r="439" spans="7:14" ht="15.75" customHeight="1" x14ac:dyDescent="0.25">
      <c r="G439" s="20"/>
      <c r="H439" s="20"/>
      <c r="I439" s="70"/>
      <c r="J439" s="20"/>
      <c r="K439" s="20"/>
      <c r="L439" s="20"/>
      <c r="M439" s="23"/>
      <c r="N439" s="23"/>
    </row>
    <row r="440" spans="7:14" ht="15.75" customHeight="1" x14ac:dyDescent="0.25">
      <c r="G440" s="20"/>
      <c r="H440" s="20"/>
      <c r="I440" s="70"/>
      <c r="J440" s="20"/>
      <c r="K440" s="20"/>
      <c r="L440" s="20"/>
      <c r="M440" s="23"/>
      <c r="N440" s="23"/>
    </row>
    <row r="441" spans="7:14" ht="15.75" customHeight="1" x14ac:dyDescent="0.25">
      <c r="G441" s="20"/>
      <c r="H441" s="20"/>
      <c r="I441" s="70"/>
      <c r="J441" s="20"/>
      <c r="K441" s="20"/>
      <c r="L441" s="20"/>
      <c r="M441" s="23"/>
      <c r="N441" s="23"/>
    </row>
    <row r="442" spans="7:14" ht="15.75" customHeight="1" x14ac:dyDescent="0.25">
      <c r="G442" s="20"/>
      <c r="H442" s="20"/>
      <c r="I442" s="70"/>
      <c r="J442" s="20"/>
      <c r="K442" s="20"/>
      <c r="L442" s="20"/>
      <c r="M442" s="23"/>
      <c r="N442" s="23"/>
    </row>
    <row r="443" spans="7:14" ht="15.75" customHeight="1" x14ac:dyDescent="0.25">
      <c r="G443" s="20"/>
      <c r="H443" s="20"/>
      <c r="I443" s="70"/>
      <c r="J443" s="20"/>
      <c r="K443" s="20"/>
      <c r="L443" s="20"/>
      <c r="M443" s="23"/>
      <c r="N443" s="23"/>
    </row>
    <row r="444" spans="7:14" ht="15.75" customHeight="1" x14ac:dyDescent="0.25">
      <c r="G444" s="20"/>
      <c r="H444" s="20"/>
      <c r="I444" s="70"/>
      <c r="J444" s="20"/>
      <c r="K444" s="20"/>
      <c r="L444" s="20"/>
      <c r="M444" s="23"/>
      <c r="N444" s="23"/>
    </row>
    <row r="445" spans="7:14" ht="15.75" customHeight="1" x14ac:dyDescent="0.25">
      <c r="G445" s="20"/>
      <c r="H445" s="20"/>
      <c r="I445" s="70"/>
      <c r="J445" s="20"/>
      <c r="K445" s="20"/>
      <c r="L445" s="20"/>
      <c r="M445" s="23"/>
      <c r="N445" s="23"/>
    </row>
    <row r="446" spans="7:14" ht="15.75" customHeight="1" x14ac:dyDescent="0.25">
      <c r="G446" s="20"/>
      <c r="H446" s="20"/>
      <c r="I446" s="70"/>
      <c r="J446" s="20"/>
      <c r="K446" s="20"/>
      <c r="L446" s="20"/>
      <c r="M446" s="23"/>
      <c r="N446" s="23"/>
    </row>
    <row r="447" spans="7:14" ht="15.75" customHeight="1" x14ac:dyDescent="0.25">
      <c r="G447" s="20"/>
      <c r="H447" s="20"/>
      <c r="I447" s="70"/>
      <c r="J447" s="20"/>
      <c r="K447" s="20"/>
      <c r="L447" s="20"/>
      <c r="M447" s="23"/>
      <c r="N447" s="23"/>
    </row>
    <row r="448" spans="7:14" ht="15.75" customHeight="1" x14ac:dyDescent="0.25">
      <c r="G448" s="20"/>
      <c r="H448" s="20"/>
      <c r="I448" s="70"/>
      <c r="J448" s="20"/>
      <c r="K448" s="20"/>
      <c r="L448" s="20"/>
      <c r="M448" s="23"/>
      <c r="N448" s="23"/>
    </row>
    <row r="449" spans="7:14" ht="15.75" customHeight="1" x14ac:dyDescent="0.25">
      <c r="G449" s="20"/>
      <c r="H449" s="20"/>
      <c r="I449" s="70"/>
      <c r="J449" s="20"/>
      <c r="K449" s="20"/>
      <c r="L449" s="20"/>
      <c r="M449" s="23"/>
      <c r="N449" s="23"/>
    </row>
    <row r="450" spans="7:14" ht="15.75" customHeight="1" x14ac:dyDescent="0.25">
      <c r="G450" s="20"/>
      <c r="H450" s="20"/>
      <c r="I450" s="70"/>
      <c r="J450" s="20"/>
      <c r="K450" s="20"/>
      <c r="L450" s="20"/>
      <c r="M450" s="23"/>
      <c r="N450" s="23"/>
    </row>
    <row r="451" spans="7:14" ht="15.75" customHeight="1" x14ac:dyDescent="0.25">
      <c r="G451" s="20"/>
      <c r="H451" s="20"/>
      <c r="I451" s="70"/>
      <c r="J451" s="20"/>
      <c r="K451" s="20"/>
      <c r="L451" s="20"/>
      <c r="M451" s="23"/>
      <c r="N451" s="23"/>
    </row>
    <row r="452" spans="7:14" ht="15.75" customHeight="1" x14ac:dyDescent="0.25">
      <c r="G452" s="20"/>
      <c r="H452" s="20"/>
      <c r="I452" s="70"/>
      <c r="J452" s="20"/>
      <c r="K452" s="20"/>
      <c r="L452" s="20"/>
      <c r="M452" s="23"/>
      <c r="N452" s="23"/>
    </row>
    <row r="453" spans="7:14" ht="15.75" customHeight="1" x14ac:dyDescent="0.25">
      <c r="G453" s="20"/>
      <c r="H453" s="20"/>
      <c r="I453" s="70"/>
      <c r="J453" s="20"/>
      <c r="K453" s="20"/>
      <c r="L453" s="20"/>
      <c r="M453" s="23"/>
      <c r="N453" s="23"/>
    </row>
    <row r="454" spans="7:14" ht="15.75" customHeight="1" x14ac:dyDescent="0.25">
      <c r="G454" s="20"/>
      <c r="H454" s="20"/>
      <c r="I454" s="70"/>
      <c r="J454" s="20"/>
      <c r="K454" s="20"/>
      <c r="L454" s="20"/>
      <c r="M454" s="23"/>
      <c r="N454" s="23"/>
    </row>
    <row r="455" spans="7:14" ht="15.75" customHeight="1" x14ac:dyDescent="0.25">
      <c r="G455" s="20"/>
      <c r="H455" s="20"/>
      <c r="I455" s="70"/>
      <c r="J455" s="20"/>
      <c r="K455" s="20"/>
      <c r="L455" s="20"/>
      <c r="M455" s="23"/>
      <c r="N455" s="23"/>
    </row>
    <row r="456" spans="7:14" ht="15.75" customHeight="1" x14ac:dyDescent="0.25">
      <c r="G456" s="20"/>
      <c r="H456" s="20"/>
      <c r="I456" s="70"/>
      <c r="J456" s="20"/>
      <c r="K456" s="20"/>
      <c r="L456" s="20"/>
      <c r="M456" s="23"/>
      <c r="N456" s="23"/>
    </row>
    <row r="457" spans="7:14" ht="15.75" customHeight="1" x14ac:dyDescent="0.25">
      <c r="G457" s="20"/>
      <c r="H457" s="20"/>
      <c r="I457" s="70"/>
      <c r="J457" s="20"/>
      <c r="K457" s="20"/>
      <c r="L457" s="20"/>
      <c r="M457" s="23"/>
      <c r="N457" s="23"/>
    </row>
    <row r="458" spans="7:14" ht="15.75" customHeight="1" x14ac:dyDescent="0.25">
      <c r="G458" s="20"/>
      <c r="H458" s="20"/>
      <c r="I458" s="70"/>
      <c r="J458" s="20"/>
      <c r="K458" s="20"/>
      <c r="L458" s="20"/>
      <c r="M458" s="23"/>
      <c r="N458" s="23"/>
    </row>
    <row r="459" spans="7:14" ht="15.75" customHeight="1" x14ac:dyDescent="0.25">
      <c r="G459" s="20"/>
      <c r="H459" s="20"/>
      <c r="I459" s="70"/>
      <c r="J459" s="20"/>
      <c r="K459" s="20"/>
      <c r="L459" s="20"/>
      <c r="M459" s="23"/>
      <c r="N459" s="23"/>
    </row>
    <row r="460" spans="7:14" ht="15.75" customHeight="1" x14ac:dyDescent="0.25">
      <c r="G460" s="20"/>
      <c r="H460" s="20"/>
      <c r="I460" s="70"/>
      <c r="J460" s="20"/>
      <c r="K460" s="20"/>
      <c r="L460" s="20"/>
      <c r="M460" s="23"/>
      <c r="N460" s="23"/>
    </row>
    <row r="461" spans="7:14" ht="15.75" customHeight="1" x14ac:dyDescent="0.25">
      <c r="G461" s="20"/>
      <c r="H461" s="20"/>
      <c r="I461" s="70"/>
      <c r="J461" s="20"/>
      <c r="K461" s="20"/>
      <c r="L461" s="20"/>
      <c r="M461" s="23"/>
      <c r="N461" s="23"/>
    </row>
    <row r="462" spans="7:14" ht="15.75" customHeight="1" x14ac:dyDescent="0.25">
      <c r="G462" s="20"/>
      <c r="H462" s="20"/>
      <c r="I462" s="70"/>
      <c r="J462" s="20"/>
      <c r="K462" s="20"/>
      <c r="L462" s="20"/>
      <c r="M462" s="23"/>
      <c r="N462" s="23"/>
    </row>
    <row r="463" spans="7:14" ht="15.75" customHeight="1" x14ac:dyDescent="0.25">
      <c r="G463" s="20"/>
      <c r="H463" s="20"/>
      <c r="I463" s="70"/>
      <c r="J463" s="20"/>
      <c r="K463" s="20"/>
      <c r="L463" s="20"/>
      <c r="M463" s="23"/>
      <c r="N463" s="23"/>
    </row>
    <row r="464" spans="7:14" ht="15.75" customHeight="1" x14ac:dyDescent="0.25">
      <c r="G464" s="20"/>
      <c r="H464" s="20"/>
      <c r="I464" s="70"/>
      <c r="J464" s="20"/>
      <c r="K464" s="20"/>
      <c r="L464" s="20"/>
      <c r="M464" s="23"/>
      <c r="N464" s="23"/>
    </row>
    <row r="465" spans="7:14" ht="15.75" customHeight="1" x14ac:dyDescent="0.25">
      <c r="G465" s="20"/>
      <c r="H465" s="20"/>
      <c r="I465" s="70"/>
      <c r="J465" s="20"/>
      <c r="K465" s="20"/>
      <c r="L465" s="20"/>
      <c r="M465" s="23"/>
      <c r="N465" s="23"/>
    </row>
    <row r="466" spans="7:14" ht="15.75" customHeight="1" x14ac:dyDescent="0.25">
      <c r="G466" s="20"/>
      <c r="H466" s="20"/>
      <c r="I466" s="70"/>
      <c r="J466" s="20"/>
      <c r="K466" s="20"/>
      <c r="L466" s="20"/>
      <c r="M466" s="23"/>
      <c r="N466" s="23"/>
    </row>
    <row r="467" spans="7:14" ht="15.75" customHeight="1" x14ac:dyDescent="0.25">
      <c r="G467" s="20"/>
      <c r="H467" s="20"/>
      <c r="I467" s="70"/>
      <c r="J467" s="20"/>
      <c r="K467" s="20"/>
      <c r="L467" s="20"/>
      <c r="M467" s="23"/>
      <c r="N467" s="23"/>
    </row>
    <row r="468" spans="7:14" ht="15.75" customHeight="1" x14ac:dyDescent="0.25">
      <c r="G468" s="20"/>
      <c r="H468" s="20"/>
      <c r="I468" s="70"/>
      <c r="J468" s="20"/>
      <c r="K468" s="20"/>
      <c r="L468" s="20"/>
      <c r="M468" s="23"/>
      <c r="N468" s="23"/>
    </row>
    <row r="469" spans="7:14" ht="15.75" customHeight="1" x14ac:dyDescent="0.25">
      <c r="G469" s="20"/>
      <c r="H469" s="20"/>
      <c r="I469" s="70"/>
      <c r="J469" s="20"/>
      <c r="K469" s="20"/>
      <c r="L469" s="20"/>
      <c r="M469" s="23"/>
      <c r="N469" s="23"/>
    </row>
    <row r="470" spans="7:14" ht="15.75" customHeight="1" x14ac:dyDescent="0.25">
      <c r="G470" s="20"/>
      <c r="H470" s="20"/>
      <c r="I470" s="70"/>
      <c r="J470" s="20"/>
      <c r="K470" s="20"/>
      <c r="L470" s="20"/>
      <c r="M470" s="23"/>
      <c r="N470" s="23"/>
    </row>
    <row r="471" spans="7:14" ht="15.75" customHeight="1" x14ac:dyDescent="0.25">
      <c r="G471" s="20"/>
      <c r="H471" s="20"/>
      <c r="I471" s="70"/>
      <c r="J471" s="20"/>
      <c r="K471" s="20"/>
      <c r="L471" s="20"/>
      <c r="M471" s="23"/>
      <c r="N471" s="23"/>
    </row>
    <row r="472" spans="7:14" ht="15.75" customHeight="1" x14ac:dyDescent="0.25">
      <c r="G472" s="20"/>
      <c r="H472" s="20"/>
      <c r="I472" s="70"/>
      <c r="J472" s="20"/>
      <c r="K472" s="20"/>
      <c r="L472" s="20"/>
      <c r="M472" s="23"/>
      <c r="N472" s="23"/>
    </row>
    <row r="473" spans="7:14" ht="15.75" customHeight="1" x14ac:dyDescent="0.25">
      <c r="G473" s="20"/>
      <c r="H473" s="20"/>
      <c r="I473" s="70"/>
      <c r="J473" s="20"/>
      <c r="K473" s="20"/>
      <c r="L473" s="20"/>
      <c r="M473" s="23"/>
      <c r="N473" s="23"/>
    </row>
    <row r="474" spans="7:14" ht="15.75" customHeight="1" x14ac:dyDescent="0.25">
      <c r="G474" s="20"/>
      <c r="H474" s="20"/>
      <c r="I474" s="70"/>
      <c r="J474" s="20"/>
      <c r="K474" s="20"/>
      <c r="L474" s="20"/>
      <c r="M474" s="23"/>
      <c r="N474" s="23"/>
    </row>
    <row r="475" spans="7:14" ht="15.75" customHeight="1" x14ac:dyDescent="0.25">
      <c r="G475" s="20"/>
      <c r="H475" s="20"/>
      <c r="I475" s="70"/>
      <c r="J475" s="20"/>
      <c r="K475" s="20"/>
      <c r="L475" s="20"/>
      <c r="M475" s="23"/>
      <c r="N475" s="23"/>
    </row>
    <row r="476" spans="7:14" ht="15.75" customHeight="1" x14ac:dyDescent="0.25">
      <c r="G476" s="20"/>
      <c r="H476" s="20"/>
      <c r="I476" s="70"/>
      <c r="J476" s="20"/>
      <c r="K476" s="20"/>
      <c r="L476" s="20"/>
      <c r="M476" s="23"/>
      <c r="N476" s="23"/>
    </row>
    <row r="477" spans="7:14" ht="15.75" customHeight="1" x14ac:dyDescent="0.25">
      <c r="G477" s="20"/>
      <c r="H477" s="20"/>
      <c r="I477" s="70"/>
      <c r="J477" s="20"/>
      <c r="K477" s="20"/>
      <c r="L477" s="20"/>
      <c r="M477" s="23"/>
      <c r="N477" s="23"/>
    </row>
    <row r="478" spans="7:14" ht="15.75" customHeight="1" x14ac:dyDescent="0.25">
      <c r="G478" s="20"/>
      <c r="H478" s="20"/>
      <c r="I478" s="70"/>
      <c r="J478" s="20"/>
      <c r="K478" s="20"/>
      <c r="L478" s="20"/>
      <c r="M478" s="23"/>
      <c r="N478" s="23"/>
    </row>
    <row r="479" spans="7:14" ht="15.75" customHeight="1" x14ac:dyDescent="0.25">
      <c r="G479" s="20"/>
      <c r="H479" s="20"/>
      <c r="I479" s="70"/>
      <c r="J479" s="20"/>
      <c r="K479" s="20"/>
      <c r="L479" s="20"/>
      <c r="M479" s="23"/>
      <c r="N479" s="23"/>
    </row>
    <row r="480" spans="7:14" ht="15.75" customHeight="1" x14ac:dyDescent="0.25">
      <c r="G480" s="20"/>
      <c r="H480" s="20"/>
      <c r="I480" s="70"/>
      <c r="J480" s="20"/>
      <c r="K480" s="20"/>
      <c r="L480" s="20"/>
      <c r="M480" s="23"/>
      <c r="N480" s="23"/>
    </row>
    <row r="481" spans="7:14" ht="15.75" customHeight="1" x14ac:dyDescent="0.25">
      <c r="G481" s="20"/>
      <c r="H481" s="20"/>
      <c r="I481" s="70"/>
      <c r="J481" s="20"/>
      <c r="K481" s="20"/>
      <c r="L481" s="20"/>
      <c r="M481" s="23"/>
      <c r="N481" s="23"/>
    </row>
    <row r="482" spans="7:14" ht="15.75" customHeight="1" x14ac:dyDescent="0.25">
      <c r="G482" s="20"/>
      <c r="H482" s="20"/>
      <c r="I482" s="70"/>
      <c r="J482" s="20"/>
      <c r="K482" s="20"/>
      <c r="L482" s="20"/>
      <c r="M482" s="23"/>
      <c r="N482" s="23"/>
    </row>
    <row r="483" spans="7:14" ht="15.75" customHeight="1" x14ac:dyDescent="0.25">
      <c r="G483" s="20"/>
      <c r="H483" s="20"/>
      <c r="I483" s="70"/>
      <c r="J483" s="20"/>
      <c r="K483" s="20"/>
      <c r="L483" s="20"/>
      <c r="M483" s="23"/>
      <c r="N483" s="23"/>
    </row>
    <row r="484" spans="7:14" ht="15.75" customHeight="1" x14ac:dyDescent="0.25">
      <c r="G484" s="20"/>
      <c r="H484" s="20"/>
      <c r="I484" s="70"/>
      <c r="J484" s="20"/>
      <c r="K484" s="20"/>
      <c r="L484" s="20"/>
      <c r="M484" s="23"/>
      <c r="N484" s="23"/>
    </row>
    <row r="485" spans="7:14" ht="15.75" customHeight="1" x14ac:dyDescent="0.25">
      <c r="G485" s="20"/>
      <c r="H485" s="20"/>
      <c r="I485" s="70"/>
      <c r="J485" s="20"/>
      <c r="K485" s="20"/>
      <c r="L485" s="20"/>
      <c r="M485" s="23"/>
      <c r="N485" s="23"/>
    </row>
    <row r="486" spans="7:14" ht="15.75" customHeight="1" x14ac:dyDescent="0.25">
      <c r="G486" s="20"/>
      <c r="H486" s="20"/>
      <c r="I486" s="70"/>
      <c r="J486" s="20"/>
      <c r="K486" s="20"/>
      <c r="L486" s="20"/>
      <c r="M486" s="23"/>
      <c r="N486" s="23"/>
    </row>
    <row r="487" spans="7:14" ht="15.75" customHeight="1" x14ac:dyDescent="0.25">
      <c r="G487" s="20"/>
      <c r="H487" s="20"/>
      <c r="I487" s="70"/>
      <c r="J487" s="20"/>
      <c r="K487" s="20"/>
      <c r="L487" s="20"/>
      <c r="M487" s="23"/>
      <c r="N487" s="23"/>
    </row>
    <row r="488" spans="7:14" ht="15.75" customHeight="1" x14ac:dyDescent="0.25">
      <c r="G488" s="20"/>
      <c r="H488" s="20"/>
      <c r="I488" s="70"/>
      <c r="J488" s="20"/>
      <c r="K488" s="20"/>
      <c r="L488" s="20"/>
      <c r="M488" s="23"/>
      <c r="N488" s="23"/>
    </row>
    <row r="489" spans="7:14" ht="15.75" customHeight="1" x14ac:dyDescent="0.25">
      <c r="G489" s="20"/>
      <c r="H489" s="20"/>
      <c r="I489" s="70"/>
      <c r="J489" s="20"/>
      <c r="K489" s="20"/>
      <c r="L489" s="20"/>
      <c r="M489" s="23"/>
      <c r="N489" s="23"/>
    </row>
    <row r="490" spans="7:14" ht="15.75" customHeight="1" x14ac:dyDescent="0.25">
      <c r="G490" s="20"/>
      <c r="H490" s="20"/>
      <c r="I490" s="70"/>
      <c r="J490" s="20"/>
      <c r="K490" s="20"/>
      <c r="L490" s="20"/>
      <c r="M490" s="23"/>
      <c r="N490" s="23"/>
    </row>
    <row r="491" spans="7:14" ht="15.75" customHeight="1" x14ac:dyDescent="0.25">
      <c r="G491" s="20"/>
      <c r="H491" s="20"/>
      <c r="I491" s="70"/>
      <c r="J491" s="20"/>
      <c r="K491" s="20"/>
      <c r="L491" s="20"/>
      <c r="M491" s="23"/>
      <c r="N491" s="23"/>
    </row>
    <row r="492" spans="7:14" ht="15.75" customHeight="1" x14ac:dyDescent="0.25">
      <c r="G492" s="20"/>
      <c r="H492" s="20"/>
      <c r="I492" s="70"/>
      <c r="J492" s="20"/>
      <c r="K492" s="20"/>
      <c r="L492" s="20"/>
      <c r="M492" s="23"/>
      <c r="N492" s="23"/>
    </row>
    <row r="493" spans="7:14" ht="15.75" customHeight="1" x14ac:dyDescent="0.25">
      <c r="G493" s="20"/>
      <c r="H493" s="20"/>
      <c r="I493" s="70"/>
      <c r="J493" s="20"/>
      <c r="K493" s="20"/>
      <c r="L493" s="20"/>
      <c r="M493" s="23"/>
      <c r="N493" s="23"/>
    </row>
    <row r="494" spans="7:14" ht="15.75" customHeight="1" x14ac:dyDescent="0.25">
      <c r="G494" s="20"/>
      <c r="H494" s="20"/>
      <c r="I494" s="70"/>
      <c r="J494" s="20"/>
      <c r="K494" s="20"/>
      <c r="L494" s="20"/>
      <c r="M494" s="23"/>
      <c r="N494" s="23"/>
    </row>
    <row r="495" spans="7:14" ht="15.75" customHeight="1" x14ac:dyDescent="0.25">
      <c r="G495" s="20"/>
      <c r="H495" s="20"/>
      <c r="I495" s="70"/>
      <c r="J495" s="20"/>
      <c r="K495" s="20"/>
      <c r="L495" s="20"/>
      <c r="M495" s="23"/>
      <c r="N495" s="23"/>
    </row>
    <row r="496" spans="7:14" ht="15.75" customHeight="1" x14ac:dyDescent="0.25">
      <c r="G496" s="20"/>
      <c r="H496" s="20"/>
      <c r="I496" s="70"/>
      <c r="J496" s="20"/>
      <c r="K496" s="20"/>
      <c r="L496" s="20"/>
      <c r="M496" s="23"/>
      <c r="N496" s="23"/>
    </row>
    <row r="497" spans="7:14" ht="15.75" customHeight="1" x14ac:dyDescent="0.25">
      <c r="G497" s="20"/>
      <c r="H497" s="20"/>
      <c r="I497" s="70"/>
      <c r="J497" s="20"/>
      <c r="K497" s="20"/>
      <c r="L497" s="20"/>
      <c r="M497" s="23"/>
      <c r="N497" s="23"/>
    </row>
    <row r="498" spans="7:14" ht="15.75" customHeight="1" x14ac:dyDescent="0.25">
      <c r="G498" s="20"/>
      <c r="H498" s="20"/>
      <c r="I498" s="70"/>
      <c r="J498" s="20"/>
      <c r="K498" s="20"/>
      <c r="L498" s="20"/>
      <c r="M498" s="23"/>
      <c r="N498" s="23"/>
    </row>
    <row r="499" spans="7:14" ht="15.75" customHeight="1" x14ac:dyDescent="0.25">
      <c r="G499" s="20"/>
      <c r="H499" s="20"/>
      <c r="I499" s="70"/>
      <c r="J499" s="20"/>
      <c r="K499" s="20"/>
      <c r="L499" s="20"/>
      <c r="M499" s="23"/>
      <c r="N499" s="23"/>
    </row>
    <row r="500" spans="7:14" ht="15.75" customHeight="1" x14ac:dyDescent="0.25">
      <c r="G500" s="20"/>
      <c r="H500" s="20"/>
      <c r="I500" s="70"/>
      <c r="J500" s="20"/>
      <c r="K500" s="20"/>
      <c r="L500" s="20"/>
      <c r="M500" s="23"/>
      <c r="N500" s="23"/>
    </row>
    <row r="501" spans="7:14" ht="15.75" customHeight="1" x14ac:dyDescent="0.25">
      <c r="G501" s="20"/>
      <c r="H501" s="20"/>
      <c r="I501" s="70"/>
      <c r="J501" s="20"/>
      <c r="K501" s="20"/>
      <c r="L501" s="20"/>
      <c r="M501" s="23"/>
      <c r="N501" s="23"/>
    </row>
    <row r="502" spans="7:14" ht="15.75" customHeight="1" x14ac:dyDescent="0.25">
      <c r="G502" s="20"/>
      <c r="H502" s="20"/>
      <c r="I502" s="70"/>
      <c r="J502" s="20"/>
      <c r="K502" s="20"/>
      <c r="L502" s="20"/>
      <c r="M502" s="23"/>
      <c r="N502" s="23"/>
    </row>
    <row r="503" spans="7:14" ht="15.75" customHeight="1" x14ac:dyDescent="0.25">
      <c r="G503" s="20"/>
      <c r="H503" s="20"/>
      <c r="I503" s="70"/>
      <c r="J503" s="20"/>
      <c r="K503" s="20"/>
      <c r="L503" s="20"/>
      <c r="M503" s="23"/>
      <c r="N503" s="23"/>
    </row>
    <row r="504" spans="7:14" ht="15.75" customHeight="1" x14ac:dyDescent="0.25">
      <c r="G504" s="20"/>
      <c r="H504" s="20"/>
      <c r="I504" s="70"/>
      <c r="J504" s="20"/>
      <c r="K504" s="20"/>
      <c r="L504" s="20"/>
      <c r="M504" s="23"/>
      <c r="N504" s="23"/>
    </row>
    <row r="505" spans="7:14" ht="15.75" customHeight="1" x14ac:dyDescent="0.25">
      <c r="G505" s="20"/>
      <c r="H505" s="20"/>
      <c r="I505" s="70"/>
      <c r="J505" s="20"/>
      <c r="K505" s="20"/>
      <c r="L505" s="20"/>
      <c r="M505" s="23"/>
      <c r="N505" s="23"/>
    </row>
    <row r="506" spans="7:14" ht="15.75" customHeight="1" x14ac:dyDescent="0.25">
      <c r="G506" s="20"/>
      <c r="H506" s="20"/>
      <c r="I506" s="70"/>
      <c r="J506" s="20"/>
      <c r="K506" s="20"/>
      <c r="L506" s="20"/>
      <c r="M506" s="23"/>
      <c r="N506" s="23"/>
    </row>
    <row r="507" spans="7:14" ht="15.75" customHeight="1" x14ac:dyDescent="0.25">
      <c r="G507" s="20"/>
      <c r="H507" s="20"/>
      <c r="I507" s="70"/>
      <c r="J507" s="20"/>
      <c r="K507" s="20"/>
      <c r="L507" s="20"/>
      <c r="M507" s="23"/>
      <c r="N507" s="23"/>
    </row>
    <row r="508" spans="7:14" ht="15.75" customHeight="1" x14ac:dyDescent="0.25">
      <c r="G508" s="20"/>
      <c r="H508" s="20"/>
      <c r="I508" s="70"/>
      <c r="J508" s="20"/>
      <c r="K508" s="20"/>
      <c r="L508" s="20"/>
      <c r="M508" s="23"/>
      <c r="N508" s="23"/>
    </row>
    <row r="509" spans="7:14" ht="15.75" customHeight="1" x14ac:dyDescent="0.25">
      <c r="G509" s="20"/>
      <c r="H509" s="20"/>
      <c r="I509" s="70"/>
      <c r="J509" s="20"/>
      <c r="K509" s="20"/>
      <c r="L509" s="20"/>
      <c r="M509" s="23"/>
      <c r="N509" s="23"/>
    </row>
    <row r="510" spans="7:14" ht="15.75" customHeight="1" x14ac:dyDescent="0.25">
      <c r="G510" s="20"/>
      <c r="H510" s="20"/>
      <c r="I510" s="70"/>
      <c r="J510" s="20"/>
      <c r="K510" s="20"/>
      <c r="L510" s="20"/>
      <c r="M510" s="23"/>
      <c r="N510" s="23"/>
    </row>
    <row r="511" spans="7:14" ht="15.75" customHeight="1" x14ac:dyDescent="0.25">
      <c r="G511" s="20"/>
      <c r="H511" s="20"/>
      <c r="I511" s="70"/>
      <c r="J511" s="20"/>
      <c r="K511" s="20"/>
      <c r="L511" s="20"/>
      <c r="M511" s="23"/>
      <c r="N511" s="23"/>
    </row>
    <row r="512" spans="7:14" ht="15.75" customHeight="1" x14ac:dyDescent="0.25">
      <c r="G512" s="20"/>
      <c r="H512" s="20"/>
      <c r="I512" s="70"/>
      <c r="J512" s="20"/>
      <c r="K512" s="20"/>
      <c r="L512" s="20"/>
      <c r="M512" s="23"/>
      <c r="N512" s="23"/>
    </row>
    <row r="513" spans="7:14" ht="15.75" customHeight="1" x14ac:dyDescent="0.25">
      <c r="G513" s="20"/>
      <c r="H513" s="20"/>
      <c r="I513" s="70"/>
      <c r="J513" s="20"/>
      <c r="K513" s="20"/>
      <c r="L513" s="20"/>
      <c r="M513" s="23"/>
      <c r="N513" s="23"/>
    </row>
    <row r="514" spans="7:14" ht="15.75" customHeight="1" x14ac:dyDescent="0.25">
      <c r="G514" s="20"/>
      <c r="H514" s="20"/>
      <c r="I514" s="70"/>
      <c r="J514" s="20"/>
      <c r="K514" s="20"/>
      <c r="L514" s="20"/>
      <c r="M514" s="23"/>
      <c r="N514" s="23"/>
    </row>
    <row r="515" spans="7:14" ht="15.75" customHeight="1" x14ac:dyDescent="0.25">
      <c r="G515" s="20"/>
      <c r="H515" s="20"/>
      <c r="I515" s="70"/>
      <c r="J515" s="20"/>
      <c r="K515" s="20"/>
      <c r="L515" s="20"/>
      <c r="M515" s="23"/>
      <c r="N515" s="23"/>
    </row>
    <row r="516" spans="7:14" ht="15.75" customHeight="1" x14ac:dyDescent="0.25">
      <c r="G516" s="20"/>
      <c r="H516" s="20"/>
      <c r="I516" s="70"/>
      <c r="J516" s="20"/>
      <c r="K516" s="20"/>
      <c r="L516" s="20"/>
      <c r="M516" s="23"/>
      <c r="N516" s="23"/>
    </row>
    <row r="517" spans="7:14" ht="15.75" customHeight="1" x14ac:dyDescent="0.25">
      <c r="G517" s="20"/>
      <c r="H517" s="20"/>
      <c r="I517" s="70"/>
      <c r="J517" s="20"/>
      <c r="K517" s="20"/>
      <c r="L517" s="20"/>
      <c r="M517" s="23"/>
      <c r="N517" s="23"/>
    </row>
    <row r="518" spans="7:14" ht="15.75" customHeight="1" x14ac:dyDescent="0.25">
      <c r="G518" s="20"/>
      <c r="H518" s="20"/>
      <c r="I518" s="70"/>
      <c r="J518" s="20"/>
      <c r="K518" s="20"/>
      <c r="L518" s="20"/>
      <c r="M518" s="23"/>
      <c r="N518" s="23"/>
    </row>
    <row r="519" spans="7:14" ht="15.75" customHeight="1" x14ac:dyDescent="0.25">
      <c r="G519" s="20"/>
      <c r="H519" s="20"/>
      <c r="I519" s="70"/>
      <c r="J519" s="20"/>
      <c r="K519" s="20"/>
      <c r="L519" s="20"/>
      <c r="M519" s="23"/>
      <c r="N519" s="23"/>
    </row>
    <row r="520" spans="7:14" ht="15.75" customHeight="1" x14ac:dyDescent="0.25">
      <c r="G520" s="20"/>
      <c r="H520" s="20"/>
      <c r="I520" s="70"/>
      <c r="J520" s="20"/>
      <c r="K520" s="20"/>
      <c r="L520" s="20"/>
      <c r="M520" s="23"/>
      <c r="N520" s="23"/>
    </row>
    <row r="521" spans="7:14" ht="15.75" customHeight="1" x14ac:dyDescent="0.25">
      <c r="G521" s="20"/>
      <c r="H521" s="20"/>
      <c r="I521" s="70"/>
      <c r="J521" s="20"/>
      <c r="K521" s="20"/>
      <c r="L521" s="20"/>
      <c r="M521" s="23"/>
      <c r="N521" s="23"/>
    </row>
    <row r="522" spans="7:14" ht="15.75" customHeight="1" x14ac:dyDescent="0.25">
      <c r="G522" s="20"/>
      <c r="H522" s="20"/>
      <c r="I522" s="70"/>
      <c r="J522" s="20"/>
      <c r="K522" s="20"/>
      <c r="L522" s="20"/>
      <c r="M522" s="23"/>
      <c r="N522" s="23"/>
    </row>
    <row r="523" spans="7:14" ht="15.75" customHeight="1" x14ac:dyDescent="0.25">
      <c r="G523" s="20"/>
      <c r="H523" s="20"/>
      <c r="I523" s="70"/>
      <c r="J523" s="20"/>
      <c r="K523" s="20"/>
      <c r="L523" s="20"/>
      <c r="M523" s="23"/>
      <c r="N523" s="23"/>
    </row>
    <row r="524" spans="7:14" ht="15.75" customHeight="1" x14ac:dyDescent="0.25">
      <c r="G524" s="20"/>
      <c r="H524" s="20"/>
      <c r="I524" s="70"/>
      <c r="J524" s="20"/>
      <c r="K524" s="20"/>
      <c r="L524" s="20"/>
      <c r="M524" s="23"/>
      <c r="N524" s="23"/>
    </row>
    <row r="525" spans="7:14" ht="15.75" customHeight="1" x14ac:dyDescent="0.25">
      <c r="G525" s="20"/>
      <c r="H525" s="20"/>
      <c r="I525" s="70"/>
      <c r="J525" s="20"/>
      <c r="K525" s="20"/>
      <c r="L525" s="20"/>
      <c r="M525" s="23"/>
      <c r="N525" s="23"/>
    </row>
    <row r="526" spans="7:14" ht="15.75" customHeight="1" x14ac:dyDescent="0.25">
      <c r="G526" s="20"/>
      <c r="H526" s="20"/>
      <c r="I526" s="70"/>
      <c r="J526" s="20"/>
      <c r="K526" s="20"/>
      <c r="L526" s="20"/>
      <c r="M526" s="23"/>
      <c r="N526" s="23"/>
    </row>
    <row r="527" spans="7:14" ht="15.75" customHeight="1" x14ac:dyDescent="0.25">
      <c r="G527" s="20"/>
      <c r="H527" s="20"/>
      <c r="I527" s="70"/>
      <c r="J527" s="20"/>
      <c r="K527" s="20"/>
      <c r="L527" s="20"/>
      <c r="M527" s="23"/>
      <c r="N527" s="23"/>
    </row>
    <row r="528" spans="7:14" ht="15.75" customHeight="1" x14ac:dyDescent="0.25">
      <c r="G528" s="20"/>
      <c r="H528" s="20"/>
      <c r="I528" s="70"/>
      <c r="J528" s="20"/>
      <c r="K528" s="20"/>
      <c r="L528" s="20"/>
      <c r="M528" s="23"/>
      <c r="N528" s="23"/>
    </row>
    <row r="529" spans="7:14" ht="15.75" customHeight="1" x14ac:dyDescent="0.25">
      <c r="G529" s="20"/>
      <c r="H529" s="20"/>
      <c r="I529" s="70"/>
      <c r="J529" s="20"/>
      <c r="K529" s="20"/>
      <c r="L529" s="20"/>
      <c r="M529" s="23"/>
      <c r="N529" s="23"/>
    </row>
    <row r="530" spans="7:14" ht="15.75" customHeight="1" x14ac:dyDescent="0.25">
      <c r="G530" s="20"/>
      <c r="H530" s="20"/>
      <c r="I530" s="70"/>
      <c r="J530" s="20"/>
      <c r="K530" s="20"/>
      <c r="L530" s="20"/>
      <c r="M530" s="23"/>
      <c r="N530" s="23"/>
    </row>
    <row r="531" spans="7:14" ht="15.75" customHeight="1" x14ac:dyDescent="0.25">
      <c r="G531" s="20"/>
      <c r="H531" s="20"/>
      <c r="I531" s="70"/>
      <c r="J531" s="20"/>
      <c r="K531" s="20"/>
      <c r="L531" s="20"/>
      <c r="M531" s="23"/>
      <c r="N531" s="23"/>
    </row>
    <row r="532" spans="7:14" ht="15.75" customHeight="1" x14ac:dyDescent="0.25">
      <c r="G532" s="20"/>
      <c r="H532" s="20"/>
      <c r="I532" s="70"/>
      <c r="J532" s="20"/>
      <c r="K532" s="20"/>
      <c r="L532" s="20"/>
      <c r="M532" s="23"/>
      <c r="N532" s="23"/>
    </row>
    <row r="533" spans="7:14" ht="15.75" customHeight="1" x14ac:dyDescent="0.25">
      <c r="G533" s="20"/>
      <c r="H533" s="20"/>
      <c r="I533" s="70"/>
      <c r="J533" s="20"/>
      <c r="K533" s="20"/>
      <c r="L533" s="20"/>
      <c r="M533" s="23"/>
      <c r="N533" s="23"/>
    </row>
    <row r="534" spans="7:14" ht="15.75" customHeight="1" x14ac:dyDescent="0.25">
      <c r="G534" s="20"/>
      <c r="H534" s="20"/>
      <c r="I534" s="70"/>
      <c r="J534" s="20"/>
      <c r="K534" s="20"/>
      <c r="L534" s="20"/>
      <c r="M534" s="23"/>
      <c r="N534" s="23"/>
    </row>
    <row r="535" spans="7:14" ht="15.75" customHeight="1" x14ac:dyDescent="0.25">
      <c r="G535" s="20"/>
      <c r="H535" s="20"/>
      <c r="I535" s="70"/>
      <c r="J535" s="20"/>
      <c r="K535" s="20"/>
      <c r="L535" s="20"/>
      <c r="M535" s="23"/>
      <c r="N535" s="23"/>
    </row>
    <row r="536" spans="7:14" ht="15.75" customHeight="1" x14ac:dyDescent="0.25">
      <c r="G536" s="20"/>
      <c r="H536" s="20"/>
      <c r="I536" s="70"/>
      <c r="J536" s="20"/>
      <c r="K536" s="20"/>
      <c r="L536" s="20"/>
      <c r="M536" s="23"/>
      <c r="N536" s="23"/>
    </row>
    <row r="537" spans="7:14" ht="15.75" customHeight="1" x14ac:dyDescent="0.25">
      <c r="G537" s="20"/>
      <c r="H537" s="20"/>
      <c r="I537" s="70"/>
      <c r="J537" s="20"/>
      <c r="K537" s="20"/>
      <c r="L537" s="20"/>
      <c r="M537" s="23"/>
      <c r="N537" s="23"/>
    </row>
    <row r="538" spans="7:14" ht="15.75" customHeight="1" x14ac:dyDescent="0.25">
      <c r="G538" s="20"/>
      <c r="H538" s="20"/>
      <c r="I538" s="70"/>
      <c r="J538" s="20"/>
      <c r="K538" s="20"/>
      <c r="L538" s="20"/>
      <c r="M538" s="23"/>
      <c r="N538" s="23"/>
    </row>
    <row r="539" spans="7:14" ht="15.75" customHeight="1" x14ac:dyDescent="0.25">
      <c r="G539" s="20"/>
      <c r="H539" s="20"/>
      <c r="I539" s="70"/>
      <c r="J539" s="20"/>
      <c r="K539" s="20"/>
      <c r="L539" s="20"/>
      <c r="M539" s="23"/>
      <c r="N539" s="23"/>
    </row>
    <row r="540" spans="7:14" ht="15.75" customHeight="1" x14ac:dyDescent="0.25">
      <c r="G540" s="20"/>
      <c r="H540" s="20"/>
      <c r="I540" s="70"/>
      <c r="J540" s="20"/>
      <c r="K540" s="20"/>
      <c r="L540" s="20"/>
      <c r="M540" s="23"/>
      <c r="N540" s="23"/>
    </row>
    <row r="541" spans="7:14" ht="15.75" customHeight="1" x14ac:dyDescent="0.25">
      <c r="G541" s="20"/>
      <c r="H541" s="20"/>
      <c r="I541" s="70"/>
      <c r="J541" s="20"/>
      <c r="K541" s="20"/>
      <c r="L541" s="20"/>
      <c r="M541" s="23"/>
      <c r="N541" s="23"/>
    </row>
    <row r="542" spans="7:14" ht="15.75" customHeight="1" x14ac:dyDescent="0.25">
      <c r="G542" s="20"/>
      <c r="H542" s="20"/>
      <c r="I542" s="70"/>
      <c r="J542" s="20"/>
      <c r="K542" s="20"/>
      <c r="L542" s="20"/>
      <c r="M542" s="23"/>
      <c r="N542" s="23"/>
    </row>
    <row r="543" spans="7:14" ht="15.75" customHeight="1" x14ac:dyDescent="0.25">
      <c r="G543" s="20"/>
      <c r="H543" s="20"/>
      <c r="I543" s="70"/>
      <c r="J543" s="20"/>
      <c r="K543" s="20"/>
      <c r="L543" s="20"/>
      <c r="M543" s="23"/>
      <c r="N543" s="23"/>
    </row>
    <row r="544" spans="7:14" ht="15.75" customHeight="1" x14ac:dyDescent="0.25">
      <c r="G544" s="20"/>
      <c r="H544" s="20"/>
      <c r="I544" s="70"/>
      <c r="J544" s="20"/>
      <c r="K544" s="20"/>
      <c r="L544" s="20"/>
      <c r="M544" s="23"/>
      <c r="N544" s="23"/>
    </row>
    <row r="545" spans="7:14" ht="15.75" customHeight="1" x14ac:dyDescent="0.25">
      <c r="G545" s="20"/>
      <c r="H545" s="20"/>
      <c r="I545" s="70"/>
      <c r="J545" s="20"/>
      <c r="K545" s="20"/>
      <c r="L545" s="20"/>
      <c r="M545" s="23"/>
      <c r="N545" s="23"/>
    </row>
    <row r="546" spans="7:14" ht="15.75" customHeight="1" x14ac:dyDescent="0.25">
      <c r="G546" s="20"/>
      <c r="H546" s="20"/>
      <c r="I546" s="70"/>
      <c r="J546" s="20"/>
      <c r="K546" s="20"/>
      <c r="L546" s="20"/>
      <c r="M546" s="23"/>
      <c r="N546" s="23"/>
    </row>
    <row r="547" spans="7:14" ht="15.75" customHeight="1" x14ac:dyDescent="0.25">
      <c r="G547" s="20"/>
      <c r="H547" s="20"/>
      <c r="I547" s="70"/>
      <c r="J547" s="20"/>
      <c r="K547" s="20"/>
      <c r="L547" s="20"/>
      <c r="M547" s="23"/>
      <c r="N547" s="23"/>
    </row>
    <row r="548" spans="7:14" ht="15.75" customHeight="1" x14ac:dyDescent="0.25">
      <c r="G548" s="20"/>
      <c r="H548" s="20"/>
      <c r="I548" s="70"/>
      <c r="J548" s="20"/>
      <c r="K548" s="20"/>
      <c r="L548" s="20"/>
      <c r="M548" s="23"/>
      <c r="N548" s="23"/>
    </row>
    <row r="549" spans="7:14" ht="15.75" customHeight="1" x14ac:dyDescent="0.25">
      <c r="G549" s="20"/>
      <c r="H549" s="20"/>
      <c r="I549" s="70"/>
      <c r="J549" s="20"/>
      <c r="K549" s="20"/>
      <c r="L549" s="20"/>
      <c r="M549" s="23"/>
      <c r="N549" s="23"/>
    </row>
    <row r="550" spans="7:14" ht="15.75" customHeight="1" x14ac:dyDescent="0.25">
      <c r="G550" s="20"/>
      <c r="H550" s="20"/>
      <c r="I550" s="70"/>
      <c r="J550" s="20"/>
      <c r="K550" s="20"/>
      <c r="L550" s="20"/>
      <c r="M550" s="23"/>
      <c r="N550" s="23"/>
    </row>
    <row r="551" spans="7:14" ht="15.75" customHeight="1" x14ac:dyDescent="0.25">
      <c r="G551" s="20"/>
      <c r="H551" s="20"/>
      <c r="I551" s="70"/>
      <c r="J551" s="20"/>
      <c r="K551" s="20"/>
      <c r="L551" s="20"/>
      <c r="M551" s="23"/>
      <c r="N551" s="23"/>
    </row>
    <row r="552" spans="7:14" ht="15.75" customHeight="1" x14ac:dyDescent="0.25">
      <c r="G552" s="20"/>
      <c r="H552" s="20"/>
      <c r="I552" s="70"/>
      <c r="J552" s="20"/>
      <c r="K552" s="20"/>
      <c r="L552" s="20"/>
      <c r="M552" s="23"/>
      <c r="N552" s="23"/>
    </row>
    <row r="553" spans="7:14" ht="15.75" customHeight="1" x14ac:dyDescent="0.25">
      <c r="G553" s="20"/>
      <c r="H553" s="20"/>
      <c r="I553" s="70"/>
      <c r="J553" s="20"/>
      <c r="K553" s="20"/>
      <c r="L553" s="20"/>
      <c r="M553" s="23"/>
      <c r="N553" s="23"/>
    </row>
    <row r="554" spans="7:14" ht="15.75" customHeight="1" x14ac:dyDescent="0.25">
      <c r="G554" s="20"/>
      <c r="H554" s="20"/>
      <c r="I554" s="70"/>
      <c r="J554" s="20"/>
      <c r="K554" s="20"/>
      <c r="L554" s="20"/>
      <c r="M554" s="23"/>
      <c r="N554" s="23"/>
    </row>
    <row r="555" spans="7:14" ht="15.75" customHeight="1" x14ac:dyDescent="0.25">
      <c r="G555" s="20"/>
      <c r="H555" s="20"/>
      <c r="I555" s="70"/>
      <c r="J555" s="20"/>
      <c r="K555" s="20"/>
      <c r="L555" s="20"/>
      <c r="M555" s="23"/>
      <c r="N555" s="23"/>
    </row>
    <row r="556" spans="7:14" ht="15.75" customHeight="1" x14ac:dyDescent="0.25">
      <c r="G556" s="20"/>
      <c r="H556" s="20"/>
      <c r="I556" s="70"/>
      <c r="J556" s="20"/>
      <c r="K556" s="20"/>
      <c r="L556" s="20"/>
      <c r="M556" s="23"/>
      <c r="N556" s="23"/>
    </row>
    <row r="557" spans="7:14" ht="15.75" customHeight="1" x14ac:dyDescent="0.25">
      <c r="G557" s="20"/>
      <c r="H557" s="20"/>
      <c r="I557" s="70"/>
      <c r="J557" s="20"/>
      <c r="K557" s="20"/>
      <c r="L557" s="20"/>
      <c r="M557" s="23"/>
      <c r="N557" s="23"/>
    </row>
    <row r="558" spans="7:14" ht="15.75" customHeight="1" x14ac:dyDescent="0.25">
      <c r="G558" s="20"/>
      <c r="H558" s="20"/>
      <c r="I558" s="70"/>
      <c r="J558" s="20"/>
      <c r="K558" s="20"/>
      <c r="L558" s="20"/>
      <c r="M558" s="23"/>
      <c r="N558" s="23"/>
    </row>
    <row r="559" spans="7:14" ht="15.75" customHeight="1" x14ac:dyDescent="0.25">
      <c r="G559" s="20"/>
      <c r="H559" s="20"/>
      <c r="I559" s="70"/>
      <c r="J559" s="20"/>
      <c r="K559" s="20"/>
      <c r="L559" s="20"/>
      <c r="M559" s="23"/>
      <c r="N559" s="23"/>
    </row>
    <row r="560" spans="7:14" ht="15.75" customHeight="1" x14ac:dyDescent="0.25">
      <c r="G560" s="20"/>
      <c r="H560" s="20"/>
      <c r="I560" s="70"/>
      <c r="J560" s="20"/>
      <c r="K560" s="20"/>
      <c r="L560" s="20"/>
      <c r="M560" s="23"/>
      <c r="N560" s="23"/>
    </row>
    <row r="561" spans="7:14" ht="15.75" customHeight="1" x14ac:dyDescent="0.25">
      <c r="G561" s="20"/>
      <c r="H561" s="20"/>
      <c r="I561" s="70"/>
      <c r="J561" s="20"/>
      <c r="K561" s="20"/>
      <c r="L561" s="20"/>
      <c r="M561" s="23"/>
      <c r="N561" s="23"/>
    </row>
    <row r="562" spans="7:14" ht="15.75" customHeight="1" x14ac:dyDescent="0.25">
      <c r="G562" s="20"/>
      <c r="H562" s="20"/>
      <c r="I562" s="70"/>
      <c r="J562" s="20"/>
      <c r="K562" s="20"/>
      <c r="L562" s="20"/>
      <c r="M562" s="23"/>
      <c r="N562" s="23"/>
    </row>
    <row r="563" spans="7:14" ht="15.75" customHeight="1" x14ac:dyDescent="0.25">
      <c r="G563" s="20"/>
      <c r="H563" s="20"/>
      <c r="I563" s="70"/>
      <c r="J563" s="20"/>
      <c r="K563" s="20"/>
      <c r="L563" s="20"/>
      <c r="M563" s="23"/>
      <c r="N563" s="23"/>
    </row>
    <row r="564" spans="7:14" ht="15.75" customHeight="1" x14ac:dyDescent="0.25">
      <c r="G564" s="20"/>
      <c r="H564" s="20"/>
      <c r="I564" s="70"/>
      <c r="J564" s="20"/>
      <c r="K564" s="20"/>
      <c r="L564" s="20"/>
      <c r="M564" s="23"/>
      <c r="N564" s="23"/>
    </row>
    <row r="565" spans="7:14" ht="15.75" customHeight="1" x14ac:dyDescent="0.25">
      <c r="G565" s="20"/>
      <c r="H565" s="20"/>
      <c r="I565" s="70"/>
      <c r="J565" s="20"/>
      <c r="K565" s="20"/>
      <c r="L565" s="20"/>
      <c r="M565" s="23"/>
      <c r="N565" s="23"/>
    </row>
    <row r="566" spans="7:14" ht="15.75" customHeight="1" x14ac:dyDescent="0.25">
      <c r="G566" s="20"/>
      <c r="H566" s="20"/>
      <c r="I566" s="70"/>
      <c r="J566" s="20"/>
      <c r="K566" s="20"/>
      <c r="L566" s="20"/>
      <c r="M566" s="23"/>
      <c r="N566" s="23"/>
    </row>
    <row r="567" spans="7:14" ht="15.75" customHeight="1" x14ac:dyDescent="0.25">
      <c r="G567" s="20"/>
      <c r="H567" s="20"/>
      <c r="I567" s="70"/>
      <c r="J567" s="20"/>
      <c r="K567" s="20"/>
      <c r="L567" s="20"/>
      <c r="M567" s="23"/>
      <c r="N567" s="23"/>
    </row>
    <row r="568" spans="7:14" ht="15.75" customHeight="1" x14ac:dyDescent="0.25">
      <c r="G568" s="20"/>
      <c r="H568" s="20"/>
      <c r="I568" s="70"/>
      <c r="J568" s="20"/>
      <c r="K568" s="20"/>
      <c r="L568" s="20"/>
      <c r="M568" s="23"/>
      <c r="N568" s="23"/>
    </row>
    <row r="569" spans="7:14" ht="15.75" customHeight="1" x14ac:dyDescent="0.25">
      <c r="G569" s="20"/>
      <c r="H569" s="20"/>
      <c r="I569" s="70"/>
      <c r="J569" s="20"/>
      <c r="K569" s="20"/>
      <c r="L569" s="20"/>
      <c r="M569" s="23"/>
      <c r="N569" s="23"/>
    </row>
    <row r="570" spans="7:14" ht="15.75" customHeight="1" x14ac:dyDescent="0.25">
      <c r="G570" s="20"/>
      <c r="H570" s="20"/>
      <c r="I570" s="70"/>
      <c r="J570" s="20"/>
      <c r="K570" s="20"/>
      <c r="L570" s="20"/>
      <c r="M570" s="23"/>
      <c r="N570" s="23"/>
    </row>
    <row r="571" spans="7:14" ht="15.75" customHeight="1" x14ac:dyDescent="0.25">
      <c r="G571" s="20"/>
      <c r="H571" s="20"/>
      <c r="I571" s="70"/>
      <c r="J571" s="20"/>
      <c r="K571" s="20"/>
      <c r="L571" s="20"/>
      <c r="M571" s="23"/>
      <c r="N571" s="23"/>
    </row>
    <row r="572" spans="7:14" ht="15.75" customHeight="1" x14ac:dyDescent="0.25">
      <c r="G572" s="20"/>
      <c r="H572" s="20"/>
      <c r="I572" s="70"/>
      <c r="J572" s="20"/>
      <c r="K572" s="20"/>
      <c r="L572" s="20"/>
      <c r="M572" s="23"/>
      <c r="N572" s="23"/>
    </row>
    <row r="573" spans="7:14" ht="15.75" customHeight="1" x14ac:dyDescent="0.25">
      <c r="G573" s="20"/>
      <c r="H573" s="20"/>
      <c r="I573" s="70"/>
      <c r="J573" s="20"/>
      <c r="K573" s="20"/>
      <c r="L573" s="20"/>
      <c r="M573" s="23"/>
      <c r="N573" s="23"/>
    </row>
    <row r="574" spans="7:14" ht="15.75" customHeight="1" x14ac:dyDescent="0.25">
      <c r="G574" s="20"/>
      <c r="H574" s="20"/>
      <c r="I574" s="70"/>
      <c r="J574" s="20"/>
      <c r="K574" s="20"/>
      <c r="L574" s="20"/>
      <c r="M574" s="23"/>
      <c r="N574" s="23"/>
    </row>
    <row r="575" spans="7:14" ht="15.75" customHeight="1" x14ac:dyDescent="0.25">
      <c r="G575" s="20"/>
      <c r="H575" s="20"/>
      <c r="I575" s="70"/>
      <c r="J575" s="20"/>
      <c r="K575" s="20"/>
      <c r="L575" s="20"/>
      <c r="M575" s="23"/>
      <c r="N575" s="23"/>
    </row>
    <row r="576" spans="7:14" ht="15.75" customHeight="1" x14ac:dyDescent="0.25">
      <c r="G576" s="20"/>
      <c r="H576" s="20"/>
      <c r="I576" s="70"/>
      <c r="J576" s="20"/>
      <c r="K576" s="20"/>
      <c r="L576" s="20"/>
      <c r="M576" s="23"/>
      <c r="N576" s="23"/>
    </row>
    <row r="577" spans="7:14" ht="15.75" customHeight="1" x14ac:dyDescent="0.25">
      <c r="G577" s="20"/>
      <c r="H577" s="20"/>
      <c r="I577" s="70"/>
      <c r="J577" s="20"/>
      <c r="K577" s="20"/>
      <c r="L577" s="20"/>
      <c r="M577" s="23"/>
      <c r="N577" s="23"/>
    </row>
    <row r="578" spans="7:14" ht="15.75" customHeight="1" x14ac:dyDescent="0.25">
      <c r="G578" s="20"/>
      <c r="H578" s="20"/>
      <c r="I578" s="70"/>
      <c r="J578" s="20"/>
      <c r="K578" s="20"/>
      <c r="L578" s="20"/>
      <c r="M578" s="23"/>
      <c r="N578" s="23"/>
    </row>
    <row r="579" spans="7:14" ht="15.75" customHeight="1" x14ac:dyDescent="0.25">
      <c r="G579" s="20"/>
      <c r="H579" s="20"/>
      <c r="I579" s="70"/>
      <c r="J579" s="20"/>
      <c r="K579" s="20"/>
      <c r="L579" s="20"/>
      <c r="M579" s="23"/>
      <c r="N579" s="23"/>
    </row>
    <row r="580" spans="7:14" ht="15.75" customHeight="1" x14ac:dyDescent="0.25">
      <c r="G580" s="20"/>
      <c r="H580" s="20"/>
      <c r="I580" s="70"/>
      <c r="J580" s="20"/>
      <c r="K580" s="20"/>
      <c r="L580" s="20"/>
      <c r="M580" s="23"/>
      <c r="N580" s="23"/>
    </row>
    <row r="581" spans="7:14" ht="15.75" customHeight="1" x14ac:dyDescent="0.25">
      <c r="G581" s="20"/>
      <c r="H581" s="20"/>
      <c r="I581" s="70"/>
      <c r="J581" s="20"/>
      <c r="K581" s="20"/>
      <c r="L581" s="20"/>
      <c r="M581" s="23"/>
      <c r="N581" s="23"/>
    </row>
    <row r="582" spans="7:14" ht="15.75" customHeight="1" x14ac:dyDescent="0.25">
      <c r="G582" s="20"/>
      <c r="H582" s="20"/>
      <c r="I582" s="70"/>
      <c r="J582" s="20"/>
      <c r="K582" s="20"/>
      <c r="L582" s="20"/>
      <c r="M582" s="23"/>
      <c r="N582" s="23"/>
    </row>
    <row r="583" spans="7:14" ht="15.75" customHeight="1" x14ac:dyDescent="0.25">
      <c r="G583" s="20"/>
      <c r="H583" s="20"/>
      <c r="I583" s="70"/>
      <c r="J583" s="20"/>
      <c r="K583" s="20"/>
      <c r="L583" s="20"/>
      <c r="M583" s="23"/>
      <c r="N583" s="23"/>
    </row>
    <row r="584" spans="7:14" ht="15.75" customHeight="1" x14ac:dyDescent="0.25">
      <c r="G584" s="20"/>
      <c r="H584" s="20"/>
      <c r="I584" s="70"/>
      <c r="J584" s="20"/>
      <c r="K584" s="20"/>
      <c r="L584" s="20"/>
      <c r="M584" s="23"/>
      <c r="N584" s="23"/>
    </row>
    <row r="585" spans="7:14" ht="15.75" customHeight="1" x14ac:dyDescent="0.25">
      <c r="G585" s="20"/>
      <c r="H585" s="20"/>
      <c r="I585" s="70"/>
      <c r="J585" s="20"/>
      <c r="K585" s="20"/>
      <c r="L585" s="20"/>
      <c r="M585" s="23"/>
      <c r="N585" s="23"/>
    </row>
    <row r="586" spans="7:14" ht="15.75" customHeight="1" x14ac:dyDescent="0.25">
      <c r="G586" s="20"/>
      <c r="H586" s="20"/>
      <c r="I586" s="70"/>
      <c r="J586" s="20"/>
      <c r="K586" s="20"/>
      <c r="L586" s="20"/>
      <c r="M586" s="23"/>
      <c r="N586" s="23"/>
    </row>
    <row r="587" spans="7:14" ht="15.75" customHeight="1" x14ac:dyDescent="0.25">
      <c r="G587" s="20"/>
      <c r="H587" s="20"/>
      <c r="I587" s="70"/>
      <c r="J587" s="20"/>
      <c r="K587" s="20"/>
      <c r="L587" s="20"/>
      <c r="M587" s="23"/>
      <c r="N587" s="23"/>
    </row>
    <row r="588" spans="7:14" ht="15.75" customHeight="1" x14ac:dyDescent="0.25">
      <c r="G588" s="20"/>
      <c r="H588" s="20"/>
      <c r="I588" s="70"/>
      <c r="J588" s="20"/>
      <c r="K588" s="20"/>
      <c r="L588" s="20"/>
      <c r="M588" s="23"/>
      <c r="N588" s="23"/>
    </row>
    <row r="589" spans="7:14" ht="15.75" customHeight="1" x14ac:dyDescent="0.25">
      <c r="G589" s="20"/>
      <c r="H589" s="20"/>
      <c r="I589" s="70"/>
      <c r="J589" s="20"/>
      <c r="K589" s="20"/>
      <c r="L589" s="20"/>
      <c r="M589" s="23"/>
      <c r="N589" s="23"/>
    </row>
    <row r="590" spans="7:14" ht="15.75" customHeight="1" x14ac:dyDescent="0.25">
      <c r="G590" s="20"/>
      <c r="H590" s="20"/>
      <c r="I590" s="70"/>
      <c r="J590" s="20"/>
      <c r="K590" s="20"/>
      <c r="L590" s="20"/>
      <c r="M590" s="23"/>
      <c r="N590" s="23"/>
    </row>
    <row r="591" spans="7:14" ht="15.75" customHeight="1" x14ac:dyDescent="0.25">
      <c r="G591" s="20"/>
      <c r="H591" s="20"/>
      <c r="I591" s="70"/>
      <c r="J591" s="20"/>
      <c r="K591" s="20"/>
      <c r="L591" s="20"/>
      <c r="M591" s="23"/>
      <c r="N591" s="23"/>
    </row>
    <row r="592" spans="7:14" ht="15.75" customHeight="1" x14ac:dyDescent="0.25">
      <c r="G592" s="20"/>
      <c r="H592" s="20"/>
      <c r="I592" s="70"/>
      <c r="J592" s="20"/>
      <c r="K592" s="20"/>
      <c r="L592" s="20"/>
      <c r="M592" s="23"/>
      <c r="N592" s="23"/>
    </row>
    <row r="593" spans="7:14" ht="15.75" customHeight="1" x14ac:dyDescent="0.25">
      <c r="G593" s="20"/>
      <c r="H593" s="20"/>
      <c r="I593" s="70"/>
      <c r="J593" s="20"/>
      <c r="K593" s="20"/>
      <c r="L593" s="20"/>
      <c r="M593" s="23"/>
      <c r="N593" s="23"/>
    </row>
    <row r="594" spans="7:14" ht="15.75" customHeight="1" x14ac:dyDescent="0.25">
      <c r="G594" s="20"/>
      <c r="H594" s="20"/>
      <c r="I594" s="70"/>
      <c r="J594" s="20"/>
      <c r="K594" s="20"/>
      <c r="L594" s="20"/>
      <c r="M594" s="23"/>
      <c r="N594" s="23"/>
    </row>
    <row r="595" spans="7:14" ht="15.75" customHeight="1" x14ac:dyDescent="0.25">
      <c r="G595" s="20"/>
      <c r="H595" s="20"/>
      <c r="I595" s="70"/>
      <c r="J595" s="20"/>
      <c r="K595" s="20"/>
      <c r="L595" s="20"/>
      <c r="M595" s="23"/>
      <c r="N595" s="23"/>
    </row>
    <row r="596" spans="7:14" ht="15.75" customHeight="1" x14ac:dyDescent="0.25">
      <c r="G596" s="20"/>
      <c r="H596" s="20"/>
      <c r="I596" s="70"/>
      <c r="J596" s="20"/>
      <c r="K596" s="20"/>
      <c r="L596" s="20"/>
      <c r="M596" s="23"/>
      <c r="N596" s="23"/>
    </row>
    <row r="597" spans="7:14" ht="15.75" customHeight="1" x14ac:dyDescent="0.25">
      <c r="G597" s="20"/>
      <c r="H597" s="20"/>
      <c r="I597" s="70"/>
      <c r="J597" s="20"/>
      <c r="K597" s="20"/>
      <c r="L597" s="20"/>
      <c r="M597" s="23"/>
      <c r="N597" s="23"/>
    </row>
    <row r="598" spans="7:14" ht="15.75" customHeight="1" x14ac:dyDescent="0.25">
      <c r="G598" s="20"/>
      <c r="H598" s="20"/>
      <c r="I598" s="70"/>
      <c r="J598" s="20"/>
      <c r="K598" s="20"/>
      <c r="L598" s="20"/>
      <c r="M598" s="23"/>
      <c r="N598" s="23"/>
    </row>
    <row r="599" spans="7:14" ht="15.75" customHeight="1" x14ac:dyDescent="0.25">
      <c r="G599" s="20"/>
      <c r="H599" s="20"/>
      <c r="I599" s="70"/>
      <c r="J599" s="20"/>
      <c r="K599" s="20"/>
      <c r="L599" s="20"/>
      <c r="M599" s="23"/>
      <c r="N599" s="23"/>
    </row>
    <row r="600" spans="7:14" ht="15.75" customHeight="1" x14ac:dyDescent="0.25">
      <c r="G600" s="20"/>
      <c r="H600" s="20"/>
      <c r="I600" s="70"/>
      <c r="J600" s="20"/>
      <c r="K600" s="20"/>
      <c r="L600" s="20"/>
      <c r="M600" s="23"/>
      <c r="N600" s="23"/>
    </row>
    <row r="601" spans="7:14" ht="15.75" customHeight="1" x14ac:dyDescent="0.25">
      <c r="G601" s="20"/>
      <c r="H601" s="20"/>
      <c r="I601" s="70"/>
      <c r="J601" s="20"/>
      <c r="K601" s="20"/>
      <c r="L601" s="20"/>
      <c r="M601" s="23"/>
      <c r="N601" s="23"/>
    </row>
    <row r="602" spans="7:14" ht="15.75" customHeight="1" x14ac:dyDescent="0.25">
      <c r="G602" s="20"/>
      <c r="H602" s="20"/>
      <c r="I602" s="70"/>
      <c r="J602" s="20"/>
      <c r="K602" s="20"/>
      <c r="L602" s="20"/>
      <c r="M602" s="23"/>
      <c r="N602" s="23"/>
    </row>
    <row r="603" spans="7:14" ht="15.75" customHeight="1" x14ac:dyDescent="0.25">
      <c r="G603" s="20"/>
      <c r="H603" s="20"/>
      <c r="I603" s="70"/>
      <c r="J603" s="20"/>
      <c r="K603" s="20"/>
      <c r="L603" s="20"/>
      <c r="M603" s="23"/>
      <c r="N603" s="23"/>
    </row>
    <row r="604" spans="7:14" ht="15.75" customHeight="1" x14ac:dyDescent="0.25">
      <c r="G604" s="20"/>
      <c r="H604" s="20"/>
      <c r="I604" s="70"/>
      <c r="J604" s="20"/>
      <c r="K604" s="20"/>
      <c r="L604" s="20"/>
      <c r="M604" s="23"/>
      <c r="N604" s="23"/>
    </row>
    <row r="605" spans="7:14" ht="15.75" customHeight="1" x14ac:dyDescent="0.25">
      <c r="G605" s="20"/>
      <c r="H605" s="20"/>
      <c r="I605" s="70"/>
      <c r="J605" s="20"/>
      <c r="K605" s="20"/>
      <c r="L605" s="20"/>
      <c r="M605" s="23"/>
      <c r="N605" s="23"/>
    </row>
    <row r="606" spans="7:14" ht="15.75" customHeight="1" x14ac:dyDescent="0.25">
      <c r="G606" s="20"/>
      <c r="H606" s="20"/>
      <c r="I606" s="70"/>
      <c r="J606" s="20"/>
      <c r="K606" s="20"/>
      <c r="L606" s="20"/>
      <c r="M606" s="23"/>
      <c r="N606" s="23"/>
    </row>
    <row r="607" spans="7:14" ht="15.75" customHeight="1" x14ac:dyDescent="0.25">
      <c r="G607" s="20"/>
      <c r="H607" s="20"/>
      <c r="I607" s="70"/>
      <c r="J607" s="20"/>
      <c r="K607" s="20"/>
      <c r="L607" s="20"/>
      <c r="M607" s="23"/>
      <c r="N607" s="23"/>
    </row>
    <row r="608" spans="7:14" ht="15.75" customHeight="1" x14ac:dyDescent="0.25">
      <c r="G608" s="20"/>
      <c r="H608" s="20"/>
      <c r="I608" s="70"/>
      <c r="J608" s="20"/>
      <c r="K608" s="20"/>
      <c r="L608" s="20"/>
      <c r="M608" s="23"/>
      <c r="N608" s="23"/>
    </row>
    <row r="609" spans="7:14" ht="15.75" customHeight="1" x14ac:dyDescent="0.25">
      <c r="G609" s="20"/>
      <c r="H609" s="20"/>
      <c r="I609" s="70"/>
      <c r="J609" s="20"/>
      <c r="K609" s="20"/>
      <c r="L609" s="20"/>
      <c r="M609" s="23"/>
      <c r="N609" s="23"/>
    </row>
    <row r="610" spans="7:14" ht="15.75" customHeight="1" x14ac:dyDescent="0.25">
      <c r="G610" s="20"/>
      <c r="H610" s="20"/>
      <c r="I610" s="70"/>
      <c r="J610" s="20"/>
      <c r="K610" s="20"/>
      <c r="L610" s="20"/>
      <c r="M610" s="23"/>
      <c r="N610" s="23"/>
    </row>
    <row r="611" spans="7:14" ht="15.75" customHeight="1" x14ac:dyDescent="0.25">
      <c r="G611" s="20"/>
      <c r="H611" s="20"/>
      <c r="I611" s="70"/>
      <c r="J611" s="20"/>
      <c r="K611" s="20"/>
      <c r="L611" s="20"/>
      <c r="M611" s="23"/>
      <c r="N611" s="23"/>
    </row>
    <row r="612" spans="7:14" ht="15.75" customHeight="1" x14ac:dyDescent="0.25">
      <c r="G612" s="20"/>
      <c r="H612" s="20"/>
      <c r="I612" s="70"/>
      <c r="J612" s="20"/>
      <c r="K612" s="20"/>
      <c r="L612" s="20"/>
      <c r="M612" s="23"/>
      <c r="N612" s="23"/>
    </row>
    <row r="613" spans="7:14" ht="15.75" customHeight="1" x14ac:dyDescent="0.25">
      <c r="G613" s="20"/>
      <c r="H613" s="20"/>
      <c r="I613" s="70"/>
      <c r="J613" s="20"/>
      <c r="K613" s="20"/>
      <c r="L613" s="20"/>
      <c r="M613" s="23"/>
      <c r="N613" s="23"/>
    </row>
    <row r="614" spans="7:14" ht="15.75" customHeight="1" x14ac:dyDescent="0.25">
      <c r="G614" s="20"/>
      <c r="H614" s="20"/>
      <c r="I614" s="70"/>
      <c r="J614" s="20"/>
      <c r="K614" s="20"/>
      <c r="L614" s="20"/>
      <c r="M614" s="23"/>
      <c r="N614" s="23"/>
    </row>
    <row r="615" spans="7:14" ht="15.75" customHeight="1" x14ac:dyDescent="0.25">
      <c r="G615" s="20"/>
      <c r="H615" s="20"/>
      <c r="I615" s="70"/>
      <c r="J615" s="20"/>
      <c r="K615" s="20"/>
      <c r="L615" s="20"/>
      <c r="M615" s="23"/>
      <c r="N615" s="23"/>
    </row>
    <row r="616" spans="7:14" ht="15.75" customHeight="1" x14ac:dyDescent="0.25">
      <c r="G616" s="20"/>
      <c r="H616" s="20"/>
      <c r="I616" s="70"/>
      <c r="J616" s="20"/>
      <c r="K616" s="20"/>
      <c r="L616" s="20"/>
      <c r="M616" s="23"/>
      <c r="N616" s="23"/>
    </row>
    <row r="617" spans="7:14" ht="15.75" customHeight="1" x14ac:dyDescent="0.25">
      <c r="G617" s="20"/>
      <c r="H617" s="20"/>
      <c r="I617" s="70"/>
      <c r="J617" s="20"/>
      <c r="K617" s="20"/>
      <c r="L617" s="20"/>
      <c r="M617" s="23"/>
      <c r="N617" s="23"/>
    </row>
    <row r="618" spans="7:14" ht="15.75" customHeight="1" x14ac:dyDescent="0.25">
      <c r="G618" s="20"/>
      <c r="H618" s="20"/>
      <c r="I618" s="70"/>
      <c r="J618" s="20"/>
      <c r="K618" s="20"/>
      <c r="L618" s="20"/>
      <c r="M618" s="23"/>
      <c r="N618" s="23"/>
    </row>
    <row r="619" spans="7:14" ht="15.75" customHeight="1" x14ac:dyDescent="0.25">
      <c r="G619" s="20"/>
      <c r="H619" s="20"/>
      <c r="I619" s="70"/>
      <c r="J619" s="20"/>
      <c r="K619" s="20"/>
      <c r="L619" s="20"/>
      <c r="M619" s="23"/>
      <c r="N619" s="23"/>
    </row>
    <row r="620" spans="7:14" ht="15.75" customHeight="1" x14ac:dyDescent="0.25">
      <c r="G620" s="20"/>
      <c r="H620" s="20"/>
      <c r="I620" s="70"/>
      <c r="J620" s="20"/>
      <c r="K620" s="20"/>
      <c r="L620" s="20"/>
      <c r="M620" s="23"/>
      <c r="N620" s="23"/>
    </row>
    <row r="621" spans="7:14" ht="15.75" customHeight="1" x14ac:dyDescent="0.25">
      <c r="G621" s="20"/>
      <c r="H621" s="20"/>
      <c r="I621" s="70"/>
      <c r="J621" s="20"/>
      <c r="K621" s="20"/>
      <c r="L621" s="20"/>
      <c r="M621" s="23"/>
      <c r="N621" s="23"/>
    </row>
    <row r="622" spans="7:14" ht="15.75" customHeight="1" x14ac:dyDescent="0.25">
      <c r="G622" s="20"/>
      <c r="H622" s="20"/>
      <c r="I622" s="70"/>
      <c r="J622" s="20"/>
      <c r="K622" s="20"/>
      <c r="L622" s="20"/>
      <c r="M622" s="23"/>
      <c r="N622" s="23"/>
    </row>
    <row r="623" spans="7:14" ht="15.75" customHeight="1" x14ac:dyDescent="0.25">
      <c r="G623" s="20"/>
      <c r="H623" s="20"/>
      <c r="I623" s="70"/>
      <c r="J623" s="20"/>
      <c r="K623" s="20"/>
      <c r="L623" s="20"/>
      <c r="M623" s="23"/>
      <c r="N623" s="23"/>
    </row>
    <row r="624" spans="7:14" ht="15.75" customHeight="1" x14ac:dyDescent="0.25">
      <c r="G624" s="20"/>
      <c r="H624" s="20"/>
      <c r="I624" s="70"/>
      <c r="J624" s="20"/>
      <c r="K624" s="20"/>
      <c r="L624" s="20"/>
      <c r="M624" s="23"/>
      <c r="N624" s="23"/>
    </row>
    <row r="625" spans="7:14" ht="15.75" customHeight="1" x14ac:dyDescent="0.25">
      <c r="G625" s="20"/>
      <c r="H625" s="20"/>
      <c r="I625" s="70"/>
      <c r="J625" s="20"/>
      <c r="K625" s="20"/>
      <c r="L625" s="20"/>
      <c r="M625" s="23"/>
      <c r="N625" s="23"/>
    </row>
    <row r="626" spans="7:14" ht="15.75" customHeight="1" x14ac:dyDescent="0.25">
      <c r="G626" s="20"/>
      <c r="H626" s="20"/>
      <c r="I626" s="70"/>
      <c r="J626" s="20"/>
      <c r="K626" s="20"/>
      <c r="L626" s="20"/>
      <c r="M626" s="23"/>
      <c r="N626" s="23"/>
    </row>
    <row r="627" spans="7:14" ht="15.75" customHeight="1" x14ac:dyDescent="0.25">
      <c r="G627" s="20"/>
      <c r="H627" s="20"/>
      <c r="I627" s="70"/>
      <c r="J627" s="20"/>
      <c r="K627" s="20"/>
      <c r="L627" s="20"/>
      <c r="M627" s="23"/>
      <c r="N627" s="23"/>
    </row>
    <row r="628" spans="7:14" ht="15.75" customHeight="1" x14ac:dyDescent="0.25">
      <c r="G628" s="20"/>
      <c r="H628" s="20"/>
      <c r="I628" s="70"/>
      <c r="J628" s="20"/>
      <c r="K628" s="20"/>
      <c r="L628" s="20"/>
      <c r="M628" s="23"/>
      <c r="N628" s="23"/>
    </row>
    <row r="629" spans="7:14" ht="15.75" customHeight="1" x14ac:dyDescent="0.25">
      <c r="G629" s="20"/>
      <c r="H629" s="20"/>
      <c r="I629" s="70"/>
      <c r="J629" s="20"/>
      <c r="K629" s="20"/>
      <c r="L629" s="20"/>
      <c r="M629" s="23"/>
      <c r="N629" s="23"/>
    </row>
    <row r="630" spans="7:14" ht="15.75" customHeight="1" x14ac:dyDescent="0.25">
      <c r="G630" s="20"/>
      <c r="H630" s="20"/>
      <c r="I630" s="70"/>
      <c r="J630" s="20"/>
      <c r="K630" s="20"/>
      <c r="L630" s="20"/>
      <c r="M630" s="23"/>
      <c r="N630" s="23"/>
    </row>
    <row r="631" spans="7:14" ht="15.75" customHeight="1" x14ac:dyDescent="0.25">
      <c r="G631" s="20"/>
      <c r="H631" s="20"/>
      <c r="I631" s="70"/>
      <c r="J631" s="20"/>
      <c r="K631" s="20"/>
      <c r="L631" s="20"/>
      <c r="M631" s="23"/>
      <c r="N631" s="23"/>
    </row>
    <row r="632" spans="7:14" ht="15.75" customHeight="1" x14ac:dyDescent="0.25">
      <c r="G632" s="20"/>
      <c r="H632" s="20"/>
      <c r="I632" s="70"/>
      <c r="J632" s="20"/>
      <c r="K632" s="20"/>
      <c r="L632" s="20"/>
      <c r="M632" s="23"/>
      <c r="N632" s="23"/>
    </row>
    <row r="633" spans="7:14" ht="15.75" customHeight="1" x14ac:dyDescent="0.25">
      <c r="G633" s="20"/>
      <c r="H633" s="20"/>
      <c r="I633" s="70"/>
      <c r="J633" s="20"/>
      <c r="K633" s="20"/>
      <c r="L633" s="20"/>
      <c r="M633" s="23"/>
      <c r="N633" s="23"/>
    </row>
    <row r="634" spans="7:14" ht="15.75" customHeight="1" x14ac:dyDescent="0.25">
      <c r="G634" s="20"/>
      <c r="H634" s="20"/>
      <c r="I634" s="70"/>
      <c r="J634" s="20"/>
      <c r="K634" s="20"/>
      <c r="L634" s="20"/>
      <c r="M634" s="23"/>
      <c r="N634" s="23"/>
    </row>
    <row r="635" spans="7:14" ht="15.75" customHeight="1" x14ac:dyDescent="0.25">
      <c r="G635" s="20"/>
      <c r="H635" s="20"/>
      <c r="I635" s="70"/>
      <c r="J635" s="20"/>
      <c r="K635" s="20"/>
      <c r="L635" s="20"/>
      <c r="M635" s="23"/>
      <c r="N635" s="23"/>
    </row>
    <row r="636" spans="7:14" ht="15.75" customHeight="1" x14ac:dyDescent="0.25">
      <c r="G636" s="20"/>
      <c r="H636" s="20"/>
      <c r="I636" s="70"/>
      <c r="J636" s="20"/>
      <c r="K636" s="20"/>
      <c r="L636" s="20"/>
      <c r="M636" s="23"/>
      <c r="N636" s="23"/>
    </row>
    <row r="637" spans="7:14" ht="15.75" customHeight="1" x14ac:dyDescent="0.25">
      <c r="G637" s="20"/>
      <c r="H637" s="20"/>
      <c r="I637" s="70"/>
      <c r="J637" s="20"/>
      <c r="K637" s="20"/>
      <c r="L637" s="20"/>
      <c r="M637" s="23"/>
      <c r="N637" s="23"/>
    </row>
    <row r="638" spans="7:14" ht="15.75" customHeight="1" x14ac:dyDescent="0.25">
      <c r="G638" s="20"/>
      <c r="H638" s="20"/>
      <c r="I638" s="70"/>
      <c r="J638" s="20"/>
      <c r="K638" s="20"/>
      <c r="L638" s="20"/>
      <c r="M638" s="23"/>
      <c r="N638" s="23"/>
    </row>
    <row r="639" spans="7:14" ht="15.75" customHeight="1" x14ac:dyDescent="0.25">
      <c r="G639" s="20"/>
      <c r="H639" s="20"/>
      <c r="I639" s="70"/>
      <c r="J639" s="20"/>
      <c r="K639" s="20"/>
      <c r="L639" s="20"/>
      <c r="M639" s="23"/>
      <c r="N639" s="23"/>
    </row>
    <row r="640" spans="7:14" ht="15.75" customHeight="1" x14ac:dyDescent="0.25">
      <c r="G640" s="20"/>
      <c r="H640" s="20"/>
      <c r="I640" s="70"/>
      <c r="J640" s="20"/>
      <c r="K640" s="20"/>
      <c r="L640" s="20"/>
      <c r="M640" s="23"/>
      <c r="N640" s="23"/>
    </row>
    <row r="641" spans="7:14" ht="15.75" customHeight="1" x14ac:dyDescent="0.25">
      <c r="G641" s="20"/>
      <c r="H641" s="20"/>
      <c r="I641" s="70"/>
      <c r="J641" s="20"/>
      <c r="K641" s="20"/>
      <c r="L641" s="20"/>
      <c r="M641" s="23"/>
      <c r="N641" s="23"/>
    </row>
    <row r="642" spans="7:14" ht="15.75" customHeight="1" x14ac:dyDescent="0.25">
      <c r="G642" s="20"/>
      <c r="H642" s="20"/>
      <c r="I642" s="70"/>
      <c r="J642" s="20"/>
      <c r="K642" s="20"/>
      <c r="L642" s="20"/>
      <c r="M642" s="23"/>
      <c r="N642" s="23"/>
    </row>
    <row r="643" spans="7:14" ht="15.75" customHeight="1" x14ac:dyDescent="0.25">
      <c r="G643" s="20"/>
      <c r="H643" s="20"/>
      <c r="I643" s="70"/>
      <c r="J643" s="20"/>
      <c r="K643" s="20"/>
      <c r="L643" s="20"/>
      <c r="M643" s="23"/>
      <c r="N643" s="23"/>
    </row>
    <row r="644" spans="7:14" ht="15.75" customHeight="1" x14ac:dyDescent="0.25">
      <c r="G644" s="20"/>
      <c r="H644" s="20"/>
      <c r="I644" s="70"/>
      <c r="J644" s="20"/>
      <c r="K644" s="20"/>
      <c r="L644" s="20"/>
      <c r="M644" s="23"/>
      <c r="N644" s="23"/>
    </row>
    <row r="645" spans="7:14" ht="15.75" customHeight="1" x14ac:dyDescent="0.25">
      <c r="G645" s="20"/>
      <c r="H645" s="20"/>
      <c r="I645" s="70"/>
      <c r="J645" s="20"/>
      <c r="K645" s="20"/>
      <c r="L645" s="20"/>
      <c r="M645" s="23"/>
      <c r="N645" s="23"/>
    </row>
    <row r="646" spans="7:14" ht="15.75" customHeight="1" x14ac:dyDescent="0.25">
      <c r="G646" s="20"/>
      <c r="H646" s="20"/>
      <c r="I646" s="70"/>
      <c r="J646" s="20"/>
      <c r="K646" s="20"/>
      <c r="L646" s="20"/>
      <c r="M646" s="23"/>
      <c r="N646" s="23"/>
    </row>
    <row r="647" spans="7:14" ht="15.75" customHeight="1" x14ac:dyDescent="0.25">
      <c r="G647" s="20"/>
      <c r="H647" s="20"/>
      <c r="I647" s="70"/>
      <c r="J647" s="20"/>
      <c r="K647" s="20"/>
      <c r="L647" s="20"/>
      <c r="M647" s="23"/>
      <c r="N647" s="23"/>
    </row>
    <row r="648" spans="7:14" ht="15.75" customHeight="1" x14ac:dyDescent="0.25">
      <c r="G648" s="20"/>
      <c r="H648" s="20"/>
      <c r="I648" s="70"/>
      <c r="J648" s="20"/>
      <c r="K648" s="20"/>
      <c r="L648" s="20"/>
      <c r="M648" s="23"/>
      <c r="N648" s="23"/>
    </row>
    <row r="649" spans="7:14" ht="15.75" customHeight="1" x14ac:dyDescent="0.25">
      <c r="G649" s="20"/>
      <c r="H649" s="20"/>
      <c r="I649" s="70"/>
      <c r="J649" s="20"/>
      <c r="K649" s="20"/>
      <c r="L649" s="20"/>
      <c r="M649" s="23"/>
      <c r="N649" s="23"/>
    </row>
    <row r="650" spans="7:14" ht="15.75" customHeight="1" x14ac:dyDescent="0.25">
      <c r="G650" s="20"/>
      <c r="H650" s="20"/>
      <c r="I650" s="70"/>
      <c r="J650" s="20"/>
      <c r="K650" s="20"/>
      <c r="L650" s="20"/>
      <c r="M650" s="23"/>
      <c r="N650" s="23"/>
    </row>
    <row r="651" spans="7:14" ht="15.75" customHeight="1" x14ac:dyDescent="0.25">
      <c r="G651" s="20"/>
      <c r="H651" s="20"/>
      <c r="I651" s="70"/>
      <c r="J651" s="20"/>
      <c r="K651" s="20"/>
      <c r="L651" s="20"/>
      <c r="M651" s="23"/>
      <c r="N651" s="23"/>
    </row>
    <row r="652" spans="7:14" ht="15.75" customHeight="1" x14ac:dyDescent="0.25">
      <c r="G652" s="20"/>
      <c r="H652" s="20"/>
      <c r="I652" s="70"/>
      <c r="J652" s="20"/>
      <c r="K652" s="20"/>
      <c r="L652" s="20"/>
      <c r="M652" s="23"/>
      <c r="N652" s="23"/>
    </row>
    <row r="653" spans="7:14" ht="15.75" customHeight="1" x14ac:dyDescent="0.25">
      <c r="G653" s="20"/>
      <c r="H653" s="20"/>
      <c r="I653" s="70"/>
      <c r="J653" s="20"/>
      <c r="K653" s="20"/>
      <c r="L653" s="20"/>
      <c r="M653" s="23"/>
      <c r="N653" s="23"/>
    </row>
    <row r="654" spans="7:14" ht="15.75" customHeight="1" x14ac:dyDescent="0.25">
      <c r="G654" s="20"/>
      <c r="H654" s="20"/>
      <c r="I654" s="70"/>
      <c r="J654" s="20"/>
      <c r="K654" s="20"/>
      <c r="L654" s="20"/>
      <c r="M654" s="23"/>
      <c r="N654" s="23"/>
    </row>
    <row r="655" spans="7:14" ht="15.75" customHeight="1" x14ac:dyDescent="0.25">
      <c r="G655" s="20"/>
      <c r="H655" s="20"/>
      <c r="I655" s="70"/>
      <c r="J655" s="20"/>
      <c r="K655" s="20"/>
      <c r="L655" s="20"/>
      <c r="M655" s="23"/>
      <c r="N655" s="23"/>
    </row>
    <row r="656" spans="7:14" ht="15.75" customHeight="1" x14ac:dyDescent="0.25">
      <c r="G656" s="20"/>
      <c r="H656" s="20"/>
      <c r="I656" s="70"/>
      <c r="J656" s="20"/>
      <c r="K656" s="20"/>
      <c r="L656" s="20"/>
      <c r="M656" s="23"/>
      <c r="N656" s="23"/>
    </row>
    <row r="657" spans="7:14" ht="15.75" customHeight="1" x14ac:dyDescent="0.25">
      <c r="G657" s="20"/>
      <c r="H657" s="20"/>
      <c r="I657" s="70"/>
      <c r="J657" s="20"/>
      <c r="K657" s="20"/>
      <c r="L657" s="20"/>
      <c r="M657" s="23"/>
      <c r="N657" s="23"/>
    </row>
    <row r="658" spans="7:14" ht="15.75" customHeight="1" x14ac:dyDescent="0.25">
      <c r="G658" s="20"/>
      <c r="H658" s="20"/>
      <c r="I658" s="70"/>
      <c r="J658" s="20"/>
      <c r="K658" s="20"/>
      <c r="L658" s="20"/>
      <c r="M658" s="23"/>
      <c r="N658" s="23"/>
    </row>
    <row r="659" spans="7:14" ht="15.75" customHeight="1" x14ac:dyDescent="0.25">
      <c r="G659" s="20"/>
      <c r="H659" s="20"/>
      <c r="I659" s="70"/>
      <c r="J659" s="20"/>
      <c r="K659" s="20"/>
      <c r="L659" s="20"/>
      <c r="M659" s="23"/>
      <c r="N659" s="23"/>
    </row>
    <row r="660" spans="7:14" ht="15.75" customHeight="1" x14ac:dyDescent="0.25">
      <c r="G660" s="20"/>
      <c r="H660" s="20"/>
      <c r="I660" s="70"/>
      <c r="J660" s="20"/>
      <c r="K660" s="20"/>
      <c r="L660" s="20"/>
      <c r="M660" s="23"/>
      <c r="N660" s="23"/>
    </row>
    <row r="661" spans="7:14" ht="15.75" customHeight="1" x14ac:dyDescent="0.25">
      <c r="G661" s="20"/>
      <c r="H661" s="20"/>
      <c r="I661" s="70"/>
      <c r="J661" s="20"/>
      <c r="K661" s="20"/>
      <c r="L661" s="20"/>
      <c r="M661" s="23"/>
      <c r="N661" s="23"/>
    </row>
    <row r="662" spans="7:14" ht="15.75" customHeight="1" x14ac:dyDescent="0.25">
      <c r="G662" s="20"/>
      <c r="H662" s="20"/>
      <c r="I662" s="70"/>
      <c r="J662" s="20"/>
      <c r="K662" s="20"/>
      <c r="L662" s="20"/>
      <c r="M662" s="23"/>
      <c r="N662" s="23"/>
    </row>
    <row r="663" spans="7:14" ht="15.75" customHeight="1" x14ac:dyDescent="0.25">
      <c r="G663" s="20"/>
      <c r="H663" s="20"/>
      <c r="I663" s="70"/>
      <c r="J663" s="20"/>
      <c r="K663" s="20"/>
      <c r="L663" s="20"/>
      <c r="M663" s="23"/>
      <c r="N663" s="23"/>
    </row>
    <row r="664" spans="7:14" ht="15.75" customHeight="1" x14ac:dyDescent="0.25">
      <c r="G664" s="20"/>
      <c r="H664" s="20"/>
      <c r="I664" s="70"/>
      <c r="J664" s="20"/>
      <c r="K664" s="20"/>
      <c r="L664" s="20"/>
      <c r="M664" s="23"/>
      <c r="N664" s="23"/>
    </row>
    <row r="665" spans="7:14" ht="15.75" customHeight="1" x14ac:dyDescent="0.25">
      <c r="G665" s="20"/>
      <c r="H665" s="20"/>
      <c r="I665" s="70"/>
      <c r="J665" s="20"/>
      <c r="K665" s="20"/>
      <c r="L665" s="20"/>
      <c r="M665" s="23"/>
      <c r="N665" s="23"/>
    </row>
    <row r="666" spans="7:14" ht="15.75" customHeight="1" x14ac:dyDescent="0.25">
      <c r="G666" s="20"/>
      <c r="H666" s="20"/>
      <c r="I666" s="70"/>
      <c r="J666" s="20"/>
      <c r="K666" s="20"/>
      <c r="L666" s="20"/>
      <c r="M666" s="23"/>
      <c r="N666" s="23"/>
    </row>
    <row r="667" spans="7:14" ht="15.75" customHeight="1" x14ac:dyDescent="0.25">
      <c r="G667" s="20"/>
      <c r="H667" s="20"/>
      <c r="I667" s="70"/>
      <c r="J667" s="20"/>
      <c r="K667" s="20"/>
      <c r="L667" s="20"/>
      <c r="M667" s="23"/>
      <c r="N667" s="23"/>
    </row>
    <row r="668" spans="7:14" ht="15.75" customHeight="1" x14ac:dyDescent="0.25">
      <c r="G668" s="20"/>
      <c r="H668" s="20"/>
      <c r="I668" s="70"/>
      <c r="J668" s="20"/>
      <c r="K668" s="20"/>
      <c r="L668" s="20"/>
      <c r="M668" s="23"/>
      <c r="N668" s="23"/>
    </row>
    <row r="669" spans="7:14" ht="15.75" customHeight="1" x14ac:dyDescent="0.25">
      <c r="G669" s="20"/>
      <c r="H669" s="20"/>
      <c r="I669" s="70"/>
      <c r="J669" s="20"/>
      <c r="K669" s="20"/>
      <c r="L669" s="20"/>
      <c r="M669" s="23"/>
      <c r="N669" s="23"/>
    </row>
    <row r="670" spans="7:14" ht="15.75" customHeight="1" x14ac:dyDescent="0.25">
      <c r="G670" s="20"/>
      <c r="H670" s="20"/>
      <c r="I670" s="70"/>
      <c r="J670" s="20"/>
      <c r="K670" s="20"/>
      <c r="L670" s="20"/>
      <c r="M670" s="23"/>
      <c r="N670" s="23"/>
    </row>
    <row r="671" spans="7:14" ht="15.75" customHeight="1" x14ac:dyDescent="0.25">
      <c r="G671" s="20"/>
      <c r="H671" s="20"/>
      <c r="I671" s="70"/>
      <c r="J671" s="20"/>
      <c r="K671" s="20"/>
      <c r="L671" s="20"/>
      <c r="M671" s="23"/>
      <c r="N671" s="23"/>
    </row>
    <row r="672" spans="7:14" ht="15.75" customHeight="1" x14ac:dyDescent="0.25">
      <c r="G672" s="20"/>
      <c r="H672" s="20"/>
      <c r="I672" s="70"/>
      <c r="J672" s="20"/>
      <c r="K672" s="20"/>
      <c r="L672" s="20"/>
      <c r="M672" s="23"/>
      <c r="N672" s="23"/>
    </row>
    <row r="673" spans="7:14" ht="15.75" customHeight="1" x14ac:dyDescent="0.25">
      <c r="G673" s="20"/>
      <c r="H673" s="20"/>
      <c r="I673" s="70"/>
      <c r="J673" s="20"/>
      <c r="K673" s="20"/>
      <c r="L673" s="20"/>
      <c r="M673" s="23"/>
      <c r="N673" s="23"/>
    </row>
    <row r="674" spans="7:14" ht="15.75" customHeight="1" x14ac:dyDescent="0.25">
      <c r="G674" s="20"/>
      <c r="H674" s="20"/>
      <c r="I674" s="70"/>
      <c r="J674" s="20"/>
      <c r="K674" s="20"/>
      <c r="L674" s="20"/>
      <c r="M674" s="23"/>
      <c r="N674" s="23"/>
    </row>
    <row r="675" spans="7:14" ht="15.75" customHeight="1" x14ac:dyDescent="0.25">
      <c r="G675" s="20"/>
      <c r="H675" s="20"/>
      <c r="I675" s="70"/>
      <c r="J675" s="20"/>
      <c r="K675" s="20"/>
      <c r="L675" s="20"/>
      <c r="M675" s="23"/>
      <c r="N675" s="23"/>
    </row>
    <row r="676" spans="7:14" ht="15.75" customHeight="1" x14ac:dyDescent="0.25">
      <c r="G676" s="20"/>
      <c r="H676" s="20"/>
      <c r="I676" s="70"/>
      <c r="J676" s="20"/>
      <c r="K676" s="20"/>
      <c r="L676" s="20"/>
      <c r="M676" s="23"/>
      <c r="N676" s="23"/>
    </row>
    <row r="677" spans="7:14" ht="15.75" customHeight="1" x14ac:dyDescent="0.25">
      <c r="G677" s="20"/>
      <c r="H677" s="20"/>
      <c r="I677" s="70"/>
      <c r="J677" s="20"/>
      <c r="K677" s="20"/>
      <c r="L677" s="20"/>
      <c r="M677" s="23"/>
      <c r="N677" s="23"/>
    </row>
    <row r="678" spans="7:14" ht="15.75" customHeight="1" x14ac:dyDescent="0.25">
      <c r="G678" s="20"/>
      <c r="H678" s="20"/>
      <c r="I678" s="70"/>
      <c r="J678" s="20"/>
      <c r="K678" s="20"/>
      <c r="L678" s="20"/>
      <c r="M678" s="23"/>
      <c r="N678" s="23"/>
    </row>
    <row r="679" spans="7:14" ht="15.75" customHeight="1" x14ac:dyDescent="0.25">
      <c r="G679" s="20"/>
      <c r="H679" s="20"/>
      <c r="I679" s="70"/>
      <c r="J679" s="20"/>
      <c r="K679" s="20"/>
      <c r="L679" s="20"/>
      <c r="M679" s="23"/>
      <c r="N679" s="23"/>
    </row>
    <row r="680" spans="7:14" ht="15.75" customHeight="1" x14ac:dyDescent="0.25">
      <c r="G680" s="20"/>
      <c r="H680" s="20"/>
      <c r="I680" s="70"/>
      <c r="J680" s="20"/>
      <c r="K680" s="20"/>
      <c r="L680" s="20"/>
      <c r="M680" s="23"/>
      <c r="N680" s="23"/>
    </row>
    <row r="681" spans="7:14" ht="15.75" customHeight="1" x14ac:dyDescent="0.25">
      <c r="G681" s="20"/>
      <c r="H681" s="20"/>
      <c r="I681" s="70"/>
      <c r="J681" s="20"/>
      <c r="K681" s="20"/>
      <c r="L681" s="20"/>
      <c r="M681" s="23"/>
      <c r="N681" s="23"/>
    </row>
    <row r="682" spans="7:14" ht="15.75" customHeight="1" x14ac:dyDescent="0.25">
      <c r="G682" s="20"/>
      <c r="H682" s="20"/>
      <c r="I682" s="70"/>
      <c r="J682" s="20"/>
      <c r="K682" s="20"/>
      <c r="L682" s="20"/>
      <c r="M682" s="23"/>
      <c r="N682" s="23"/>
    </row>
    <row r="683" spans="7:14" ht="15.75" customHeight="1" x14ac:dyDescent="0.25">
      <c r="G683" s="20"/>
      <c r="H683" s="20"/>
      <c r="I683" s="70"/>
      <c r="J683" s="20"/>
      <c r="K683" s="20"/>
      <c r="L683" s="20"/>
      <c r="M683" s="23"/>
      <c r="N683" s="23"/>
    </row>
    <row r="684" spans="7:14" ht="15.75" customHeight="1" x14ac:dyDescent="0.25">
      <c r="G684" s="20"/>
      <c r="H684" s="20"/>
      <c r="I684" s="70"/>
      <c r="J684" s="20"/>
      <c r="K684" s="20"/>
      <c r="L684" s="20"/>
      <c r="M684" s="23"/>
      <c r="N684" s="23"/>
    </row>
    <row r="685" spans="7:14" ht="15.75" customHeight="1" x14ac:dyDescent="0.25">
      <c r="G685" s="20"/>
      <c r="H685" s="20"/>
      <c r="I685" s="70"/>
      <c r="J685" s="20"/>
      <c r="K685" s="20"/>
      <c r="L685" s="20"/>
      <c r="M685" s="23"/>
      <c r="N685" s="23"/>
    </row>
    <row r="686" spans="7:14" ht="15.75" customHeight="1" x14ac:dyDescent="0.25">
      <c r="G686" s="20"/>
      <c r="H686" s="20"/>
      <c r="I686" s="70"/>
      <c r="J686" s="20"/>
      <c r="K686" s="20"/>
      <c r="L686" s="20"/>
      <c r="M686" s="23"/>
      <c r="N686" s="23"/>
    </row>
    <row r="687" spans="7:14" ht="15.75" customHeight="1" x14ac:dyDescent="0.25">
      <c r="G687" s="20"/>
      <c r="H687" s="20"/>
      <c r="I687" s="70"/>
      <c r="J687" s="20"/>
      <c r="K687" s="20"/>
      <c r="L687" s="20"/>
      <c r="M687" s="23"/>
      <c r="N687" s="23"/>
    </row>
    <row r="688" spans="7:14" ht="15.75" customHeight="1" x14ac:dyDescent="0.25">
      <c r="G688" s="20"/>
      <c r="H688" s="20"/>
      <c r="I688" s="70"/>
      <c r="J688" s="20"/>
      <c r="K688" s="20"/>
      <c r="L688" s="20"/>
      <c r="M688" s="23"/>
      <c r="N688" s="23"/>
    </row>
    <row r="689" spans="7:14" ht="15.75" customHeight="1" x14ac:dyDescent="0.25">
      <c r="G689" s="20"/>
      <c r="H689" s="20"/>
      <c r="I689" s="70"/>
      <c r="J689" s="20"/>
      <c r="K689" s="20"/>
      <c r="L689" s="20"/>
      <c r="M689" s="23"/>
      <c r="N689" s="23"/>
    </row>
    <row r="690" spans="7:14" ht="15.75" customHeight="1" x14ac:dyDescent="0.25">
      <c r="G690" s="20"/>
      <c r="H690" s="20"/>
      <c r="I690" s="70"/>
      <c r="J690" s="20"/>
      <c r="K690" s="20"/>
      <c r="L690" s="20"/>
      <c r="M690" s="23"/>
      <c r="N690" s="23"/>
    </row>
    <row r="691" spans="7:14" ht="15.75" customHeight="1" x14ac:dyDescent="0.25">
      <c r="G691" s="20"/>
      <c r="H691" s="20"/>
      <c r="I691" s="70"/>
      <c r="J691" s="20"/>
      <c r="K691" s="20"/>
      <c r="L691" s="20"/>
      <c r="M691" s="23"/>
      <c r="N691" s="23"/>
    </row>
    <row r="692" spans="7:14" ht="15.75" customHeight="1" x14ac:dyDescent="0.25">
      <c r="G692" s="20"/>
      <c r="H692" s="20"/>
      <c r="I692" s="70"/>
      <c r="J692" s="20"/>
      <c r="K692" s="20"/>
      <c r="L692" s="20"/>
      <c r="M692" s="23"/>
      <c r="N692" s="23"/>
    </row>
    <row r="693" spans="7:14" ht="15.75" customHeight="1" x14ac:dyDescent="0.25">
      <c r="G693" s="20"/>
      <c r="H693" s="20"/>
      <c r="I693" s="70"/>
      <c r="J693" s="20"/>
      <c r="K693" s="20"/>
      <c r="L693" s="20"/>
      <c r="M693" s="23"/>
      <c r="N693" s="23"/>
    </row>
    <row r="694" spans="7:14" ht="15.75" customHeight="1" x14ac:dyDescent="0.25">
      <c r="G694" s="20"/>
      <c r="H694" s="20"/>
      <c r="I694" s="70"/>
      <c r="J694" s="20"/>
      <c r="K694" s="20"/>
      <c r="L694" s="20"/>
      <c r="M694" s="23"/>
      <c r="N694" s="23"/>
    </row>
    <row r="695" spans="7:14" ht="15.75" customHeight="1" x14ac:dyDescent="0.25">
      <c r="G695" s="20"/>
      <c r="H695" s="20"/>
      <c r="I695" s="70"/>
      <c r="J695" s="20"/>
      <c r="K695" s="20"/>
      <c r="L695" s="20"/>
      <c r="M695" s="23"/>
      <c r="N695" s="23"/>
    </row>
    <row r="696" spans="7:14" ht="15.75" customHeight="1" x14ac:dyDescent="0.25">
      <c r="G696" s="20"/>
      <c r="H696" s="20"/>
      <c r="I696" s="70"/>
      <c r="J696" s="20"/>
      <c r="K696" s="20"/>
      <c r="L696" s="20"/>
      <c r="M696" s="23"/>
      <c r="N696" s="23"/>
    </row>
    <row r="697" spans="7:14" ht="15.75" customHeight="1" x14ac:dyDescent="0.25">
      <c r="G697" s="20"/>
      <c r="H697" s="20"/>
      <c r="I697" s="70"/>
      <c r="J697" s="20"/>
      <c r="K697" s="20"/>
      <c r="L697" s="20"/>
      <c r="M697" s="23"/>
      <c r="N697" s="23"/>
    </row>
    <row r="698" spans="7:14" ht="15.75" customHeight="1" x14ac:dyDescent="0.25">
      <c r="G698" s="20"/>
      <c r="H698" s="20"/>
      <c r="I698" s="70"/>
      <c r="J698" s="20"/>
      <c r="K698" s="20"/>
      <c r="L698" s="20"/>
      <c r="M698" s="23"/>
      <c r="N698" s="23"/>
    </row>
    <row r="699" spans="7:14" ht="15.75" customHeight="1" x14ac:dyDescent="0.25">
      <c r="G699" s="20"/>
      <c r="H699" s="20"/>
      <c r="I699" s="70"/>
      <c r="J699" s="20"/>
      <c r="K699" s="20"/>
      <c r="L699" s="20"/>
      <c r="M699" s="23"/>
      <c r="N699" s="23"/>
    </row>
    <row r="700" spans="7:14" ht="15.75" customHeight="1" x14ac:dyDescent="0.25">
      <c r="G700" s="20"/>
      <c r="H700" s="20"/>
      <c r="I700" s="70"/>
      <c r="J700" s="20"/>
      <c r="K700" s="20"/>
      <c r="L700" s="20"/>
      <c r="M700" s="23"/>
      <c r="N700" s="23"/>
    </row>
    <row r="701" spans="7:14" ht="15.75" customHeight="1" x14ac:dyDescent="0.25">
      <c r="G701" s="20"/>
      <c r="H701" s="20"/>
      <c r="I701" s="70"/>
      <c r="J701" s="20"/>
      <c r="K701" s="20"/>
      <c r="L701" s="20"/>
      <c r="M701" s="23"/>
      <c r="N701" s="23"/>
    </row>
    <row r="702" spans="7:14" ht="15.75" customHeight="1" x14ac:dyDescent="0.25">
      <c r="G702" s="20"/>
      <c r="H702" s="20"/>
      <c r="I702" s="70"/>
      <c r="J702" s="20"/>
      <c r="K702" s="20"/>
      <c r="L702" s="20"/>
      <c r="M702" s="23"/>
      <c r="N702" s="23"/>
    </row>
    <row r="703" spans="7:14" ht="15.75" customHeight="1" x14ac:dyDescent="0.25">
      <c r="G703" s="20"/>
      <c r="H703" s="20"/>
      <c r="I703" s="70"/>
      <c r="J703" s="20"/>
      <c r="K703" s="20"/>
      <c r="L703" s="20"/>
      <c r="M703" s="23"/>
      <c r="N703" s="23"/>
    </row>
    <row r="704" spans="7:14" ht="15.75" customHeight="1" x14ac:dyDescent="0.25">
      <c r="G704" s="20"/>
      <c r="H704" s="20"/>
      <c r="I704" s="70"/>
      <c r="J704" s="20"/>
      <c r="K704" s="20"/>
      <c r="L704" s="20"/>
      <c r="M704" s="23"/>
      <c r="N704" s="23"/>
    </row>
    <row r="705" spans="7:14" ht="15.75" customHeight="1" x14ac:dyDescent="0.25">
      <c r="G705" s="20"/>
      <c r="H705" s="20"/>
      <c r="I705" s="70"/>
      <c r="J705" s="20"/>
      <c r="K705" s="20"/>
      <c r="L705" s="20"/>
      <c r="M705" s="23"/>
      <c r="N705" s="23"/>
    </row>
    <row r="706" spans="7:14" ht="15.75" customHeight="1" x14ac:dyDescent="0.25">
      <c r="G706" s="20"/>
      <c r="H706" s="20"/>
      <c r="I706" s="70"/>
      <c r="J706" s="20"/>
      <c r="K706" s="20"/>
      <c r="L706" s="20"/>
      <c r="M706" s="23"/>
      <c r="N706" s="23"/>
    </row>
    <row r="707" spans="7:14" ht="15.75" customHeight="1" x14ac:dyDescent="0.25">
      <c r="G707" s="20"/>
      <c r="H707" s="20"/>
      <c r="I707" s="70"/>
      <c r="J707" s="20"/>
      <c r="K707" s="20"/>
      <c r="L707" s="20"/>
      <c r="M707" s="23"/>
      <c r="N707" s="23"/>
    </row>
    <row r="708" spans="7:14" ht="15.75" customHeight="1" x14ac:dyDescent="0.25">
      <c r="G708" s="20"/>
      <c r="H708" s="20"/>
      <c r="I708" s="70"/>
      <c r="J708" s="20"/>
      <c r="K708" s="20"/>
      <c r="L708" s="20"/>
      <c r="M708" s="23"/>
      <c r="N708" s="23"/>
    </row>
    <row r="709" spans="7:14" ht="15.75" customHeight="1" x14ac:dyDescent="0.25">
      <c r="G709" s="20"/>
      <c r="H709" s="20"/>
      <c r="I709" s="70"/>
      <c r="J709" s="20"/>
      <c r="K709" s="20"/>
      <c r="L709" s="20"/>
      <c r="M709" s="23"/>
      <c r="N709" s="23"/>
    </row>
    <row r="710" spans="7:14" ht="15.75" customHeight="1" x14ac:dyDescent="0.25">
      <c r="G710" s="20"/>
      <c r="H710" s="20"/>
      <c r="I710" s="70"/>
      <c r="J710" s="20"/>
      <c r="K710" s="20"/>
      <c r="L710" s="20"/>
      <c r="M710" s="23"/>
      <c r="N710" s="23"/>
    </row>
    <row r="711" spans="7:14" ht="15.75" customHeight="1" x14ac:dyDescent="0.25">
      <c r="G711" s="20"/>
      <c r="H711" s="20"/>
      <c r="I711" s="70"/>
      <c r="J711" s="20"/>
      <c r="K711" s="20"/>
      <c r="L711" s="20"/>
      <c r="M711" s="23"/>
      <c r="N711" s="23"/>
    </row>
    <row r="712" spans="7:14" ht="15.75" customHeight="1" x14ac:dyDescent="0.25">
      <c r="G712" s="20"/>
      <c r="H712" s="20"/>
      <c r="I712" s="70"/>
      <c r="J712" s="20"/>
      <c r="K712" s="20"/>
      <c r="L712" s="20"/>
      <c r="M712" s="23"/>
      <c r="N712" s="23"/>
    </row>
    <row r="713" spans="7:14" ht="15.75" customHeight="1" x14ac:dyDescent="0.25">
      <c r="G713" s="20"/>
      <c r="H713" s="20"/>
      <c r="I713" s="70"/>
      <c r="J713" s="20"/>
      <c r="K713" s="20"/>
      <c r="L713" s="20"/>
      <c r="M713" s="23"/>
      <c r="N713" s="23"/>
    </row>
    <row r="714" spans="7:14" ht="15.75" customHeight="1" x14ac:dyDescent="0.25">
      <c r="G714" s="20"/>
      <c r="H714" s="20"/>
      <c r="I714" s="70"/>
      <c r="J714" s="20"/>
      <c r="K714" s="20"/>
      <c r="L714" s="20"/>
      <c r="M714" s="23"/>
      <c r="N714" s="23"/>
    </row>
    <row r="715" spans="7:14" ht="15.75" customHeight="1" x14ac:dyDescent="0.25">
      <c r="G715" s="20"/>
      <c r="H715" s="20"/>
      <c r="I715" s="70"/>
      <c r="J715" s="20"/>
      <c r="K715" s="20"/>
      <c r="L715" s="20"/>
      <c r="M715" s="23"/>
      <c r="N715" s="23"/>
    </row>
    <row r="716" spans="7:14" ht="15.75" customHeight="1" x14ac:dyDescent="0.25">
      <c r="G716" s="20"/>
      <c r="H716" s="20"/>
      <c r="I716" s="70"/>
      <c r="J716" s="20"/>
      <c r="K716" s="20"/>
      <c r="L716" s="20"/>
      <c r="M716" s="23"/>
      <c r="N716" s="23"/>
    </row>
    <row r="717" spans="7:14" ht="15.75" customHeight="1" x14ac:dyDescent="0.25">
      <c r="G717" s="20"/>
      <c r="H717" s="20"/>
      <c r="I717" s="70"/>
      <c r="J717" s="20"/>
      <c r="K717" s="20"/>
      <c r="L717" s="20"/>
      <c r="M717" s="23"/>
      <c r="N717" s="23"/>
    </row>
    <row r="718" spans="7:14" ht="15.75" customHeight="1" x14ac:dyDescent="0.25">
      <c r="G718" s="20"/>
      <c r="H718" s="20"/>
      <c r="I718" s="70"/>
      <c r="J718" s="20"/>
      <c r="K718" s="20"/>
      <c r="L718" s="20"/>
      <c r="M718" s="23"/>
      <c r="N718" s="23"/>
    </row>
    <row r="719" spans="7:14" ht="15.75" customHeight="1" x14ac:dyDescent="0.25">
      <c r="G719" s="20"/>
      <c r="H719" s="20"/>
      <c r="I719" s="70"/>
      <c r="J719" s="20"/>
      <c r="K719" s="20"/>
      <c r="L719" s="20"/>
      <c r="M719" s="23"/>
      <c r="N719" s="23"/>
    </row>
    <row r="720" spans="7:14" ht="15.75" customHeight="1" x14ac:dyDescent="0.25">
      <c r="G720" s="20"/>
      <c r="H720" s="20"/>
      <c r="I720" s="70"/>
      <c r="J720" s="20"/>
      <c r="K720" s="20"/>
      <c r="L720" s="20"/>
      <c r="M720" s="23"/>
      <c r="N720" s="23"/>
    </row>
    <row r="721" spans="7:14" ht="15.75" customHeight="1" x14ac:dyDescent="0.25">
      <c r="G721" s="20"/>
      <c r="H721" s="20"/>
      <c r="I721" s="70"/>
      <c r="J721" s="20"/>
      <c r="K721" s="20"/>
      <c r="L721" s="20"/>
      <c r="M721" s="23"/>
      <c r="N721" s="23"/>
    </row>
    <row r="722" spans="7:14" ht="15.75" customHeight="1" x14ac:dyDescent="0.25">
      <c r="G722" s="20"/>
      <c r="H722" s="20"/>
      <c r="I722" s="70"/>
      <c r="J722" s="20"/>
      <c r="K722" s="20"/>
      <c r="L722" s="20"/>
      <c r="M722" s="23"/>
      <c r="N722" s="23"/>
    </row>
    <row r="723" spans="7:14" ht="15.75" customHeight="1" x14ac:dyDescent="0.25">
      <c r="G723" s="20"/>
      <c r="H723" s="20"/>
      <c r="I723" s="70"/>
      <c r="J723" s="20"/>
      <c r="K723" s="20"/>
      <c r="L723" s="20"/>
      <c r="M723" s="23"/>
      <c r="N723" s="23"/>
    </row>
    <row r="724" spans="7:14" ht="15.75" customHeight="1" x14ac:dyDescent="0.25">
      <c r="G724" s="20"/>
      <c r="H724" s="20"/>
      <c r="I724" s="70"/>
      <c r="J724" s="20"/>
      <c r="K724" s="20"/>
      <c r="L724" s="20"/>
      <c r="M724" s="23"/>
      <c r="N724" s="23"/>
    </row>
    <row r="725" spans="7:14" ht="15.75" customHeight="1" x14ac:dyDescent="0.25">
      <c r="G725" s="20"/>
      <c r="H725" s="20"/>
      <c r="I725" s="70"/>
      <c r="J725" s="20"/>
      <c r="K725" s="20"/>
      <c r="L725" s="20"/>
      <c r="M725" s="23"/>
      <c r="N725" s="23"/>
    </row>
    <row r="726" spans="7:14" ht="15.75" customHeight="1" x14ac:dyDescent="0.25">
      <c r="G726" s="20"/>
      <c r="H726" s="20"/>
      <c r="I726" s="70"/>
      <c r="J726" s="20"/>
      <c r="K726" s="20"/>
      <c r="L726" s="20"/>
      <c r="M726" s="23"/>
      <c r="N726" s="23"/>
    </row>
    <row r="727" spans="7:14" ht="15.75" customHeight="1" x14ac:dyDescent="0.25">
      <c r="G727" s="20"/>
      <c r="H727" s="20"/>
      <c r="I727" s="70"/>
      <c r="J727" s="20"/>
      <c r="K727" s="20"/>
      <c r="L727" s="20"/>
      <c r="M727" s="23"/>
      <c r="N727" s="23"/>
    </row>
    <row r="728" spans="7:14" ht="15.75" customHeight="1" x14ac:dyDescent="0.25">
      <c r="G728" s="20"/>
      <c r="H728" s="20"/>
      <c r="I728" s="70"/>
      <c r="J728" s="20"/>
      <c r="K728" s="20"/>
      <c r="L728" s="20"/>
      <c r="M728" s="23"/>
      <c r="N728" s="23"/>
    </row>
    <row r="729" spans="7:14" ht="15.75" customHeight="1" x14ac:dyDescent="0.25">
      <c r="G729" s="20"/>
      <c r="H729" s="20"/>
      <c r="I729" s="70"/>
      <c r="J729" s="20"/>
      <c r="K729" s="20"/>
      <c r="L729" s="20"/>
      <c r="M729" s="23"/>
      <c r="N729" s="23"/>
    </row>
    <row r="730" spans="7:14" ht="15.75" customHeight="1" x14ac:dyDescent="0.25">
      <c r="G730" s="20"/>
      <c r="H730" s="20"/>
      <c r="I730" s="70"/>
      <c r="J730" s="20"/>
      <c r="K730" s="20"/>
      <c r="L730" s="20"/>
      <c r="M730" s="23"/>
      <c r="N730" s="23"/>
    </row>
    <row r="731" spans="7:14" ht="15.75" customHeight="1" x14ac:dyDescent="0.25">
      <c r="G731" s="20"/>
      <c r="H731" s="20"/>
      <c r="I731" s="70"/>
      <c r="J731" s="20"/>
      <c r="K731" s="20"/>
      <c r="L731" s="20"/>
      <c r="M731" s="23"/>
      <c r="N731" s="23"/>
    </row>
    <row r="732" spans="7:14" ht="15.75" customHeight="1" x14ac:dyDescent="0.25">
      <c r="G732" s="20"/>
      <c r="H732" s="20"/>
      <c r="I732" s="70"/>
      <c r="J732" s="20"/>
      <c r="K732" s="20"/>
      <c r="L732" s="20"/>
      <c r="M732" s="23"/>
      <c r="N732" s="23"/>
    </row>
    <row r="733" spans="7:14" ht="15.75" customHeight="1" x14ac:dyDescent="0.25">
      <c r="G733" s="20"/>
      <c r="H733" s="20"/>
      <c r="I733" s="70"/>
      <c r="J733" s="20"/>
      <c r="K733" s="20"/>
      <c r="L733" s="20"/>
      <c r="M733" s="23"/>
      <c r="N733" s="23"/>
    </row>
    <row r="734" spans="7:14" ht="15.75" customHeight="1" x14ac:dyDescent="0.25">
      <c r="G734" s="20"/>
      <c r="H734" s="20"/>
      <c r="I734" s="70"/>
      <c r="J734" s="20"/>
      <c r="K734" s="20"/>
      <c r="L734" s="20"/>
      <c r="M734" s="23"/>
      <c r="N734" s="23"/>
    </row>
    <row r="735" spans="7:14" ht="15.75" customHeight="1" x14ac:dyDescent="0.25">
      <c r="G735" s="20"/>
      <c r="H735" s="20"/>
      <c r="I735" s="70"/>
      <c r="J735" s="20"/>
      <c r="K735" s="20"/>
      <c r="L735" s="20"/>
      <c r="M735" s="23"/>
      <c r="N735" s="23"/>
    </row>
    <row r="736" spans="7:14" ht="15.75" customHeight="1" x14ac:dyDescent="0.25">
      <c r="G736" s="20"/>
      <c r="H736" s="20"/>
      <c r="I736" s="70"/>
      <c r="J736" s="20"/>
      <c r="K736" s="20"/>
      <c r="L736" s="20"/>
      <c r="M736" s="23"/>
      <c r="N736" s="23"/>
    </row>
    <row r="737" spans="7:14" ht="15.75" customHeight="1" x14ac:dyDescent="0.25">
      <c r="G737" s="20"/>
      <c r="H737" s="20"/>
      <c r="I737" s="70"/>
      <c r="J737" s="20"/>
      <c r="K737" s="20"/>
      <c r="L737" s="20"/>
      <c r="M737" s="23"/>
      <c r="N737" s="23"/>
    </row>
    <row r="738" spans="7:14" ht="15.75" customHeight="1" x14ac:dyDescent="0.25">
      <c r="G738" s="20"/>
      <c r="H738" s="20"/>
      <c r="I738" s="70"/>
      <c r="J738" s="20"/>
      <c r="K738" s="20"/>
      <c r="L738" s="20"/>
      <c r="M738" s="23"/>
      <c r="N738" s="23"/>
    </row>
    <row r="739" spans="7:14" ht="15.75" customHeight="1" x14ac:dyDescent="0.25">
      <c r="G739" s="20"/>
      <c r="H739" s="20"/>
      <c r="I739" s="70"/>
      <c r="J739" s="20"/>
      <c r="K739" s="20"/>
      <c r="L739" s="20"/>
      <c r="M739" s="23"/>
      <c r="N739" s="23"/>
    </row>
    <row r="740" spans="7:14" ht="15.75" customHeight="1" x14ac:dyDescent="0.25">
      <c r="G740" s="20"/>
      <c r="H740" s="20"/>
      <c r="I740" s="70"/>
      <c r="J740" s="20"/>
      <c r="K740" s="20"/>
      <c r="L740" s="20"/>
      <c r="M740" s="23"/>
      <c r="N740" s="23"/>
    </row>
    <row r="741" spans="7:14" ht="15.75" customHeight="1" x14ac:dyDescent="0.25">
      <c r="G741" s="20"/>
      <c r="H741" s="20"/>
      <c r="I741" s="70"/>
      <c r="J741" s="20"/>
      <c r="K741" s="20"/>
      <c r="L741" s="20"/>
      <c r="M741" s="23"/>
      <c r="N741" s="23"/>
    </row>
    <row r="742" spans="7:14" ht="15.75" customHeight="1" x14ac:dyDescent="0.25">
      <c r="G742" s="20"/>
      <c r="H742" s="20"/>
      <c r="I742" s="70"/>
      <c r="J742" s="20"/>
      <c r="K742" s="20"/>
      <c r="L742" s="20"/>
      <c r="M742" s="23"/>
      <c r="N742" s="23"/>
    </row>
    <row r="743" spans="7:14" ht="15.75" customHeight="1" x14ac:dyDescent="0.25">
      <c r="G743" s="20"/>
      <c r="H743" s="20"/>
      <c r="I743" s="70"/>
      <c r="J743" s="20"/>
      <c r="K743" s="20"/>
      <c r="L743" s="20"/>
      <c r="M743" s="23"/>
      <c r="N743" s="23"/>
    </row>
    <row r="744" spans="7:14" ht="15.75" customHeight="1" x14ac:dyDescent="0.25">
      <c r="G744" s="20"/>
      <c r="H744" s="20"/>
      <c r="I744" s="70"/>
      <c r="J744" s="20"/>
      <c r="K744" s="20"/>
      <c r="L744" s="20"/>
      <c r="M744" s="23"/>
      <c r="N744" s="23"/>
    </row>
    <row r="745" spans="7:14" ht="15.75" customHeight="1" x14ac:dyDescent="0.25">
      <c r="G745" s="20"/>
      <c r="H745" s="20"/>
      <c r="I745" s="70"/>
      <c r="J745" s="20"/>
      <c r="K745" s="20"/>
      <c r="L745" s="20"/>
      <c r="M745" s="23"/>
      <c r="N745" s="23"/>
    </row>
    <row r="746" spans="7:14" ht="15.75" customHeight="1" x14ac:dyDescent="0.25">
      <c r="G746" s="20"/>
      <c r="H746" s="20"/>
      <c r="I746" s="70"/>
      <c r="J746" s="20"/>
      <c r="K746" s="20"/>
      <c r="L746" s="20"/>
      <c r="M746" s="23"/>
      <c r="N746" s="23"/>
    </row>
    <row r="747" spans="7:14" ht="15.75" customHeight="1" x14ac:dyDescent="0.25">
      <c r="G747" s="20"/>
      <c r="H747" s="20"/>
      <c r="I747" s="70"/>
      <c r="J747" s="20"/>
      <c r="K747" s="20"/>
      <c r="L747" s="20"/>
      <c r="M747" s="23"/>
      <c r="N747" s="23"/>
    </row>
    <row r="748" spans="7:14" ht="15.75" customHeight="1" x14ac:dyDescent="0.25">
      <c r="G748" s="20"/>
      <c r="H748" s="20"/>
      <c r="I748" s="70"/>
      <c r="J748" s="20"/>
      <c r="K748" s="20"/>
      <c r="L748" s="20"/>
      <c r="M748" s="23"/>
      <c r="N748" s="23"/>
    </row>
    <row r="749" spans="7:14" ht="15.75" customHeight="1" x14ac:dyDescent="0.25">
      <c r="G749" s="20"/>
      <c r="H749" s="20"/>
      <c r="I749" s="70"/>
      <c r="J749" s="20"/>
      <c r="K749" s="20"/>
      <c r="L749" s="20"/>
      <c r="M749" s="23"/>
      <c r="N749" s="23"/>
    </row>
    <row r="750" spans="7:14" ht="15.75" customHeight="1" x14ac:dyDescent="0.25">
      <c r="G750" s="20"/>
      <c r="H750" s="20"/>
      <c r="I750" s="70"/>
      <c r="J750" s="20"/>
      <c r="K750" s="20"/>
      <c r="L750" s="20"/>
      <c r="M750" s="23"/>
      <c r="N750" s="23"/>
    </row>
    <row r="751" spans="7:14" ht="15.75" customHeight="1" x14ac:dyDescent="0.25">
      <c r="G751" s="20"/>
      <c r="H751" s="20"/>
      <c r="I751" s="70"/>
      <c r="J751" s="20"/>
      <c r="K751" s="20"/>
      <c r="L751" s="20"/>
      <c r="M751" s="23"/>
      <c r="N751" s="23"/>
    </row>
    <row r="752" spans="7:14" ht="15.75" customHeight="1" x14ac:dyDescent="0.25">
      <c r="G752" s="20"/>
      <c r="H752" s="20"/>
      <c r="I752" s="70"/>
      <c r="J752" s="20"/>
      <c r="K752" s="20"/>
      <c r="L752" s="20"/>
      <c r="M752" s="23"/>
      <c r="N752" s="23"/>
    </row>
    <row r="753" spans="7:14" ht="15.75" customHeight="1" x14ac:dyDescent="0.25">
      <c r="G753" s="20"/>
      <c r="H753" s="20"/>
      <c r="I753" s="70"/>
      <c r="J753" s="20"/>
      <c r="K753" s="20"/>
      <c r="L753" s="20"/>
      <c r="M753" s="23"/>
      <c r="N753" s="23"/>
    </row>
    <row r="754" spans="7:14" ht="15.75" customHeight="1" x14ac:dyDescent="0.25">
      <c r="G754" s="20"/>
      <c r="H754" s="20"/>
      <c r="I754" s="70"/>
      <c r="J754" s="20"/>
      <c r="K754" s="20"/>
      <c r="L754" s="20"/>
      <c r="M754" s="23"/>
      <c r="N754" s="23"/>
    </row>
    <row r="755" spans="7:14" ht="15.75" customHeight="1" x14ac:dyDescent="0.25">
      <c r="G755" s="20"/>
      <c r="H755" s="20"/>
      <c r="I755" s="70"/>
      <c r="J755" s="20"/>
      <c r="K755" s="20"/>
      <c r="L755" s="20"/>
      <c r="M755" s="23"/>
      <c r="N755" s="23"/>
    </row>
    <row r="756" spans="7:14" ht="15.75" customHeight="1" x14ac:dyDescent="0.25">
      <c r="G756" s="20"/>
      <c r="H756" s="20"/>
      <c r="I756" s="70"/>
      <c r="J756" s="20"/>
      <c r="K756" s="20"/>
      <c r="L756" s="20"/>
      <c r="M756" s="23"/>
      <c r="N756" s="23"/>
    </row>
    <row r="757" spans="7:14" ht="15.75" customHeight="1" x14ac:dyDescent="0.25">
      <c r="G757" s="20"/>
      <c r="H757" s="20"/>
      <c r="I757" s="70"/>
      <c r="J757" s="20"/>
      <c r="K757" s="20"/>
      <c r="L757" s="20"/>
      <c r="M757" s="23"/>
      <c r="N757" s="23"/>
    </row>
    <row r="758" spans="7:14" ht="15.75" customHeight="1" x14ac:dyDescent="0.25">
      <c r="G758" s="20"/>
      <c r="H758" s="20"/>
      <c r="I758" s="70"/>
      <c r="J758" s="20"/>
      <c r="K758" s="20"/>
      <c r="L758" s="20"/>
      <c r="M758" s="23"/>
      <c r="N758" s="23"/>
    </row>
    <row r="759" spans="7:14" ht="15.75" customHeight="1" x14ac:dyDescent="0.25">
      <c r="G759" s="20"/>
      <c r="H759" s="20"/>
      <c r="I759" s="70"/>
      <c r="J759" s="20"/>
      <c r="K759" s="20"/>
      <c r="L759" s="20"/>
      <c r="M759" s="23"/>
      <c r="N759" s="23"/>
    </row>
    <row r="760" spans="7:14" ht="15.75" customHeight="1" x14ac:dyDescent="0.25">
      <c r="G760" s="20"/>
      <c r="H760" s="20"/>
      <c r="I760" s="70"/>
      <c r="J760" s="20"/>
      <c r="K760" s="20"/>
      <c r="L760" s="20"/>
      <c r="M760" s="23"/>
      <c r="N760" s="23"/>
    </row>
    <row r="761" spans="7:14" ht="15.75" customHeight="1" x14ac:dyDescent="0.25">
      <c r="G761" s="20"/>
      <c r="H761" s="20"/>
      <c r="I761" s="70"/>
      <c r="J761" s="20"/>
      <c r="K761" s="20"/>
      <c r="L761" s="20"/>
      <c r="M761" s="23"/>
      <c r="N761" s="23"/>
    </row>
    <row r="762" spans="7:14" ht="15.75" customHeight="1" x14ac:dyDescent="0.25">
      <c r="G762" s="20"/>
      <c r="H762" s="20"/>
      <c r="I762" s="70"/>
      <c r="J762" s="20"/>
      <c r="K762" s="20"/>
      <c r="L762" s="20"/>
      <c r="M762" s="23"/>
      <c r="N762" s="23"/>
    </row>
    <row r="763" spans="7:14" ht="15.75" customHeight="1" x14ac:dyDescent="0.25">
      <c r="G763" s="20"/>
      <c r="H763" s="20"/>
      <c r="I763" s="70"/>
      <c r="J763" s="20"/>
      <c r="K763" s="20"/>
      <c r="L763" s="20"/>
      <c r="M763" s="23"/>
      <c r="N763" s="23"/>
    </row>
    <row r="764" spans="7:14" ht="15.75" customHeight="1" x14ac:dyDescent="0.25">
      <c r="G764" s="20"/>
      <c r="H764" s="20"/>
      <c r="I764" s="70"/>
      <c r="J764" s="20"/>
      <c r="K764" s="20"/>
      <c r="L764" s="20"/>
      <c r="M764" s="23"/>
      <c r="N764" s="23"/>
    </row>
    <row r="765" spans="7:14" ht="15.75" customHeight="1" x14ac:dyDescent="0.25">
      <c r="G765" s="20"/>
      <c r="H765" s="20"/>
      <c r="I765" s="70"/>
      <c r="J765" s="20"/>
      <c r="K765" s="20"/>
      <c r="L765" s="20"/>
      <c r="M765" s="23"/>
      <c r="N765" s="23"/>
    </row>
    <row r="766" spans="7:14" ht="15.75" customHeight="1" x14ac:dyDescent="0.25">
      <c r="G766" s="20"/>
      <c r="H766" s="20"/>
      <c r="I766" s="70"/>
      <c r="J766" s="20"/>
      <c r="K766" s="20"/>
      <c r="L766" s="20"/>
      <c r="M766" s="23"/>
      <c r="N766" s="23"/>
    </row>
    <row r="767" spans="7:14" ht="15.75" customHeight="1" x14ac:dyDescent="0.25">
      <c r="G767" s="20"/>
      <c r="H767" s="20"/>
      <c r="I767" s="70"/>
      <c r="J767" s="20"/>
      <c r="K767" s="20"/>
      <c r="L767" s="20"/>
      <c r="M767" s="23"/>
      <c r="N767" s="23"/>
    </row>
    <row r="768" spans="7:14" ht="15.75" customHeight="1" x14ac:dyDescent="0.25">
      <c r="G768" s="20"/>
      <c r="H768" s="20"/>
      <c r="I768" s="70"/>
      <c r="J768" s="20"/>
      <c r="K768" s="20"/>
      <c r="L768" s="20"/>
      <c r="M768" s="23"/>
      <c r="N768" s="23"/>
    </row>
    <row r="769" spans="7:14" ht="15.75" customHeight="1" x14ac:dyDescent="0.25">
      <c r="G769" s="20"/>
      <c r="H769" s="20"/>
      <c r="I769" s="70"/>
      <c r="J769" s="20"/>
      <c r="K769" s="20"/>
      <c r="L769" s="20"/>
      <c r="M769" s="23"/>
      <c r="N769" s="23"/>
    </row>
    <row r="770" spans="7:14" ht="15.75" customHeight="1" x14ac:dyDescent="0.25">
      <c r="G770" s="20"/>
      <c r="H770" s="20"/>
      <c r="I770" s="70"/>
      <c r="J770" s="20"/>
      <c r="K770" s="20"/>
      <c r="L770" s="20"/>
      <c r="M770" s="23"/>
      <c r="N770" s="23"/>
    </row>
    <row r="771" spans="7:14" ht="15.75" customHeight="1" x14ac:dyDescent="0.25">
      <c r="G771" s="20"/>
      <c r="H771" s="20"/>
      <c r="I771" s="70"/>
      <c r="J771" s="20"/>
      <c r="K771" s="20"/>
      <c r="L771" s="20"/>
      <c r="M771" s="23"/>
      <c r="N771" s="23"/>
    </row>
    <row r="772" spans="7:14" ht="15.75" customHeight="1" x14ac:dyDescent="0.25">
      <c r="G772" s="20"/>
      <c r="H772" s="20"/>
      <c r="I772" s="70"/>
      <c r="J772" s="20"/>
      <c r="K772" s="20"/>
      <c r="L772" s="20"/>
      <c r="M772" s="23"/>
      <c r="N772" s="23"/>
    </row>
    <row r="773" spans="7:14" ht="15.75" customHeight="1" x14ac:dyDescent="0.25">
      <c r="G773" s="20"/>
      <c r="H773" s="20"/>
      <c r="I773" s="70"/>
      <c r="J773" s="20"/>
      <c r="K773" s="20"/>
      <c r="L773" s="20"/>
      <c r="M773" s="23"/>
      <c r="N773" s="23"/>
    </row>
    <row r="774" spans="7:14" ht="15.75" customHeight="1" x14ac:dyDescent="0.25">
      <c r="G774" s="20"/>
      <c r="H774" s="20"/>
      <c r="I774" s="70"/>
      <c r="J774" s="20"/>
      <c r="K774" s="20"/>
      <c r="L774" s="20"/>
      <c r="M774" s="23"/>
      <c r="N774" s="23"/>
    </row>
    <row r="775" spans="7:14" ht="15.75" customHeight="1" x14ac:dyDescent="0.25">
      <c r="G775" s="20"/>
      <c r="H775" s="20"/>
      <c r="I775" s="70"/>
      <c r="J775" s="20"/>
      <c r="K775" s="20"/>
      <c r="L775" s="20"/>
      <c r="M775" s="23"/>
      <c r="N775" s="23"/>
    </row>
    <row r="776" spans="7:14" ht="15.75" customHeight="1" x14ac:dyDescent="0.25">
      <c r="G776" s="20"/>
      <c r="H776" s="20"/>
      <c r="I776" s="70"/>
      <c r="J776" s="20"/>
      <c r="K776" s="20"/>
      <c r="L776" s="20"/>
      <c r="M776" s="23"/>
      <c r="N776" s="23"/>
    </row>
    <row r="777" spans="7:14" ht="15.75" customHeight="1" x14ac:dyDescent="0.25">
      <c r="G777" s="20"/>
      <c r="H777" s="20"/>
      <c r="I777" s="70"/>
      <c r="J777" s="20"/>
      <c r="K777" s="20"/>
      <c r="L777" s="20"/>
      <c r="M777" s="23"/>
      <c r="N777" s="23"/>
    </row>
    <row r="778" spans="7:14" ht="15.75" customHeight="1" x14ac:dyDescent="0.25">
      <c r="G778" s="20"/>
      <c r="H778" s="20"/>
      <c r="I778" s="70"/>
      <c r="J778" s="20"/>
      <c r="K778" s="20"/>
      <c r="L778" s="20"/>
      <c r="M778" s="23"/>
      <c r="N778" s="23"/>
    </row>
    <row r="779" spans="7:14" ht="15.75" customHeight="1" x14ac:dyDescent="0.25">
      <c r="G779" s="20"/>
      <c r="H779" s="20"/>
      <c r="I779" s="70"/>
      <c r="J779" s="20"/>
      <c r="K779" s="20"/>
      <c r="L779" s="20"/>
      <c r="M779" s="23"/>
      <c r="N779" s="23"/>
    </row>
    <row r="780" spans="7:14" ht="15.75" customHeight="1" x14ac:dyDescent="0.25">
      <c r="G780" s="20"/>
      <c r="H780" s="20"/>
      <c r="I780" s="70"/>
      <c r="J780" s="20"/>
      <c r="K780" s="20"/>
      <c r="L780" s="20"/>
      <c r="M780" s="23"/>
      <c r="N780" s="23"/>
    </row>
    <row r="781" spans="7:14" ht="15.75" customHeight="1" x14ac:dyDescent="0.25">
      <c r="G781" s="20"/>
      <c r="H781" s="20"/>
      <c r="I781" s="70"/>
      <c r="J781" s="20"/>
      <c r="K781" s="20"/>
      <c r="L781" s="20"/>
      <c r="M781" s="23"/>
      <c r="N781" s="23"/>
    </row>
    <row r="782" spans="7:14" ht="15.75" customHeight="1" x14ac:dyDescent="0.25">
      <c r="G782" s="20"/>
      <c r="H782" s="20"/>
      <c r="I782" s="70"/>
      <c r="J782" s="20"/>
      <c r="K782" s="20"/>
      <c r="L782" s="20"/>
      <c r="M782" s="23"/>
      <c r="N782" s="23"/>
    </row>
    <row r="783" spans="7:14" ht="15.75" customHeight="1" x14ac:dyDescent="0.25">
      <c r="G783" s="20"/>
      <c r="H783" s="20"/>
      <c r="I783" s="70"/>
      <c r="J783" s="20"/>
      <c r="K783" s="20"/>
      <c r="L783" s="20"/>
      <c r="M783" s="23"/>
      <c r="N783" s="23"/>
    </row>
    <row r="784" spans="7:14" ht="15.75" customHeight="1" x14ac:dyDescent="0.25">
      <c r="G784" s="20"/>
      <c r="H784" s="20"/>
      <c r="I784" s="70"/>
      <c r="J784" s="20"/>
      <c r="K784" s="20"/>
      <c r="L784" s="20"/>
      <c r="M784" s="23"/>
      <c r="N784" s="23"/>
    </row>
    <row r="785" spans="7:14" ht="15.75" customHeight="1" x14ac:dyDescent="0.25">
      <c r="G785" s="20"/>
      <c r="H785" s="20"/>
      <c r="I785" s="70"/>
      <c r="J785" s="20"/>
      <c r="K785" s="20"/>
      <c r="L785" s="20"/>
      <c r="M785" s="23"/>
      <c r="N785" s="23"/>
    </row>
    <row r="786" spans="7:14" ht="15.75" customHeight="1" x14ac:dyDescent="0.25">
      <c r="G786" s="20"/>
      <c r="H786" s="20"/>
      <c r="I786" s="70"/>
      <c r="J786" s="20"/>
      <c r="K786" s="20"/>
      <c r="L786" s="20"/>
      <c r="M786" s="23"/>
      <c r="N786" s="23"/>
    </row>
    <row r="787" spans="7:14" ht="15.75" customHeight="1" x14ac:dyDescent="0.25">
      <c r="G787" s="20"/>
      <c r="H787" s="20"/>
      <c r="I787" s="70"/>
      <c r="J787" s="20"/>
      <c r="K787" s="20"/>
      <c r="L787" s="20"/>
      <c r="M787" s="23"/>
      <c r="N787" s="23"/>
    </row>
    <row r="788" spans="7:14" ht="15.75" customHeight="1" x14ac:dyDescent="0.25">
      <c r="G788" s="20"/>
      <c r="H788" s="20"/>
      <c r="I788" s="70"/>
      <c r="J788" s="20"/>
      <c r="K788" s="20"/>
      <c r="L788" s="20"/>
      <c r="M788" s="23"/>
      <c r="N788" s="23"/>
    </row>
    <row r="789" spans="7:14" ht="15.75" customHeight="1" x14ac:dyDescent="0.25">
      <c r="G789" s="20"/>
      <c r="H789" s="20"/>
      <c r="I789" s="70"/>
      <c r="J789" s="20"/>
      <c r="K789" s="20"/>
      <c r="L789" s="20"/>
      <c r="M789" s="23"/>
      <c r="N789" s="23"/>
    </row>
    <row r="790" spans="7:14" ht="15.75" customHeight="1" x14ac:dyDescent="0.25">
      <c r="G790" s="20"/>
      <c r="H790" s="20"/>
      <c r="I790" s="70"/>
      <c r="J790" s="20"/>
      <c r="K790" s="20"/>
      <c r="L790" s="20"/>
      <c r="M790" s="23"/>
      <c r="N790" s="23"/>
    </row>
    <row r="791" spans="7:14" ht="15.75" customHeight="1" x14ac:dyDescent="0.25">
      <c r="G791" s="20"/>
      <c r="H791" s="20"/>
      <c r="I791" s="70"/>
      <c r="J791" s="20"/>
      <c r="K791" s="20"/>
      <c r="L791" s="20"/>
      <c r="M791" s="23"/>
      <c r="N791" s="23"/>
    </row>
    <row r="792" spans="7:14" ht="15.75" customHeight="1" x14ac:dyDescent="0.25">
      <c r="G792" s="20"/>
      <c r="H792" s="20"/>
      <c r="I792" s="70"/>
      <c r="J792" s="20"/>
      <c r="K792" s="20"/>
      <c r="L792" s="20"/>
      <c r="M792" s="23"/>
      <c r="N792" s="23"/>
    </row>
    <row r="793" spans="7:14" ht="15.75" customHeight="1" x14ac:dyDescent="0.25">
      <c r="G793" s="20"/>
      <c r="H793" s="20"/>
      <c r="I793" s="70"/>
      <c r="J793" s="20"/>
      <c r="K793" s="20"/>
      <c r="L793" s="20"/>
      <c r="M793" s="23"/>
      <c r="N793" s="23"/>
    </row>
    <row r="794" spans="7:14" ht="15.75" customHeight="1" x14ac:dyDescent="0.25">
      <c r="G794" s="20"/>
      <c r="H794" s="20"/>
      <c r="I794" s="70"/>
      <c r="J794" s="20"/>
      <c r="K794" s="20"/>
      <c r="L794" s="20"/>
      <c r="M794" s="23"/>
      <c r="N794" s="23"/>
    </row>
    <row r="795" spans="7:14" ht="15.75" customHeight="1" x14ac:dyDescent="0.25">
      <c r="G795" s="20"/>
      <c r="H795" s="20"/>
      <c r="I795" s="70"/>
      <c r="J795" s="20"/>
      <c r="K795" s="20"/>
      <c r="L795" s="20"/>
      <c r="M795" s="23"/>
      <c r="N795" s="23"/>
    </row>
    <row r="796" spans="7:14" ht="15.75" customHeight="1" x14ac:dyDescent="0.25">
      <c r="G796" s="20"/>
      <c r="H796" s="20"/>
      <c r="I796" s="70"/>
      <c r="J796" s="20"/>
      <c r="K796" s="20"/>
      <c r="L796" s="20"/>
      <c r="M796" s="23"/>
      <c r="N796" s="23"/>
    </row>
    <row r="797" spans="7:14" ht="15.75" customHeight="1" x14ac:dyDescent="0.25">
      <c r="G797" s="20"/>
      <c r="H797" s="20"/>
      <c r="I797" s="70"/>
      <c r="J797" s="20"/>
      <c r="K797" s="20"/>
      <c r="L797" s="20"/>
      <c r="M797" s="23"/>
      <c r="N797" s="23"/>
    </row>
    <row r="798" spans="7:14" ht="15.75" customHeight="1" x14ac:dyDescent="0.25">
      <c r="G798" s="20"/>
      <c r="H798" s="20"/>
      <c r="I798" s="70"/>
      <c r="J798" s="20"/>
      <c r="K798" s="20"/>
      <c r="L798" s="20"/>
      <c r="M798" s="23"/>
      <c r="N798" s="23"/>
    </row>
    <row r="799" spans="7:14" ht="15.75" customHeight="1" x14ac:dyDescent="0.25">
      <c r="G799" s="20"/>
      <c r="H799" s="20"/>
      <c r="I799" s="70"/>
      <c r="J799" s="20"/>
      <c r="K799" s="20"/>
      <c r="L799" s="20"/>
      <c r="M799" s="23"/>
      <c r="N799" s="23"/>
    </row>
    <row r="800" spans="7:14" ht="15.75" customHeight="1" x14ac:dyDescent="0.25">
      <c r="G800" s="20"/>
      <c r="H800" s="20"/>
      <c r="I800" s="70"/>
      <c r="J800" s="20"/>
      <c r="K800" s="20"/>
      <c r="L800" s="20"/>
      <c r="M800" s="23"/>
      <c r="N800" s="23"/>
    </row>
    <row r="801" spans="7:14" ht="15.75" customHeight="1" x14ac:dyDescent="0.25">
      <c r="G801" s="20"/>
      <c r="H801" s="20"/>
      <c r="I801" s="70"/>
      <c r="J801" s="20"/>
      <c r="K801" s="20"/>
      <c r="L801" s="20"/>
      <c r="M801" s="23"/>
      <c r="N801" s="23"/>
    </row>
    <row r="802" spans="7:14" ht="15.75" customHeight="1" x14ac:dyDescent="0.25">
      <c r="G802" s="20"/>
      <c r="H802" s="20"/>
      <c r="I802" s="70"/>
      <c r="J802" s="20"/>
      <c r="K802" s="20"/>
      <c r="L802" s="20"/>
      <c r="M802" s="23"/>
      <c r="N802" s="23"/>
    </row>
    <row r="803" spans="7:14" ht="15.75" customHeight="1" x14ac:dyDescent="0.25">
      <c r="G803" s="20"/>
      <c r="H803" s="20"/>
      <c r="I803" s="70"/>
      <c r="J803" s="20"/>
      <c r="K803" s="20"/>
      <c r="L803" s="20"/>
      <c r="M803" s="23"/>
      <c r="N803" s="23"/>
    </row>
    <row r="804" spans="7:14" ht="15.75" customHeight="1" x14ac:dyDescent="0.25">
      <c r="G804" s="20"/>
      <c r="H804" s="20"/>
      <c r="I804" s="70"/>
      <c r="J804" s="20"/>
      <c r="K804" s="20"/>
      <c r="L804" s="20"/>
      <c r="M804" s="23"/>
      <c r="N804" s="23"/>
    </row>
    <row r="805" spans="7:14" ht="15.75" customHeight="1" x14ac:dyDescent="0.25">
      <c r="G805" s="20"/>
      <c r="H805" s="20"/>
      <c r="I805" s="70"/>
      <c r="J805" s="20"/>
      <c r="K805" s="20"/>
      <c r="L805" s="20"/>
      <c r="M805" s="23"/>
      <c r="N805" s="23"/>
    </row>
    <row r="806" spans="7:14" ht="15.75" customHeight="1" x14ac:dyDescent="0.25">
      <c r="G806" s="20"/>
      <c r="H806" s="20"/>
      <c r="I806" s="70"/>
      <c r="J806" s="20"/>
      <c r="K806" s="20"/>
      <c r="L806" s="20"/>
      <c r="M806" s="23"/>
      <c r="N806" s="23"/>
    </row>
    <row r="807" spans="7:14" ht="15.75" customHeight="1" x14ac:dyDescent="0.25">
      <c r="G807" s="20"/>
      <c r="H807" s="20"/>
      <c r="I807" s="70"/>
      <c r="J807" s="20"/>
      <c r="K807" s="20"/>
      <c r="L807" s="20"/>
      <c r="M807" s="23"/>
      <c r="N807" s="23"/>
    </row>
    <row r="808" spans="7:14" ht="15.75" customHeight="1" x14ac:dyDescent="0.25">
      <c r="G808" s="20"/>
      <c r="H808" s="20"/>
      <c r="I808" s="70"/>
      <c r="J808" s="20"/>
      <c r="K808" s="20"/>
      <c r="L808" s="20"/>
      <c r="M808" s="23"/>
      <c r="N808" s="23"/>
    </row>
    <row r="809" spans="7:14" ht="15.75" customHeight="1" x14ac:dyDescent="0.25">
      <c r="G809" s="20"/>
      <c r="H809" s="20"/>
      <c r="I809" s="70"/>
      <c r="J809" s="20"/>
      <c r="K809" s="20"/>
      <c r="L809" s="20"/>
      <c r="M809" s="23"/>
      <c r="N809" s="23"/>
    </row>
    <row r="810" spans="7:14" ht="15.75" customHeight="1" x14ac:dyDescent="0.25">
      <c r="G810" s="20"/>
      <c r="H810" s="20"/>
      <c r="I810" s="70"/>
      <c r="J810" s="20"/>
      <c r="K810" s="20"/>
      <c r="L810" s="20"/>
      <c r="M810" s="23"/>
      <c r="N810" s="23"/>
    </row>
    <row r="811" spans="7:14" ht="15.75" customHeight="1" x14ac:dyDescent="0.25">
      <c r="G811" s="20"/>
      <c r="H811" s="20"/>
      <c r="I811" s="70"/>
      <c r="J811" s="20"/>
      <c r="K811" s="20"/>
      <c r="L811" s="20"/>
      <c r="M811" s="23"/>
      <c r="N811" s="23"/>
    </row>
    <row r="812" spans="7:14" ht="15.75" customHeight="1" x14ac:dyDescent="0.25">
      <c r="G812" s="20"/>
      <c r="H812" s="20"/>
      <c r="I812" s="70"/>
      <c r="J812" s="20"/>
      <c r="K812" s="20"/>
      <c r="L812" s="20"/>
      <c r="M812" s="23"/>
      <c r="N812" s="23"/>
    </row>
    <row r="813" spans="7:14" ht="15.75" customHeight="1" x14ac:dyDescent="0.25">
      <c r="G813" s="20"/>
      <c r="H813" s="20"/>
      <c r="I813" s="70"/>
      <c r="J813" s="20"/>
      <c r="K813" s="20"/>
      <c r="L813" s="20"/>
      <c r="M813" s="23"/>
      <c r="N813" s="23"/>
    </row>
    <row r="814" spans="7:14" ht="15.75" customHeight="1" x14ac:dyDescent="0.25">
      <c r="G814" s="20"/>
      <c r="H814" s="20"/>
      <c r="I814" s="70"/>
      <c r="J814" s="20"/>
      <c r="K814" s="20"/>
      <c r="L814" s="20"/>
      <c r="M814" s="23"/>
      <c r="N814" s="23"/>
    </row>
    <row r="815" spans="7:14" ht="15.75" customHeight="1" x14ac:dyDescent="0.25">
      <c r="G815" s="20"/>
      <c r="H815" s="20"/>
      <c r="I815" s="70"/>
      <c r="J815" s="20"/>
      <c r="K815" s="20"/>
      <c r="L815" s="20"/>
      <c r="M815" s="23"/>
      <c r="N815" s="23"/>
    </row>
    <row r="816" spans="7:14" ht="15.75" customHeight="1" x14ac:dyDescent="0.25">
      <c r="G816" s="20"/>
      <c r="H816" s="20"/>
      <c r="I816" s="70"/>
      <c r="J816" s="20"/>
      <c r="K816" s="20"/>
      <c r="L816" s="20"/>
      <c r="M816" s="23"/>
      <c r="N816" s="23"/>
    </row>
    <row r="817" spans="7:14" ht="15.75" customHeight="1" x14ac:dyDescent="0.25">
      <c r="G817" s="20"/>
      <c r="H817" s="20"/>
      <c r="I817" s="70"/>
      <c r="J817" s="20"/>
      <c r="K817" s="20"/>
      <c r="L817" s="20"/>
      <c r="M817" s="23"/>
      <c r="N817" s="23"/>
    </row>
    <row r="818" spans="7:14" ht="15.75" customHeight="1" x14ac:dyDescent="0.25">
      <c r="G818" s="20"/>
      <c r="H818" s="20"/>
      <c r="I818" s="70"/>
      <c r="J818" s="20"/>
      <c r="K818" s="20"/>
      <c r="L818" s="20"/>
      <c r="M818" s="23"/>
      <c r="N818" s="23"/>
    </row>
    <row r="819" spans="7:14" ht="15.75" customHeight="1" x14ac:dyDescent="0.25">
      <c r="G819" s="20"/>
      <c r="H819" s="20"/>
      <c r="I819" s="70"/>
      <c r="J819" s="20"/>
      <c r="K819" s="20"/>
      <c r="L819" s="20"/>
      <c r="M819" s="23"/>
      <c r="N819" s="23"/>
    </row>
    <row r="820" spans="7:14" ht="15.75" customHeight="1" x14ac:dyDescent="0.25">
      <c r="G820" s="20"/>
      <c r="H820" s="20"/>
      <c r="I820" s="70"/>
      <c r="J820" s="20"/>
      <c r="K820" s="20"/>
      <c r="L820" s="20"/>
      <c r="M820" s="23"/>
      <c r="N820" s="23"/>
    </row>
    <row r="821" spans="7:14" ht="15.75" customHeight="1" x14ac:dyDescent="0.25">
      <c r="G821" s="20"/>
      <c r="H821" s="20"/>
      <c r="I821" s="70"/>
      <c r="J821" s="20"/>
      <c r="K821" s="20"/>
      <c r="L821" s="20"/>
      <c r="M821" s="23"/>
      <c r="N821" s="23"/>
    </row>
    <row r="822" spans="7:14" ht="15.75" customHeight="1" x14ac:dyDescent="0.25">
      <c r="G822" s="20"/>
      <c r="H822" s="20"/>
      <c r="I822" s="70"/>
      <c r="J822" s="20"/>
      <c r="K822" s="20"/>
      <c r="L822" s="20"/>
      <c r="M822" s="23"/>
      <c r="N822" s="23"/>
    </row>
    <row r="823" spans="7:14" ht="15.75" customHeight="1" x14ac:dyDescent="0.25">
      <c r="G823" s="20"/>
      <c r="H823" s="20"/>
      <c r="I823" s="70"/>
      <c r="J823" s="20"/>
      <c r="K823" s="20"/>
      <c r="L823" s="20"/>
      <c r="M823" s="23"/>
      <c r="N823" s="23"/>
    </row>
    <row r="824" spans="7:14" ht="15.75" customHeight="1" x14ac:dyDescent="0.25">
      <c r="G824" s="20"/>
      <c r="H824" s="20"/>
      <c r="I824" s="70"/>
      <c r="J824" s="20"/>
      <c r="K824" s="20"/>
      <c r="L824" s="20"/>
      <c r="M824" s="23"/>
      <c r="N824" s="23"/>
    </row>
    <row r="825" spans="7:14" ht="15.75" customHeight="1" x14ac:dyDescent="0.25">
      <c r="G825" s="20"/>
      <c r="H825" s="20"/>
      <c r="I825" s="70"/>
      <c r="J825" s="20"/>
      <c r="K825" s="20"/>
      <c r="L825" s="20"/>
      <c r="M825" s="23"/>
      <c r="N825" s="23"/>
    </row>
    <row r="826" spans="7:14" ht="15.75" customHeight="1" x14ac:dyDescent="0.25">
      <c r="G826" s="20"/>
      <c r="H826" s="20"/>
      <c r="I826" s="70"/>
      <c r="J826" s="20"/>
      <c r="K826" s="20"/>
      <c r="L826" s="20"/>
      <c r="M826" s="23"/>
      <c r="N826" s="23"/>
    </row>
    <row r="827" spans="7:14" ht="15.75" customHeight="1" x14ac:dyDescent="0.25">
      <c r="G827" s="20"/>
      <c r="H827" s="20"/>
      <c r="I827" s="70"/>
      <c r="J827" s="20"/>
      <c r="K827" s="20"/>
      <c r="L827" s="20"/>
      <c r="M827" s="23"/>
      <c r="N827" s="23"/>
    </row>
    <row r="828" spans="7:14" ht="15.75" customHeight="1" x14ac:dyDescent="0.25">
      <c r="G828" s="20"/>
      <c r="H828" s="20"/>
      <c r="I828" s="70"/>
      <c r="J828" s="20"/>
      <c r="K828" s="20"/>
      <c r="L828" s="20"/>
      <c r="M828" s="23"/>
      <c r="N828" s="23"/>
    </row>
    <row r="829" spans="7:14" ht="15.75" customHeight="1" x14ac:dyDescent="0.25">
      <c r="G829" s="20"/>
      <c r="H829" s="20"/>
      <c r="I829" s="70"/>
      <c r="J829" s="20"/>
      <c r="K829" s="20"/>
      <c r="L829" s="20"/>
      <c r="M829" s="23"/>
      <c r="N829" s="23"/>
    </row>
    <row r="830" spans="7:14" ht="15.75" customHeight="1" x14ac:dyDescent="0.25">
      <c r="G830" s="20"/>
      <c r="H830" s="20"/>
      <c r="I830" s="70"/>
      <c r="J830" s="20"/>
      <c r="K830" s="20"/>
      <c r="L830" s="20"/>
      <c r="M830" s="23"/>
      <c r="N830" s="23"/>
    </row>
    <row r="831" spans="7:14" ht="15.75" customHeight="1" x14ac:dyDescent="0.25">
      <c r="G831" s="20"/>
      <c r="H831" s="20"/>
      <c r="I831" s="70"/>
      <c r="J831" s="20"/>
      <c r="K831" s="20"/>
      <c r="L831" s="20"/>
      <c r="M831" s="23"/>
      <c r="N831" s="23"/>
    </row>
    <row r="832" spans="7:14" ht="15.75" customHeight="1" x14ac:dyDescent="0.25">
      <c r="G832" s="20"/>
      <c r="H832" s="20"/>
      <c r="I832" s="70"/>
      <c r="J832" s="20"/>
      <c r="K832" s="20"/>
      <c r="L832" s="20"/>
      <c r="M832" s="23"/>
      <c r="N832" s="23"/>
    </row>
    <row r="833" spans="7:14" ht="15.75" customHeight="1" x14ac:dyDescent="0.25">
      <c r="G833" s="20"/>
      <c r="H833" s="20"/>
      <c r="I833" s="70"/>
      <c r="J833" s="20"/>
      <c r="K833" s="20"/>
      <c r="L833" s="20"/>
      <c r="M833" s="23"/>
      <c r="N833" s="23"/>
    </row>
    <row r="834" spans="7:14" ht="15.75" customHeight="1" x14ac:dyDescent="0.25">
      <c r="G834" s="20"/>
      <c r="H834" s="20"/>
      <c r="I834" s="70"/>
      <c r="J834" s="20"/>
      <c r="K834" s="20"/>
      <c r="L834" s="20"/>
      <c r="M834" s="23"/>
      <c r="N834" s="23"/>
    </row>
    <row r="835" spans="7:14" ht="15.75" customHeight="1" x14ac:dyDescent="0.25">
      <c r="G835" s="20"/>
      <c r="H835" s="20"/>
      <c r="I835" s="70"/>
      <c r="J835" s="20"/>
      <c r="K835" s="20"/>
      <c r="L835" s="20"/>
      <c r="M835" s="23"/>
      <c r="N835" s="23"/>
    </row>
    <row r="836" spans="7:14" ht="15.75" customHeight="1" x14ac:dyDescent="0.25">
      <c r="G836" s="20"/>
      <c r="H836" s="20"/>
      <c r="I836" s="70"/>
      <c r="J836" s="20"/>
      <c r="K836" s="20"/>
      <c r="L836" s="20"/>
      <c r="M836" s="23"/>
      <c r="N836" s="23"/>
    </row>
    <row r="837" spans="7:14" ht="15.75" customHeight="1" x14ac:dyDescent="0.25">
      <c r="G837" s="20"/>
      <c r="H837" s="20"/>
      <c r="I837" s="70"/>
      <c r="J837" s="20"/>
      <c r="K837" s="20"/>
      <c r="L837" s="20"/>
      <c r="M837" s="23"/>
      <c r="N837" s="23"/>
    </row>
    <row r="838" spans="7:14" ht="15.75" customHeight="1" x14ac:dyDescent="0.25">
      <c r="G838" s="20"/>
      <c r="H838" s="20"/>
      <c r="I838" s="70"/>
      <c r="J838" s="20"/>
      <c r="K838" s="20"/>
      <c r="L838" s="20"/>
      <c r="M838" s="23"/>
      <c r="N838" s="23"/>
    </row>
    <row r="839" spans="7:14" ht="15.75" customHeight="1" x14ac:dyDescent="0.25">
      <c r="G839" s="20"/>
      <c r="H839" s="20"/>
      <c r="I839" s="70"/>
      <c r="J839" s="20"/>
      <c r="K839" s="20"/>
      <c r="L839" s="20"/>
      <c r="M839" s="23"/>
      <c r="N839" s="23"/>
    </row>
    <row r="840" spans="7:14" ht="15.75" customHeight="1" x14ac:dyDescent="0.25">
      <c r="G840" s="20"/>
      <c r="H840" s="20"/>
      <c r="I840" s="70"/>
      <c r="J840" s="20"/>
      <c r="K840" s="20"/>
      <c r="L840" s="20"/>
      <c r="M840" s="23"/>
      <c r="N840" s="23"/>
    </row>
    <row r="841" spans="7:14" ht="15.75" customHeight="1" x14ac:dyDescent="0.25">
      <c r="G841" s="20"/>
      <c r="H841" s="20"/>
      <c r="I841" s="70"/>
      <c r="J841" s="20"/>
      <c r="K841" s="20"/>
      <c r="L841" s="20"/>
      <c r="M841" s="23"/>
      <c r="N841" s="23"/>
    </row>
    <row r="842" spans="7:14" ht="15.75" customHeight="1" x14ac:dyDescent="0.25">
      <c r="G842" s="20"/>
      <c r="H842" s="20"/>
      <c r="I842" s="70"/>
      <c r="J842" s="20"/>
      <c r="K842" s="20"/>
      <c r="L842" s="20"/>
      <c r="M842" s="23"/>
      <c r="N842" s="23"/>
    </row>
    <row r="843" spans="7:14" ht="15.75" customHeight="1" x14ac:dyDescent="0.25">
      <c r="G843" s="20"/>
      <c r="H843" s="20"/>
      <c r="I843" s="70"/>
      <c r="J843" s="20"/>
      <c r="K843" s="20"/>
      <c r="L843" s="20"/>
      <c r="M843" s="23"/>
      <c r="N843" s="23"/>
    </row>
    <row r="844" spans="7:14" ht="15.75" customHeight="1" x14ac:dyDescent="0.25">
      <c r="G844" s="20"/>
      <c r="H844" s="20"/>
      <c r="I844" s="70"/>
      <c r="J844" s="20"/>
      <c r="K844" s="20"/>
      <c r="L844" s="20"/>
      <c r="M844" s="23"/>
      <c r="N844" s="23"/>
    </row>
    <row r="845" spans="7:14" ht="15.75" customHeight="1" x14ac:dyDescent="0.25">
      <c r="G845" s="20"/>
      <c r="H845" s="20"/>
      <c r="I845" s="70"/>
      <c r="J845" s="20"/>
      <c r="K845" s="20"/>
      <c r="L845" s="20"/>
      <c r="M845" s="23"/>
      <c r="N845" s="23"/>
    </row>
    <row r="846" spans="7:14" ht="15.75" customHeight="1" x14ac:dyDescent="0.25">
      <c r="G846" s="20"/>
      <c r="H846" s="20"/>
      <c r="I846" s="70"/>
      <c r="J846" s="20"/>
      <c r="K846" s="20"/>
      <c r="L846" s="20"/>
      <c r="M846" s="23"/>
      <c r="N846" s="23"/>
    </row>
    <row r="847" spans="7:14" ht="15.75" customHeight="1" x14ac:dyDescent="0.25">
      <c r="G847" s="20"/>
      <c r="H847" s="20"/>
      <c r="I847" s="70"/>
      <c r="J847" s="20"/>
      <c r="K847" s="20"/>
      <c r="L847" s="20"/>
      <c r="M847" s="23"/>
      <c r="N847" s="23"/>
    </row>
    <row r="848" spans="7:14" ht="15.75" customHeight="1" x14ac:dyDescent="0.25">
      <c r="G848" s="20"/>
      <c r="H848" s="20"/>
      <c r="I848" s="70"/>
      <c r="J848" s="20"/>
      <c r="K848" s="20"/>
      <c r="L848" s="20"/>
      <c r="M848" s="23"/>
      <c r="N848" s="23"/>
    </row>
    <row r="849" spans="7:14" ht="15.75" customHeight="1" x14ac:dyDescent="0.25">
      <c r="G849" s="20"/>
      <c r="H849" s="20"/>
      <c r="I849" s="70"/>
      <c r="J849" s="20"/>
      <c r="K849" s="20"/>
      <c r="L849" s="20"/>
      <c r="M849" s="23"/>
      <c r="N849" s="23"/>
    </row>
    <row r="850" spans="7:14" ht="15.75" customHeight="1" x14ac:dyDescent="0.25">
      <c r="G850" s="20"/>
      <c r="H850" s="20"/>
      <c r="I850" s="70"/>
      <c r="J850" s="20"/>
      <c r="K850" s="20"/>
      <c r="L850" s="20"/>
      <c r="M850" s="23"/>
      <c r="N850" s="23"/>
    </row>
    <row r="851" spans="7:14" ht="15.75" customHeight="1" x14ac:dyDescent="0.25">
      <c r="G851" s="20"/>
      <c r="H851" s="20"/>
      <c r="I851" s="70"/>
      <c r="J851" s="20"/>
      <c r="K851" s="20"/>
      <c r="L851" s="20"/>
      <c r="M851" s="23"/>
      <c r="N851" s="23"/>
    </row>
    <row r="852" spans="7:14" ht="15.75" customHeight="1" x14ac:dyDescent="0.25">
      <c r="G852" s="20"/>
      <c r="H852" s="20"/>
      <c r="I852" s="70"/>
      <c r="J852" s="20"/>
      <c r="K852" s="20"/>
      <c r="L852" s="20"/>
      <c r="M852" s="23"/>
      <c r="N852" s="23"/>
    </row>
    <row r="853" spans="7:14" ht="15.75" customHeight="1" x14ac:dyDescent="0.25">
      <c r="G853" s="20"/>
      <c r="H853" s="20"/>
      <c r="I853" s="70"/>
      <c r="J853" s="20"/>
      <c r="K853" s="20"/>
      <c r="L853" s="20"/>
      <c r="M853" s="23"/>
      <c r="N853" s="23"/>
    </row>
    <row r="854" spans="7:14" ht="15.75" customHeight="1" x14ac:dyDescent="0.25">
      <c r="G854" s="20"/>
      <c r="H854" s="20"/>
      <c r="I854" s="70"/>
      <c r="J854" s="20"/>
      <c r="K854" s="20"/>
      <c r="L854" s="20"/>
      <c r="M854" s="23"/>
      <c r="N854" s="23"/>
    </row>
    <row r="855" spans="7:14" ht="15.75" customHeight="1" x14ac:dyDescent="0.25">
      <c r="G855" s="20"/>
      <c r="H855" s="20"/>
      <c r="I855" s="70"/>
      <c r="J855" s="20"/>
      <c r="K855" s="20"/>
      <c r="L855" s="20"/>
      <c r="M855" s="23"/>
      <c r="N855" s="23"/>
    </row>
    <row r="856" spans="7:14" ht="15.75" customHeight="1" x14ac:dyDescent="0.25">
      <c r="G856" s="20"/>
      <c r="H856" s="20"/>
      <c r="I856" s="70"/>
      <c r="J856" s="20"/>
      <c r="K856" s="20"/>
      <c r="L856" s="20"/>
      <c r="M856" s="23"/>
      <c r="N856" s="23"/>
    </row>
    <row r="857" spans="7:14" ht="15.75" customHeight="1" x14ac:dyDescent="0.25">
      <c r="G857" s="20"/>
      <c r="H857" s="20"/>
      <c r="I857" s="70"/>
      <c r="J857" s="20"/>
      <c r="K857" s="20"/>
      <c r="L857" s="20"/>
      <c r="M857" s="23"/>
      <c r="N857" s="23"/>
    </row>
    <row r="858" spans="7:14" ht="15.75" customHeight="1" x14ac:dyDescent="0.25">
      <c r="G858" s="20"/>
      <c r="H858" s="20"/>
      <c r="I858" s="70"/>
      <c r="J858" s="20"/>
      <c r="K858" s="20"/>
      <c r="L858" s="20"/>
      <c r="M858" s="23"/>
      <c r="N858" s="23"/>
    </row>
    <row r="859" spans="7:14" ht="15.75" customHeight="1" x14ac:dyDescent="0.25">
      <c r="G859" s="20"/>
      <c r="H859" s="20"/>
      <c r="I859" s="70"/>
      <c r="J859" s="20"/>
      <c r="K859" s="20"/>
      <c r="L859" s="20"/>
      <c r="M859" s="23"/>
      <c r="N859" s="23"/>
    </row>
    <row r="860" spans="7:14" ht="15.75" customHeight="1" x14ac:dyDescent="0.25">
      <c r="G860" s="20"/>
      <c r="H860" s="20"/>
      <c r="I860" s="70"/>
      <c r="J860" s="20"/>
      <c r="K860" s="20"/>
      <c r="L860" s="20"/>
      <c r="M860" s="23"/>
      <c r="N860" s="23"/>
    </row>
    <row r="861" spans="7:14" ht="15.75" customHeight="1" x14ac:dyDescent="0.25">
      <c r="G861" s="20"/>
      <c r="H861" s="20"/>
      <c r="I861" s="70"/>
      <c r="J861" s="20"/>
      <c r="K861" s="20"/>
      <c r="L861" s="20"/>
      <c r="M861" s="23"/>
      <c r="N861" s="23"/>
    </row>
    <row r="862" spans="7:14" ht="15.75" customHeight="1" x14ac:dyDescent="0.25">
      <c r="G862" s="20"/>
      <c r="H862" s="20"/>
      <c r="I862" s="70"/>
      <c r="J862" s="20"/>
      <c r="K862" s="20"/>
      <c r="L862" s="20"/>
      <c r="M862" s="23"/>
      <c r="N862" s="23"/>
    </row>
    <row r="863" spans="7:14" ht="15.75" customHeight="1" x14ac:dyDescent="0.25">
      <c r="G863" s="20"/>
      <c r="H863" s="20"/>
      <c r="I863" s="70"/>
      <c r="J863" s="20"/>
      <c r="K863" s="20"/>
      <c r="L863" s="20"/>
      <c r="M863" s="23"/>
      <c r="N863" s="23"/>
    </row>
    <row r="864" spans="7:14" ht="15.75" customHeight="1" x14ac:dyDescent="0.25">
      <c r="G864" s="20"/>
      <c r="H864" s="20"/>
      <c r="I864" s="70"/>
      <c r="J864" s="20"/>
      <c r="K864" s="20"/>
      <c r="L864" s="20"/>
      <c r="M864" s="23"/>
      <c r="N864" s="23"/>
    </row>
    <row r="865" spans="7:14" ht="15.75" customHeight="1" x14ac:dyDescent="0.25">
      <c r="G865" s="20"/>
      <c r="H865" s="20"/>
      <c r="I865" s="70"/>
      <c r="J865" s="20"/>
      <c r="K865" s="20"/>
      <c r="L865" s="20"/>
      <c r="M865" s="23"/>
      <c r="N865" s="23"/>
    </row>
    <row r="866" spans="7:14" ht="15.75" customHeight="1" x14ac:dyDescent="0.25">
      <c r="G866" s="20"/>
      <c r="H866" s="20"/>
      <c r="I866" s="70"/>
      <c r="J866" s="20"/>
      <c r="K866" s="20"/>
      <c r="L866" s="20"/>
      <c r="M866" s="23"/>
      <c r="N866" s="23"/>
    </row>
    <row r="867" spans="7:14" ht="15.75" customHeight="1" x14ac:dyDescent="0.25">
      <c r="G867" s="20"/>
      <c r="H867" s="20"/>
      <c r="I867" s="70"/>
      <c r="J867" s="20"/>
      <c r="K867" s="20"/>
      <c r="L867" s="20"/>
      <c r="M867" s="23"/>
      <c r="N867" s="23"/>
    </row>
    <row r="868" spans="7:14" ht="15.75" customHeight="1" x14ac:dyDescent="0.25">
      <c r="G868" s="20"/>
      <c r="H868" s="20"/>
      <c r="I868" s="70"/>
      <c r="J868" s="20"/>
      <c r="K868" s="20"/>
      <c r="L868" s="20"/>
      <c r="M868" s="23"/>
      <c r="N868" s="23"/>
    </row>
    <row r="869" spans="7:14" ht="15.75" customHeight="1" x14ac:dyDescent="0.25">
      <c r="G869" s="20"/>
      <c r="H869" s="20"/>
      <c r="I869" s="70"/>
      <c r="J869" s="20"/>
      <c r="K869" s="20"/>
      <c r="L869" s="20"/>
      <c r="M869" s="23"/>
      <c r="N869" s="23"/>
    </row>
    <row r="870" spans="7:14" ht="15.75" customHeight="1" x14ac:dyDescent="0.25">
      <c r="G870" s="20"/>
      <c r="H870" s="20"/>
      <c r="I870" s="70"/>
      <c r="J870" s="20"/>
      <c r="K870" s="20"/>
      <c r="L870" s="20"/>
      <c r="M870" s="23"/>
      <c r="N870" s="23"/>
    </row>
    <row r="871" spans="7:14" ht="15.75" customHeight="1" x14ac:dyDescent="0.25">
      <c r="G871" s="20"/>
      <c r="H871" s="20"/>
      <c r="I871" s="70"/>
      <c r="J871" s="20"/>
      <c r="K871" s="20"/>
      <c r="L871" s="20"/>
      <c r="M871" s="23"/>
      <c r="N871" s="23"/>
    </row>
    <row r="872" spans="7:14" ht="15.75" customHeight="1" x14ac:dyDescent="0.25">
      <c r="G872" s="20"/>
      <c r="H872" s="20"/>
      <c r="I872" s="70"/>
      <c r="J872" s="20"/>
      <c r="K872" s="20"/>
      <c r="L872" s="20"/>
      <c r="M872" s="23"/>
      <c r="N872" s="23"/>
    </row>
    <row r="873" spans="7:14" ht="15.75" customHeight="1" x14ac:dyDescent="0.25">
      <c r="G873" s="20"/>
      <c r="H873" s="20"/>
      <c r="I873" s="70"/>
      <c r="J873" s="20"/>
      <c r="K873" s="20"/>
      <c r="L873" s="20"/>
      <c r="M873" s="23"/>
      <c r="N873" s="23"/>
    </row>
    <row r="874" spans="7:14" ht="15.75" customHeight="1" x14ac:dyDescent="0.25">
      <c r="G874" s="20"/>
      <c r="H874" s="20"/>
      <c r="I874" s="70"/>
      <c r="J874" s="20"/>
      <c r="K874" s="20"/>
      <c r="L874" s="20"/>
      <c r="M874" s="23"/>
      <c r="N874" s="23"/>
    </row>
    <row r="875" spans="7:14" ht="15.75" customHeight="1" x14ac:dyDescent="0.25">
      <c r="G875" s="20"/>
      <c r="H875" s="20"/>
      <c r="I875" s="70"/>
      <c r="J875" s="20"/>
      <c r="K875" s="20"/>
      <c r="L875" s="20"/>
      <c r="M875" s="23"/>
      <c r="N875" s="23"/>
    </row>
    <row r="876" spans="7:14" ht="15.75" customHeight="1" x14ac:dyDescent="0.25">
      <c r="G876" s="20"/>
      <c r="H876" s="20"/>
      <c r="I876" s="70"/>
      <c r="J876" s="20"/>
      <c r="K876" s="20"/>
      <c r="L876" s="20"/>
      <c r="M876" s="23"/>
      <c r="N876" s="23"/>
    </row>
    <row r="877" spans="7:14" ht="15.75" customHeight="1" x14ac:dyDescent="0.25">
      <c r="G877" s="20"/>
      <c r="H877" s="20"/>
      <c r="I877" s="70"/>
      <c r="J877" s="20"/>
      <c r="K877" s="20"/>
      <c r="L877" s="20"/>
      <c r="M877" s="23"/>
      <c r="N877" s="23"/>
    </row>
    <row r="878" spans="7:14" ht="15.75" customHeight="1" x14ac:dyDescent="0.25">
      <c r="G878" s="20"/>
      <c r="H878" s="20"/>
      <c r="I878" s="70"/>
      <c r="J878" s="20"/>
      <c r="K878" s="20"/>
      <c r="L878" s="20"/>
      <c r="M878" s="23"/>
      <c r="N878" s="23"/>
    </row>
    <row r="879" spans="7:14" ht="15.75" customHeight="1" x14ac:dyDescent="0.25">
      <c r="G879" s="20"/>
      <c r="H879" s="20"/>
      <c r="I879" s="70"/>
      <c r="J879" s="20"/>
      <c r="K879" s="20"/>
      <c r="L879" s="20"/>
      <c r="M879" s="23"/>
      <c r="N879" s="23"/>
    </row>
    <row r="880" spans="7:14" ht="15.75" customHeight="1" x14ac:dyDescent="0.25">
      <c r="G880" s="20"/>
      <c r="H880" s="20"/>
      <c r="I880" s="70"/>
      <c r="J880" s="20"/>
      <c r="K880" s="20"/>
      <c r="L880" s="20"/>
      <c r="M880" s="23"/>
      <c r="N880" s="23"/>
    </row>
    <row r="881" spans="7:14" ht="15.75" customHeight="1" x14ac:dyDescent="0.25">
      <c r="G881" s="20"/>
      <c r="H881" s="20"/>
      <c r="I881" s="70"/>
      <c r="J881" s="20"/>
      <c r="K881" s="20"/>
      <c r="L881" s="20"/>
      <c r="M881" s="23"/>
      <c r="N881" s="23"/>
    </row>
    <row r="882" spans="7:14" ht="15.75" customHeight="1" x14ac:dyDescent="0.25">
      <c r="G882" s="20"/>
      <c r="H882" s="20"/>
      <c r="I882" s="70"/>
      <c r="J882" s="20"/>
      <c r="K882" s="20"/>
      <c r="L882" s="20"/>
      <c r="M882" s="23"/>
      <c r="N882" s="23"/>
    </row>
    <row r="883" spans="7:14" ht="15.75" customHeight="1" x14ac:dyDescent="0.25">
      <c r="G883" s="20"/>
      <c r="H883" s="20"/>
      <c r="I883" s="70"/>
      <c r="J883" s="20"/>
      <c r="K883" s="20"/>
      <c r="L883" s="20"/>
      <c r="M883" s="23"/>
      <c r="N883" s="23"/>
    </row>
    <row r="884" spans="7:14" ht="15.75" customHeight="1" x14ac:dyDescent="0.25">
      <c r="G884" s="20"/>
      <c r="H884" s="20"/>
      <c r="I884" s="70"/>
      <c r="J884" s="20"/>
      <c r="K884" s="20"/>
      <c r="L884" s="20"/>
      <c r="M884" s="23"/>
      <c r="N884" s="23"/>
    </row>
    <row r="885" spans="7:14" ht="15.75" customHeight="1" x14ac:dyDescent="0.25">
      <c r="G885" s="20"/>
      <c r="H885" s="20"/>
      <c r="I885" s="70"/>
      <c r="J885" s="20"/>
      <c r="K885" s="20"/>
      <c r="L885" s="20"/>
      <c r="M885" s="23"/>
      <c r="N885" s="23"/>
    </row>
    <row r="886" spans="7:14" ht="15.75" customHeight="1" x14ac:dyDescent="0.25">
      <c r="G886" s="20"/>
      <c r="H886" s="20"/>
      <c r="I886" s="70"/>
      <c r="J886" s="20"/>
      <c r="K886" s="20"/>
      <c r="L886" s="20"/>
      <c r="M886" s="23"/>
      <c r="N886" s="23"/>
    </row>
    <row r="887" spans="7:14" ht="15.75" customHeight="1" x14ac:dyDescent="0.25">
      <c r="G887" s="20"/>
      <c r="H887" s="20"/>
      <c r="I887" s="70"/>
      <c r="J887" s="20"/>
      <c r="K887" s="20"/>
      <c r="L887" s="20"/>
      <c r="M887" s="23"/>
      <c r="N887" s="23"/>
    </row>
    <row r="888" spans="7:14" ht="15.75" customHeight="1" x14ac:dyDescent="0.25">
      <c r="G888" s="20"/>
      <c r="H888" s="20"/>
      <c r="I888" s="70"/>
      <c r="J888" s="20"/>
      <c r="K888" s="20"/>
      <c r="L888" s="20"/>
      <c r="M888" s="23"/>
      <c r="N888" s="23"/>
    </row>
    <row r="889" spans="7:14" ht="15.75" customHeight="1" x14ac:dyDescent="0.25">
      <c r="G889" s="20"/>
      <c r="H889" s="20"/>
      <c r="I889" s="70"/>
      <c r="J889" s="20"/>
      <c r="K889" s="20"/>
      <c r="L889" s="20"/>
      <c r="M889" s="23"/>
      <c r="N889" s="23"/>
    </row>
    <row r="890" spans="7:14" ht="15.75" customHeight="1" x14ac:dyDescent="0.25">
      <c r="G890" s="20"/>
      <c r="H890" s="20"/>
      <c r="I890" s="70"/>
      <c r="J890" s="20"/>
      <c r="K890" s="20"/>
      <c r="L890" s="20"/>
      <c r="M890" s="23"/>
      <c r="N890" s="23"/>
    </row>
    <row r="891" spans="7:14" ht="15.75" customHeight="1" x14ac:dyDescent="0.25">
      <c r="G891" s="20"/>
      <c r="H891" s="20"/>
      <c r="I891" s="70"/>
      <c r="J891" s="20"/>
      <c r="K891" s="20"/>
      <c r="L891" s="20"/>
      <c r="M891" s="23"/>
      <c r="N891" s="23"/>
    </row>
    <row r="892" spans="7:14" ht="15.75" customHeight="1" x14ac:dyDescent="0.25">
      <c r="G892" s="20"/>
      <c r="H892" s="20"/>
      <c r="I892" s="70"/>
      <c r="J892" s="20"/>
      <c r="K892" s="20"/>
      <c r="L892" s="20"/>
      <c r="M892" s="23"/>
      <c r="N892" s="23"/>
    </row>
    <row r="893" spans="7:14" ht="15.75" customHeight="1" x14ac:dyDescent="0.25">
      <c r="G893" s="20"/>
      <c r="H893" s="20"/>
      <c r="I893" s="70"/>
      <c r="J893" s="20"/>
      <c r="K893" s="20"/>
      <c r="L893" s="20"/>
      <c r="M893" s="23"/>
      <c r="N893" s="23"/>
    </row>
    <row r="894" spans="7:14" ht="15.75" customHeight="1" x14ac:dyDescent="0.25">
      <c r="G894" s="20"/>
      <c r="H894" s="20"/>
      <c r="I894" s="70"/>
      <c r="J894" s="20"/>
      <c r="K894" s="20"/>
      <c r="L894" s="20"/>
      <c r="M894" s="23"/>
      <c r="N894" s="23"/>
    </row>
    <row r="895" spans="7:14" ht="15.75" customHeight="1" x14ac:dyDescent="0.25">
      <c r="G895" s="20"/>
      <c r="H895" s="20"/>
      <c r="I895" s="70"/>
      <c r="J895" s="20"/>
      <c r="K895" s="20"/>
      <c r="L895" s="20"/>
      <c r="M895" s="23"/>
      <c r="N895" s="23"/>
    </row>
    <row r="896" spans="7:14" ht="15.75" customHeight="1" x14ac:dyDescent="0.25">
      <c r="G896" s="20"/>
      <c r="H896" s="20"/>
      <c r="I896" s="70"/>
      <c r="J896" s="20"/>
      <c r="K896" s="20"/>
      <c r="L896" s="20"/>
      <c r="M896" s="23"/>
      <c r="N896" s="23"/>
    </row>
    <row r="897" spans="7:14" ht="15.75" customHeight="1" x14ac:dyDescent="0.25">
      <c r="G897" s="20"/>
      <c r="H897" s="20"/>
      <c r="I897" s="70"/>
      <c r="J897" s="20"/>
      <c r="K897" s="20"/>
      <c r="L897" s="20"/>
      <c r="M897" s="23"/>
      <c r="N897" s="23"/>
    </row>
    <row r="898" spans="7:14" ht="15.75" customHeight="1" x14ac:dyDescent="0.25">
      <c r="G898" s="20"/>
      <c r="H898" s="20"/>
      <c r="I898" s="70"/>
      <c r="J898" s="20"/>
      <c r="K898" s="20"/>
      <c r="L898" s="20"/>
      <c r="M898" s="23"/>
      <c r="N898" s="23"/>
    </row>
    <row r="899" spans="7:14" ht="15.75" customHeight="1" x14ac:dyDescent="0.25">
      <c r="G899" s="20"/>
      <c r="H899" s="20"/>
      <c r="I899" s="70"/>
      <c r="J899" s="20"/>
      <c r="K899" s="20"/>
      <c r="L899" s="20"/>
      <c r="M899" s="23"/>
      <c r="N899" s="23"/>
    </row>
    <row r="900" spans="7:14" ht="15.75" customHeight="1" x14ac:dyDescent="0.25">
      <c r="G900" s="20"/>
      <c r="H900" s="20"/>
      <c r="I900" s="70"/>
      <c r="J900" s="20"/>
      <c r="K900" s="20"/>
      <c r="L900" s="20"/>
      <c r="M900" s="23"/>
      <c r="N900" s="23"/>
    </row>
    <row r="901" spans="7:14" ht="15.75" customHeight="1" x14ac:dyDescent="0.25">
      <c r="G901" s="20"/>
      <c r="H901" s="20"/>
      <c r="I901" s="70"/>
      <c r="J901" s="20"/>
      <c r="K901" s="20"/>
      <c r="L901" s="20"/>
      <c r="M901" s="23"/>
      <c r="N901" s="23"/>
    </row>
    <row r="902" spans="7:14" ht="15.75" customHeight="1" x14ac:dyDescent="0.25">
      <c r="G902" s="20"/>
      <c r="H902" s="20"/>
      <c r="I902" s="70"/>
      <c r="J902" s="20"/>
      <c r="K902" s="20"/>
      <c r="L902" s="20"/>
      <c r="M902" s="23"/>
      <c r="N902" s="23"/>
    </row>
    <row r="903" spans="7:14" ht="15.75" customHeight="1" x14ac:dyDescent="0.25">
      <c r="G903" s="20"/>
      <c r="H903" s="20"/>
      <c r="I903" s="70"/>
      <c r="J903" s="20"/>
      <c r="K903" s="20"/>
      <c r="L903" s="20"/>
      <c r="M903" s="23"/>
      <c r="N903" s="23"/>
    </row>
    <row r="904" spans="7:14" ht="15.75" customHeight="1" x14ac:dyDescent="0.25">
      <c r="G904" s="20"/>
      <c r="H904" s="20"/>
      <c r="I904" s="70"/>
      <c r="J904" s="20"/>
      <c r="K904" s="20"/>
      <c r="L904" s="20"/>
      <c r="M904" s="23"/>
      <c r="N904" s="23"/>
    </row>
    <row r="905" spans="7:14" ht="15.75" customHeight="1" x14ac:dyDescent="0.25">
      <c r="G905" s="20"/>
      <c r="H905" s="20"/>
      <c r="I905" s="70"/>
      <c r="J905" s="20"/>
      <c r="K905" s="20"/>
      <c r="L905" s="20"/>
      <c r="M905" s="23"/>
      <c r="N905" s="23"/>
    </row>
    <row r="906" spans="7:14" ht="15.75" customHeight="1" x14ac:dyDescent="0.25">
      <c r="G906" s="20"/>
      <c r="H906" s="20"/>
      <c r="I906" s="70"/>
      <c r="J906" s="20"/>
      <c r="K906" s="20"/>
      <c r="L906" s="20"/>
      <c r="M906" s="23"/>
      <c r="N906" s="23"/>
    </row>
    <row r="907" spans="7:14" ht="15.75" customHeight="1" x14ac:dyDescent="0.25">
      <c r="G907" s="20"/>
      <c r="H907" s="20"/>
      <c r="I907" s="70"/>
      <c r="J907" s="20"/>
      <c r="K907" s="20"/>
      <c r="L907" s="20"/>
      <c r="M907" s="23"/>
      <c r="N907" s="23"/>
    </row>
    <row r="908" spans="7:14" ht="15.75" customHeight="1" x14ac:dyDescent="0.25">
      <c r="G908" s="20"/>
      <c r="H908" s="20"/>
      <c r="I908" s="70"/>
      <c r="J908" s="20"/>
      <c r="K908" s="20"/>
      <c r="L908" s="20"/>
      <c r="M908" s="23"/>
      <c r="N908" s="23"/>
    </row>
    <row r="909" spans="7:14" ht="15.75" customHeight="1" x14ac:dyDescent="0.25">
      <c r="G909" s="20"/>
      <c r="H909" s="20"/>
      <c r="I909" s="70"/>
      <c r="J909" s="20"/>
      <c r="K909" s="20"/>
      <c r="L909" s="20"/>
      <c r="M909" s="23"/>
      <c r="N909" s="23"/>
    </row>
    <row r="910" spans="7:14" ht="15.75" customHeight="1" x14ac:dyDescent="0.25">
      <c r="G910" s="20"/>
      <c r="H910" s="20"/>
      <c r="I910" s="70"/>
      <c r="J910" s="20"/>
      <c r="K910" s="20"/>
      <c r="L910" s="20"/>
      <c r="M910" s="23"/>
      <c r="N910" s="23"/>
    </row>
    <row r="911" spans="7:14" ht="15.75" customHeight="1" x14ac:dyDescent="0.25">
      <c r="G911" s="20"/>
      <c r="H911" s="20"/>
      <c r="I911" s="70"/>
      <c r="J911" s="20"/>
      <c r="K911" s="20"/>
      <c r="L911" s="20"/>
      <c r="M911" s="23"/>
      <c r="N911" s="23"/>
    </row>
    <row r="912" spans="7:14" ht="15.75" customHeight="1" x14ac:dyDescent="0.25">
      <c r="G912" s="20"/>
      <c r="H912" s="20"/>
      <c r="I912" s="70"/>
      <c r="J912" s="20"/>
      <c r="K912" s="20"/>
      <c r="L912" s="20"/>
      <c r="M912" s="23"/>
      <c r="N912" s="23"/>
    </row>
    <row r="913" spans="7:14" ht="15.75" customHeight="1" x14ac:dyDescent="0.25">
      <c r="G913" s="20"/>
      <c r="H913" s="20"/>
      <c r="I913" s="70"/>
      <c r="J913" s="20"/>
      <c r="K913" s="20"/>
      <c r="L913" s="20"/>
      <c r="M913" s="23"/>
      <c r="N913" s="23"/>
    </row>
    <row r="914" spans="7:14" ht="15.75" customHeight="1" x14ac:dyDescent="0.25">
      <c r="G914" s="20"/>
      <c r="H914" s="20"/>
      <c r="I914" s="70"/>
      <c r="J914" s="20"/>
      <c r="K914" s="20"/>
      <c r="L914" s="20"/>
      <c r="M914" s="23"/>
      <c r="N914" s="23"/>
    </row>
    <row r="915" spans="7:14" ht="15.75" customHeight="1" x14ac:dyDescent="0.25">
      <c r="G915" s="20"/>
      <c r="H915" s="20"/>
      <c r="I915" s="70"/>
      <c r="J915" s="20"/>
      <c r="K915" s="20"/>
      <c r="L915" s="20"/>
      <c r="M915" s="23"/>
      <c r="N915" s="23"/>
    </row>
    <row r="916" spans="7:14" ht="15.75" customHeight="1" x14ac:dyDescent="0.25">
      <c r="G916" s="20"/>
      <c r="H916" s="20"/>
      <c r="I916" s="70"/>
      <c r="J916" s="20"/>
      <c r="K916" s="20"/>
      <c r="L916" s="20"/>
      <c r="M916" s="23"/>
      <c r="N916" s="23"/>
    </row>
    <row r="917" spans="7:14" ht="15.75" customHeight="1" x14ac:dyDescent="0.25">
      <c r="G917" s="20"/>
      <c r="H917" s="20"/>
      <c r="I917" s="70"/>
      <c r="J917" s="20"/>
      <c r="K917" s="20"/>
      <c r="L917" s="20"/>
      <c r="M917" s="23"/>
      <c r="N917" s="23"/>
    </row>
    <row r="918" spans="7:14" ht="15.75" customHeight="1" x14ac:dyDescent="0.25">
      <c r="G918" s="20"/>
      <c r="H918" s="20"/>
      <c r="I918" s="70"/>
      <c r="J918" s="20"/>
      <c r="K918" s="20"/>
      <c r="L918" s="20"/>
      <c r="M918" s="23"/>
      <c r="N918" s="23"/>
    </row>
    <row r="919" spans="7:14" ht="15.75" customHeight="1" x14ac:dyDescent="0.25">
      <c r="G919" s="20"/>
      <c r="H919" s="20"/>
      <c r="I919" s="70"/>
      <c r="J919" s="20"/>
      <c r="K919" s="20"/>
      <c r="L919" s="20"/>
      <c r="M919" s="23"/>
      <c r="N919" s="23"/>
    </row>
    <row r="920" spans="7:14" ht="15.75" customHeight="1" x14ac:dyDescent="0.25">
      <c r="G920" s="20"/>
      <c r="H920" s="20"/>
      <c r="I920" s="70"/>
      <c r="J920" s="20"/>
      <c r="K920" s="20"/>
      <c r="L920" s="20"/>
      <c r="M920" s="23"/>
      <c r="N920" s="23"/>
    </row>
    <row r="921" spans="7:14" ht="15.75" customHeight="1" x14ac:dyDescent="0.25">
      <c r="G921" s="20"/>
      <c r="H921" s="20"/>
      <c r="I921" s="70"/>
      <c r="J921" s="20"/>
      <c r="K921" s="20"/>
      <c r="L921" s="20"/>
      <c r="M921" s="23"/>
      <c r="N921" s="23"/>
    </row>
    <row r="922" spans="7:14" ht="15.75" customHeight="1" x14ac:dyDescent="0.25">
      <c r="G922" s="20"/>
      <c r="H922" s="20"/>
      <c r="I922" s="70"/>
      <c r="J922" s="20"/>
      <c r="K922" s="20"/>
      <c r="L922" s="20"/>
      <c r="M922" s="23"/>
      <c r="N922" s="23"/>
    </row>
    <row r="923" spans="7:14" ht="15.75" customHeight="1" x14ac:dyDescent="0.25">
      <c r="G923" s="20"/>
      <c r="H923" s="20"/>
      <c r="I923" s="70"/>
      <c r="J923" s="20"/>
      <c r="K923" s="20"/>
      <c r="L923" s="20"/>
      <c r="M923" s="23"/>
      <c r="N923" s="23"/>
    </row>
    <row r="924" spans="7:14" ht="15.75" customHeight="1" x14ac:dyDescent="0.25">
      <c r="G924" s="20"/>
      <c r="H924" s="20"/>
      <c r="I924" s="70"/>
      <c r="J924" s="20"/>
      <c r="K924" s="20"/>
      <c r="L924" s="20"/>
      <c r="M924" s="23"/>
      <c r="N924" s="23"/>
    </row>
    <row r="925" spans="7:14" ht="15.75" customHeight="1" x14ac:dyDescent="0.25">
      <c r="G925" s="20"/>
      <c r="H925" s="20"/>
      <c r="I925" s="70"/>
      <c r="J925" s="20"/>
      <c r="K925" s="20"/>
      <c r="L925" s="20"/>
      <c r="M925" s="23"/>
      <c r="N925" s="23"/>
    </row>
    <row r="926" spans="7:14" ht="15.75" customHeight="1" x14ac:dyDescent="0.25">
      <c r="G926" s="20"/>
      <c r="H926" s="20"/>
      <c r="I926" s="70"/>
      <c r="J926" s="20"/>
      <c r="K926" s="20"/>
      <c r="L926" s="20"/>
      <c r="M926" s="23"/>
      <c r="N926" s="23"/>
    </row>
    <row r="927" spans="7:14" ht="15.75" customHeight="1" x14ac:dyDescent="0.25">
      <c r="G927" s="20"/>
      <c r="H927" s="20"/>
      <c r="I927" s="70"/>
      <c r="J927" s="20"/>
      <c r="K927" s="20"/>
      <c r="L927" s="20"/>
      <c r="M927" s="23"/>
      <c r="N927" s="23"/>
    </row>
    <row r="928" spans="7:14" ht="15.75" customHeight="1" x14ac:dyDescent="0.25">
      <c r="G928" s="20"/>
      <c r="H928" s="20"/>
      <c r="I928" s="70"/>
      <c r="J928" s="20"/>
      <c r="K928" s="20"/>
      <c r="L928" s="20"/>
      <c r="M928" s="23"/>
      <c r="N928" s="23"/>
    </row>
    <row r="929" spans="7:14" ht="15.75" customHeight="1" x14ac:dyDescent="0.25">
      <c r="G929" s="20"/>
      <c r="H929" s="20"/>
      <c r="I929" s="70"/>
      <c r="J929" s="20"/>
      <c r="K929" s="20"/>
      <c r="L929" s="20"/>
      <c r="M929" s="23"/>
      <c r="N929" s="23"/>
    </row>
    <row r="930" spans="7:14" ht="15.75" customHeight="1" x14ac:dyDescent="0.25">
      <c r="G930" s="20"/>
      <c r="H930" s="20"/>
      <c r="I930" s="70"/>
      <c r="J930" s="20"/>
      <c r="K930" s="20"/>
      <c r="L930" s="20"/>
      <c r="M930" s="23"/>
      <c r="N930" s="23"/>
    </row>
    <row r="931" spans="7:14" ht="15.75" customHeight="1" x14ac:dyDescent="0.25">
      <c r="G931" s="20"/>
      <c r="H931" s="20"/>
      <c r="I931" s="70"/>
      <c r="J931" s="20"/>
      <c r="K931" s="20"/>
      <c r="L931" s="20"/>
      <c r="M931" s="23"/>
      <c r="N931" s="23"/>
    </row>
    <row r="932" spans="7:14" ht="15.75" customHeight="1" x14ac:dyDescent="0.25">
      <c r="G932" s="20"/>
      <c r="H932" s="20"/>
      <c r="I932" s="70"/>
      <c r="J932" s="20"/>
      <c r="K932" s="20"/>
      <c r="L932" s="20"/>
      <c r="M932" s="23"/>
      <c r="N932" s="23"/>
    </row>
    <row r="933" spans="7:14" ht="15.75" customHeight="1" x14ac:dyDescent="0.25">
      <c r="G933" s="20"/>
      <c r="H933" s="20"/>
      <c r="I933" s="70"/>
      <c r="J933" s="20"/>
      <c r="K933" s="20"/>
      <c r="L933" s="20"/>
      <c r="M933" s="23"/>
      <c r="N933" s="23"/>
    </row>
    <row r="934" spans="7:14" ht="15.75" customHeight="1" x14ac:dyDescent="0.25">
      <c r="G934" s="20"/>
      <c r="H934" s="20"/>
      <c r="I934" s="70"/>
      <c r="J934" s="20"/>
      <c r="K934" s="20"/>
      <c r="L934" s="20"/>
      <c r="M934" s="23"/>
      <c r="N934" s="23"/>
    </row>
    <row r="935" spans="7:14" ht="15.75" customHeight="1" x14ac:dyDescent="0.25">
      <c r="G935" s="20"/>
      <c r="H935" s="20"/>
      <c r="I935" s="70"/>
      <c r="J935" s="20"/>
      <c r="K935" s="20"/>
      <c r="L935" s="20"/>
      <c r="M935" s="23"/>
      <c r="N935" s="23"/>
    </row>
    <row r="936" spans="7:14" ht="15.75" customHeight="1" x14ac:dyDescent="0.25">
      <c r="G936" s="20"/>
      <c r="H936" s="20"/>
      <c r="I936" s="70"/>
      <c r="J936" s="20"/>
      <c r="K936" s="20"/>
      <c r="L936" s="20"/>
      <c r="M936" s="23"/>
      <c r="N936" s="23"/>
    </row>
    <row r="937" spans="7:14" ht="15.75" customHeight="1" x14ac:dyDescent="0.25">
      <c r="G937" s="20"/>
      <c r="H937" s="20"/>
      <c r="I937" s="70"/>
      <c r="J937" s="20"/>
      <c r="K937" s="20"/>
      <c r="L937" s="20"/>
      <c r="M937" s="23"/>
      <c r="N937" s="23"/>
    </row>
    <row r="938" spans="7:14" ht="15.75" customHeight="1" x14ac:dyDescent="0.25">
      <c r="G938" s="20"/>
      <c r="H938" s="20"/>
      <c r="I938" s="70"/>
      <c r="J938" s="20"/>
      <c r="K938" s="20"/>
      <c r="L938" s="20"/>
      <c r="M938" s="23"/>
      <c r="N938" s="23"/>
    </row>
    <row r="939" spans="7:14" ht="15.75" customHeight="1" x14ac:dyDescent="0.25">
      <c r="G939" s="20"/>
      <c r="H939" s="20"/>
      <c r="I939" s="70"/>
      <c r="J939" s="20"/>
      <c r="K939" s="20"/>
      <c r="L939" s="20"/>
      <c r="M939" s="23"/>
      <c r="N939" s="23"/>
    </row>
    <row r="940" spans="7:14" ht="15.75" customHeight="1" x14ac:dyDescent="0.25">
      <c r="G940" s="20"/>
      <c r="H940" s="20"/>
      <c r="I940" s="70"/>
      <c r="J940" s="20"/>
      <c r="K940" s="20"/>
      <c r="L940" s="20"/>
      <c r="M940" s="23"/>
      <c r="N940" s="23"/>
    </row>
    <row r="941" spans="7:14" ht="15.75" customHeight="1" x14ac:dyDescent="0.25">
      <c r="G941" s="20"/>
      <c r="H941" s="20"/>
      <c r="I941" s="70"/>
      <c r="J941" s="20"/>
      <c r="K941" s="20"/>
      <c r="L941" s="20"/>
      <c r="M941" s="23"/>
      <c r="N941" s="23"/>
    </row>
    <row r="942" spans="7:14" ht="15.75" customHeight="1" x14ac:dyDescent="0.25">
      <c r="G942" s="20"/>
      <c r="H942" s="20"/>
      <c r="I942" s="70"/>
      <c r="J942" s="20"/>
      <c r="K942" s="20"/>
      <c r="L942" s="20"/>
      <c r="M942" s="23"/>
      <c r="N942" s="23"/>
    </row>
    <row r="943" spans="7:14" ht="15.75" customHeight="1" x14ac:dyDescent="0.25">
      <c r="G943" s="20"/>
      <c r="H943" s="20"/>
      <c r="I943" s="70"/>
      <c r="J943" s="20"/>
      <c r="K943" s="20"/>
      <c r="L943" s="20"/>
      <c r="M943" s="23"/>
      <c r="N943" s="23"/>
    </row>
    <row r="944" spans="7:14" ht="15.75" customHeight="1" x14ac:dyDescent="0.25">
      <c r="G944" s="20"/>
      <c r="H944" s="20"/>
      <c r="I944" s="70"/>
      <c r="J944" s="20"/>
      <c r="K944" s="20"/>
      <c r="L944" s="20"/>
      <c r="M944" s="23"/>
      <c r="N944" s="23"/>
    </row>
    <row r="945" spans="7:14" ht="15.75" customHeight="1" x14ac:dyDescent="0.25">
      <c r="G945" s="20"/>
      <c r="H945" s="20"/>
      <c r="I945" s="70"/>
      <c r="J945" s="20"/>
      <c r="K945" s="20"/>
      <c r="L945" s="20"/>
      <c r="M945" s="23"/>
      <c r="N945" s="23"/>
    </row>
    <row r="946" spans="7:14" ht="15.75" customHeight="1" x14ac:dyDescent="0.25">
      <c r="G946" s="20"/>
      <c r="H946" s="20"/>
      <c r="I946" s="70"/>
      <c r="J946" s="20"/>
      <c r="K946" s="20"/>
      <c r="L946" s="20"/>
      <c r="M946" s="23"/>
      <c r="N946" s="23"/>
    </row>
    <row r="947" spans="7:14" ht="15.75" customHeight="1" x14ac:dyDescent="0.25">
      <c r="G947" s="20"/>
      <c r="H947" s="20"/>
      <c r="I947" s="70"/>
      <c r="J947" s="20"/>
      <c r="K947" s="20"/>
      <c r="L947" s="20"/>
      <c r="M947" s="23"/>
      <c r="N947" s="23"/>
    </row>
    <row r="948" spans="7:14" ht="15.75" customHeight="1" x14ac:dyDescent="0.25">
      <c r="G948" s="20"/>
      <c r="H948" s="20"/>
      <c r="I948" s="70"/>
      <c r="J948" s="20"/>
      <c r="K948" s="20"/>
      <c r="L948" s="20"/>
      <c r="M948" s="23"/>
      <c r="N948" s="23"/>
    </row>
    <row r="949" spans="7:14" ht="15.75" customHeight="1" x14ac:dyDescent="0.25">
      <c r="G949" s="20"/>
      <c r="H949" s="20"/>
      <c r="I949" s="70"/>
      <c r="J949" s="20"/>
      <c r="K949" s="20"/>
      <c r="L949" s="20"/>
      <c r="M949" s="23"/>
      <c r="N949" s="23"/>
    </row>
    <row r="950" spans="7:14" ht="15.75" customHeight="1" x14ac:dyDescent="0.25">
      <c r="G950" s="20"/>
      <c r="H950" s="20"/>
      <c r="I950" s="70"/>
      <c r="J950" s="20"/>
      <c r="K950" s="20"/>
      <c r="L950" s="20"/>
      <c r="M950" s="23"/>
      <c r="N950" s="23"/>
    </row>
    <row r="951" spans="7:14" ht="15.75" customHeight="1" x14ac:dyDescent="0.25">
      <c r="G951" s="20"/>
      <c r="H951" s="20"/>
      <c r="I951" s="70"/>
      <c r="J951" s="20"/>
      <c r="K951" s="20"/>
      <c r="L951" s="20"/>
      <c r="M951" s="23"/>
      <c r="N951" s="23"/>
    </row>
    <row r="952" spans="7:14" ht="15.75" customHeight="1" x14ac:dyDescent="0.25">
      <c r="G952" s="20"/>
      <c r="H952" s="20"/>
      <c r="I952" s="70"/>
      <c r="J952" s="20"/>
      <c r="K952" s="20"/>
      <c r="L952" s="20"/>
      <c r="M952" s="23"/>
      <c r="N952" s="23"/>
    </row>
    <row r="953" spans="7:14" ht="15.75" customHeight="1" x14ac:dyDescent="0.25">
      <c r="G953" s="20"/>
      <c r="H953" s="20"/>
      <c r="I953" s="70"/>
      <c r="J953" s="20"/>
      <c r="K953" s="20"/>
      <c r="L953" s="20"/>
      <c r="M953" s="23"/>
      <c r="N953" s="23"/>
    </row>
    <row r="954" spans="7:14" ht="15.75" customHeight="1" x14ac:dyDescent="0.25">
      <c r="G954" s="20"/>
      <c r="H954" s="20"/>
      <c r="I954" s="70"/>
      <c r="J954" s="20"/>
      <c r="K954" s="20"/>
      <c r="L954" s="20"/>
      <c r="M954" s="23"/>
      <c r="N954" s="23"/>
    </row>
    <row r="955" spans="7:14" ht="15.75" customHeight="1" x14ac:dyDescent="0.25">
      <c r="G955" s="20"/>
      <c r="H955" s="20"/>
      <c r="I955" s="70"/>
      <c r="J955" s="20"/>
      <c r="K955" s="20"/>
      <c r="L955" s="20"/>
      <c r="M955" s="23"/>
      <c r="N955" s="23"/>
    </row>
    <row r="956" spans="7:14" ht="15.75" customHeight="1" x14ac:dyDescent="0.25">
      <c r="G956" s="20"/>
      <c r="H956" s="20"/>
      <c r="I956" s="70"/>
      <c r="J956" s="20"/>
      <c r="K956" s="20"/>
      <c r="L956" s="20"/>
      <c r="M956" s="23"/>
      <c r="N956" s="23"/>
    </row>
    <row r="957" spans="7:14" ht="15.75" customHeight="1" x14ac:dyDescent="0.25">
      <c r="G957" s="20"/>
      <c r="H957" s="20"/>
      <c r="I957" s="70"/>
      <c r="J957" s="20"/>
      <c r="K957" s="20"/>
      <c r="L957" s="20"/>
      <c r="M957" s="23"/>
      <c r="N957" s="23"/>
    </row>
    <row r="958" spans="7:14" ht="15.75" customHeight="1" x14ac:dyDescent="0.25">
      <c r="G958" s="20"/>
      <c r="H958" s="20"/>
      <c r="I958" s="70"/>
      <c r="J958" s="20"/>
      <c r="K958" s="20"/>
      <c r="L958" s="20"/>
      <c r="M958" s="23"/>
      <c r="N958" s="23"/>
    </row>
    <row r="959" spans="7:14" ht="15.75" customHeight="1" x14ac:dyDescent="0.25">
      <c r="G959" s="20"/>
      <c r="H959" s="20"/>
      <c r="I959" s="70"/>
      <c r="J959" s="20"/>
      <c r="K959" s="20"/>
      <c r="L959" s="20"/>
      <c r="M959" s="23"/>
      <c r="N959" s="23"/>
    </row>
    <row r="960" spans="7:14" ht="15.75" customHeight="1" x14ac:dyDescent="0.25">
      <c r="G960" s="20"/>
      <c r="H960" s="20"/>
      <c r="I960" s="70"/>
      <c r="J960" s="20"/>
      <c r="K960" s="20"/>
      <c r="L960" s="20"/>
      <c r="M960" s="23"/>
      <c r="N960" s="23"/>
    </row>
    <row r="961" spans="7:14" ht="15.75" customHeight="1" x14ac:dyDescent="0.25">
      <c r="G961" s="20"/>
      <c r="H961" s="20"/>
      <c r="I961" s="70"/>
      <c r="J961" s="20"/>
      <c r="K961" s="20"/>
      <c r="L961" s="20"/>
      <c r="M961" s="23"/>
      <c r="N961" s="23"/>
    </row>
    <row r="962" spans="7:14" ht="15.75" customHeight="1" x14ac:dyDescent="0.25">
      <c r="G962" s="20"/>
      <c r="H962" s="20"/>
      <c r="I962" s="70"/>
      <c r="J962" s="20"/>
      <c r="K962" s="20"/>
      <c r="L962" s="20"/>
      <c r="M962" s="23"/>
      <c r="N962" s="23"/>
    </row>
    <row r="963" spans="7:14" ht="15.75" customHeight="1" x14ac:dyDescent="0.25">
      <c r="G963" s="20"/>
      <c r="H963" s="20"/>
      <c r="I963" s="70"/>
      <c r="J963" s="20"/>
      <c r="K963" s="20"/>
      <c r="L963" s="20"/>
      <c r="M963" s="23"/>
      <c r="N963" s="23"/>
    </row>
    <row r="964" spans="7:14" ht="15.75" customHeight="1" x14ac:dyDescent="0.25">
      <c r="G964" s="20"/>
      <c r="H964" s="20"/>
      <c r="I964" s="70"/>
      <c r="J964" s="20"/>
      <c r="K964" s="20"/>
      <c r="L964" s="20"/>
      <c r="M964" s="23"/>
      <c r="N964" s="23"/>
    </row>
    <row r="965" spans="7:14" ht="15.75" customHeight="1" x14ac:dyDescent="0.25">
      <c r="G965" s="20"/>
      <c r="H965" s="20"/>
      <c r="I965" s="70"/>
      <c r="J965" s="20"/>
      <c r="K965" s="20"/>
      <c r="L965" s="20"/>
      <c r="M965" s="23"/>
      <c r="N965" s="23"/>
    </row>
    <row r="966" spans="7:14" ht="15.75" customHeight="1" x14ac:dyDescent="0.25">
      <c r="G966" s="20"/>
      <c r="H966" s="20"/>
      <c r="I966" s="70"/>
      <c r="J966" s="20"/>
      <c r="K966" s="20"/>
      <c r="L966" s="20"/>
      <c r="M966" s="23"/>
      <c r="N966" s="23"/>
    </row>
    <row r="967" spans="7:14" ht="15.75" customHeight="1" x14ac:dyDescent="0.25">
      <c r="G967" s="20"/>
      <c r="H967" s="20"/>
      <c r="I967" s="70"/>
      <c r="J967" s="20"/>
      <c r="K967" s="20"/>
      <c r="L967" s="20"/>
      <c r="M967" s="23"/>
      <c r="N967" s="23"/>
    </row>
    <row r="968" spans="7:14" ht="15.75" customHeight="1" x14ac:dyDescent="0.25">
      <c r="G968" s="20"/>
      <c r="H968" s="20"/>
      <c r="I968" s="70"/>
      <c r="J968" s="20"/>
      <c r="K968" s="20"/>
      <c r="L968" s="20"/>
      <c r="M968" s="23"/>
      <c r="N968" s="23"/>
    </row>
    <row r="969" spans="7:14" ht="15.75" customHeight="1" x14ac:dyDescent="0.25">
      <c r="G969" s="20"/>
      <c r="H969" s="20"/>
      <c r="I969" s="70"/>
      <c r="J969" s="20"/>
      <c r="K969" s="20"/>
      <c r="L969" s="20"/>
      <c r="M969" s="23"/>
      <c r="N969" s="23"/>
    </row>
    <row r="970" spans="7:14" ht="15.75" customHeight="1" x14ac:dyDescent="0.25">
      <c r="G970" s="20"/>
      <c r="H970" s="20"/>
      <c r="I970" s="70"/>
      <c r="J970" s="20"/>
      <c r="K970" s="20"/>
      <c r="L970" s="20"/>
      <c r="M970" s="23"/>
      <c r="N970" s="23"/>
    </row>
    <row r="971" spans="7:14" ht="15.75" customHeight="1" x14ac:dyDescent="0.25">
      <c r="G971" s="20"/>
      <c r="H971" s="20"/>
      <c r="I971" s="70"/>
      <c r="J971" s="20"/>
      <c r="K971" s="20"/>
      <c r="L971" s="20"/>
      <c r="M971" s="23"/>
      <c r="N971" s="23"/>
    </row>
    <row r="972" spans="7:14" ht="15.75" customHeight="1" x14ac:dyDescent="0.25">
      <c r="G972" s="20"/>
      <c r="H972" s="20"/>
      <c r="I972" s="70"/>
      <c r="J972" s="20"/>
      <c r="K972" s="20"/>
      <c r="L972" s="20"/>
      <c r="M972" s="23"/>
      <c r="N972" s="23"/>
    </row>
    <row r="973" spans="7:14" ht="15.75" customHeight="1" x14ac:dyDescent="0.25">
      <c r="G973" s="20"/>
      <c r="H973" s="20"/>
      <c r="I973" s="70"/>
      <c r="J973" s="20"/>
      <c r="K973" s="20"/>
      <c r="L973" s="20"/>
      <c r="M973" s="23"/>
      <c r="N973" s="23"/>
    </row>
    <row r="974" spans="7:14" ht="15.75" customHeight="1" x14ac:dyDescent="0.25">
      <c r="G974" s="20"/>
      <c r="H974" s="20"/>
      <c r="I974" s="70"/>
      <c r="J974" s="20"/>
      <c r="K974" s="20"/>
      <c r="L974" s="20"/>
      <c r="M974" s="23"/>
      <c r="N974" s="23"/>
    </row>
    <row r="975" spans="7:14" ht="15.75" customHeight="1" x14ac:dyDescent="0.25">
      <c r="G975" s="20"/>
      <c r="H975" s="20"/>
      <c r="I975" s="70"/>
      <c r="J975" s="20"/>
      <c r="K975" s="20"/>
      <c r="L975" s="20"/>
      <c r="M975" s="23"/>
      <c r="N975" s="23"/>
    </row>
    <row r="976" spans="7:14" ht="15.75" customHeight="1" x14ac:dyDescent="0.25">
      <c r="G976" s="20"/>
      <c r="H976" s="20"/>
      <c r="I976" s="70"/>
      <c r="J976" s="20"/>
      <c r="K976" s="20"/>
      <c r="L976" s="20"/>
      <c r="M976" s="23"/>
      <c r="N976" s="23"/>
    </row>
    <row r="977" spans="7:14" ht="15.75" customHeight="1" x14ac:dyDescent="0.25">
      <c r="G977" s="20"/>
      <c r="H977" s="20"/>
      <c r="I977" s="70"/>
      <c r="J977" s="20"/>
      <c r="K977" s="20"/>
      <c r="L977" s="20"/>
      <c r="M977" s="23"/>
      <c r="N977" s="23"/>
    </row>
    <row r="978" spans="7:14" ht="15.75" customHeight="1" x14ac:dyDescent="0.25">
      <c r="G978" s="20"/>
      <c r="H978" s="20"/>
      <c r="I978" s="70"/>
      <c r="J978" s="20"/>
      <c r="K978" s="20"/>
      <c r="L978" s="20"/>
      <c r="M978" s="23"/>
      <c r="N978" s="23"/>
    </row>
    <row r="979" spans="7:14" ht="15.75" customHeight="1" x14ac:dyDescent="0.25">
      <c r="G979" s="20"/>
      <c r="H979" s="20"/>
      <c r="I979" s="70"/>
      <c r="J979" s="20"/>
      <c r="K979" s="20"/>
      <c r="L979" s="20"/>
      <c r="M979" s="23"/>
      <c r="N979" s="23"/>
    </row>
    <row r="980" spans="7:14" ht="15.75" customHeight="1" x14ac:dyDescent="0.25">
      <c r="G980" s="20"/>
      <c r="H980" s="20"/>
      <c r="I980" s="70"/>
      <c r="J980" s="20"/>
      <c r="K980" s="20"/>
      <c r="L980" s="20"/>
      <c r="M980" s="23"/>
      <c r="N980" s="23"/>
    </row>
    <row r="981" spans="7:14" ht="15.75" customHeight="1" x14ac:dyDescent="0.25">
      <c r="G981" s="20"/>
      <c r="H981" s="20"/>
      <c r="I981" s="70"/>
      <c r="J981" s="20"/>
      <c r="K981" s="20"/>
      <c r="L981" s="20"/>
      <c r="M981" s="23"/>
      <c r="N981" s="23"/>
    </row>
    <row r="982" spans="7:14" ht="15.75" customHeight="1" x14ac:dyDescent="0.25">
      <c r="G982" s="20"/>
      <c r="H982" s="20"/>
      <c r="I982" s="70"/>
      <c r="J982" s="20"/>
      <c r="K982" s="20"/>
      <c r="L982" s="20"/>
      <c r="M982" s="23"/>
      <c r="N982" s="23"/>
    </row>
    <row r="983" spans="7:14" ht="15.75" customHeight="1" x14ac:dyDescent="0.25">
      <c r="G983" s="20"/>
      <c r="H983" s="20"/>
      <c r="I983" s="70"/>
      <c r="J983" s="20"/>
      <c r="K983" s="20"/>
      <c r="L983" s="20"/>
      <c r="M983" s="23"/>
      <c r="N983" s="23"/>
    </row>
    <row r="984" spans="7:14" ht="15.75" customHeight="1" x14ac:dyDescent="0.25">
      <c r="G984" s="20"/>
      <c r="H984" s="20"/>
      <c r="I984" s="70"/>
      <c r="J984" s="20"/>
      <c r="K984" s="20"/>
      <c r="L984" s="20"/>
      <c r="M984" s="23"/>
      <c r="N984" s="23"/>
    </row>
    <row r="985" spans="7:14" ht="15.75" customHeight="1" x14ac:dyDescent="0.25">
      <c r="G985" s="20"/>
      <c r="H985" s="20"/>
      <c r="I985" s="70"/>
      <c r="J985" s="20"/>
      <c r="K985" s="20"/>
      <c r="L985" s="20"/>
      <c r="M985" s="23"/>
      <c r="N985" s="23"/>
    </row>
    <row r="986" spans="7:14" ht="15.75" customHeight="1" x14ac:dyDescent="0.25">
      <c r="G986" s="20"/>
      <c r="H986" s="20"/>
      <c r="I986" s="70"/>
      <c r="J986" s="20"/>
      <c r="K986" s="20"/>
      <c r="L986" s="20"/>
      <c r="M986" s="23"/>
      <c r="N986" s="23"/>
    </row>
    <row r="987" spans="7:14" ht="15.75" customHeight="1" x14ac:dyDescent="0.25">
      <c r="G987" s="20"/>
      <c r="H987" s="20"/>
      <c r="I987" s="70"/>
      <c r="J987" s="20"/>
      <c r="K987" s="20"/>
      <c r="L987" s="20"/>
      <c r="M987" s="23"/>
      <c r="N987" s="23"/>
    </row>
    <row r="988" spans="7:14" ht="15.75" customHeight="1" x14ac:dyDescent="0.25">
      <c r="G988" s="20"/>
      <c r="H988" s="20"/>
      <c r="I988" s="70"/>
      <c r="J988" s="20"/>
      <c r="K988" s="20"/>
      <c r="L988" s="20"/>
      <c r="M988" s="23"/>
      <c r="N988" s="23"/>
    </row>
    <row r="989" spans="7:14" ht="15.75" customHeight="1" x14ac:dyDescent="0.25">
      <c r="G989" s="20"/>
      <c r="H989" s="20"/>
      <c r="I989" s="70"/>
      <c r="J989" s="20"/>
      <c r="K989" s="20"/>
      <c r="L989" s="20"/>
      <c r="M989" s="23"/>
      <c r="N989" s="23"/>
    </row>
    <row r="990" spans="7:14" ht="15.75" customHeight="1" x14ac:dyDescent="0.25">
      <c r="G990" s="20"/>
      <c r="H990" s="20"/>
      <c r="I990" s="70"/>
      <c r="J990" s="20"/>
      <c r="K990" s="20"/>
      <c r="L990" s="20"/>
      <c r="M990" s="23"/>
      <c r="N990" s="23"/>
    </row>
    <row r="991" spans="7:14" ht="15.75" customHeight="1" x14ac:dyDescent="0.25">
      <c r="G991" s="20"/>
      <c r="H991" s="20"/>
      <c r="I991" s="70"/>
      <c r="J991" s="20"/>
      <c r="K991" s="20"/>
      <c r="L991" s="20"/>
      <c r="M991" s="23"/>
      <c r="N991" s="23"/>
    </row>
    <row r="992" spans="7:14" ht="15.75" customHeight="1" x14ac:dyDescent="0.25">
      <c r="G992" s="20"/>
      <c r="H992" s="20"/>
      <c r="I992" s="70"/>
      <c r="J992" s="20"/>
      <c r="K992" s="20"/>
      <c r="L992" s="20"/>
      <c r="M992" s="23"/>
      <c r="N992" s="23"/>
    </row>
    <row r="993" spans="7:14" ht="15.75" customHeight="1" x14ac:dyDescent="0.25">
      <c r="G993" s="20"/>
      <c r="H993" s="20"/>
      <c r="I993" s="70"/>
      <c r="J993" s="20"/>
      <c r="K993" s="20"/>
      <c r="L993" s="20"/>
      <c r="M993" s="23"/>
      <c r="N993" s="23"/>
    </row>
    <row r="994" spans="7:14" ht="15.75" customHeight="1" x14ac:dyDescent="0.25">
      <c r="G994" s="20"/>
      <c r="H994" s="20"/>
      <c r="I994" s="70"/>
      <c r="J994" s="20"/>
      <c r="K994" s="20"/>
      <c r="L994" s="20"/>
      <c r="M994" s="23"/>
      <c r="N994" s="23"/>
    </row>
    <row r="995" spans="7:14" ht="15.75" customHeight="1" x14ac:dyDescent="0.25">
      <c r="G995" s="20"/>
      <c r="H995" s="20"/>
      <c r="I995" s="70"/>
      <c r="J995" s="20"/>
      <c r="K995" s="20"/>
      <c r="L995" s="20"/>
      <c r="M995" s="23"/>
      <c r="N995" s="23"/>
    </row>
    <row r="996" spans="7:14" ht="15.75" customHeight="1" x14ac:dyDescent="0.25">
      <c r="G996" s="20"/>
      <c r="H996" s="20"/>
      <c r="I996" s="70"/>
      <c r="J996" s="20"/>
      <c r="K996" s="20"/>
      <c r="L996" s="20"/>
      <c r="M996" s="23"/>
      <c r="N996" s="23"/>
    </row>
    <row r="997" spans="7:14" ht="15.75" customHeight="1" x14ac:dyDescent="0.25">
      <c r="G997" s="20"/>
      <c r="H997" s="20"/>
      <c r="I997" s="70"/>
      <c r="J997" s="20"/>
      <c r="K997" s="20"/>
      <c r="L997" s="20"/>
      <c r="M997" s="23"/>
      <c r="N997" s="23"/>
    </row>
    <row r="998" spans="7:14" ht="15.75" customHeight="1" x14ac:dyDescent="0.25">
      <c r="G998" s="20"/>
      <c r="H998" s="20"/>
      <c r="I998" s="70"/>
      <c r="J998" s="20"/>
      <c r="K998" s="20"/>
      <c r="L998" s="20"/>
      <c r="M998" s="23"/>
      <c r="N998" s="23"/>
    </row>
  </sheetData>
  <mergeCells count="2">
    <mergeCell ref="A1:G4"/>
    <mergeCell ref="A15:E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Alta de Activo Fijo</vt:lpstr>
      <vt:lpstr>Alta de Amortización Acumulada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2023-02-01T14:56:31Z</dcterms:created>
  <dcterms:modified xsi:type="dcterms:W3CDTF">2024-10-29T18:44:40Z</dcterms:modified>
</cp:coreProperties>
</file>